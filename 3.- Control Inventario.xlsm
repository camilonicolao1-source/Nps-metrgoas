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uario\Desktop\Control Materiales\"/>
    </mc:Choice>
  </mc:AlternateContent>
  <bookViews>
    <workbookView xWindow="0" yWindow="0" windowWidth="19200" windowHeight="7180" tabRatio="641"/>
  </bookViews>
  <sheets>
    <sheet name="ENTRADAS" sheetId="2" r:id="rId1"/>
    <sheet name="SALIDAS" sheetId="3" r:id="rId2"/>
    <sheet name="INVENTARIO" sheetId="4" r:id="rId3"/>
    <sheet name="Hoja3" sheetId="12" r:id="rId4"/>
    <sheet name="CONSOLIDADO" sheetId="8" r:id="rId5"/>
    <sheet name="FACTURAS X REGIÓN" sheetId="9" r:id="rId6"/>
    <sheet name="Hoja1" sheetId="10" r:id="rId7"/>
  </sheets>
  <calcPr calcId="152511"/>
  <pivotCaches>
    <pivotCache cacheId="46" r:id="rId8"/>
    <pivotCache cacheId="54" r:id="rId9"/>
    <pivotCache cacheId="58" r:id="rId10"/>
  </pivotCaches>
  <extLst>
    <ext uri="GoogleSheetsCustomDataVersion2">
      <go:sheetsCustomData xmlns:go="http://customooxmlschemas.google.com/" r:id="rId12" roundtripDataChecksum="kXvH8g93XjwpFPigJsjgydnqCegjpb6X8j/mFIAuA44="/>
    </ext>
  </extLst>
</workbook>
</file>

<file path=xl/calcChain.xml><?xml version="1.0" encoding="utf-8"?>
<calcChain xmlns="http://schemas.openxmlformats.org/spreadsheetml/2006/main">
  <c r="B20" i="3" l="1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2" i="2" l="1"/>
  <c r="B3" i="2"/>
  <c r="B4" i="2"/>
  <c r="B5" i="2"/>
  <c r="B6" i="2"/>
  <c r="B7" i="2"/>
  <c r="B8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9" i="2" l="1"/>
  <c r="B10" i="2"/>
  <c r="B11" i="2" l="1"/>
  <c r="B114" i="3" l="1"/>
  <c r="B79" i="3" l="1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2" i="2"/>
  <c r="B13" i="2"/>
  <c r="B14" i="2"/>
  <c r="B171" i="3" l="1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5" i="2"/>
  <c r="B16" i="2"/>
  <c r="B17" i="2"/>
  <c r="B18" i="2"/>
  <c r="B19" i="2"/>
  <c r="B20" i="2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1" i="2" l="1"/>
  <c r="B22" i="2"/>
  <c r="B23" i="2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24" i="2" l="1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 l="1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C140" i="4" l="1"/>
  <c r="D140" i="4"/>
  <c r="E140" i="4" l="1"/>
  <c r="B99" i="2"/>
  <c r="B100" i="2"/>
  <c r="B101" i="2"/>
  <c r="B102" i="2"/>
  <c r="B103" i="2"/>
  <c r="B104" i="2"/>
  <c r="B105" i="2"/>
  <c r="B114" i="2"/>
  <c r="B106" i="2"/>
  <c r="B107" i="2"/>
  <c r="B108" i="2"/>
  <c r="B109" i="2"/>
  <c r="B110" i="2"/>
  <c r="B111" i="2"/>
  <c r="B112" i="2"/>
  <c r="B113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345" i="3" l="1"/>
  <c r="B147" i="2" l="1"/>
  <c r="B148" i="2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149" i="2" l="1"/>
  <c r="B150" i="2"/>
  <c r="B151" i="2"/>
  <c r="B152" i="2"/>
  <c r="B153" i="2"/>
  <c r="B154" i="2"/>
  <c r="B155" i="2"/>
  <c r="B156" i="2"/>
  <c r="B157" i="2"/>
  <c r="B158" i="2"/>
  <c r="B159" i="2"/>
  <c r="B160" i="2"/>
  <c r="B161" i="2" l="1"/>
  <c r="B162" i="2" l="1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 l="1"/>
  <c r="B186" i="2"/>
  <c r="B187" i="2"/>
  <c r="B188" i="2"/>
  <c r="B189" i="2"/>
  <c r="B190" i="2"/>
  <c r="B191" i="2"/>
  <c r="B192" i="2" l="1"/>
  <c r="B193" i="2"/>
  <c r="B402" i="3" l="1"/>
  <c r="B403" i="3"/>
  <c r="B404" i="3"/>
  <c r="B405" i="3"/>
  <c r="B406" i="3"/>
  <c r="B407" i="3"/>
  <c r="B408" i="3"/>
  <c r="B409" i="3"/>
  <c r="B410" i="3" l="1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194" i="2" l="1"/>
  <c r="B468" i="3" l="1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 l="1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195" i="2" l="1"/>
  <c r="B196" i="2"/>
  <c r="B197" i="2"/>
  <c r="B198" i="2"/>
  <c r="B199" i="2"/>
  <c r="B200" i="2"/>
  <c r="B201" i="2"/>
  <c r="B202" i="2"/>
  <c r="B203" i="2"/>
  <c r="B204" i="2"/>
  <c r="C195" i="4"/>
  <c r="D195" i="4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527" i="3"/>
  <c r="B528" i="3"/>
  <c r="C185" i="4"/>
  <c r="D185" i="4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E195" i="4" l="1"/>
  <c r="E185" i="4"/>
  <c r="B617" i="3" l="1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237" i="2" l="1"/>
  <c r="B238" i="2" l="1"/>
  <c r="B239" i="2" l="1"/>
  <c r="B240" i="2"/>
  <c r="B241" i="2"/>
  <c r="B242" i="2"/>
  <c r="B243" i="2"/>
  <c r="B644" i="3" l="1"/>
  <c r="B645" i="3"/>
  <c r="B646" i="3"/>
  <c r="B647" i="3"/>
  <c r="B648" i="3"/>
  <c r="B649" i="3"/>
  <c r="B650" i="3"/>
  <c r="B651" i="3"/>
  <c r="B244" i="2"/>
  <c r="B245" i="2"/>
  <c r="B246" i="2"/>
  <c r="B247" i="2"/>
  <c r="B248" i="2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249" i="2" l="1"/>
  <c r="B250" i="2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30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 l="1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251" i="2" l="1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770" i="3" l="1"/>
  <c r="B775" i="3" l="1"/>
  <c r="B776" i="3"/>
  <c r="B771" i="3"/>
  <c r="B772" i="3"/>
  <c r="B773" i="3"/>
  <c r="B774" i="3"/>
  <c r="B288" i="2" l="1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777" i="3" l="1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306" i="2"/>
  <c r="B307" i="2"/>
  <c r="B308" i="2"/>
  <c r="B309" i="2"/>
  <c r="B310" i="2"/>
  <c r="B311" i="2"/>
  <c r="B812" i="3" l="1"/>
  <c r="B813" i="3"/>
  <c r="B814" i="3"/>
  <c r="B815" i="3"/>
  <c r="B816" i="3"/>
  <c r="B817" i="3"/>
  <c r="B818" i="3"/>
  <c r="B819" i="3"/>
  <c r="B820" i="3"/>
  <c r="B821" i="3"/>
  <c r="B822" i="3"/>
  <c r="B823" i="3"/>
  <c r="B824" i="3"/>
  <c r="B312" i="2" l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1159" i="2" l="1"/>
  <c r="B344" i="2" l="1"/>
  <c r="B345" i="2"/>
  <c r="B346" i="2"/>
  <c r="B347" i="2"/>
  <c r="B348" i="2"/>
  <c r="B349" i="2"/>
  <c r="B350" i="2"/>
  <c r="B351" i="2" l="1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 l="1"/>
  <c r="B421" i="2"/>
  <c r="B422" i="2"/>
  <c r="B423" i="2"/>
  <c r="B424" i="2"/>
  <c r="B425" i="2"/>
  <c r="B426" i="2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427" i="2" l="1"/>
  <c r="B428" i="2"/>
  <c r="B429" i="2"/>
  <c r="B430" i="2"/>
  <c r="B431" i="2"/>
  <c r="B432" i="2"/>
  <c r="B433" i="2"/>
  <c r="B434" i="2"/>
  <c r="B435" i="2"/>
  <c r="B436" i="2" l="1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843" i="3" l="1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63" i="3"/>
  <c r="B857" i="3"/>
  <c r="B858" i="3"/>
  <c r="B859" i="3"/>
  <c r="B860" i="3"/>
  <c r="B861" i="3"/>
  <c r="B862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460" i="2" l="1"/>
  <c r="B461" i="2"/>
  <c r="B462" i="2"/>
  <c r="B463" i="2"/>
  <c r="B464" i="2"/>
  <c r="B897" i="3" l="1"/>
  <c r="B898" i="3"/>
  <c r="B899" i="3"/>
  <c r="B900" i="3"/>
  <c r="B901" i="3"/>
  <c r="B902" i="3"/>
  <c r="B903" i="3"/>
  <c r="B904" i="3"/>
  <c r="B905" i="3"/>
  <c r="B906" i="3"/>
  <c r="C111" i="4"/>
  <c r="D111" i="4"/>
  <c r="E111" i="4" l="1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465" i="2" l="1"/>
  <c r="B466" i="2"/>
  <c r="B922" i="3" l="1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 l="1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467" i="2" l="1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 l="1"/>
  <c r="B468" i="2"/>
  <c r="B469" i="2"/>
  <c r="B470" i="2"/>
  <c r="B471" i="2"/>
  <c r="B472" i="2"/>
  <c r="B473" i="2"/>
  <c r="B474" i="2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 l="1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 l="1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C194" i="4"/>
  <c r="D194" i="4"/>
  <c r="C193" i="4"/>
  <c r="D193" i="4"/>
  <c r="C192" i="4"/>
  <c r="D192" i="4"/>
  <c r="C191" i="4"/>
  <c r="D191" i="4"/>
  <c r="C190" i="4"/>
  <c r="D190" i="4"/>
  <c r="C189" i="4"/>
  <c r="D189" i="4"/>
  <c r="C188" i="4"/>
  <c r="D188" i="4"/>
  <c r="C187" i="4"/>
  <c r="D187" i="4"/>
  <c r="C186" i="4"/>
  <c r="D186" i="4"/>
  <c r="B475" i="2"/>
  <c r="B476" i="2"/>
  <c r="C184" i="4"/>
  <c r="D184" i="4"/>
  <c r="C183" i="4"/>
  <c r="D183" i="4"/>
  <c r="E192" i="4" l="1"/>
  <c r="E189" i="4"/>
  <c r="E193" i="4"/>
  <c r="E188" i="4"/>
  <c r="E184" i="4"/>
  <c r="E187" i="4"/>
  <c r="E186" i="4"/>
  <c r="E190" i="4"/>
  <c r="E194" i="4"/>
  <c r="E191" i="4"/>
  <c r="E183" i="4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477" i="2" l="1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 l="1"/>
  <c r="B1125" i="3"/>
  <c r="B1126" i="3"/>
  <c r="B497" i="2" l="1"/>
  <c r="B498" i="2"/>
  <c r="B499" i="2"/>
  <c r="B954" i="2" l="1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1127" i="3" l="1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 l="1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 l="1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558" i="2" l="1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1253" i="3" l="1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574" i="2"/>
  <c r="B575" i="2"/>
  <c r="B576" i="2"/>
  <c r="B577" i="2"/>
  <c r="B578" i="2"/>
  <c r="B1272" i="3" l="1"/>
  <c r="B1266" i="3"/>
  <c r="B1267" i="3"/>
  <c r="B1268" i="3"/>
  <c r="B1269" i="3"/>
  <c r="B1270" i="3"/>
  <c r="B1271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 l="1"/>
  <c r="B1324" i="3"/>
  <c r="B579" i="2" l="1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 l="1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 l="1"/>
  <c r="B702" i="2"/>
  <c r="B703" i="2"/>
  <c r="B704" i="2"/>
  <c r="B705" i="2"/>
  <c r="B706" i="2"/>
  <c r="B707" i="2"/>
  <c r="B708" i="2"/>
  <c r="B709" i="2"/>
  <c r="B710" i="2"/>
  <c r="B711" i="2"/>
  <c r="B712" i="2"/>
  <c r="B713" i="2"/>
  <c r="B1325" i="3" l="1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714" i="2"/>
  <c r="B715" i="2"/>
  <c r="B716" i="2"/>
  <c r="B717" i="2"/>
  <c r="B718" i="2"/>
  <c r="B719" i="2"/>
  <c r="B720" i="2"/>
  <c r="B721" i="2"/>
  <c r="B722" i="2"/>
  <c r="B723" i="2" l="1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1341" i="3" l="1"/>
  <c r="C49" i="4"/>
  <c r="D49" i="4"/>
  <c r="E49" i="4" l="1"/>
  <c r="B1342" i="3"/>
  <c r="B1343" i="3"/>
  <c r="B1344" i="3"/>
  <c r="B1345" i="3"/>
  <c r="B1346" i="3"/>
  <c r="B1347" i="3"/>
  <c r="B1348" i="3"/>
  <c r="B1349" i="3"/>
  <c r="B1350" i="3" l="1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752" i="2" l="1"/>
  <c r="B1371" i="3"/>
  <c r="C40" i="4" l="1"/>
  <c r="D40" i="4"/>
  <c r="E40" i="4" l="1"/>
  <c r="B753" i="2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754" i="2"/>
  <c r="B755" i="2"/>
  <c r="B1407" i="3"/>
  <c r="B1408" i="3" l="1"/>
  <c r="B1409" i="3"/>
  <c r="B1410" i="3"/>
  <c r="B1411" i="3" l="1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 l="1"/>
  <c r="B1425" i="3"/>
  <c r="B1426" i="3"/>
  <c r="B1427" i="3"/>
  <c r="B1428" i="3"/>
  <c r="B1429" i="3"/>
  <c r="B1430" i="3"/>
  <c r="B1431" i="3"/>
  <c r="B1432" i="3"/>
  <c r="B1433" i="3"/>
  <c r="B1434" i="3"/>
  <c r="B1435" i="3"/>
  <c r="C11" i="4" l="1"/>
  <c r="D11" i="4"/>
  <c r="C180" i="4"/>
  <c r="D180" i="4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E180" i="4" l="1"/>
  <c r="E11" i="4"/>
  <c r="B1449" i="3"/>
  <c r="B1450" i="3"/>
  <c r="B1451" i="3"/>
  <c r="B1452" i="3"/>
  <c r="B756" i="2" l="1"/>
  <c r="B757" i="2"/>
  <c r="B758" i="2"/>
  <c r="B759" i="2"/>
  <c r="B760" i="2"/>
  <c r="B761" i="2"/>
  <c r="B1453" i="3" l="1"/>
  <c r="B1454" i="3"/>
  <c r="B1455" i="3"/>
  <c r="B1456" i="3"/>
  <c r="B1457" i="3"/>
  <c r="B1458" i="3"/>
  <c r="B1459" i="3"/>
  <c r="B762" i="2"/>
  <c r="B763" i="2"/>
  <c r="B764" i="2"/>
  <c r="B765" i="2"/>
  <c r="B766" i="2"/>
  <c r="B767" i="2"/>
  <c r="B768" i="2"/>
  <c r="B769" i="2"/>
  <c r="B770" i="2"/>
  <c r="B771" i="2"/>
  <c r="B772" i="2"/>
  <c r="B773" i="2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774" i="2" l="1"/>
  <c r="B775" i="2"/>
  <c r="B776" i="2"/>
  <c r="B777" i="2"/>
  <c r="B778" i="2"/>
  <c r="B779" i="2"/>
  <c r="B780" i="2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1484" i="3" l="1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C43" i="4"/>
  <c r="D43" i="4"/>
  <c r="C124" i="4"/>
  <c r="E43" i="4" l="1"/>
  <c r="B852" i="2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853" i="2" l="1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 l="1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C120" i="4"/>
  <c r="D120" i="4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E120" i="4" l="1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532" i="3"/>
  <c r="B1533" i="3"/>
  <c r="B1534" i="3" l="1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 l="1"/>
  <c r="B1553" i="3"/>
  <c r="B1554" i="3"/>
  <c r="B1555" i="3"/>
  <c r="B1556" i="3"/>
  <c r="B1557" i="3"/>
  <c r="B1558" i="3"/>
  <c r="B1559" i="3"/>
  <c r="B1560" i="3"/>
  <c r="B1561" i="3"/>
  <c r="B1562" i="3"/>
  <c r="B1563" i="3"/>
  <c r="D10" i="4" l="1"/>
  <c r="B1564" i="3"/>
  <c r="D177" i="4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061" i="2" l="1"/>
  <c r="B1062" i="2"/>
  <c r="B1063" i="2"/>
  <c r="B1064" i="2"/>
  <c r="B1065" i="2"/>
  <c r="B1066" i="2"/>
  <c r="B1067" i="2"/>
  <c r="B1068" i="2"/>
  <c r="B1069" i="2" l="1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586" i="3" l="1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083" i="2"/>
  <c r="B1610" i="3" l="1"/>
  <c r="B1611" i="3"/>
  <c r="B1612" i="3"/>
  <c r="B1084" i="2" l="1"/>
  <c r="B1085" i="2"/>
  <c r="B1086" i="2"/>
  <c r="B1087" i="2"/>
  <c r="B1088" i="2"/>
  <c r="B1089" i="2"/>
  <c r="B1090" i="2"/>
  <c r="B1613" i="3" l="1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C178" i="4" l="1"/>
  <c r="C179" i="4"/>
  <c r="C181" i="4"/>
  <c r="C182" i="4"/>
  <c r="D178" i="4"/>
  <c r="D179" i="4"/>
  <c r="D181" i="4"/>
  <c r="D182" i="4"/>
  <c r="E179" i="4" l="1"/>
  <c r="E182" i="4"/>
  <c r="E181" i="4"/>
  <c r="E178" i="4"/>
  <c r="C164" i="4"/>
  <c r="D164" i="4"/>
  <c r="E164" i="4" l="1"/>
  <c r="C130" i="4"/>
  <c r="D130" i="4"/>
  <c r="E130" i="4" l="1"/>
  <c r="D2" i="4" l="1"/>
  <c r="C9" i="4" l="1"/>
  <c r="D9" i="4"/>
  <c r="E9" i="4" l="1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 l="1"/>
  <c r="B1680" i="3"/>
  <c r="B1681" i="3"/>
  <c r="B1682" i="3"/>
  <c r="B1683" i="3"/>
  <c r="B1684" i="3"/>
  <c r="B1685" i="3"/>
  <c r="B1686" i="3"/>
  <c r="B1687" i="3"/>
  <c r="B1688" i="3"/>
  <c r="B1689" i="3"/>
  <c r="B1690" i="3"/>
  <c r="B1124" i="2" l="1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 l="1"/>
  <c r="B1152" i="2"/>
  <c r="B1153" i="2"/>
  <c r="B1154" i="2"/>
  <c r="B1155" i="2"/>
  <c r="B1156" i="2"/>
  <c r="B1157" i="2"/>
  <c r="B1158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 l="1"/>
  <c r="B1208" i="2"/>
  <c r="B1209" i="2"/>
  <c r="B1210" i="2"/>
  <c r="B1211" i="2"/>
  <c r="C3" i="4" l="1"/>
  <c r="C4" i="4"/>
  <c r="C5" i="4"/>
  <c r="C6" i="4"/>
  <c r="C7" i="4"/>
  <c r="C8" i="4"/>
  <c r="C10" i="4"/>
  <c r="E10" i="4" s="1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1" i="4"/>
  <c r="C42" i="4"/>
  <c r="C44" i="4"/>
  <c r="C45" i="4"/>
  <c r="C46" i="4"/>
  <c r="C47" i="4"/>
  <c r="C48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2" i="4"/>
  <c r="C113" i="4"/>
  <c r="C114" i="4"/>
  <c r="C115" i="4"/>
  <c r="C116" i="4"/>
  <c r="C117" i="4"/>
  <c r="C118" i="4"/>
  <c r="C119" i="4"/>
  <c r="C121" i="4"/>
  <c r="C122" i="4"/>
  <c r="C123" i="4"/>
  <c r="C125" i="4"/>
  <c r="C126" i="4"/>
  <c r="C127" i="4"/>
  <c r="C128" i="4"/>
  <c r="C129" i="4"/>
  <c r="C131" i="4"/>
  <c r="C132" i="4"/>
  <c r="C133" i="4"/>
  <c r="C134" i="4"/>
  <c r="C135" i="4"/>
  <c r="C136" i="4"/>
  <c r="C137" i="4"/>
  <c r="C138" i="4"/>
  <c r="C139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E177" i="4" s="1"/>
  <c r="D3" i="4"/>
  <c r="D4" i="4"/>
  <c r="D5" i="4"/>
  <c r="D6" i="4"/>
  <c r="D7" i="4"/>
  <c r="D8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1" i="4"/>
  <c r="D42" i="4"/>
  <c r="D44" i="4"/>
  <c r="D45" i="4"/>
  <c r="D46" i="4"/>
  <c r="D47" i="4"/>
  <c r="D48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2" i="4"/>
  <c r="D113" i="4"/>
  <c r="D114" i="4"/>
  <c r="D115" i="4"/>
  <c r="D116" i="4"/>
  <c r="D117" i="4"/>
  <c r="D118" i="4"/>
  <c r="D119" i="4"/>
  <c r="D121" i="4"/>
  <c r="D122" i="4"/>
  <c r="D123" i="4"/>
  <c r="D124" i="4"/>
  <c r="E124" i="4" s="1"/>
  <c r="D125" i="4"/>
  <c r="D126" i="4"/>
  <c r="D127" i="4"/>
  <c r="D128" i="4"/>
  <c r="D129" i="4"/>
  <c r="D131" i="4"/>
  <c r="D132" i="4"/>
  <c r="D133" i="4"/>
  <c r="D134" i="4"/>
  <c r="D135" i="4"/>
  <c r="D136" i="4"/>
  <c r="D137" i="4"/>
  <c r="D138" i="4"/>
  <c r="D139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E172" i="4" l="1"/>
  <c r="E163" i="4"/>
  <c r="E155" i="4"/>
  <c r="E147" i="4"/>
  <c r="E138" i="4"/>
  <c r="E129" i="4"/>
  <c r="E119" i="4"/>
  <c r="E110" i="4"/>
  <c r="E102" i="4"/>
  <c r="E171" i="4"/>
  <c r="E162" i="4"/>
  <c r="E154" i="4"/>
  <c r="E146" i="4"/>
  <c r="E137" i="4"/>
  <c r="E128" i="4"/>
  <c r="E118" i="4"/>
  <c r="E109" i="4"/>
  <c r="E101" i="4"/>
  <c r="E93" i="4"/>
  <c r="E85" i="4"/>
  <c r="E77" i="4"/>
  <c r="E70" i="4"/>
  <c r="E62" i="4"/>
  <c r="E54" i="4"/>
  <c r="E45" i="4"/>
  <c r="E35" i="4"/>
  <c r="E27" i="4"/>
  <c r="E19" i="4"/>
  <c r="E170" i="4"/>
  <c r="E161" i="4"/>
  <c r="E153" i="4"/>
  <c r="E145" i="4"/>
  <c r="E136" i="4"/>
  <c r="E127" i="4"/>
  <c r="E117" i="4"/>
  <c r="E108" i="4"/>
  <c r="E100" i="4"/>
  <c r="E92" i="4"/>
  <c r="E84" i="4"/>
  <c r="E76" i="4"/>
  <c r="E69" i="4"/>
  <c r="E61" i="4"/>
  <c r="E53" i="4"/>
  <c r="E44" i="4"/>
  <c r="E34" i="4"/>
  <c r="E26" i="4"/>
  <c r="E18" i="4"/>
  <c r="E8" i="4"/>
  <c r="E94" i="4"/>
  <c r="E86" i="4"/>
  <c r="E78" i="4"/>
  <c r="E71" i="4"/>
  <c r="E63" i="4"/>
  <c r="E55" i="4"/>
  <c r="E46" i="4"/>
  <c r="E36" i="4"/>
  <c r="E28" i="4"/>
  <c r="E20" i="4"/>
  <c r="E12" i="4"/>
  <c r="E169" i="4"/>
  <c r="E160" i="4"/>
  <c r="E152" i="4"/>
  <c r="E144" i="4"/>
  <c r="E135" i="4"/>
  <c r="E126" i="4"/>
  <c r="E116" i="4"/>
  <c r="E107" i="4"/>
  <c r="E99" i="4"/>
  <c r="E91" i="4"/>
  <c r="E83" i="4"/>
  <c r="E75" i="4"/>
  <c r="E68" i="4"/>
  <c r="E60" i="4"/>
  <c r="E52" i="4"/>
  <c r="E42" i="4"/>
  <c r="E33" i="4"/>
  <c r="E25" i="4"/>
  <c r="E17" i="4"/>
  <c r="E7" i="4"/>
  <c r="E176" i="4"/>
  <c r="E168" i="4"/>
  <c r="E159" i="4"/>
  <c r="E151" i="4"/>
  <c r="E143" i="4"/>
  <c r="E134" i="4"/>
  <c r="E125" i="4"/>
  <c r="E115" i="4"/>
  <c r="E106" i="4"/>
  <c r="E98" i="4"/>
  <c r="E90" i="4"/>
  <c r="E82" i="4"/>
  <c r="E74" i="4"/>
  <c r="E67" i="4"/>
  <c r="E59" i="4"/>
  <c r="E51" i="4"/>
  <c r="E41" i="4"/>
  <c r="E32" i="4"/>
  <c r="E24" i="4"/>
  <c r="E16" i="4"/>
  <c r="E6" i="4"/>
  <c r="E175" i="4"/>
  <c r="E167" i="4"/>
  <c r="E158" i="4"/>
  <c r="E150" i="4"/>
  <c r="E142" i="4"/>
  <c r="E133" i="4"/>
  <c r="E123" i="4"/>
  <c r="E114" i="4"/>
  <c r="E105" i="4"/>
  <c r="E97" i="4"/>
  <c r="E89" i="4"/>
  <c r="E81" i="4"/>
  <c r="E73" i="4"/>
  <c r="E66" i="4"/>
  <c r="E58" i="4"/>
  <c r="E50" i="4"/>
  <c r="E39" i="4"/>
  <c r="E31" i="4"/>
  <c r="E23" i="4"/>
  <c r="E15" i="4"/>
  <c r="E5" i="4"/>
  <c r="E174" i="4"/>
  <c r="E166" i="4"/>
  <c r="E157" i="4"/>
  <c r="E149" i="4"/>
  <c r="E141" i="4"/>
  <c r="E132" i="4"/>
  <c r="E122" i="4"/>
  <c r="E113" i="4"/>
  <c r="E104" i="4"/>
  <c r="E96" i="4"/>
  <c r="E88" i="4"/>
  <c r="E80" i="4"/>
  <c r="E72" i="4"/>
  <c r="E65" i="4"/>
  <c r="E57" i="4"/>
  <c r="E48" i="4"/>
  <c r="E38" i="4"/>
  <c r="E30" i="4"/>
  <c r="E22" i="4"/>
  <c r="E14" i="4"/>
  <c r="E4" i="4"/>
  <c r="E173" i="4"/>
  <c r="E165" i="4"/>
  <c r="E156" i="4"/>
  <c r="E148" i="4"/>
  <c r="E139" i="4"/>
  <c r="E131" i="4"/>
  <c r="E121" i="4"/>
  <c r="E112" i="4"/>
  <c r="E103" i="4"/>
  <c r="E95" i="4"/>
  <c r="E87" i="4"/>
  <c r="E79" i="4"/>
  <c r="E64" i="4"/>
  <c r="E56" i="4"/>
  <c r="E47" i="4"/>
  <c r="E37" i="4"/>
  <c r="E29" i="4"/>
  <c r="E21" i="4"/>
  <c r="E13" i="4"/>
  <c r="E3" i="4"/>
  <c r="C2" i="4" l="1"/>
  <c r="E2" i="4" s="1"/>
</calcChain>
</file>

<file path=xl/comments1.xml><?xml version="1.0" encoding="utf-8"?>
<comments xmlns="http://schemas.openxmlformats.org/spreadsheetml/2006/main">
  <authors>
    <author>Usuario</author>
  </authors>
  <commentList>
    <comment ref="F95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Cambio de nuemero de guia por mal ingreso en MAM antes tenia el numero de guia 3566549</t>
        </r>
      </text>
    </comment>
    <comment ref="F95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Cambio de nuemero de guia por mal ingreso en MAM antes tenia el numero de guia 3566549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C50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Devolvio 1 tapa que se le habia prestado el 25/-02-26 guia 336</t>
        </r>
      </text>
    </comment>
    <comment ref="C61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Prestamo, debe devolver</t>
        </r>
      </text>
    </comment>
    <comment ref="C63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Tapa prestada debe devolverla</t>
        </r>
      </text>
    </comment>
    <comment ref="C8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hay</t>
        </r>
      </text>
    </comment>
    <comment ref="C11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entrgo solo 1</t>
        </r>
      </text>
    </comment>
    <comment ref="J132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Corte de tuberia para completar devolución de José Melo</t>
        </r>
      </text>
    </comment>
    <comment ref="C137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llevo solo 2</t>
        </r>
      </text>
    </comment>
    <comment ref="C138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entrgo solo 1
</t>
        </r>
      </text>
    </comment>
    <comment ref="C156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Ingreso modulo 2002453 porque no tenian stock en metro gas y se da salida por memo del 303840</t>
        </r>
      </text>
    </comment>
    <comment ref="C159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tapa viene con el Modúlo</t>
        </r>
      </text>
    </comment>
    <comment ref="C159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Los anillos Venian con el Modúlo (6 anillos)</t>
        </r>
      </text>
    </comment>
  </commentList>
</comments>
</file>

<file path=xl/sharedStrings.xml><?xml version="1.0" encoding="utf-8"?>
<sst xmlns="http://schemas.openxmlformats.org/spreadsheetml/2006/main" count="6865" uniqueCount="365">
  <si>
    <t>CODIGO</t>
  </si>
  <si>
    <t>DESCRIPCION</t>
  </si>
  <si>
    <t>CANTIDAD</t>
  </si>
  <si>
    <t>COSTO</t>
  </si>
  <si>
    <t>FECHA</t>
  </si>
  <si>
    <t>ENTRADAS</t>
  </si>
  <si>
    <t>SALIDAS</t>
  </si>
  <si>
    <t>EXISTENCIAS</t>
  </si>
  <si>
    <t>Tubería PE80 025mm Rollo</t>
  </si>
  <si>
    <t>N° GUIA</t>
  </si>
  <si>
    <t>Tubería PE80 050mm Rollo</t>
  </si>
  <si>
    <t>Tubería PE80 063mm Rollo</t>
  </si>
  <si>
    <t>Tubería PE80 090mm Rollo</t>
  </si>
  <si>
    <t>Tubería PE80 110mm Tira</t>
  </si>
  <si>
    <t>Tubería PE80 160mm Tira</t>
  </si>
  <si>
    <t>Tubería PE80 200mm Tira</t>
  </si>
  <si>
    <t>Tubo PVC Hidraulico 110 mm Pn6 Celeste</t>
  </si>
  <si>
    <t>Válvula PE100 Dn 90mm</t>
  </si>
  <si>
    <t>Válvula PE100 Dn 63mm</t>
  </si>
  <si>
    <t>Válvula PE100 Dn 50mm</t>
  </si>
  <si>
    <t>Válvula PE100 DN 40mm</t>
  </si>
  <si>
    <t>Válvula PE100 Dn 25mm</t>
  </si>
  <si>
    <t>Válvula PE100 Dn 200mm</t>
  </si>
  <si>
    <t>Válvula PE100 Dn 160mm</t>
  </si>
  <si>
    <t>Válvula PE100 Dn 110mm</t>
  </si>
  <si>
    <t>Válvula EFv PE 25 mm Para Tap. Tee</t>
  </si>
  <si>
    <t>Codo PE 90º  25 mm EF.</t>
  </si>
  <si>
    <t>Codo PE100 45° 025mm TF</t>
  </si>
  <si>
    <t>Codo PE100 45° 050mm EF</t>
  </si>
  <si>
    <t>Codo PE100 45° 063mm EF</t>
  </si>
  <si>
    <t>Codo PE100 45° 063mm TF</t>
  </si>
  <si>
    <t>Codo PE100 45° 110mm EF</t>
  </si>
  <si>
    <t>Codo PE100 45° 110mm  TF</t>
  </si>
  <si>
    <t>Codo PE100 45° 160mm EF</t>
  </si>
  <si>
    <t>Codo PE100 45° 160mm TF</t>
  </si>
  <si>
    <t>Codo PE100 45° 200mm TF</t>
  </si>
  <si>
    <t>Codo PE100 45º 250 mm TF</t>
  </si>
  <si>
    <t>Codo PE100 90° 025mm TF</t>
  </si>
  <si>
    <t>Codo PE100 90° 050mm EF</t>
  </si>
  <si>
    <t>Codo PE100 90° 050mm TF</t>
  </si>
  <si>
    <t>Codo PE100 90° 063mm EF</t>
  </si>
  <si>
    <t>Codo PE100 90° 063mm TF</t>
  </si>
  <si>
    <t>Codo PE100 90° 110mm EF</t>
  </si>
  <si>
    <t>Codo PE100 90° 110mm TF</t>
  </si>
  <si>
    <t>Codo PE100 90° 160mm TF</t>
  </si>
  <si>
    <t>Codo PE100 90° 200mm TF</t>
  </si>
  <si>
    <t>Codo PE100 90º 250 mm TF</t>
  </si>
  <si>
    <t>Tubo PVC 160 mm PN6 CG Amarillo</t>
  </si>
  <si>
    <t>Tubo PVC 200 mm PN6 CG Amarillo</t>
  </si>
  <si>
    <t>Tubo PVC 250 mm PN6 CG Amarillo</t>
  </si>
  <si>
    <t>Válvula Bola 3/4" Hi Un Cuerpo Pn5 Arco</t>
  </si>
  <si>
    <t>Cinta Plástica "Línea GN", 30 x 0.1</t>
  </si>
  <si>
    <t>Cable Trazador Cu 14 AWG Aisl. THW Roj</t>
  </si>
  <si>
    <t>Teflón en Cinta de 3/4" Ancho x 520" a 5</t>
  </si>
  <si>
    <t>Cartas Registradoras</t>
  </si>
  <si>
    <t>Copla PE100 025mm EF</t>
  </si>
  <si>
    <t>Copla PE100 040mm EF</t>
  </si>
  <si>
    <t>Copla PE100 050mm EF</t>
  </si>
  <si>
    <t>Copla PE100 063mm EF</t>
  </si>
  <si>
    <t>Copla PE100 090mm EF</t>
  </si>
  <si>
    <t>Copla PE100 110mm EF</t>
  </si>
  <si>
    <t>Copla PE100 160mm EF</t>
  </si>
  <si>
    <t>Copla PE100 200mm EF</t>
  </si>
  <si>
    <t>Copla PE100 250mm EF</t>
  </si>
  <si>
    <t>Tee PE  90 mm Termo F.</t>
  </si>
  <si>
    <t>Tee PE  63 mm Termo F.</t>
  </si>
  <si>
    <t>Tee PE  63 mm Electro F.</t>
  </si>
  <si>
    <t>Tee PE  50 mm Termo F.</t>
  </si>
  <si>
    <t>Tee PE  50 mm Electro F.</t>
  </si>
  <si>
    <t>Tee PE  25 mm Electro F.</t>
  </si>
  <si>
    <t>Tee PE  20 mm Electro F.</t>
  </si>
  <si>
    <t>Tee PE Reducción  63-50 mm TF</t>
  </si>
  <si>
    <t>Tee PE Reducción  63-50 mm EF</t>
  </si>
  <si>
    <t>Tee PE Reducción 250-110 mm TF</t>
  </si>
  <si>
    <t>Tee PE Reducción 200- 63 mm TF</t>
  </si>
  <si>
    <t>Tee PE Reducción 160-110 mm TF</t>
  </si>
  <si>
    <t>Tee PE Reducción 160- 63 mm TF</t>
  </si>
  <si>
    <t>Tee PE Reducción 110-63 mm TF</t>
  </si>
  <si>
    <t>Tee PE 200 mm Termo F.</t>
  </si>
  <si>
    <t>Tee PE 160 mm Termo F.</t>
  </si>
  <si>
    <t>Tee PE 160 mm Electro F.</t>
  </si>
  <si>
    <t>Tee PE 110 mm Termo F.</t>
  </si>
  <si>
    <t>Tee PE 110 mm Electro F.</t>
  </si>
  <si>
    <t>Tee PE100 250 mm Termo F.</t>
  </si>
  <si>
    <t>Guardallave 040 mm, 22" a 36"</t>
  </si>
  <si>
    <t>Guardallave 063 mm y 050 mm, 22" a 36"</t>
  </si>
  <si>
    <t>Guardallave 063 mm y 050 mm, 32" a 48"</t>
  </si>
  <si>
    <t>Guardallave 090 mm, 32" a 48"</t>
  </si>
  <si>
    <t>Guardallave 110 mm, 22" a 36"</t>
  </si>
  <si>
    <t>Guardallave 110 mm, 32" a 48"</t>
  </si>
  <si>
    <t>Guardallave 160 mm, 22" a 36"</t>
  </si>
  <si>
    <t>Guardallave 200 mm, 32" a 48"</t>
  </si>
  <si>
    <t>Guardallave Fierro Fundido C/Tapa</t>
  </si>
  <si>
    <t>Guardallave Hormigón 125 mm con Tapa</t>
  </si>
  <si>
    <t>Reductor PE 110-50 mm Termo F.</t>
  </si>
  <si>
    <t>Reductor PE 110-90 mm Electro F.</t>
  </si>
  <si>
    <t>Reductor PE 110-90 mm Termo F.</t>
  </si>
  <si>
    <t>Reductor PE 160-110 mm Electro F.</t>
  </si>
  <si>
    <t>Reductor PE 160-110 mm Termo F.</t>
  </si>
  <si>
    <t>Reductor PE 200-160 mm Electro F.</t>
  </si>
  <si>
    <t>Reductor PE 200-160 mm Termo F.</t>
  </si>
  <si>
    <t>Reductor PE 250-200 mm Termo F.</t>
  </si>
  <si>
    <t>Reductor PE  25-20 mm Electro F.</t>
  </si>
  <si>
    <t>Reductor PE  40-25 mm Electro F.</t>
  </si>
  <si>
    <t>Reductor PE  40-25 mm Termo F.</t>
  </si>
  <si>
    <t>Reductor PE  50-40 mm Electro F.</t>
  </si>
  <si>
    <t>Reductor PE  63-40 mm Electro F.</t>
  </si>
  <si>
    <t>Reductor PE  63-50 mm Electro F.</t>
  </si>
  <si>
    <t>Reductor PE  63-50 mm Termo F.</t>
  </si>
  <si>
    <t>Reductor PE  90-63 mm Electro F.</t>
  </si>
  <si>
    <t>Reductor PE  90-63 mm Termo F.</t>
  </si>
  <si>
    <t>Reductor PE100 110-63 mm TF.</t>
  </si>
  <si>
    <t>Reductor PE100 250-160 mm TF.</t>
  </si>
  <si>
    <t>Tapa PE  025 mm Termo F.</t>
  </si>
  <si>
    <t>Tapa PE  040 mm Termo F.</t>
  </si>
  <si>
    <t>Tapa PE  050 mm Termo F.</t>
  </si>
  <si>
    <t>Tapa PE  063 mm Termo F.</t>
  </si>
  <si>
    <t>Tapa PE 110 mm Termo F.</t>
  </si>
  <si>
    <t>Tapa PE 160 mm Termo F.</t>
  </si>
  <si>
    <t>Tapa PE 200 mm Termo F.</t>
  </si>
  <si>
    <t>Tapa PE100 250 mm Termo F.</t>
  </si>
  <si>
    <t>Placa Precaución PL-01 LINEA CONTINUA</t>
  </si>
  <si>
    <t>Placa Precaución PL-02 TEE</t>
  </si>
  <si>
    <t>Placa Precaución PL-03 CRUCE</t>
  </si>
  <si>
    <t>Placa Precaución PL-04 CODO</t>
  </si>
  <si>
    <t>Placa Precaución PL-05 FIN DE LINEA</t>
  </si>
  <si>
    <t>Risers Ac,Recto 3/4 "x25 mm</t>
  </si>
  <si>
    <t>Risers de Acero 3/4" Bsp x 25 mm</t>
  </si>
  <si>
    <t>Tapping Tee PE 40-32 mm EF</t>
  </si>
  <si>
    <t>Tapping Tee PE 50-25 mm</t>
  </si>
  <si>
    <t>Tapping Tee PE 50-40 mm</t>
  </si>
  <si>
    <t>Tapping Tee PE 63-25 mm</t>
  </si>
  <si>
    <t>Tapping Tee PE 63-40 mm</t>
  </si>
  <si>
    <t>Tapping Tee PE 63-63 mm</t>
  </si>
  <si>
    <t>Tapping Tee PE 90-25 mm</t>
  </si>
  <si>
    <t>Tapping Tee PE 90-40 mm</t>
  </si>
  <si>
    <t>Tapping Tee PE 90-63 mm</t>
  </si>
  <si>
    <t>Tapping Tee PE 110-25 mm</t>
  </si>
  <si>
    <t>Tapping Tee PE 110-40 mm</t>
  </si>
  <si>
    <t>Tapping Tee PE 110-63 mm</t>
  </si>
  <si>
    <t>Tapping Tee PE 160-25 mm</t>
  </si>
  <si>
    <t>Tapping Tee PE 160-40 mm</t>
  </si>
  <si>
    <t>Tapping Tee PE 160-63 mm</t>
  </si>
  <si>
    <t>Tapping Tee PE 200-25 mm</t>
  </si>
  <si>
    <t>Tapping Tee PE 200-63 mm</t>
  </si>
  <si>
    <t>Tapping Tee PE 250-25 mm</t>
  </si>
  <si>
    <t>Tapping Tee PE 250-40 mm</t>
  </si>
  <si>
    <t>Tapping Tee PE 250-63 mm</t>
  </si>
  <si>
    <t>Limitador Flujo P/Tapping Tee 25 MM</t>
  </si>
  <si>
    <t>Regulador Sum. Fe-10, 20 Mbar P.Fior</t>
  </si>
  <si>
    <t>Regulador Sum. Fe-25, 20 Mbar P.Fior</t>
  </si>
  <si>
    <t>Regulador Sum. Fe-6, 20 Mbar P.Fior</t>
  </si>
  <si>
    <t>Regulador Sum. Fe-40, 20 Mbar P.Fior</t>
  </si>
  <si>
    <t>MRP-(4/1,2)-(S)-1</t>
  </si>
  <si>
    <t>MRP-400-(4/1,2)-(S)-1</t>
  </si>
  <si>
    <t>MRP-120-(4/1,2)-(S)-2</t>
  </si>
  <si>
    <t>MRP-400-(4/1,2)-(S)-2</t>
  </si>
  <si>
    <t>MRPC-120-(4/1,2)-(S)-2</t>
  </si>
  <si>
    <t>Toma Supraflow 250 - 160 m</t>
  </si>
  <si>
    <t>Toma Supraflow 200 - 160 m</t>
  </si>
  <si>
    <t>Toma Supraflow 160 - 110 m</t>
  </si>
  <si>
    <t>Toma Supraflow 110 - 110 mm</t>
  </si>
  <si>
    <t>Anillo Cámara Modular 800x800 H=150 E6</t>
  </si>
  <si>
    <t>Disco Corte 115 x 22,2 x 2,5 mm A30Pbf</t>
  </si>
  <si>
    <t>Lata de Espuma Poliuretano Adimus / 500 ML</t>
  </si>
  <si>
    <t>Tapa AX-S Composite 800x800 B125</t>
  </si>
  <si>
    <t>Reserva</t>
  </si>
  <si>
    <t>Venta</t>
  </si>
  <si>
    <t>Total general</t>
  </si>
  <si>
    <t>Suma de CANTIDAD</t>
  </si>
  <si>
    <t>Tubería PE80 050mm SDR11 Tira</t>
  </si>
  <si>
    <t>Tubo PVC 110 mm PN6 CG Amarillo Tira 6 m</t>
  </si>
  <si>
    <t>PROYECTO</t>
  </si>
  <si>
    <t>Tapa PE 063 mm Electro F.</t>
  </si>
  <si>
    <t>Transición Latón 3/4"x25 MM PE100, SDR11</t>
  </si>
  <si>
    <t>Tapagorro Cobre 1 1/2" Soldar</t>
  </si>
  <si>
    <t>Transición PE100-Cu K, 50 mm x 1 1/2"</t>
  </si>
  <si>
    <t>Cañeria de Cobre Tipo L 1/2" D.</t>
  </si>
  <si>
    <t>Copla Cobre So/So 1 1/2"</t>
  </si>
  <si>
    <t>Tapa PE100 025 mm Termo F.</t>
  </si>
  <si>
    <t>Codo So/So 1 1/2 IN Bronce</t>
  </si>
  <si>
    <t>Devolución</t>
  </si>
  <si>
    <t>Proyecto</t>
  </si>
  <si>
    <t>NIC-13875</t>
  </si>
  <si>
    <t>COM-13485</t>
  </si>
  <si>
    <t>NIC-13583</t>
  </si>
  <si>
    <t>NIC-13826</t>
  </si>
  <si>
    <t>NIC-13815</t>
  </si>
  <si>
    <t>NIC-13823</t>
  </si>
  <si>
    <t>NIC-13825</t>
  </si>
  <si>
    <t>NIC-13824</t>
  </si>
  <si>
    <t>NIC-13820</t>
  </si>
  <si>
    <t>NIC-13853</t>
  </si>
  <si>
    <t>NIN-R0096</t>
  </si>
  <si>
    <t>RLO-13598</t>
  </si>
  <si>
    <t>NIC-13861</t>
  </si>
  <si>
    <t>RLO-13829</t>
  </si>
  <si>
    <t>NIN-R0093</t>
  </si>
  <si>
    <t>COM-13853</t>
  </si>
  <si>
    <t>COM-13912</t>
  </si>
  <si>
    <t>RLO-08633</t>
  </si>
  <si>
    <t>RES-03066</t>
  </si>
  <si>
    <t>NIN-13410</t>
  </si>
  <si>
    <t>NIN-13537</t>
  </si>
  <si>
    <t>NIC-13879</t>
  </si>
  <si>
    <t>COM-13822</t>
  </si>
  <si>
    <t>NIC-13876</t>
  </si>
  <si>
    <t>RES-03095</t>
  </si>
  <si>
    <t>COM-13840</t>
  </si>
  <si>
    <t>COM-13838</t>
  </si>
  <si>
    <t>NIC-13821</t>
  </si>
  <si>
    <t>NIC-13822</t>
  </si>
  <si>
    <t>Ánodo Magne. Alto Potencial 9 Lbs</t>
  </si>
  <si>
    <t>Cañeria Acero 12", Asf, 0.327, Gr.B Sch30</t>
  </si>
  <si>
    <t>Lote</t>
  </si>
  <si>
    <t>G-011-01-24001</t>
  </si>
  <si>
    <t>G-011-01-44548</t>
  </si>
  <si>
    <t>G-011-01-44546</t>
  </si>
  <si>
    <t>G-011-01-44550</t>
  </si>
  <si>
    <t>G-011-01-26950</t>
  </si>
  <si>
    <t>Entradas</t>
  </si>
  <si>
    <t>Salidas</t>
  </si>
  <si>
    <t>(en blanco)</t>
  </si>
  <si>
    <t>Juan Bravo</t>
  </si>
  <si>
    <t>Juan Fuentes</t>
  </si>
  <si>
    <t>Guido Fernandez</t>
  </si>
  <si>
    <t>José Melo</t>
  </si>
  <si>
    <t>Solicitado</t>
  </si>
  <si>
    <t>Rolando Contreras</t>
  </si>
  <si>
    <t>Suma de EXISTENCIAS</t>
  </si>
  <si>
    <t>Stock</t>
  </si>
  <si>
    <t>COM-13904</t>
  </si>
  <si>
    <t>Luis Pincheira</t>
  </si>
  <si>
    <t>Status</t>
  </si>
  <si>
    <t>Instalado</t>
  </si>
  <si>
    <t>Devuelto a bodega</t>
  </si>
  <si>
    <t>Devuelto (en camino)</t>
  </si>
  <si>
    <t>Instalado 2 (devuelve 2)</t>
  </si>
  <si>
    <t>Fecha Tub.</t>
  </si>
  <si>
    <t>Marca</t>
  </si>
  <si>
    <t>TEHMCO</t>
  </si>
  <si>
    <t>Codo PE100 90° 160mm EF</t>
  </si>
  <si>
    <t>Devolución MG</t>
  </si>
  <si>
    <t>RLO-10016</t>
  </si>
  <si>
    <t>Telsam</t>
  </si>
  <si>
    <t>Tapa Tornillo Bronce 3/4" HE Bspt.</t>
  </si>
  <si>
    <t>Tapa Tornillo Cambio de Codigo por: 2008481</t>
  </si>
  <si>
    <t>Adicional # 1</t>
  </si>
  <si>
    <t>Pedido Completo</t>
  </si>
  <si>
    <t>Pedido Parcial # 1</t>
  </si>
  <si>
    <t>Adicional # 3</t>
  </si>
  <si>
    <t>Adicional # 2</t>
  </si>
  <si>
    <t>Adcional # 2</t>
  </si>
  <si>
    <t>NIC-13741</t>
  </si>
  <si>
    <t>NIN-13431</t>
  </si>
  <si>
    <t>EGL-13052</t>
  </si>
  <si>
    <t>REGIÓN</t>
  </si>
  <si>
    <t>VI</t>
  </si>
  <si>
    <t>RM</t>
  </si>
  <si>
    <t>NIC-13874</t>
  </si>
  <si>
    <t>NIN-13304</t>
  </si>
  <si>
    <t>COM-13847</t>
  </si>
  <si>
    <t>RLO-13554</t>
  </si>
  <si>
    <t>NIN-13181</t>
  </si>
  <si>
    <t>RLO-13354</t>
  </si>
  <si>
    <t>COM-R0209</t>
  </si>
  <si>
    <t>Jorge Riveros</t>
  </si>
  <si>
    <t>José Mallia</t>
  </si>
  <si>
    <t>Manuel Caro</t>
  </si>
  <si>
    <t>Samuel Fuentes</t>
  </si>
  <si>
    <t>José Rodriguez</t>
  </si>
  <si>
    <t>Werner Matus</t>
  </si>
  <si>
    <t>Empalmes</t>
  </si>
  <si>
    <t>Adicional para empalmes Rancagua</t>
  </si>
  <si>
    <t>RES-03027</t>
  </si>
  <si>
    <t>Serie Módulo</t>
  </si>
  <si>
    <t>MRPC18008152022</t>
  </si>
  <si>
    <t>MRPC18007642021</t>
  </si>
  <si>
    <t>MRPC18008432022</t>
  </si>
  <si>
    <t>MRPC18008492022</t>
  </si>
  <si>
    <t>MRPC18009132022</t>
  </si>
  <si>
    <t>MRPC18009732022</t>
  </si>
  <si>
    <t>MRPC18009202022</t>
  </si>
  <si>
    <t xml:space="preserve"> </t>
  </si>
  <si>
    <t>G-011-01-44551</t>
  </si>
  <si>
    <t>Ramón Borgoño</t>
  </si>
  <si>
    <t>Recalificación</t>
  </si>
  <si>
    <t>Miguel Villavicencio</t>
  </si>
  <si>
    <t>Rony Atenas</t>
  </si>
  <si>
    <t>Manometro NPS</t>
  </si>
  <si>
    <t>Alcohol Isopropilico  500 ml</t>
  </si>
  <si>
    <t>FE-IN-635</t>
  </si>
  <si>
    <t>INSUMO-268</t>
  </si>
  <si>
    <t>Toalla Nova Clasica</t>
  </si>
  <si>
    <t>Proyectos Varios</t>
  </si>
  <si>
    <t>Cañeria Tipo L 1 1/2</t>
  </si>
  <si>
    <t>Cañeria Tipo L 1"</t>
  </si>
  <si>
    <t>Copla de Cobre 1 1/2</t>
  </si>
  <si>
    <t>Codo de Cobre 1 1/2</t>
  </si>
  <si>
    <t>Fundente U 250 grs.</t>
  </si>
  <si>
    <t>Copla Cobre 1 1/2 x 1</t>
  </si>
  <si>
    <t>Soldadura de Plata 15%</t>
  </si>
  <si>
    <t>Terminal Bronce So He 1</t>
  </si>
  <si>
    <t>Tapagorro Cobre 1 1/2</t>
  </si>
  <si>
    <t>Patricio Silva</t>
  </si>
  <si>
    <t>Erick Bustos</t>
  </si>
  <si>
    <t>Telsam / Flete</t>
  </si>
  <si>
    <t>Juan Del Valle</t>
  </si>
  <si>
    <t>Juan Vergara</t>
  </si>
  <si>
    <t>Juan Cordova</t>
  </si>
  <si>
    <t>Adicional</t>
  </si>
  <si>
    <t>Completa</t>
  </si>
  <si>
    <t>Jorge Bravo</t>
  </si>
  <si>
    <t>Reductor PE 50-32 mm Electro F.</t>
  </si>
  <si>
    <t>Gonzalo Villalobos</t>
  </si>
  <si>
    <t>DURATEC</t>
  </si>
  <si>
    <t>Compra</t>
  </si>
  <si>
    <t>G-011-01-23950</t>
  </si>
  <si>
    <t>Luis Donoso</t>
  </si>
  <si>
    <t>Anibal Ramirez</t>
  </si>
  <si>
    <t>05-08-25 / 19-08-25</t>
  </si>
  <si>
    <t>N° Pedido/N° Venta</t>
  </si>
  <si>
    <t>EGL-13058</t>
  </si>
  <si>
    <t>MRPC18009002022</t>
  </si>
  <si>
    <t>NIC-13846</t>
  </si>
  <si>
    <t>NIC-13857</t>
  </si>
  <si>
    <t>COM-13943</t>
  </si>
  <si>
    <t>NIC-13873</t>
  </si>
  <si>
    <t>NIN-13573</t>
  </si>
  <si>
    <t>MRPC18008022022</t>
  </si>
  <si>
    <t>EGL-13051</t>
  </si>
  <si>
    <t>MRPC18009562022</t>
  </si>
  <si>
    <t>N° FACTURA</t>
  </si>
  <si>
    <t>RLO-12528</t>
  </si>
  <si>
    <t>RLO-13621</t>
  </si>
  <si>
    <t>Alexis Figueroa</t>
  </si>
  <si>
    <t>Cristian Espinoza</t>
  </si>
  <si>
    <t>Tapa PE 090 mm Termo F.</t>
  </si>
  <si>
    <t>Carlos Santana</t>
  </si>
  <si>
    <t>TIGRE</t>
  </si>
  <si>
    <t>G-011-01-24417</t>
  </si>
  <si>
    <t>COM-R0198</t>
  </si>
  <si>
    <t>Total Risers de Acero 3/4" Bsp x 25 mm</t>
  </si>
  <si>
    <t>Rancagua</t>
  </si>
  <si>
    <t>NIN-13063</t>
  </si>
  <si>
    <t>NIC-13897</t>
  </si>
  <si>
    <t>Cristian Lagos</t>
  </si>
  <si>
    <t>Detector de Fugas Klinsol</t>
  </si>
  <si>
    <t>Adicional # 4</t>
  </si>
  <si>
    <t xml:space="preserve">Adicional # 1 </t>
  </si>
  <si>
    <t>Anodo de Magnesio Alto Potencial 17 Lbs</t>
  </si>
  <si>
    <t>Wilder Villalobos</t>
  </si>
  <si>
    <t>Cristopher Valenzuela</t>
  </si>
  <si>
    <t>M12000003812019</t>
  </si>
  <si>
    <t>Luis carrasco</t>
  </si>
  <si>
    <t>M12000004652019</t>
  </si>
  <si>
    <t>NIC-13887</t>
  </si>
  <si>
    <t>NIC-13866</t>
  </si>
  <si>
    <t>NIN-13128</t>
  </si>
  <si>
    <t>M42000001302022</t>
  </si>
  <si>
    <t>Tapping Tee PE 50-32 mm</t>
  </si>
  <si>
    <t>RLO-R0111</t>
  </si>
  <si>
    <t>RLO-08979</t>
  </si>
  <si>
    <t>Juan Henriquez</t>
  </si>
  <si>
    <t>RLO-06386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</si>
</sst>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 &quot;$&quot;* #,##0_ ;_ &quot;$&quot;* \-#,##0_ ;_ &quot;$&quot;* &quot;-&quot;_ ;_ @_ "/>
    <numFmt numFmtId="164" formatCode="_-* #,##0.00\ _€_-;\-* #,##0.00\ _€_-;_-* &quot;-&quot;??\ _€_-;_-@_-"/>
    <numFmt numFmtId="165" formatCode="00000000"/>
    <numFmt numFmtId="166" formatCode="dd/mm/yy;@"/>
  </numFmts>
  <fonts count="2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name val="Arial"/>
      <family val="2"/>
    </font>
    <font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1"/>
      <name val="Calibri"/>
      <family val="2"/>
    </font>
    <font>
      <sz val="11"/>
      <name val="Calibri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9CC2E5"/>
      </top>
      <bottom/>
      <diagonal/>
    </border>
    <border>
      <left/>
      <right/>
      <top/>
      <bottom/>
      <diagonal/>
    </border>
    <border>
      <left style="thin">
        <color rgb="FF9CC2E5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CC2E5"/>
      </top>
      <bottom style="thin">
        <color rgb="FF9CC2E5"/>
      </bottom>
      <diagonal/>
    </border>
    <border>
      <left style="thin">
        <color rgb="FF9CC2E5"/>
      </left>
      <right style="thin">
        <color rgb="FF9CC2E5"/>
      </right>
      <top style="thin">
        <color rgb="FF9CC2E5"/>
      </top>
      <bottom style="thin">
        <color rgb="FF9CC2E5"/>
      </bottom>
      <diagonal/>
    </border>
  </borders>
  <cellStyleXfs count="3">
    <xf numFmtId="0" fontId="0" fillId="0" borderId="0"/>
    <xf numFmtId="164" fontId="8" fillId="0" borderId="3" applyFont="0" applyFill="0" applyBorder="0" applyAlignment="0" applyProtection="0"/>
    <xf numFmtId="0" fontId="9" fillId="0" borderId="3"/>
  </cellStyleXfs>
  <cellXfs count="112">
    <xf numFmtId="0" fontId="0" fillId="0" borderId="0" xfId="0" applyFont="1" applyAlignment="1"/>
    <xf numFmtId="1" fontId="10" fillId="0" borderId="3" xfId="2" applyNumberFormat="1" applyFont="1" applyFill="1" applyBorder="1" applyAlignment="1" applyProtection="1">
      <alignment horizontal="center" vertical="center" shrinkToFit="1"/>
      <protection hidden="1"/>
    </xf>
    <xf numFmtId="1" fontId="10" fillId="0" borderId="3" xfId="2" applyNumberFormat="1" applyFont="1" applyFill="1" applyBorder="1" applyAlignment="1" applyProtection="1">
      <alignment horizontal="center" vertical="top" shrinkToFit="1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center" vertic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6" fillId="0" borderId="3" xfId="0" applyFont="1" applyFill="1" applyBorder="1" applyProtection="1">
      <protection hidden="1"/>
    </xf>
    <xf numFmtId="0" fontId="5" fillId="0" borderId="3" xfId="0" applyFont="1" applyFill="1" applyBorder="1" applyAlignment="1" applyProtection="1">
      <alignment horizontal="center" vertical="center"/>
      <protection hidden="1"/>
    </xf>
    <xf numFmtId="0" fontId="6" fillId="0" borderId="3" xfId="0" applyFont="1" applyFill="1" applyBorder="1" applyAlignment="1" applyProtection="1">
      <alignment horizontal="center"/>
      <protection hidden="1"/>
    </xf>
    <xf numFmtId="0" fontId="6" fillId="0" borderId="4" xfId="0" applyFont="1" applyFill="1" applyBorder="1" applyAlignment="1" applyProtection="1">
      <alignment horizontal="center"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42" fontId="6" fillId="0" borderId="3" xfId="0" applyNumberFormat="1" applyFont="1" applyFill="1" applyBorder="1" applyAlignment="1" applyProtection="1">
      <alignment horizontal="center" vertical="center"/>
      <protection hidden="1"/>
    </xf>
    <xf numFmtId="14" fontId="6" fillId="0" borderId="3" xfId="0" applyNumberFormat="1" applyFont="1" applyFill="1" applyBorder="1" applyAlignment="1" applyProtection="1">
      <alignment horizontal="center" vertical="center"/>
      <protection hidden="1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4" fillId="0" borderId="0" xfId="0" applyFont="1" applyFill="1" applyAlignment="1" applyProtection="1">
      <alignment horizontal="center"/>
      <protection hidden="1"/>
    </xf>
    <xf numFmtId="49" fontId="6" fillId="0" borderId="1" xfId="0" applyNumberFormat="1" applyFont="1" applyFill="1" applyBorder="1" applyAlignment="1" applyProtection="1">
      <alignment horizontal="center" vertical="center"/>
      <protection hidden="1"/>
    </xf>
    <xf numFmtId="42" fontId="6" fillId="0" borderId="1" xfId="0" applyNumberFormat="1" applyFont="1" applyFill="1" applyBorder="1" applyAlignment="1" applyProtection="1">
      <alignment horizontal="center" vertical="center"/>
      <protection hidden="1"/>
    </xf>
    <xf numFmtId="42" fontId="4" fillId="0" borderId="0" xfId="0" applyNumberFormat="1" applyFont="1" applyFill="1" applyAlignment="1" applyProtection="1">
      <alignment horizontal="center"/>
      <protection hidden="1"/>
    </xf>
    <xf numFmtId="0" fontId="0" fillId="0" borderId="0" xfId="0" pivotButton="1" applyFont="1" applyAlignment="1"/>
    <xf numFmtId="0" fontId="0" fillId="0" borderId="0" xfId="0" applyNumberFormat="1" applyFont="1" applyAlignment="1">
      <alignment horizontal="center"/>
    </xf>
    <xf numFmtId="0" fontId="6" fillId="0" borderId="1" xfId="0" applyFont="1" applyFill="1" applyBorder="1" applyProtection="1">
      <protection hidden="1"/>
    </xf>
    <xf numFmtId="0" fontId="3" fillId="0" borderId="0" xfId="0" applyFont="1" applyFill="1" applyAlignment="1" applyProtection="1">
      <protection hidden="1"/>
    </xf>
    <xf numFmtId="49" fontId="6" fillId="0" borderId="1" xfId="0" applyNumberFormat="1" applyFont="1" applyFill="1" applyBorder="1" applyProtection="1">
      <protection hidden="1"/>
    </xf>
    <xf numFmtId="42" fontId="6" fillId="0" borderId="1" xfId="0" applyNumberFormat="1" applyFont="1" applyFill="1" applyBorder="1" applyProtection="1">
      <protection hidden="1"/>
    </xf>
    <xf numFmtId="14" fontId="6" fillId="0" borderId="1" xfId="0" applyNumberFormat="1" applyFont="1" applyFill="1" applyBorder="1" applyProtection="1">
      <protection hidden="1"/>
    </xf>
    <xf numFmtId="42" fontId="3" fillId="0" borderId="0" xfId="0" applyNumberFormat="1" applyFont="1" applyFill="1" applyAlignment="1" applyProtection="1">
      <protection hidden="1"/>
    </xf>
    <xf numFmtId="14" fontId="3" fillId="0" borderId="0" xfId="0" applyNumberFormat="1" applyFont="1" applyFill="1" applyAlignment="1" applyProtection="1">
      <protection hidden="1"/>
    </xf>
    <xf numFmtId="0" fontId="0" fillId="0" borderId="0" xfId="0" applyFont="1" applyAlignment="1">
      <alignment horizontal="center"/>
    </xf>
    <xf numFmtId="1" fontId="14" fillId="0" borderId="3" xfId="2" applyNumberFormat="1" applyFont="1" applyFill="1" applyAlignment="1" applyProtection="1">
      <alignment horizontal="center" vertical="center" shrinkToFit="1"/>
      <protection hidden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3" xfId="0" applyFont="1" applyBorder="1" applyAlignment="1" applyProtection="1">
      <alignment horizontal="center" vertical="center"/>
      <protection hidden="1"/>
    </xf>
    <xf numFmtId="14" fontId="5" fillId="0" borderId="3" xfId="0" applyNumberFormat="1" applyFont="1" applyFill="1" applyBorder="1" applyAlignment="1" applyProtection="1">
      <alignment horizontal="center" vertical="center"/>
      <protection hidden="1"/>
    </xf>
    <xf numFmtId="0" fontId="17" fillId="0" borderId="3" xfId="0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165" fontId="5" fillId="0" borderId="3" xfId="0" applyNumberFormat="1" applyFont="1" applyFill="1" applyBorder="1" applyAlignment="1" applyProtection="1">
      <alignment horizontal="center" vertical="center"/>
      <protection hidden="1"/>
    </xf>
    <xf numFmtId="165" fontId="6" fillId="0" borderId="3" xfId="0" applyNumberFormat="1" applyFont="1" applyFill="1" applyBorder="1" applyAlignment="1" applyProtection="1">
      <alignment horizontal="center"/>
      <protection hidden="1"/>
    </xf>
    <xf numFmtId="165" fontId="4" fillId="0" borderId="0" xfId="0" applyNumberFormat="1" applyFont="1" applyFill="1" applyAlignment="1" applyProtection="1">
      <alignment horizontal="center"/>
      <protection hidden="1"/>
    </xf>
    <xf numFmtId="1" fontId="6" fillId="0" borderId="3" xfId="0" applyNumberFormat="1" applyFont="1" applyFill="1" applyBorder="1" applyAlignment="1" applyProtection="1">
      <alignment horizontal="center" vertical="center"/>
      <protection hidden="1"/>
    </xf>
    <xf numFmtId="14" fontId="6" fillId="0" borderId="3" xfId="0" applyNumberFormat="1" applyFont="1" applyFill="1" applyBorder="1" applyProtection="1">
      <protection hidden="1"/>
    </xf>
    <xf numFmtId="0" fontId="0" fillId="0" borderId="0" xfId="0" pivotButton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/>
    </xf>
    <xf numFmtId="0" fontId="6" fillId="2" borderId="2" xfId="0" applyFont="1" applyFill="1" applyBorder="1" applyAlignment="1" applyProtection="1">
      <alignment horizontal="center" vertical="center"/>
      <protection hidden="1"/>
    </xf>
    <xf numFmtId="1" fontId="10" fillId="0" borderId="3" xfId="2" applyNumberFormat="1" applyFont="1" applyFill="1" applyAlignment="1" applyProtection="1">
      <alignment horizontal="center" vertical="center" shrinkToFit="1"/>
      <protection hidden="1"/>
    </xf>
    <xf numFmtId="0" fontId="5" fillId="0" borderId="2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center" vertical="center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left" vertical="center"/>
      <protection hidden="1"/>
    </xf>
    <xf numFmtId="0" fontId="11" fillId="0" borderId="3" xfId="2" applyFont="1" applyFill="1" applyBorder="1" applyAlignment="1" applyProtection="1">
      <alignment horizontal="left" vertical="center" wrapText="1"/>
      <protection hidden="1"/>
    </xf>
    <xf numFmtId="0" fontId="11" fillId="0" borderId="3" xfId="2" applyFont="1" applyFill="1" applyBorder="1" applyAlignment="1" applyProtection="1">
      <alignment horizontal="left" vertical="top" wrapText="1"/>
      <protection hidden="1"/>
    </xf>
    <xf numFmtId="0" fontId="11" fillId="0" borderId="3" xfId="2" applyFont="1" applyFill="1" applyAlignment="1" applyProtection="1">
      <alignment horizontal="left" vertical="center" wrapText="1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6" fillId="0" borderId="3" xfId="0" applyFont="1" applyFill="1" applyBorder="1" applyAlignment="1" applyProtection="1">
      <alignment horizontal="left" vertical="center"/>
      <protection hidden="1"/>
    </xf>
    <xf numFmtId="49" fontId="6" fillId="0" borderId="1" xfId="0" applyNumberFormat="1" applyFont="1" applyFill="1" applyBorder="1" applyAlignment="1" applyProtection="1">
      <alignment horizontal="left"/>
      <protection hidden="1"/>
    </xf>
    <xf numFmtId="0" fontId="6" fillId="0" borderId="1" xfId="0" applyFont="1" applyFill="1" applyBorder="1" applyAlignment="1" applyProtection="1">
      <alignment horizontal="left"/>
      <protection hidden="1"/>
    </xf>
    <xf numFmtId="0" fontId="3" fillId="0" borderId="0" xfId="0" applyFont="1" applyFill="1" applyAlignment="1" applyProtection="1">
      <alignment horizontal="left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49" fontId="6" fillId="0" borderId="1" xfId="0" applyNumberFormat="1" applyFont="1" applyFill="1" applyBorder="1" applyAlignment="1" applyProtection="1">
      <alignment horizontal="left" vertical="center"/>
      <protection hidden="1"/>
    </xf>
    <xf numFmtId="0" fontId="6" fillId="0" borderId="1" xfId="0" applyFont="1" applyFill="1" applyBorder="1" applyAlignment="1" applyProtection="1">
      <alignment horizontal="left" vertical="center"/>
      <protection hidden="1"/>
    </xf>
    <xf numFmtId="0" fontId="4" fillId="0" borderId="0" xfId="0" applyFont="1" applyFill="1" applyAlignment="1" applyProtection="1">
      <alignment horizontal="left"/>
      <protection hidden="1"/>
    </xf>
    <xf numFmtId="14" fontId="0" fillId="0" borderId="0" xfId="0" applyNumberFormat="1" applyFont="1" applyAlignment="1">
      <alignment horizontal="center"/>
    </xf>
    <xf numFmtId="0" fontId="15" fillId="0" borderId="3" xfId="2" applyFont="1" applyFill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1" fontId="10" fillId="2" borderId="3" xfId="2" applyNumberFormat="1" applyFont="1" applyFill="1" applyBorder="1" applyAlignment="1" applyProtection="1">
      <alignment horizontal="center" vertical="top" shrinkToFit="1"/>
      <protection hidden="1"/>
    </xf>
    <xf numFmtId="1" fontId="18" fillId="0" borderId="3" xfId="2" applyNumberFormat="1" applyFont="1" applyFill="1" applyAlignment="1" applyProtection="1">
      <alignment horizontal="center" vertical="center" shrinkToFit="1"/>
      <protection hidden="1"/>
    </xf>
    <xf numFmtId="0" fontId="19" fillId="0" borderId="3" xfId="2" applyFont="1" applyFill="1" applyAlignment="1" applyProtection="1">
      <alignment horizontal="left" vertical="center" wrapText="1"/>
      <protection hidden="1"/>
    </xf>
    <xf numFmtId="0" fontId="20" fillId="0" borderId="2" xfId="0" applyFont="1" applyBorder="1" applyAlignment="1" applyProtection="1">
      <alignment horizontal="center" vertical="center"/>
      <protection hidden="1"/>
    </xf>
    <xf numFmtId="0" fontId="20" fillId="0" borderId="2" xfId="0" applyNumberFormat="1" applyFont="1" applyBorder="1" applyAlignment="1" applyProtection="1">
      <alignment horizontal="center" vertical="center"/>
      <protection hidden="1"/>
    </xf>
    <xf numFmtId="1" fontId="5" fillId="0" borderId="3" xfId="0" applyNumberFormat="1" applyFont="1" applyFill="1" applyBorder="1" applyAlignment="1" applyProtection="1">
      <alignment horizontal="center" vertical="center"/>
      <protection hidden="1"/>
    </xf>
    <xf numFmtId="1" fontId="4" fillId="0" borderId="0" xfId="0" applyNumberFormat="1" applyFont="1" applyFill="1" applyAlignment="1" applyProtection="1">
      <alignment horizontal="center"/>
      <protection hidden="1"/>
    </xf>
    <xf numFmtId="166" fontId="6" fillId="0" borderId="3" xfId="0" applyNumberFormat="1" applyFont="1" applyFill="1" applyBorder="1" applyAlignment="1" applyProtection="1">
      <alignment horizontal="center" vertical="center"/>
      <protection hidden="1"/>
    </xf>
    <xf numFmtId="166" fontId="6" fillId="0" borderId="1" xfId="0" applyNumberFormat="1" applyFont="1" applyFill="1" applyBorder="1" applyAlignment="1" applyProtection="1">
      <alignment horizontal="center"/>
      <protection hidden="1"/>
    </xf>
    <xf numFmtId="166" fontId="4" fillId="0" borderId="0" xfId="0" applyNumberFormat="1" applyFont="1" applyFill="1" applyAlignment="1" applyProtection="1">
      <alignment horizontal="center"/>
      <protection hidden="1"/>
    </xf>
    <xf numFmtId="42" fontId="5" fillId="0" borderId="3" xfId="0" applyNumberFormat="1" applyFont="1" applyFill="1" applyBorder="1" applyAlignment="1" applyProtection="1">
      <alignment horizontal="center" vertical="center"/>
      <protection hidden="1"/>
    </xf>
    <xf numFmtId="1" fontId="21" fillId="0" borderId="6" xfId="2" applyNumberFormat="1" applyFont="1" applyFill="1" applyBorder="1" applyAlignment="1" applyProtection="1">
      <alignment horizontal="center" vertical="center" shrinkToFit="1"/>
      <protection hidden="1"/>
    </xf>
    <xf numFmtId="0" fontId="22" fillId="0" borderId="5" xfId="2" applyNumberFormat="1" applyFont="1" applyFill="1" applyBorder="1" applyAlignment="1" applyProtection="1">
      <alignment horizontal="left"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hidden="1"/>
    </xf>
    <xf numFmtId="42" fontId="5" fillId="0" borderId="7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Alignment="1"/>
    <xf numFmtId="42" fontId="0" fillId="0" borderId="0" xfId="0" applyNumberFormat="1" applyFont="1" applyAlignment="1">
      <alignment horizontal="center"/>
    </xf>
    <xf numFmtId="42" fontId="2" fillId="0" borderId="0" xfId="0" applyNumberFormat="1" applyFont="1" applyAlignment="1">
      <alignment horizontal="center"/>
    </xf>
    <xf numFmtId="42" fontId="0" fillId="0" borderId="0" xfId="0" applyNumberFormat="1" applyFont="1" applyAlignment="1"/>
    <xf numFmtId="0" fontId="2" fillId="0" borderId="0" xfId="0" applyNumberFormat="1" applyFont="1" applyAlignment="1">
      <alignment horizontal="center"/>
    </xf>
    <xf numFmtId="0" fontId="23" fillId="3" borderId="8" xfId="0" applyFont="1" applyFill="1" applyBorder="1" applyAlignment="1">
      <alignment horizontal="center" vertical="center"/>
    </xf>
    <xf numFmtId="165" fontId="23" fillId="3" borderId="8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  <protection hidden="1"/>
    </xf>
    <xf numFmtId="49" fontId="24" fillId="0" borderId="1" xfId="0" applyNumberFormat="1" applyFont="1" applyFill="1" applyBorder="1" applyAlignment="1" applyProtection="1">
      <alignment horizontal="right" vertical="center"/>
      <protection hidden="1"/>
    </xf>
    <xf numFmtId="49" fontId="24" fillId="0" borderId="1" xfId="0" applyNumberFormat="1" applyFont="1" applyFill="1" applyBorder="1" applyAlignment="1" applyProtection="1">
      <alignment horizontal="center" vertical="center"/>
      <protection hidden="1"/>
    </xf>
    <xf numFmtId="49" fontId="5" fillId="0" borderId="1" xfId="0" applyNumberFormat="1" applyFont="1" applyFill="1" applyBorder="1" applyAlignment="1" applyProtection="1">
      <alignment horizontal="right"/>
      <protection hidden="1"/>
    </xf>
    <xf numFmtId="49" fontId="5" fillId="0" borderId="1" xfId="0" applyNumberFormat="1" applyFont="1" applyFill="1" applyBorder="1" applyAlignment="1" applyProtection="1">
      <alignment horizontal="center"/>
      <protection hidden="1"/>
    </xf>
    <xf numFmtId="0" fontId="25" fillId="0" borderId="3" xfId="0" applyFont="1" applyFill="1" applyBorder="1" applyAlignment="1" applyProtection="1">
      <alignment horizontal="center" vertical="center"/>
      <protection hidden="1"/>
    </xf>
    <xf numFmtId="0" fontId="25" fillId="0" borderId="3" xfId="0" applyFont="1" applyFill="1" applyBorder="1" applyAlignment="1" applyProtection="1">
      <alignment horizontal="left" vertical="center"/>
      <protection hidden="1"/>
    </xf>
    <xf numFmtId="0" fontId="0" fillId="0" borderId="0" xfId="0" applyFont="1" applyFill="1" applyAlignment="1"/>
    <xf numFmtId="0" fontId="5" fillId="0" borderId="8" xfId="0" applyFont="1" applyFill="1" applyBorder="1" applyAlignment="1">
      <alignment horizontal="center" vertical="center"/>
    </xf>
    <xf numFmtId="165" fontId="5" fillId="0" borderId="8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Protection="1">
      <protection hidden="1"/>
    </xf>
    <xf numFmtId="0" fontId="5" fillId="0" borderId="1" xfId="0" applyFont="1" applyFill="1" applyBorder="1" applyProtection="1">
      <protection hidden="1"/>
    </xf>
    <xf numFmtId="1" fontId="26" fillId="0" borderId="3" xfId="2" applyNumberFormat="1" applyFont="1" applyFill="1" applyAlignment="1" applyProtection="1">
      <alignment horizontal="center" vertical="center" shrinkToFit="1"/>
      <protection hidden="1"/>
    </xf>
    <xf numFmtId="0" fontId="27" fillId="0" borderId="3" xfId="2" applyFont="1" applyFill="1" applyAlignment="1" applyProtection="1">
      <alignment horizontal="left" vertical="center" wrapText="1"/>
      <protection hidden="1"/>
    </xf>
    <xf numFmtId="0" fontId="28" fillId="0" borderId="2" xfId="0" applyFont="1" applyBorder="1" applyAlignment="1" applyProtection="1">
      <alignment horizontal="center" vertical="center"/>
      <protection hidden="1"/>
    </xf>
    <xf numFmtId="0" fontId="28" fillId="0" borderId="2" xfId="0" applyNumberFormat="1" applyFont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/>
    </xf>
    <xf numFmtId="0" fontId="0" fillId="0" borderId="3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</cellXfs>
  <cellStyles count="3">
    <cellStyle name="Comma 2" xfId="1"/>
    <cellStyle name="Normal" xfId="0" builtinId="0"/>
    <cellStyle name="Normal 10" xfId="2"/>
  </cellStyles>
  <dxfs count="6374"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2" formatCode="_ &quot;$&quot;* #,##0_ ;_ &quot;$&quot;* \-#,##0_ ;_ &quot;$&quot;* &quot;-&quot;_ ;_ @_ 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9CC2E5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9CC2E5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9CC2E5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1" hidden="1"/>
    </dxf>
    <dxf>
      <border outline="0">
        <left style="thin">
          <color rgb="FF9CC2E5"/>
        </left>
        <right style="thin">
          <color rgb="FF9CC2E5"/>
        </right>
        <top style="thin">
          <color rgb="FF9CC2E5"/>
        </top>
        <bottom style="thin">
          <color rgb="FF9CC2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  <protection locked="1" hidden="1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none"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none">
          <bgColor auto="1"/>
        </patternFill>
      </fill>
      <border diagonalUp="0" diagonalDown="0" outline="0">
        <left/>
        <right/>
        <top style="thin">
          <color rgb="FF9CC2E5"/>
        </top>
        <bottom style="thin">
          <color rgb="FF9CC2E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bgColor auto="1"/>
        </patternFill>
      </fill>
      <border diagonalUp="0" diagonalDown="0" outline="0">
        <left/>
        <right/>
        <top style="thin">
          <color rgb="FF9CC2E5"/>
        </top>
        <bottom style="thin">
          <color rgb="FF9CC2E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2" formatCode="_ &quot;$&quot;* #,##0_ ;_ &quot;$&quot;* \-#,##0_ ;_ &quot;$&quot;* &quot;-&quot;_ ;_ @_ 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9CC2E5"/>
        </top>
        <bottom style="thin">
          <color rgb="FF9CC2E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9CC2E5"/>
        </top>
        <bottom style="thin">
          <color rgb="FF9CC2E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right style="thin">
          <color rgb="FF9CC2E5"/>
        </right>
        <top style="thin">
          <color rgb="FF9CC2E5"/>
        </top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none"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00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0000000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dd/mm/yy;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9CC2E5"/>
        </top>
        <bottom style="thin">
          <color rgb="FF9CC2E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2" formatCode="_ &quot;$&quot;* #,##0_ ;_ &quot;$&quot;* \-#,##0_ ;_ &quot;$&quot;* &quot;-&quot;_ ;_ @_ 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9CC2E5"/>
        </top>
        <bottom style="thin">
          <color rgb="FF9CC2E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2" formatCode="_ &quot;$&quot;* #,##0_ ;_ &quot;$&quot;* \-#,##0_ ;_ &quot;$&quot;* &quot;-&quot;_ ;_ @_ 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9CC2E5"/>
        </top>
        <bottom style="thin">
          <color rgb="FF9CC2E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9CC2E5"/>
        </top>
        <bottom style="thin">
          <color rgb="FF9CC2E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theme="4" tint="0.39997558519241921"/>
        </left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right style="thin">
          <color rgb="FF9CC2E5"/>
        </right>
        <top style="thin">
          <color rgb="FF9CC2E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ED3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" refreshedDate="46101.658881365744" createdVersion="5" refreshedVersion="5" minRefreshableVersion="3" recordCount="1210">
  <cacheSource type="worksheet">
    <worksheetSource name="Tabla2"/>
  </cacheSource>
  <cacheFields count="16">
    <cacheField name="CODIGO" numFmtId="0">
      <sharedItems containsMixedTypes="1" containsNumber="1" containsInteger="1" minValue="101618" maxValue="2008481" count="96">
        <n v="2000350"/>
        <n v="301329"/>
        <n v="301749"/>
        <n v="302065"/>
        <n v="2005136"/>
        <n v="303345"/>
        <n v="2002262"/>
        <n v="2005135"/>
        <n v="302659"/>
        <n v="301751"/>
        <n v="2002263"/>
        <n v="301770"/>
        <n v="301327"/>
        <n v="303015"/>
        <n v="302992"/>
        <n v="303439"/>
        <n v="301685"/>
        <n v="302317"/>
        <n v="303368"/>
        <n v="1002167"/>
        <n v="303510"/>
        <n v="2008481"/>
        <n v="302737"/>
        <n v="2006391"/>
        <n v="2007948"/>
        <n v="301051"/>
        <n v="101624"/>
        <n v="300109"/>
        <n v="300712"/>
        <n v="302678"/>
        <n v="2003911"/>
        <n v="300717"/>
        <n v="300133"/>
        <n v="300422"/>
        <n v="300117"/>
        <n v="300527"/>
        <n v="301987"/>
        <n v="303018"/>
        <n v="2008302"/>
        <n v="2003965"/>
        <n v="300108"/>
        <n v="400205"/>
        <n v="303017"/>
        <n v="302338"/>
        <n v="2004185"/>
        <n v="2004186"/>
        <n v="300130"/>
        <n v="301334"/>
        <n v="303362"/>
        <n v="302991"/>
        <n v="300414"/>
        <n v="2002454"/>
        <n v="301044"/>
        <n v="301099"/>
        <n v="2002453"/>
        <n v="301666"/>
        <n v="1000720"/>
        <n v="301781"/>
        <n v="2005137"/>
        <n v="2003131"/>
        <n v="2003736"/>
        <s v="FE-IN-635"/>
        <s v="INSUMO-268"/>
        <n v="302745"/>
        <n v="303511"/>
        <n v="301047"/>
        <n v="2004053"/>
        <n v="302683"/>
        <n v="2006392"/>
        <n v="2006393"/>
        <n v="300820"/>
        <n v="200229"/>
        <n v="2004602"/>
        <n v="101618"/>
        <n v="301738"/>
        <n v="302654"/>
        <n v="302446"/>
        <n v="300342"/>
        <n v="302184"/>
        <n v="301343"/>
        <n v="300118"/>
        <n v="303007"/>
        <n v="2006450"/>
        <n v="301815"/>
        <n v="2007387"/>
        <n v="300532"/>
        <n v="300412"/>
        <n v="2005138"/>
        <n v="302315"/>
        <n v="301675"/>
        <n v="2004822"/>
        <n v="300431"/>
        <n v="303016"/>
        <n v="302513"/>
        <n v="301415"/>
        <n v="302325"/>
      </sharedItems>
    </cacheField>
    <cacheField name="DESCRIPCION" numFmtId="0">
      <sharedItems count="97">
        <s v="Codo PE 90º  25 mm EF."/>
        <s v="Copla PE100 025mm EF"/>
        <s v="Tubería PE80 025mm Rollo"/>
        <s v="Tubería PE80 110mm Tira"/>
        <s v="Tubo PVC 160 mm PN6 CG Amarillo"/>
        <s v="Copla PE100 050mm EF"/>
        <s v="Tubería PE80 050mm Rollo"/>
        <s v="Tubo PVC 110 mm PN6 CG Amarillo Tira 6 m"/>
        <s v="Copla PE100 063mm EF"/>
        <s v="Tubería PE80 050mm SDR11 Tira"/>
        <s v="Tubería PE80 063mm Rollo"/>
        <s v="Válvula PE100 Dn 160mm"/>
        <s v="Tapa PE  050 mm Termo F."/>
        <s v="Tee PE 110 mm Electro F."/>
        <s v="Codo PE100 90° 050mm EF"/>
        <s v="Reductor PE 110-50 mm Termo F."/>
        <s v="Reductor PE100 110-63 mm TF."/>
        <s v="Tapa PE 110 mm Termo F."/>
        <s v="Cinta Plástica &quot;Línea GN&quot;, 30 x 0.1"/>
        <s v="Cable Trazador Cu 14 AWG Aisl. THW Roj"/>
        <s v="Guardallave Hormigón 125 mm con Tapa"/>
        <s v="Tapa Tornillo Bronce 3/4&quot; HE Bspt."/>
        <s v="Válvula Bola 3/4&quot; Hi Un Cuerpo Pn5 Arco"/>
        <s v="Guardallave Fierro Fundido C/Tapa"/>
        <s v="Tubo PVC Hidraulico 110 mm Pn6 Celeste"/>
        <s v="Tapping Tee PE 50-32 mm"/>
        <s v="Tapping Tee PE 50-25 mm"/>
        <s v="Risers de Acero 3/4&quot; Bsp x 25 mm"/>
        <s v="Tapa PE  025 mm Termo F."/>
        <s v="Reductor PE  63-50 mm Electro F."/>
        <s v="Válvula EFv PE 25 mm Para Tap. Tee"/>
        <s v="Tee PE 160 mm Termo F."/>
        <s v="Reductor PE 160-110 mm Electro F."/>
        <s v="Tapa PE 160 mm Termo F."/>
        <s v="Copla PE100 160mm EF"/>
        <s v="Tapping Tee PE 160-25 mm"/>
        <s v="Codo PE100 90° 063mm EF"/>
        <s v="Reductor PE  63-50 mm Termo F."/>
        <s v="Tapa PE 063 mm Electro F."/>
        <s v="Válvula PE100 Dn 63mm"/>
        <s v="Tapping Tee PE 63-25 mm"/>
        <s v="Tee PE  50 mm Electro F."/>
        <s v="Codo PE100 90° 110mm EF"/>
        <s v="Codo PE100 45° 110mm EF"/>
        <s v="Anillo Cámara Modular 800x800 H=150 E6"/>
        <s v="Tapa AX-S Composite 800x800 B125"/>
        <s v="Tee PE  63 mm Electro F."/>
        <s v="Codo PE100 90° 160mm TF"/>
        <s v="Reductor PE  50-40 mm Electro F."/>
        <s v="Copla PE100 110mm EF"/>
        <s v="Válvula PE100 Dn 50mm"/>
        <s v="MRP-400-(4/1,2)-(S)-2"/>
        <s v="Codo PE100 45° 063mm EF"/>
        <s v="Válvula PE100 Dn 25mm"/>
        <s v="MRP-120-(4/1,2)-(S)-2"/>
        <s v="Tapping Tee PE 110-25 mm"/>
        <s v="Teflón en Cinta de 3/4&quot; Ancho x 520&quot; a 5"/>
        <s v="Reductor PE 50-32 mm Electro F."/>
        <s v="Tubo PVC 200 mm PN6 CG Amarillo"/>
        <s v="Tapping Tee PE 50-40 mm"/>
        <s v="Válvula PE100 Dn 110mm"/>
        <s v="Alcohol Isopropilico  500 ml"/>
        <s v="Toalla Nova Clasica"/>
        <s v="Detector de Fugas Klinsol"/>
        <s v="Lata de Espuma Poliuretano Adimus / 500 ML"/>
        <s v="Tee PE 160 mm Electro F."/>
        <s v="Anodo de Magnesio Alto Potencial 17 Lbs"/>
        <s v="Codo PE100 45° 160mm EF"/>
        <s v="Limitador Flujo P/Tapping Tee 25 MM"/>
        <s v="Transición Latón 3/4&quot;x25 MM PE100, SDR11"/>
        <s v="Tubería PE80 160mm Tira"/>
        <s v="Disco Corte 115 x 22,2 x 2,5 mm A30Pbf"/>
        <s v="MRPC-120-(4/1,2)-(S)-2"/>
        <s v="Risers Ac,Recto 3/4 &quot;x25 mm"/>
        <s v="Regulador Sum. Fe-25, 20 Mbar P.Fior"/>
        <s v="Tee PE  50 mm Termo F."/>
        <s v="Tapping Tee PE 200-25 mm"/>
        <s v="Codo So/So 1 1/2 IN Bronce"/>
        <s v="Tapa Tornillo Cambio de Codigo por: 2008481"/>
        <s v="Tapping Tee PE 63-63 mm"/>
        <s v="Codo PE100 45° 050mm EF"/>
        <s v="Reductor PE 160-110 mm Termo F."/>
        <s v="Toma Supraflow 110 - 110 mm"/>
        <s v="Ánodo Magne. Alto Potencial 9 Lbs"/>
        <s v="Codo PE100 90° 160mm EF"/>
        <s v="Codo PE100 45° 063mm TF"/>
        <s v="Tapping Tee PE 90-25 mm"/>
        <s v="Tubo PVC 250 mm PN6 CG Amarillo"/>
        <s v="Tee PE 110 mm Termo F."/>
        <s v="Tee PE Reducción 110-63 mm TF"/>
        <s v="Tapa PE100 025 mm Termo F."/>
        <s v="Tapping Tee PE 200-63 mm"/>
        <s v="Tee PE Reducción  63-50 mm EF"/>
        <s v="Cartas Registradoras"/>
        <s v="Regulador Sum. Fe-10, 20 Mbar P.Fior"/>
        <s v="Tapping Tee PE 160-63 mm"/>
        <s v="Tapa Tornillo Galvan. 3/4&quot;Bspt Astm A197" u="1"/>
      </sharedItems>
    </cacheField>
    <cacheField name="CANTIDAD" numFmtId="0">
      <sharedItems containsSemiMixedTypes="0" containsString="0" containsNumber="1" minValue="0.3" maxValue="2000"/>
    </cacheField>
    <cacheField name="COSTO" numFmtId="42">
      <sharedItems containsBlank="1" containsMixedTypes="1" containsNumber="1" containsInteger="1" minValue="1" maxValue="12330252" count="418">
        <m/>
        <n v="5084640"/>
        <n v="5847336"/>
        <n v="54504"/>
        <n v="3098400"/>
        <n v="373300"/>
        <n v="1493200"/>
        <n v="301635"/>
        <n v="12252"/>
        <n v="22160"/>
        <n v="22868"/>
        <n v="6928"/>
        <n v="5263"/>
        <n v="9752"/>
        <n v="559950"/>
        <n v="242000"/>
        <n v="588000"/>
        <n v="11700"/>
        <n v="48400"/>
        <n v="117600"/>
        <n v="114750"/>
        <n v="28"/>
        <n v="460460"/>
        <n v="145200"/>
        <n v="352800"/>
        <n v="144300"/>
        <n v="79"/>
        <n v="1299155"/>
        <n v="80769"/>
        <n v="14556"/>
        <n v="459000"/>
        <n v="19760"/>
        <n v="5717"/>
        <n v="436800"/>
        <n v="840028"/>
        <n v="1373"/>
        <n v="3063"/>
        <n v="124146"/>
        <n v="13128"/>
        <n v="34302"/>
        <n v="23114"/>
        <n v="193698"/>
        <n v="361044"/>
        <n v="26003"/>
        <n v="124956"/>
        <n v="36863"/>
        <n v="82810"/>
        <n v="16321"/>
        <n v="2370079"/>
        <n v="450846"/>
        <n v="39817"/>
        <n v="23554"/>
        <n v="9762"/>
        <n v="72644"/>
        <n v="78768"/>
        <n v="27246"/>
        <n v="235926"/>
        <n v="740922"/>
        <n v="645660"/>
        <n v="5913"/>
        <n v="30630"/>
        <n v="811200"/>
        <n v="4628"/>
        <n v="95361"/>
        <n v="23140"/>
        <n v="33020"/>
        <n v="316920"/>
        <n v="62622"/>
        <n v="117024"/>
        <n v="177280"/>
        <n v="27712"/>
        <n v="6132"/>
        <n v="7174"/>
        <n v="12264"/>
        <n v="2178"/>
        <n v="11434"/>
        <n v="606624"/>
        <n v="462522"/>
        <n v="26923"/>
        <n v="16445"/>
        <n v="1"/>
        <n v="38250"/>
        <n v="12100"/>
        <n v="29400"/>
        <n v="34710"/>
        <n v="16107"/>
        <n v="116240"/>
        <n v="30001"/>
        <n v="6534"/>
        <n v="6296"/>
        <n v="9906"/>
        <n v="17151"/>
        <n v="10791"/>
        <n v="83109"/>
        <n v="3974296"/>
        <n v="40869"/>
        <n v="41652"/>
        <n v="35331"/>
        <n v="48600"/>
        <n v="8712"/>
        <n v="61631"/>
        <n v="15600"/>
        <n v="3209763"/>
        <n v="64428"/>
        <n v="57392"/>
        <n v="240008"/>
        <n v="48336"/>
        <n v="98112"/>
        <n v="9256"/>
        <n v="78642"/>
        <n v="47108"/>
        <n v="131560"/>
        <n v="8"/>
        <n v="4402"/>
        <n v="3249"/>
        <n v="32890"/>
        <n v="2"/>
        <n v="24200"/>
        <n v="58800"/>
        <n v="76500"/>
        <n v="1779624"/>
        <n v="109008"/>
        <n v="55862"/>
        <n v="245637"/>
        <n v="24528"/>
        <n v="64566"/>
        <n v="55188"/>
        <n v="108900"/>
        <n v="25463"/>
        <n v="174362"/>
        <n v="107910"/>
        <n v="19504"/>
        <n v="24168"/>
        <n v="60002"/>
        <n v="20576"/>
        <n v="44020"/>
        <n v="39440"/>
        <n v="6"/>
        <n v="98670"/>
        <n v="4690"/>
        <n v="134615"/>
        <n v="132496"/>
        <n v="120004"/>
        <n v="61320"/>
        <n v="36836"/>
        <n v="97926"/>
        <n v="2746"/>
        <n v="50276"/>
        <n v="123262"/>
        <n v="37026"/>
        <n v="145300"/>
        <n v="170247"/>
        <n v="456090"/>
        <n v="14348"/>
        <n v="3772"/>
        <n v="25410"/>
        <n v="126768"/>
        <n v="32373"/>
        <n v="97520"/>
        <n v="13730"/>
        <n v="21780"/>
        <n v="30660"/>
        <n v="16562"/>
        <n v="29060"/>
        <n v="6604"/>
        <n v="11682816"/>
        <n v="2923668"/>
        <n v="81879"/>
        <n v="31311"/>
        <n v="158460"/>
        <n v="44320"/>
        <n v="27768"/>
        <n v="140283"/>
        <n v="84588"/>
        <n v="93002"/>
        <n v="82764"/>
        <n v="510017"/>
        <n v="5492"/>
        <n v="161070"/>
        <n v="4356"/>
        <n v="64303"/>
        <n v="124800"/>
        <n v="43936"/>
        <n v="57232"/>
        <n v="183960"/>
        <n v="91980"/>
        <n v="99060"/>
        <n v="45945"/>
        <n v="468000"/>
        <n v="900030"/>
        <n v="259182"/>
        <n v="1864787"/>
        <n v="207466"/>
        <n v="35100"/>
        <n v="17"/>
        <n v="279565"/>
        <n v="53846"/>
        <n v="7800"/>
        <n v="36300"/>
        <n v="88200"/>
        <n v="30"/>
        <n v="493350"/>
        <n v="780767"/>
        <n v="145560"/>
        <n v="129100"/>
        <n v="258200"/>
        <n v="279310"/>
        <n v="27931"/>
        <n v="610"/>
        <n v="2345"/>
        <s v=" "/>
        <n v="13"/>
        <n v="213785"/>
        <n v="2920704"/>
        <n v="139655"/>
        <n v="6737148"/>
        <n v="436032"/>
        <n v="167586"/>
        <n v="58224"/>
        <n v="20"/>
        <n v="328900"/>
        <n v="96800"/>
        <n v="39000"/>
        <n v="235200"/>
        <n v="646152"/>
        <n v="2201"/>
        <n v="3"/>
        <n v="49335"/>
        <n v="1807400"/>
        <n v="762696"/>
        <n v="409395"/>
        <n v="6233"/>
        <n v="46460"/>
        <n v="24926"/>
        <n v="11242"/>
        <n v="2855512"/>
        <n v="16863"/>
        <n v="12084"/>
        <n v="3180106"/>
        <n v="472626"/>
        <n v="82550"/>
        <n v="4119"/>
        <n v="166218"/>
        <n v="17739"/>
        <n v="1684800"/>
        <n v="641999"/>
        <n v="5497"/>
        <n v="301656"/>
        <n v="39519"/>
        <n v="301496"/>
        <n v="55254"/>
        <n v="4152"/>
        <n v="382500"/>
        <n v="108"/>
        <n v="1776060"/>
        <n v="107692"/>
        <n v="46800"/>
        <n v="805"/>
        <n v="11826"/>
        <n v="46228"/>
        <n v="5621"/>
        <n v="10890"/>
        <n v="9189"/>
        <n v="934421"/>
        <n v="348724"/>
        <n v="13208"/>
        <n v="95076"/>
        <n v="75537"/>
        <n v="20874"/>
        <n v="233014"/>
        <n v="36252"/>
        <n v="110508"/>
        <n v="99372"/>
        <n v="192909"/>
        <n v="13068"/>
        <n v="18396"/>
        <n v="90003"/>
        <n v="48963"/>
        <n v="675150"/>
        <n v="87180"/>
        <n v="18699"/>
        <n v="122640"/>
        <n v="15880"/>
        <n v="65780"/>
        <n v="4"/>
        <n v="164450"/>
        <n v="10"/>
        <n v="269230"/>
        <n v="29112"/>
        <n v="62400"/>
        <n v="257212"/>
        <n v="34848"/>
        <n v="24932"/>
        <n v="5658"/>
        <n v="43560"/>
        <n v="120840"/>
        <n v="18860"/>
        <n v="300010"/>
        <n v="62330"/>
        <n v="279076"/>
        <n v="31589"/>
        <n v="420750"/>
        <n v="4194828"/>
        <n v="19688"/>
        <n v="7796"/>
        <n v="111724"/>
        <n v="335172"/>
        <n v="1936500"/>
        <n v="189228"/>
        <n v="153000"/>
        <n v="2239800"/>
        <n v="708552"/>
        <n v="12330252"/>
        <n v="1398276"/>
        <n v="9127200"/>
        <n v="305406"/>
        <n v="136230"/>
        <n v="46280"/>
        <n v="47144"/>
        <n v="50700"/>
        <n v="8050"/>
        <n v="30250"/>
        <n v="2019225"/>
        <n v="1233375"/>
        <n v="60375"/>
        <n v="411600"/>
        <n v="169400"/>
        <n v="117000"/>
        <n v="774600"/>
        <n v="9380"/>
        <n v="674245"/>
        <n v="33005"/>
        <n v="176400"/>
        <n v="72600"/>
        <n v="19500"/>
        <n v="136500"/>
        <n v="558600"/>
        <n v="229900"/>
        <n v="47495"/>
        <n v="970225"/>
        <n v="1453842"/>
        <n v="1610"/>
        <n v="24912"/>
        <n v="2415"/>
        <n v="13685"/>
        <n v="3900"/>
        <n v="147000"/>
        <n v="60500"/>
        <n v="516400"/>
        <n v="746600"/>
        <n v="2053150"/>
        <n v="262008"/>
        <n v="30781"/>
        <n v="6223"/>
        <n v="230621"/>
        <n v="3552"/>
        <n v="42926"/>
        <n v="171512"/>
        <n v="24300"/>
        <n v="34696"/>
        <n v="11570"/>
        <n v="1262021"/>
        <n v="660387"/>
        <n v="31200"/>
        <n v="23372"/>
        <n v="29718"/>
        <n v="12592"/>
        <n v="11694"/>
        <n v="61562"/>
        <n v="68115"/>
        <n v="21048"/>
        <n v="5843"/>
        <n v="106444"/>
        <n v="94288"/>
        <n v="9745"/>
        <n v="30375"/>
        <n v="48321"/>
        <n v="13623"/>
        <n v="317883"/>
        <n v="41391"/>
        <n v="13856"/>
        <n v="105664"/>
        <n v="88640"/>
        <n v="11686"/>
        <n v="226611"/>
        <n v="18512"/>
        <n v="436576"/>
        <n v="27567"/>
        <n v="3279453"/>
        <n v="8238"/>
        <n v="1754517"/>
        <n v="32214"/>
        <n v="733200"/>
        <n v="99728"/>
        <n v="129646"/>
        <n v="68215"/>
        <n v="523277"/>
        <n v="273819"/>
        <n v="63384"/>
        <n v="151074"/>
        <n v="37024"/>
        <n v="42104"/>
        <n v="5847"/>
        <n v="65284"/>
        <n v="33124"/>
        <n v="60074"/>
        <n v="16510"/>
        <n v="6126"/>
        <n v="208488"/>
        <n v="23341"/>
        <n v="33133"/>
        <n v="412166"/>
        <n v="165812"/>
        <n v="26867"/>
        <n v="7816"/>
        <n v="24246"/>
        <n v="13678"/>
        <n v="48492"/>
      </sharedItems>
    </cacheField>
    <cacheField name="N° Pedido/N° Venta" numFmtId="1">
      <sharedItems containsString="0" containsBlank="1" containsNumber="1" containsInteger="1" minValue="844242" maxValue="4500520097"/>
    </cacheField>
    <cacheField name="N° GUIA" numFmtId="0">
      <sharedItems containsSemiMixedTypes="0" containsString="0" containsNumber="1" containsInteger="1" minValue="5" maxValue="13431284" count="292">
        <n v="443"/>
        <n v="444"/>
        <n v="445"/>
        <n v="442"/>
        <n v="3567639"/>
        <n v="3567638"/>
        <n v="3567637"/>
        <n v="990"/>
        <n v="401"/>
        <n v="3567553"/>
        <n v="3567554"/>
        <n v="3567580"/>
        <n v="3567581"/>
        <n v="3567555"/>
        <n v="3567511"/>
        <n v="3567507"/>
        <n v="3567506"/>
        <n v="3567508"/>
        <n v="3567519"/>
        <n v="3567517"/>
        <n v="3567516"/>
        <n v="3567515"/>
        <n v="3567514"/>
        <n v="3567513"/>
        <n v="3567512"/>
        <n v="3567510"/>
        <n v="3567509"/>
        <n v="3567467"/>
        <n v="3567466"/>
        <n v="3567465"/>
        <n v="3567464"/>
        <n v="3567472"/>
        <n v="3567471"/>
        <n v="3567459"/>
        <n v="3567462"/>
        <n v="3567460"/>
        <n v="3567463"/>
        <n v="391"/>
        <n v="3567443"/>
        <n v="3567445"/>
        <n v="3567444"/>
        <n v="3567401"/>
        <n v="3567402"/>
        <n v="3567403"/>
        <n v="3567425"/>
        <n v="3567426"/>
        <n v="3567396"/>
        <n v="3567397"/>
        <n v="3567398"/>
        <n v="3567399"/>
        <n v="3567400"/>
        <n v="13431284"/>
        <n v="3567366"/>
        <n v="3567365"/>
        <n v="3567364"/>
        <n v="3567359"/>
        <n v="3567363"/>
        <n v="3567368"/>
        <n v="3567370"/>
        <n v="3567369"/>
        <n v="3567367"/>
        <n v="3567361"/>
        <n v="3567362"/>
        <n v="3567360"/>
        <n v="3567322"/>
        <n v="3567326"/>
        <n v="3567325"/>
        <n v="3567330"/>
        <n v="3567331"/>
        <n v="3567332"/>
        <n v="308"/>
        <n v="1000"/>
        <n v="3567288"/>
        <n v="3567289"/>
        <n v="3567290"/>
        <n v="3567291"/>
        <n v="3567293"/>
        <n v="3567302"/>
        <n v="3567303"/>
        <n v="3567298"/>
        <n v="3567297"/>
        <n v="3567296"/>
        <n v="982"/>
        <n v="3567224"/>
        <n v="3567222"/>
        <n v="3567221"/>
        <n v="3567219"/>
        <n v="3567209"/>
        <n v="3567208"/>
        <n v="3567211"/>
        <n v="3567210"/>
        <n v="3567212"/>
        <n v="3567201"/>
        <n v="3567203"/>
        <n v="3567207"/>
        <n v="3567206"/>
        <n v="3567190"/>
        <n v="3567178"/>
        <n v="3567179"/>
        <n v="3567192"/>
        <n v="3567183"/>
        <n v="3567180"/>
        <n v="3567188"/>
        <n v="3567185"/>
        <n v="3567187"/>
        <n v="3567189"/>
        <n v="3567191"/>
        <n v="3567193"/>
        <n v="3567195"/>
        <n v="3567196"/>
        <n v="3567198"/>
        <n v="3567199"/>
        <n v="3567200"/>
        <n v="967"/>
        <n v="968"/>
        <n v="3567139"/>
        <n v="3567136"/>
        <n v="3567135"/>
        <n v="3567134"/>
        <n v="3567132"/>
        <n v="3567144"/>
        <n v="3567143"/>
        <n v="3567142"/>
        <n v="3567141"/>
        <n v="3567140"/>
        <n v="3567103"/>
        <n v="3567104"/>
        <n v="3567105"/>
        <n v="3567106"/>
        <n v="3567107"/>
        <n v="948"/>
        <n v="935"/>
        <n v="925"/>
        <n v="13379253"/>
        <n v="3871141"/>
        <n v="3871139"/>
        <n v="3567001"/>
        <n v="3567000"/>
        <n v="3871149"/>
        <n v="3871148"/>
        <n v="3871147"/>
        <n v="3871146"/>
        <n v="3871145"/>
        <n v="3871144"/>
        <n v="3871143"/>
        <n v="3871142"/>
        <n v="3871140"/>
        <n v="3871138"/>
        <n v="3871136"/>
        <n v="3871135"/>
        <n v="3871134"/>
        <n v="886"/>
        <n v="3566956"/>
        <n v="3566954"/>
        <n v="3566955"/>
        <n v="3566948"/>
        <n v="3566949"/>
        <n v="3566950"/>
        <n v="3566952"/>
        <n v="3566852"/>
        <n v="3566951"/>
        <n v="3566953"/>
        <n v="3566957"/>
        <n v="3566958"/>
        <n v="3566947"/>
        <n v="3566946"/>
        <n v="3566945"/>
        <n v="3566944"/>
        <n v="3566943"/>
        <n v="3566910"/>
        <n v="3566911"/>
        <n v="3566916"/>
        <n v="3566915"/>
        <n v="3566917"/>
        <n v="3566912"/>
        <n v="3566913"/>
        <n v="3566914"/>
        <n v="3566933"/>
        <n v="3566893"/>
        <n v="3566892"/>
        <n v="3566891"/>
        <n v="3566934"/>
        <n v="3566890"/>
        <n v="3566898"/>
        <n v="3566897"/>
        <n v="3566896"/>
        <n v="3566895"/>
        <n v="3566894"/>
        <n v="3566846"/>
        <n v="3566821"/>
        <n v="861"/>
        <n v="3566696"/>
        <n v="3566663"/>
        <n v="3566668"/>
        <n v="3566667"/>
        <n v="3566666"/>
        <n v="3566665"/>
        <n v="3566664"/>
        <n v="3566651"/>
        <n v="3566661"/>
        <n v="3566560"/>
        <n v="5"/>
        <n v="3566625"/>
        <n v="3566626"/>
        <n v="3566627"/>
        <n v="3566628"/>
        <n v="3566623"/>
        <n v="3566629"/>
        <n v="3566631"/>
        <n v="3566624"/>
        <n v="3566509"/>
        <n v="3566589"/>
        <n v="3566568"/>
        <n v="3566565"/>
        <n v="3566564"/>
        <n v="3566563"/>
        <n v="3566562"/>
        <n v="3566561"/>
        <n v="3566558"/>
        <n v="3566557"/>
        <n v="3566556"/>
        <n v="3566555"/>
        <n v="3566587"/>
        <n v="3566581"/>
        <n v="3566583"/>
        <n v="3566584"/>
        <n v="3566596"/>
        <n v="3566591"/>
        <n v="3566597"/>
        <n v="3566601"/>
        <n v="3566600"/>
        <n v="3566599"/>
        <n v="3566598"/>
        <n v="3566554"/>
        <n v="3566553"/>
        <n v="3566552"/>
        <n v="3566550"/>
        <n v="3566549"/>
        <n v="3567021"/>
        <n v="3566548"/>
        <n v="3566547"/>
        <n v="3566546"/>
        <n v="3566545"/>
        <n v="3566544"/>
        <n v="838"/>
        <n v="837"/>
        <n v="836"/>
        <n v="835"/>
        <n v="832"/>
        <n v="831"/>
        <n v="830"/>
        <n v="829"/>
        <n v="827"/>
        <n v="3566416"/>
        <n v="3566415"/>
        <n v="3566418"/>
        <n v="3566422"/>
        <n v="3566423"/>
        <n v="3566424"/>
        <n v="3566425"/>
        <n v="3566426"/>
        <n v="3566419"/>
        <n v="3566420"/>
        <n v="3566394"/>
        <n v="3566329"/>
        <n v="3566327"/>
        <n v="3566328"/>
        <n v="3566300"/>
        <n v="3566299"/>
        <n v="3566298"/>
        <n v="3566297"/>
        <n v="3566296"/>
        <n v="3566214"/>
        <n v="3566213"/>
        <n v="3566211"/>
        <n v="3566199"/>
        <n v="3566198"/>
        <n v="3566197"/>
        <n v="3566196"/>
        <n v="3566195"/>
        <n v="3566194"/>
        <n v="3566186"/>
        <n v="3566185"/>
        <n v="3566193"/>
        <n v="3566192"/>
        <n v="3566191"/>
        <n v="3566189"/>
        <n v="2566189"/>
        <n v="3566188"/>
        <n v="3566187"/>
        <n v="3566184"/>
        <n v="3566177"/>
      </sharedItems>
    </cacheField>
    <cacheField name="FECHA" numFmtId="166">
      <sharedItems containsSemiMixedTypes="0" containsNonDate="0" containsDate="1" containsString="0" minDate="2025-11-25T00:00:00" maxDate="2026-12-31T00:00:00" count="47">
        <d v="2026-03-18T00:00:00"/>
        <d v="2026-02-20T00:00:00"/>
        <d v="2026-03-13T00:00:00"/>
        <d v="2026-03-12T00:00:00"/>
        <d v="2026-03-10T00:00:00"/>
        <d v="2026-03-06T00:00:00"/>
        <d v="2026-03-05T00:00:00"/>
        <d v="2026-03-03T00:00:00"/>
        <d v="2026-03-04T00:00:00"/>
        <d v="2026-02-27T00:00:00"/>
        <d v="2026-02-26T00:00:00"/>
        <d v="2026-02-24T00:00:00"/>
        <d v="2026-02-25T00:00:00"/>
        <d v="2026-02-23T00:00:00"/>
        <d v="2026-02-18T00:00:00"/>
        <d v="2026-02-17T00:00:00"/>
        <d v="2026-06-16T00:00:00"/>
        <d v="2026-02-16T00:00:00"/>
        <d v="2026-02-12T00:00:00"/>
        <d v="2026-02-11T00:00:00"/>
        <d v="2026-02-10T00:00:00"/>
        <d v="2026-02-06T00:00:00"/>
        <d v="2026-02-05T00:00:00"/>
        <d v="2026-01-28T00:00:00"/>
        <d v="2026-01-27T00:00:00"/>
        <d v="2026-01-26T00:00:00"/>
        <d v="2026-01-22T00:00:00"/>
        <d v="2026-01-21T00:00:00"/>
        <d v="2026-01-20T00:00:00"/>
        <d v="2026-01-17T00:00:00"/>
        <d v="2026-01-15T00:00:00"/>
        <d v="2026-01-08T00:00:00"/>
        <d v="2026-01-07T00:00:00"/>
        <d v="2026-01-06T00:00:00"/>
        <d v="2026-12-30T00:00:00"/>
        <d v="2025-12-30T00:00:00"/>
        <d v="2026-01-02T00:00:00"/>
        <d v="2025-12-31T00:00:00"/>
        <d v="2026-01-01T00:00:00"/>
        <d v="2026-01-29T00:00:00"/>
        <d v="2025-12-26T00:00:00"/>
        <d v="2025-12-18T00:00:00"/>
        <d v="2025-12-17T00:00:00"/>
        <d v="2025-12-12T00:00:00"/>
        <d v="2025-12-05T00:00:00"/>
        <d v="2025-11-25T00:00:00"/>
        <d v="2025-11-26T00:00:00"/>
      </sharedItems>
    </cacheField>
    <cacheField name="Venta" numFmtId="0">
      <sharedItems/>
    </cacheField>
    <cacheField name="Serie Módulo" numFmtId="0">
      <sharedItems containsBlank="1"/>
    </cacheField>
    <cacheField name="Lote" numFmtId="0">
      <sharedItems containsBlank="1"/>
    </cacheField>
    <cacheField name="Fecha Tub." numFmtId="0">
      <sharedItems containsDate="1" containsBlank="1" containsMixedTypes="1" minDate="2024-11-08T00:00:00" maxDate="2025-08-19T00:00:00"/>
    </cacheField>
    <cacheField name="Marca" numFmtId="0">
      <sharedItems containsBlank="1" count="4">
        <m/>
        <s v="TEHMCO"/>
        <s v="TIGRE"/>
        <s v="DURATEC"/>
      </sharedItems>
    </cacheField>
    <cacheField name="Status" numFmtId="0">
      <sharedItems containsBlank="1"/>
    </cacheField>
    <cacheField name="Proyecto" numFmtId="0">
      <sharedItems containsBlank="1" containsMixedTypes="1" containsNumber="1" containsInteger="1" minValue="500054633" maxValue="901856429" count="66">
        <s v="NIC-13741"/>
        <s v="NIC-13861"/>
        <s v="NIC-13887"/>
        <s v="NIC-13866"/>
        <s v="RES-03095"/>
        <s v="RES-03027"/>
        <s v="NIN-13431"/>
        <s v="EGL-13058"/>
        <s v="RLO-12528"/>
        <s v="NIN-R0096"/>
        <s v="RES-03066"/>
        <s v="RLO-R0111"/>
        <s v="NIN-13063"/>
        <s v="COM-13847"/>
        <s v="NIN-13128"/>
        <s v="RLO-08633"/>
        <s v="RLO-13598"/>
        <s v="COM-R0198"/>
        <s v="NIC-13897"/>
        <s v="NIC-13846"/>
        <s v="Proyectos Varios"/>
        <s v="NIN-R0093"/>
        <s v="NIC-13879"/>
        <s v="EGL-13051"/>
        <s v="NIC-13857"/>
        <s v="NIN-13410"/>
        <s v="NIC-13853"/>
        <s v="RLO-13621"/>
        <s v="NIN-13181"/>
        <s v="NIN-13573"/>
        <s v="NIC-13873"/>
        <s v="COM-13943"/>
        <s v="NIC-13874"/>
        <s v="EGL-13052"/>
        <s v="NIN-13304"/>
        <s v="RLO-10016"/>
        <n v="500100028"/>
        <n v="901816195"/>
        <n v="500055461"/>
        <n v="500054633"/>
        <n v="901856429"/>
        <s v="Adicional para empalmes Rancagua"/>
        <s v="NIC-13876"/>
        <s v="NIN-13537"/>
        <s v="RLO-13554"/>
        <s v="COM-R0209"/>
        <s v="RLO-13354"/>
        <s v="COM-13904"/>
        <m/>
        <s v="COM-13840"/>
        <s v="NIC-13875"/>
        <s v="COM-13822"/>
        <s v="COM-13485"/>
        <s v="NIC-13583"/>
        <s v="NIC-13826"/>
        <s v="NIC-13815"/>
        <s v="NIC-13823"/>
        <s v="NIC-13825"/>
        <s v="NIC-13824"/>
        <s v="NIC-13820"/>
        <s v="RLO-13829"/>
        <s v="COM-13853"/>
        <s v="COM-13912"/>
        <s v="COM-13838"/>
        <s v="NIC-13821"/>
        <s v="NIC-13822"/>
      </sharedItems>
    </cacheField>
    <cacheField name="REGIÓN" numFmtId="0">
      <sharedItems containsBlank="1" count="3">
        <m/>
        <s v="RM"/>
        <s v="VI"/>
      </sharedItems>
    </cacheField>
    <cacheField name="N° FACTURA" numFmtId="0">
      <sharedItems containsString="0" containsBlank="1" containsNumber="1" containsInteger="1" minValue="1374725" maxValue="12072519" count="134">
        <m/>
        <n v="1390220"/>
        <n v="1390219"/>
        <n v="1390218"/>
        <n v="1375116"/>
        <n v="1375117"/>
        <n v="1375118"/>
        <n v="1375103"/>
        <n v="1375101"/>
        <n v="1375100"/>
        <n v="1375102"/>
        <n v="1375093"/>
        <n v="1375092"/>
        <n v="1375091"/>
        <n v="1375089"/>
        <n v="1375079"/>
        <n v="1375080"/>
        <n v="1375081"/>
        <n v="1375085"/>
        <n v="1375086"/>
        <n v="1390195"/>
        <n v="1390194"/>
        <n v="1390193"/>
        <n v="1390181"/>
        <n v="1390180"/>
        <n v="1390182"/>
        <n v="1390183"/>
        <n v="1390184"/>
        <n v="1375066"/>
        <n v="1375065"/>
        <n v="1375064"/>
        <n v="1375049"/>
        <n v="1375050"/>
        <n v="1375046"/>
        <n v="1375047"/>
        <n v="1375036"/>
        <n v="1375035"/>
        <n v="1375038"/>
        <n v="1375037"/>
        <n v="1375039"/>
        <n v="1375031"/>
        <n v="1375032"/>
        <n v="1375034"/>
        <n v="1375033"/>
        <n v="1375027"/>
        <n v="1375026"/>
        <n v="1375025"/>
        <n v="1375024"/>
        <n v="1375023"/>
        <n v="1375011"/>
        <n v="1375012"/>
        <n v="1375013"/>
        <n v="1375014"/>
        <n v="1375015"/>
        <n v="12072519"/>
        <n v="1390156"/>
        <n v="1390157"/>
        <n v="1374984"/>
        <n v="1374983"/>
        <n v="1374982"/>
        <n v="1374981"/>
        <n v="1374980"/>
        <n v="1374979"/>
        <n v="1374978"/>
        <n v="1374967"/>
        <n v="1374965"/>
        <n v="1374966"/>
        <n v="1374964"/>
        <n v="1374963"/>
        <n v="1374962"/>
        <n v="1374961"/>
        <n v="1374960"/>
        <n v="1374943"/>
        <n v="1374942"/>
        <n v="1374944"/>
        <n v="1374951"/>
        <n v="1374941"/>
        <n v="1374940"/>
        <n v="1374939"/>
        <n v="1374952"/>
        <n v="1374938"/>
        <n v="1374932"/>
        <n v="1374929"/>
        <n v="1374890"/>
        <n v="1374895"/>
        <n v="1374894"/>
        <n v="1374893"/>
        <n v="1374892"/>
        <n v="1374891"/>
        <n v="1374888"/>
        <n v="1374889"/>
        <n v="1374849"/>
        <n v="1374885"/>
        <n v="1374886"/>
        <n v="1374887"/>
        <n v="1374871"/>
        <n v="1374865"/>
        <n v="1374855"/>
        <n v="1374854"/>
        <n v="1374853"/>
        <n v="1374852"/>
        <n v="1374851"/>
        <n v="1374850"/>
        <n v="1374848"/>
        <n v="1374847"/>
        <n v="1374846"/>
        <n v="1374845"/>
        <n v="1374864"/>
        <n v="1374861"/>
        <n v="1374862"/>
        <n v="1374863"/>
        <n v="1374867"/>
        <n v="1374866"/>
        <n v="1374857"/>
        <n v="1374859"/>
        <n v="1374869"/>
        <n v="1374858"/>
        <n v="1374868"/>
        <n v="1374819"/>
        <n v="1374820"/>
        <n v="1374821"/>
        <n v="1374822"/>
        <n v="1374823"/>
        <n v="1374810"/>
        <n v="1374732"/>
        <n v="1374734"/>
        <n v="1374733"/>
        <n v="1374731"/>
        <n v="1374730"/>
        <n v="1374729"/>
        <n v="1374728"/>
        <n v="1374727"/>
        <n v="1374726"/>
        <n v="1374725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uario" refreshedDate="46101.658904976852" createdVersion="5" refreshedVersion="5" minRefreshableVersion="3" recordCount="1689">
  <cacheSource type="worksheet">
    <worksheetSource name="Tabla1"/>
  </cacheSource>
  <cacheFields count="10">
    <cacheField name="CODIGO" numFmtId="0">
      <sharedItems containsMixedTypes="1" containsNumber="1" containsInteger="1" minValue="101618" maxValue="2008481" count="87">
        <n v="2002262"/>
        <n v="303368"/>
        <n v="1002167"/>
        <n v="303345"/>
        <n v="301327"/>
        <n v="101624"/>
        <n v="2000350"/>
        <n v="301329"/>
        <n v="2003911"/>
        <n v="301099"/>
        <n v="300109"/>
        <n v="302737"/>
        <n v="2008481"/>
        <n v="2007948"/>
        <n v="2006391"/>
        <n v="303510"/>
        <n v="303347"/>
        <n v="300130"/>
        <n v="302065"/>
        <s v="INSUMO-268"/>
        <n v="302659"/>
        <n v="2008302"/>
        <s v="FE-IN-635"/>
        <n v="2002263"/>
        <n v="301749"/>
        <n v="301987"/>
        <n v="303017"/>
        <n v="2005135"/>
        <n v="301666"/>
        <n v="300712"/>
        <n v="300422"/>
        <n v="300117"/>
        <n v="302184"/>
        <n v="303511"/>
        <n v="302678"/>
        <n v="302992"/>
        <n v="302991"/>
        <n v="2005137"/>
        <n v="2006393"/>
        <n v="2006392"/>
        <n v="301044"/>
        <n v="1000720"/>
        <n v="303015"/>
        <n v="302317"/>
        <n v="301770"/>
        <n v="2005136"/>
        <n v="300108"/>
        <n v="302745"/>
        <n v="301051"/>
        <n v="302338"/>
        <n v="303439"/>
        <n v="2003965"/>
        <n v="301685"/>
        <n v="301334"/>
        <n v="2002453"/>
        <n v="2004185"/>
        <n v="2004186"/>
        <n v="301781"/>
        <n v="2003736"/>
        <n v="2003131"/>
        <n v="303362"/>
        <n v="300414"/>
        <n v="2004602"/>
        <n v="301751"/>
        <n v="101618"/>
        <n v="301738"/>
        <n v="300820"/>
        <n v="301047"/>
        <n v="302683"/>
        <n v="300527"/>
        <n v="301815"/>
        <n v="2006450"/>
        <n v="302446"/>
        <n v="303016"/>
        <n v="302654"/>
        <n v="301343"/>
        <n v="400205"/>
        <n v="300431"/>
        <n v="302315"/>
        <n v="301675"/>
        <n v="2002454"/>
        <n v="2007387"/>
        <n v="300342"/>
        <n v="303007"/>
        <n v="300412"/>
        <n v="2005138"/>
        <n v="302325"/>
      </sharedItems>
    </cacheField>
    <cacheField name="DESCRIPCION" numFmtId="0">
      <sharedItems count="88">
        <s v="Tubería PE80 050mm Rollo"/>
        <s v="Cinta Plástica &quot;Línea GN&quot;, 30 x 0.1"/>
        <s v="Cable Trazador Cu 14 AWG Aisl. THW Roj"/>
        <s v="Copla PE100 050mm EF"/>
        <s v="Tapa PE  050 mm Termo F."/>
        <s v="Tapping Tee PE 50-25 mm"/>
        <s v="Codo PE 90º  25 mm EF."/>
        <s v="Copla PE100 025mm EF"/>
        <s v="Válvula EFv PE 25 mm Para Tap. Tee"/>
        <s v="Válvula PE100 Dn 25mm"/>
        <s v="Risers de Acero 3/4&quot; Bsp x 25 mm"/>
        <s v="Válvula Bola 3/4&quot; Hi Un Cuerpo Pn5 Arco"/>
        <s v="Tapa Tornillo Bronce 3/4&quot; HE Bspt."/>
        <s v="Tubo PVC Hidraulico 110 mm Pn6 Celeste"/>
        <s v="Guardallave Fierro Fundido C/Tapa"/>
        <s v="Guardallave Hormigón 125 mm con Tapa"/>
        <s v="Tapa PE  063 mm Termo F."/>
        <s v="Tee PE  63 mm Electro F."/>
        <s v="Tubería PE80 110mm Tira"/>
        <s v="Toalla Nova Clasica"/>
        <s v="Copla PE100 063mm EF"/>
        <s v="Tapa PE 063 mm Electro F."/>
        <s v="Alcohol Isopropilico  500 ml"/>
        <s v="Tubería PE80 063mm Rollo"/>
        <s v="Tubería PE80 025mm Rollo"/>
        <s v="Codo PE100 90° 063mm EF"/>
        <s v="Codo PE100 90° 110mm EF"/>
        <s v="Tubo PVC 110 mm PN6 CG Amarillo Tira 6 m"/>
        <s v="Tapping Tee PE 110-25 mm"/>
        <s v="Tapa PE  025 mm Termo F."/>
        <s v="Tapa PE 160 mm Termo F."/>
        <s v="Copla PE100 160mm EF"/>
        <s v="Tapa Tornillo Cambio de Codigo por: 2008481"/>
        <s v="Lata de Espuma Poliuretano Adimus / 500 ML"/>
        <s v="Reductor PE  63-50 mm Electro F."/>
        <s v="Codo PE100 90° 050mm EF"/>
        <s v="Copla PE100 110mm EF"/>
        <s v="Tubo PVC 200 mm PN6 CG Amarillo"/>
        <s v="Transición Latón 3/4&quot;x25 MM PE100, SDR11"/>
        <s v="Limitador Flujo P/Tapping Tee 25 MM"/>
        <s v="Codo PE100 45° 063mm EF"/>
        <s v="Teflón en Cinta de 3/4&quot; Ancho x 520&quot; a 5"/>
        <s v="Tee PE 110 mm Electro F."/>
        <s v="Tapa PE 110 mm Termo F."/>
        <s v="Válvula PE100 Dn 160mm"/>
        <s v="Tubo PVC 160 mm PN6 CG Amarillo"/>
        <s v="Tapping Tee PE 63-25 mm"/>
        <s v="Detector de Fugas Klinsol"/>
        <s v="Tapping Tee PE 50-32 mm"/>
        <s v="Codo PE100 45° 110mm EF"/>
        <s v="Reductor PE 110-50 mm Termo F."/>
        <s v="Válvula PE100 Dn 63mm"/>
        <s v="Reductor PE100 110-63 mm TF."/>
        <s v="Codo PE100 90° 160mm TF"/>
        <s v="MRP-120-(4/1,2)-(S)-2"/>
        <s v="Anillo Cámara Modular 800x800 H=150 E6"/>
        <s v="Tapa AX-S Composite 800x800 B125"/>
        <s v="Reductor PE 50-32 mm Electro F."/>
        <s v="Válvula PE100 Dn 110mm"/>
        <s v="Tapping Tee PE 50-40 mm"/>
        <s v="Reductor PE  50-40 mm Electro F."/>
        <s v="Válvula PE100 Dn 50mm"/>
        <s v="MRPC-120-(4/1,2)-(S)-2"/>
        <s v="Tubería PE80 050mm SDR11 Tira"/>
        <s v="Risers Ac,Recto 3/4 &quot;x25 mm"/>
        <s v="Regulador Sum. Fe-25, 20 Mbar P.Fior"/>
        <s v="Tubería PE80 160mm Tira"/>
        <s v="Tee PE 160 mm Electro F."/>
        <s v="Codo PE100 45° 160mm EF"/>
        <s v="Tapping Tee PE 160-25 mm"/>
        <s v="Ánodo Magne. Alto Potencial 9 Lbs"/>
        <s v="Toma Supraflow 110 - 110 mm"/>
        <s v="Tapping Tee PE 200-25 mm"/>
        <s v="Tee PE Reducción  63-50 mm EF"/>
        <s v="Tee PE  50 mm Termo F."/>
        <s v="Tapping Tee PE 63-63 mm"/>
        <s v="Tee PE  50 mm Electro F."/>
        <s v="Tapping Tee PE 200-63 mm"/>
        <s v="Tee PE 110 mm Termo F."/>
        <s v="Tee PE Reducción 110-63 mm TF"/>
        <s v="MRP-400-(4/1,2)-(S)-2"/>
        <s v="Codo PE100 90° 160mm EF"/>
        <s v="Codo So/So 1 1/2 IN Bronce"/>
        <s v="Reductor PE 160-110 mm Termo F."/>
        <s v="Tapping Tee PE 90-25 mm"/>
        <s v="Tubo PVC 250 mm PN6 CG Amarillo"/>
        <s v="Tapping Tee PE 160-63 mm"/>
        <s v="Tapa Tornillo Galvan. 3/4&quot;Bspt Astm A197" u="1"/>
      </sharedItems>
    </cacheField>
    <cacheField name="CANTIDAD" numFmtId="0">
      <sharedItems containsString="0" containsBlank="1" containsNumber="1" minValue="0" maxValue="1825" count="76">
        <n v="100"/>
        <n v="3"/>
        <n v="2"/>
        <n v="5"/>
        <n v="8"/>
        <n v="15"/>
        <n v="1"/>
        <n v="120"/>
        <n v="4"/>
        <n v="3.85"/>
        <n v="6"/>
        <n v="10"/>
        <n v="30"/>
        <n v="50"/>
        <n v="7"/>
        <n v="28"/>
        <n v="27"/>
        <n v="57"/>
        <n v="253"/>
        <n v="411"/>
        <n v="158"/>
        <n v="48"/>
        <n v="87"/>
        <n v="85"/>
        <n v="200"/>
        <n v="19"/>
        <n v="24"/>
        <n v="14"/>
        <n v="12"/>
        <n v="72"/>
        <n v="1.5"/>
        <n v="63"/>
        <n v="150"/>
        <n v="60"/>
        <n v="16"/>
        <n v="168"/>
        <n v="18"/>
        <n v="21"/>
        <n v="384"/>
        <n v="394"/>
        <n v="17"/>
        <n v="9"/>
        <n v="276"/>
        <n v="280"/>
        <n v="20"/>
        <n v="96"/>
        <n v="36"/>
        <n v="35"/>
        <n v="0"/>
        <n v="40"/>
        <n v="90"/>
        <n v="32"/>
        <n v="13"/>
        <n v="26"/>
        <n v="51"/>
        <n v="224"/>
        <n v="47"/>
        <n v="59"/>
        <n v="54"/>
        <n v="1825"/>
        <n v="396"/>
        <m/>
        <n v="67"/>
        <n v="4.5"/>
        <n v="44"/>
        <n v="1169"/>
        <n v="499"/>
        <n v="1164"/>
        <n v="300"/>
        <n v="132"/>
        <n v="37"/>
        <n v="500"/>
        <n v="34"/>
        <n v="11"/>
        <n v="0.3" u="1"/>
        <n v="2.7" u="1"/>
      </sharedItems>
    </cacheField>
    <cacheField name="COSTO" numFmtId="42">
      <sharedItems containsNonDate="0" containsString="0" containsBlank="1"/>
    </cacheField>
    <cacheField name="N° GUIA" numFmtId="0">
      <sharedItems containsSemiMixedTypes="0" containsString="0" containsNumber="1" containsInteger="1" minValue="1" maxValue="298581"/>
    </cacheField>
    <cacheField name="FECHA" numFmtId="14">
      <sharedItems containsSemiMixedTypes="0" containsNonDate="0" containsDate="1" containsString="0" minDate="2006-02-26T00:00:00" maxDate="2026-12-18T00:00:00"/>
    </cacheField>
    <cacheField name="Lote" numFmtId="0">
      <sharedItems containsBlank="1"/>
    </cacheField>
    <cacheField name="Solicitado" numFmtId="0">
      <sharedItems containsBlank="1" count="39">
        <s v="Juan Bravo"/>
        <s v="Guido Fernandez"/>
        <s v="Luis Pincheira"/>
        <s v="Luis carrasco"/>
        <s v="Gonzalo Villalobos"/>
        <s v="Juan Cordova"/>
        <s v="José Melo"/>
        <s v="Patricio Silva"/>
        <s v="José Mallia"/>
        <s v="Carlos Santana"/>
        <s v="Jorge Bravo"/>
        <s v="Luis Donoso"/>
        <s v="Juan Henriquez"/>
        <s v="Werner Matus"/>
        <s v="Miguel Villavicencio"/>
        <s v="Alexis Figueroa"/>
        <s v="Samuel Fuentes"/>
        <s v="Cristopher Valenzuela"/>
        <s v="Wilder Villalobos"/>
        <s v="Cristian Lagos"/>
        <s v="Cristian Espinoza"/>
        <s v="Erick Bustos"/>
        <s v="Anibal Ramirez"/>
        <s v="Juan Vergara"/>
        <s v="Juan Del Valle"/>
        <s v="Telsam / Flete"/>
        <s v="Rony Atenas"/>
        <s v="Ramón Borgoño"/>
        <s v="José Rodriguez"/>
        <s v="Manuel Caro"/>
        <s v="Jorge Riveros"/>
        <s v="Telsam"/>
        <s v="Devolución MG"/>
        <s v="Juan Fuentes"/>
        <m/>
        <s v="Rolando Contreras"/>
        <s v="Matias Badilla" u="1"/>
        <s v="Rolando" u="1"/>
        <s v="Rony Atencio" u="1"/>
      </sharedItems>
    </cacheField>
    <cacheField name="Status" numFmtId="0">
      <sharedItems containsBlank="1" count="8">
        <m/>
        <s v="Adicional"/>
        <s v="Completa"/>
        <s v="Adicional # 1"/>
        <s v="Instalado"/>
        <s v="Devuelto (en camino)"/>
        <s v="Devuelto a bodega"/>
        <s v="Instalado 2 (devuelve 2)"/>
      </sharedItems>
    </cacheField>
    <cacheField name="PROYECTO" numFmtId="0">
      <sharedItems containsDate="1" containsBlank="1" containsMixedTypes="1" minDate="1900-01-09T08:16:05" maxDate="1900-01-09T11:23:05" count="62">
        <s v="RES-03095"/>
        <s v="NIN-13128"/>
        <s v="RLO-13621"/>
        <s v="RES-03027"/>
        <s v="RLO-13598"/>
        <s v="RLO-06386"/>
        <s v="NIC-13876"/>
        <s v="COM-R0198"/>
        <s v="RLO-R0111"/>
        <s v="NIC-13887"/>
        <s v="RES-03066"/>
        <s v="NIN-R0096"/>
        <s v="RLO-08979"/>
        <s v="RLO-08633"/>
        <s v="RLO-12528"/>
        <s v="NIN-13181"/>
        <s v="COM-13840"/>
        <s v="NIC-13866"/>
        <s v="NIN-13063"/>
        <s v="COM-13847"/>
        <s v="NIN-13431"/>
        <s v="NIC-13741"/>
        <s v="Proyectos Varios"/>
        <s v="RLO-10016"/>
        <s v="Recalificación"/>
        <s v="COM-13943"/>
        <s v="NIC-13846"/>
        <s v="NIN-R0093"/>
        <m/>
        <s v="NIN-13537"/>
        <s v="NIN-13410"/>
        <s v="NIC-13897"/>
        <n v="901816195"/>
        <n v="500055461"/>
        <n v="500054633"/>
        <n v="500100028"/>
        <s v="Rancagua"/>
        <n v="901856529"/>
        <s v="NIC-13826"/>
        <s v="NIC-13815"/>
        <s v="EGL-13058"/>
        <s v="EGL-13051"/>
        <s v="NIC-13857"/>
        <s v="NIC-13879"/>
        <s v="COM-13904"/>
        <s v="NIC-13875"/>
        <s v="NIC-13853"/>
        <s v="NIC-13874"/>
        <s v="NIN-13304"/>
        <d v="2026-02-04T00:00:00"/>
        <s v="EGL-13052"/>
        <s v="Manometro NPS"/>
        <n v="901856429"/>
        <s v="Empalmes"/>
        <s v="RLO-13829"/>
        <s v="NIC-13861"/>
        <s v="COM-13485"/>
        <s v="NIC-13825"/>
        <s v="NIC-13824"/>
        <s v="NIC-13823"/>
        <s v="NIC-13820"/>
        <n v="50054633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suario" refreshedDate="46101.658951041667" createdVersion="5" refreshedVersion="5" minRefreshableVersion="3" recordCount="194">
  <cacheSource type="worksheet">
    <worksheetSource name="Tabla3"/>
  </cacheSource>
  <cacheFields count="5">
    <cacheField name="CODIGO" numFmtId="1">
      <sharedItems containsMixedTypes="1" containsNumber="1" containsInteger="1" minValue="1" maxValue="2008481" count="180">
        <n v="301749"/>
        <n v="2002262"/>
        <n v="2002263"/>
        <n v="2002264"/>
        <n v="302065"/>
        <n v="300820"/>
        <n v="302758"/>
        <n v="301751"/>
        <n v="2007948"/>
        <n v="300203"/>
        <n v="2003735"/>
        <n v="2003965"/>
        <n v="300414"/>
        <n v="300736"/>
        <n v="301099"/>
        <n v="2003966"/>
        <n v="301770"/>
        <n v="2003736"/>
        <n v="2003911"/>
        <n v="2000350"/>
        <n v="300230"/>
        <n v="300118"/>
        <n v="301044"/>
        <n v="300532"/>
        <n v="302338"/>
        <n v="301344"/>
        <n v="302683"/>
        <n v="300131"/>
        <n v="2000195"/>
        <n v="2003512"/>
        <n v="303438"/>
        <n v="302992"/>
        <n v="302655"/>
        <n v="301987"/>
        <n v="303338"/>
        <n v="303017"/>
        <n v="302663"/>
        <n v="301334"/>
        <n v="2007387"/>
        <n v="2000196"/>
        <n v="2003511"/>
        <n v="300342"/>
        <n v="2005135"/>
        <n v="2005136"/>
        <n v="2005137"/>
        <n v="2005138"/>
        <n v="302184"/>
        <n v="2008481"/>
        <n v="302737"/>
        <n v="303368"/>
        <n v="1002167"/>
        <n v="1000720"/>
        <n v="302513"/>
        <n v="301329"/>
        <n v="300432"/>
        <n v="303345"/>
        <n v="302659"/>
        <n v="301673"/>
        <n v="302991"/>
        <n v="300117"/>
        <n v="302660"/>
        <n v="301330"/>
        <n v="302305"/>
        <n v="301324"/>
        <n v="300130"/>
        <n v="302654"/>
        <n v="400205"/>
        <n v="303356"/>
        <n v="301046"/>
        <n v="300853"/>
        <n v="302334"/>
        <n v="301465"/>
        <n v="302778"/>
        <n v="300119"/>
        <n v="301675"/>
        <n v="302995"/>
        <n v="300717"/>
        <n v="301047"/>
        <n v="302315"/>
        <n v="303015"/>
        <n v="2003513"/>
        <n v="303016"/>
        <n v="300570"/>
        <n v="300568"/>
        <n v="302819"/>
        <n v="303480"/>
        <n v="302478"/>
        <n v="302818"/>
        <n v="302128"/>
        <n v="301180"/>
        <n v="2006391"/>
        <n v="303510"/>
        <n v="303439"/>
        <n v="302104"/>
        <n v="303008"/>
        <n v="300133"/>
        <n v="303007"/>
        <n v="2002378"/>
        <n v="300719"/>
        <n v="300128"/>
        <n v="301031"/>
        <n v="300410"/>
        <n v="301669"/>
        <n v="301781"/>
        <n v="303362"/>
        <n v="303360"/>
        <n v="302678"/>
        <n v="303018"/>
        <n v="301782"/>
        <n v="301045"/>
        <n v="301685"/>
        <n v="2003542"/>
        <n v="2004822"/>
        <n v="300712"/>
        <n v="302303"/>
        <n v="301327"/>
        <n v="303347"/>
        <n v="301336"/>
        <n v="302317"/>
        <n v="300422"/>
        <n v="303348"/>
        <n v="2003514"/>
        <n v="2008302"/>
        <n v="2002807"/>
        <n v="2002808"/>
        <n v="2002809"/>
        <n v="2002810"/>
        <n v="2002811"/>
        <n v="101618"/>
        <n v="300109"/>
        <n v="304220"/>
        <n v="101624"/>
        <n v="301051"/>
        <n v="2003131"/>
        <n v="300108"/>
        <n v="302647"/>
        <n v="301343"/>
        <n v="300412"/>
        <n v="300413"/>
        <n v="302331"/>
        <n v="301666"/>
        <n v="301667"/>
        <n v="302332"/>
        <n v="300527"/>
        <n v="303126"/>
        <n v="302325"/>
        <n v="302446"/>
        <n v="300431"/>
        <n v="303125"/>
        <n v="301768"/>
        <n v="301342"/>
        <n v="2006392"/>
        <n v="301415"/>
        <n v="301738"/>
        <n v="302043"/>
        <n v="302741"/>
        <n v="2006393"/>
        <n v="303840"/>
        <n v="303842"/>
        <n v="2002453"/>
        <n v="2002454"/>
        <n v="2004602"/>
        <n v="2006447"/>
        <n v="2006448"/>
        <n v="2006449"/>
        <n v="2006450"/>
        <n v="2004185"/>
        <n v="200229"/>
        <n v="303511"/>
        <n v="2004186"/>
        <n v="2003698"/>
        <n v="2006552"/>
        <n v="301815"/>
        <n v="300942"/>
        <n v="300951"/>
        <s v="FE-IN-635"/>
        <s v="INSUMO-268"/>
        <n v="302745"/>
        <n v="1"/>
        <n v="2004053"/>
      </sharedItems>
    </cacheField>
    <cacheField name="DESCRIPCION" numFmtId="0">
      <sharedItems count="190">
        <s v="Tubería PE80 025mm Rollo"/>
        <s v="Tubería PE80 050mm Rollo"/>
        <s v="Tubería PE80 063mm Rollo"/>
        <s v="Tubería PE80 090mm Rollo"/>
        <s v="Tubería PE80 110mm Tira"/>
        <s v="Tubería PE80 160mm Tira"/>
        <s v="Tubería PE80 200mm Tira"/>
        <s v="Tubería PE80 050mm SDR11 Tira"/>
        <s v="Tubo PVC Hidraulico 110 mm Pn6 Celeste"/>
        <s v="Cañeria Acero 12&quot;, Asf, 0.327, Gr.B Sch30"/>
        <s v="Válvula PE100 Dn 90mm"/>
        <s v="Válvula PE100 Dn 63mm"/>
        <s v="Válvula PE100 Dn 50mm"/>
        <s v="Válvula PE100 DN 40mm"/>
        <s v="Válvula PE100 Dn 25mm"/>
        <s v="Válvula PE100 Dn 200mm"/>
        <s v="Válvula PE100 Dn 160mm"/>
        <s v="Válvula PE100 Dn 110mm"/>
        <s v="Válvula EFv PE 25 mm Para Tap. Tee"/>
        <s v="Codo PE 90º  25 mm EF."/>
        <s v="Codo PE100 45° 025mm TF"/>
        <s v="Codo PE100 45° 050mm EF"/>
        <s v="Codo PE100 45° 063mm EF"/>
        <s v="Codo PE100 45° 063mm TF"/>
        <s v="Codo PE100 45° 110mm EF"/>
        <s v="Codo PE100 45° 110mm  TF"/>
        <s v="Codo PE100 45° 160mm EF"/>
        <s v="Codo PE100 45° 160mm TF"/>
        <s v="Codo PE100 45° 200mm TF"/>
        <s v="Codo PE100 45º 250 mm TF"/>
        <s v="Codo PE100 90° 025mm TF"/>
        <s v="Codo PE100 90° 050mm EF"/>
        <s v="Codo PE100 90° 050mm TF"/>
        <s v="Codo PE100 90° 063mm EF"/>
        <s v="Codo PE100 90° 063mm TF"/>
        <s v="Codo PE100 90° 110mm EF"/>
        <s v="Codo PE100 90° 110mm TF"/>
        <s v="Codo PE100 90° 160mm TF"/>
        <s v="Codo PE100 90° 160mm EF"/>
        <s v="Codo PE100 90° 200mm TF"/>
        <s v="Codo PE100 90º 250 mm TF"/>
        <s v="Codo So/So 1 1/2 IN Bronce"/>
        <s v="Tubo PVC 110 mm PN6 CG Amarillo Tira 6 m"/>
        <s v="Tubo PVC 160 mm PN6 CG Amarillo"/>
        <s v="Tubo PVC 200 mm PN6 CG Amarillo"/>
        <s v="Tubo PVC 250 mm PN6 CG Amarillo"/>
        <s v="Tapa Tornillo Cambio de Codigo por: 2008481"/>
        <s v="Tapa Tornillo Bronce 3/4&quot; HE Bspt."/>
        <s v="Válvula Bola 3/4&quot; Hi Un Cuerpo Pn5 Arco"/>
        <s v="Cinta Plástica &quot;Línea GN&quot;, 30 x 0.1"/>
        <s v="Cable Trazador Cu 14 AWG Aisl. THW Roj"/>
        <s v="Teflón en Cinta de 3/4&quot; Ancho x 520&quot; a 5"/>
        <s v="Cartas Registradoras"/>
        <s v="Copla PE100 025mm EF"/>
        <s v="Copla PE100 040mm EF"/>
        <s v="Copla PE100 050mm EF"/>
        <s v="Copla PE100 063mm EF"/>
        <s v="Copla PE100 090mm EF"/>
        <s v="Copla PE100 110mm EF"/>
        <s v="Copla PE100 160mm EF"/>
        <s v="Copla PE100 200mm EF"/>
        <s v="Copla PE100 250mm EF"/>
        <s v="Tee PE  90 mm Termo F."/>
        <s v="Tee PE  63 mm Termo F."/>
        <s v="Tee PE  63 mm Electro F."/>
        <s v="Tee PE  50 mm Termo F."/>
        <s v="Tee PE  50 mm Electro F."/>
        <s v="Tee PE  25 mm Electro F."/>
        <s v="Tee PE  20 mm Electro F."/>
        <s v="Tee PE Reducción  63-50 mm TF"/>
        <s v="Tee PE Reducción 250-110 mm TF"/>
        <s v="Tee PE Reducción 200- 63 mm TF"/>
        <s v="Tee PE Reducción 160-110 mm TF"/>
        <s v="Tee PE Reducción 160- 63 mm TF"/>
        <s v="Tee PE Reducción 110-63 mm TF"/>
        <s v="Tee PE 200 mm Termo F."/>
        <s v="Tee PE 160 mm Termo F."/>
        <s v="Tee PE 160 mm Electro F."/>
        <s v="Tee PE 110 mm Termo F."/>
        <s v="Tee PE 110 mm Electro F."/>
        <s v="Tee PE100 250 mm Termo F."/>
        <s v="Tee PE Reducción  63-50 mm EF"/>
        <s v="Guardallave 040 mm, 22&quot; a 36&quot;"/>
        <s v="Guardallave 063 mm y 050 mm, 22&quot; a 36&quot;"/>
        <s v="Guardallave 063 mm y 050 mm, 32&quot; a 48&quot;"/>
        <s v="Guardallave 090 mm, 32&quot; a 48&quot;"/>
        <s v="Guardallave 110 mm, 22&quot; a 36&quot;"/>
        <s v="Guardallave 110 mm, 32&quot; a 48&quot;"/>
        <s v="Guardallave 160 mm, 22&quot; a 36&quot;"/>
        <s v="Guardallave 200 mm, 32&quot; a 48&quot;"/>
        <s v="Guardallave Fierro Fundido C/Tapa"/>
        <s v="Guardallave Hormigón 125 mm con Tapa"/>
        <s v="Reductor PE 110-50 mm Termo F."/>
        <s v="Reductor PE 110-90 mm Electro F."/>
        <s v="Reductor PE 110-90 mm Termo F."/>
        <s v="Reductor PE 160-110 mm Electro F."/>
        <s v="Reductor PE 160-110 mm Termo F."/>
        <s v="Reductor PE 200-160 mm Electro F."/>
        <s v="Reductor PE 200-160 mm Termo F."/>
        <s v="Reductor PE 250-200 mm Termo F."/>
        <s v="Reductor PE  25-20 mm Electro F."/>
        <s v="Reductor PE  40-25 mm Electro F."/>
        <s v="Reductor PE  40-25 mm Termo F."/>
        <s v="Reductor PE 50-32 mm Electro F."/>
        <s v="Reductor PE  50-40 mm Electro F."/>
        <s v="Reductor PE  63-40 mm Electro F."/>
        <s v="Reductor PE  63-50 mm Electro F."/>
        <s v="Reductor PE  63-50 mm Termo F."/>
        <s v="Reductor PE  90-63 mm Electro F."/>
        <s v="Reductor PE  90-63 mm Termo F."/>
        <s v="Reductor PE100 110-63 mm TF."/>
        <s v="Reductor PE100 250-160 mm TF."/>
        <s v="Tapa PE100 025 mm Termo F."/>
        <s v="Tapa PE  025 mm Termo F."/>
        <s v="Tapa PE  040 mm Termo F."/>
        <s v="Tapa PE  050 mm Termo F."/>
        <s v="Tapa PE  063 mm Termo F."/>
        <s v="Tapa PE 090 mm Termo F."/>
        <s v="Tapa PE 110 mm Termo F."/>
        <s v="Tapa PE 160 mm Termo F."/>
        <s v="Tapa PE 200 mm Termo F."/>
        <s v="Tapa PE100 250 mm Termo F."/>
        <s v="Tapa PE 063 mm Electro F."/>
        <s v="Placa Precaución PL-01 LINEA CONTINUA"/>
        <s v="Placa Precaución PL-02 TEE"/>
        <s v="Placa Precaución PL-03 CRUCE"/>
        <s v="Placa Precaución PL-04 CODO"/>
        <s v="Placa Precaución PL-05 FIN DE LINEA"/>
        <s v="Risers Ac,Recto 3/4 &quot;x25 mm"/>
        <s v="Risers de Acero 3/4&quot; Bsp x 25 mm"/>
        <s v="Tapping Tee PE 40-32 mm EF"/>
        <s v="Tapping Tee PE 50-25 mm"/>
        <s v="Tapping Tee PE 50-32 mm"/>
        <s v="Tapping Tee PE 50-40 mm"/>
        <s v="Tapping Tee PE 63-25 mm"/>
        <s v="Tapping Tee PE 63-40 mm"/>
        <s v="Tapping Tee PE 63-63 mm"/>
        <s v="Tapping Tee PE 90-25 mm"/>
        <s v="Tapping Tee PE 90-40 mm"/>
        <s v="Tapping Tee PE 90-63 mm"/>
        <s v="Tapping Tee PE 110-25 mm"/>
        <s v="Tapping Tee PE 110-40 mm"/>
        <s v="Tapping Tee PE 110-63 mm"/>
        <s v="Tapping Tee PE 160-25 mm"/>
        <s v="Tapping Tee PE 160-40 mm"/>
        <s v="Tapping Tee PE 160-63 mm"/>
        <s v="Tapping Tee PE 200-25 mm"/>
        <s v="Tapping Tee PE 200-63 mm"/>
        <s v="Tapping Tee PE 250-25 mm"/>
        <s v="Tapping Tee PE 250-40 mm"/>
        <s v="Tapping Tee PE 250-63 mm"/>
        <s v="Limitador Flujo P/Tapping Tee 25 MM"/>
        <s v="Regulador Sum. Fe-10, 20 Mbar P.Fior"/>
        <s v="Regulador Sum. Fe-25, 20 Mbar P.Fior"/>
        <s v="Regulador Sum. Fe-6, 20 Mbar P.Fior"/>
        <s v="Regulador Sum. Fe-40, 20 Mbar P.Fior"/>
        <s v="Transición Latón 3/4&quot;x25 MM PE100, SDR11"/>
        <s v="MRP-(4/1,2)-(S)-1"/>
        <s v="MRP-400-(4/1,2)-(S)-1"/>
        <s v="MRP-120-(4/1,2)-(S)-2"/>
        <s v="MRP-400-(4/1,2)-(S)-2"/>
        <s v="MRPC-120-(4/1,2)-(S)-2"/>
        <s v="Toma Supraflow 250 - 160 m"/>
        <s v="Toma Supraflow 200 - 160 m"/>
        <s v="Toma Supraflow 160 - 110 m"/>
        <s v="Toma Supraflow 110 - 110 mm"/>
        <s v="Anillo Cámara Modular 800x800 H=150 E6"/>
        <s v="Disco Corte 115 x 22,2 x 2,5 mm A30Pbf"/>
        <s v="Lata de Espuma Poliuretano Adimus / 500 ML"/>
        <s v="Tapa AX-S Composite 800x800 B125"/>
        <s v="Tapagorro Cobre 1 1/2&quot; Soldar"/>
        <s v="Transición PE100-Cu K, 50 mm x 1 1/2&quot;"/>
        <s v="Ánodo Magne. Alto Potencial 9 Lbs"/>
        <s v="Cañeria de Cobre Tipo L 1/2&quot; D."/>
        <s v="Copla Cobre So/So 1 1/2&quot;"/>
        <s v="Alcohol Isopropilico  500 ml"/>
        <s v="Toalla Nova Clasica"/>
        <s v="Detector de Fugas Klinsol"/>
        <s v="Cañeria Tipo L 1&quot;"/>
        <s v="Cañeria Tipo L 1 1/2"/>
        <s v="Copla de Cobre 1 1/2"/>
        <s v="Codo de Cobre 1 1/2"/>
        <s v="Fundente U 250 grs."/>
        <s v="Copla Cobre 1 1/2 x 1"/>
        <s v="Soldadura de Plata 15%"/>
        <s v="Terminal Bronce So He 1"/>
        <s v="Tapagorro Cobre 1 1/2"/>
        <s v="Anodo de Magnesio Alto Potencial 17 Lbs"/>
        <s v="Tapa PE 0 90 mm Termo F." u="1"/>
        <s v="Tapa Tornillo Galvan. 3/4&quot;Bspt Astm A197" u="1"/>
      </sharedItems>
    </cacheField>
    <cacheField name="ENTRADAS" numFmtId="0">
      <sharedItems containsSemiMixedTypes="0" containsString="0" containsNumber="1" minValue="0" maxValue="16715"/>
    </cacheField>
    <cacheField name="SALIDAS" numFmtId="0">
      <sharedItems containsSemiMixedTypes="0" containsString="0" containsNumber="1" minValue="0" maxValue="10849"/>
    </cacheField>
    <cacheField name="EXISTENCIAS" numFmtId="0">
      <sharedItems containsSemiMixedTypes="0" containsString="0" containsNumber="1" minValue="-2" maxValue="60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0">
  <r>
    <x v="0"/>
    <x v="0"/>
    <n v="2"/>
    <x v="0"/>
    <m/>
    <x v="0"/>
    <x v="0"/>
    <s v="Devolución"/>
    <m/>
    <m/>
    <m/>
    <x v="0"/>
    <m/>
    <x v="0"/>
    <x v="0"/>
    <x v="0"/>
  </r>
  <r>
    <x v="1"/>
    <x v="1"/>
    <n v="2"/>
    <x v="0"/>
    <m/>
    <x v="0"/>
    <x v="0"/>
    <s v="Devolución"/>
    <m/>
    <m/>
    <m/>
    <x v="0"/>
    <m/>
    <x v="0"/>
    <x v="0"/>
    <x v="0"/>
  </r>
  <r>
    <x v="0"/>
    <x v="0"/>
    <n v="1"/>
    <x v="0"/>
    <m/>
    <x v="1"/>
    <x v="0"/>
    <s v="Devolución"/>
    <m/>
    <m/>
    <m/>
    <x v="0"/>
    <m/>
    <x v="1"/>
    <x v="0"/>
    <x v="0"/>
  </r>
  <r>
    <x v="1"/>
    <x v="1"/>
    <n v="1"/>
    <x v="0"/>
    <m/>
    <x v="1"/>
    <x v="0"/>
    <s v="Devolución"/>
    <m/>
    <m/>
    <m/>
    <x v="0"/>
    <m/>
    <x v="1"/>
    <x v="0"/>
    <x v="0"/>
  </r>
  <r>
    <x v="1"/>
    <x v="1"/>
    <n v="2"/>
    <x v="0"/>
    <m/>
    <x v="2"/>
    <x v="0"/>
    <s v="Devolución"/>
    <m/>
    <m/>
    <m/>
    <x v="0"/>
    <m/>
    <x v="2"/>
    <x v="0"/>
    <x v="0"/>
  </r>
  <r>
    <x v="2"/>
    <x v="2"/>
    <n v="4.2"/>
    <x v="0"/>
    <m/>
    <x v="2"/>
    <x v="0"/>
    <s v="Devolución"/>
    <m/>
    <m/>
    <m/>
    <x v="0"/>
    <m/>
    <x v="2"/>
    <x v="0"/>
    <x v="0"/>
  </r>
  <r>
    <x v="1"/>
    <x v="1"/>
    <n v="2"/>
    <x v="0"/>
    <m/>
    <x v="3"/>
    <x v="0"/>
    <s v="Devolución"/>
    <m/>
    <m/>
    <m/>
    <x v="0"/>
    <m/>
    <x v="3"/>
    <x v="0"/>
    <x v="0"/>
  </r>
  <r>
    <x v="3"/>
    <x v="3"/>
    <n v="480"/>
    <x v="1"/>
    <n v="883642"/>
    <x v="4"/>
    <x v="0"/>
    <s v="Venta"/>
    <m/>
    <s v="G-011-01-44551"/>
    <d v="2025-07-30T00:00:00"/>
    <x v="1"/>
    <m/>
    <x v="4"/>
    <x v="1"/>
    <x v="1"/>
  </r>
  <r>
    <x v="3"/>
    <x v="3"/>
    <n v="552"/>
    <x v="2"/>
    <n v="4500519765"/>
    <x v="5"/>
    <x v="0"/>
    <s v="Venta"/>
    <m/>
    <s v="G-011-01-44551"/>
    <d v="2025-08-13T00:00:00"/>
    <x v="1"/>
    <m/>
    <x v="5"/>
    <x v="1"/>
    <x v="2"/>
  </r>
  <r>
    <x v="4"/>
    <x v="4"/>
    <n v="1"/>
    <x v="3"/>
    <n v="883641"/>
    <x v="6"/>
    <x v="0"/>
    <s v="Venta"/>
    <m/>
    <m/>
    <m/>
    <x v="0"/>
    <m/>
    <x v="6"/>
    <x v="1"/>
    <x v="3"/>
  </r>
  <r>
    <x v="5"/>
    <x v="5"/>
    <n v="1"/>
    <x v="0"/>
    <m/>
    <x v="7"/>
    <x v="1"/>
    <s v="Devolución"/>
    <m/>
    <m/>
    <m/>
    <x v="0"/>
    <m/>
    <x v="7"/>
    <x v="0"/>
    <x v="0"/>
  </r>
  <r>
    <x v="6"/>
    <x v="6"/>
    <n v="0.3"/>
    <x v="0"/>
    <m/>
    <x v="7"/>
    <x v="1"/>
    <s v="Devolución"/>
    <m/>
    <m/>
    <m/>
    <x v="0"/>
    <m/>
    <x v="7"/>
    <x v="0"/>
    <x v="0"/>
  </r>
  <r>
    <x v="7"/>
    <x v="7"/>
    <n v="2.7"/>
    <x v="0"/>
    <m/>
    <x v="7"/>
    <x v="1"/>
    <s v="Devolución"/>
    <m/>
    <m/>
    <m/>
    <x v="0"/>
    <m/>
    <x v="7"/>
    <x v="0"/>
    <x v="0"/>
  </r>
  <r>
    <x v="1"/>
    <x v="1"/>
    <n v="2"/>
    <x v="0"/>
    <m/>
    <x v="8"/>
    <x v="2"/>
    <s v="Devolución"/>
    <m/>
    <m/>
    <m/>
    <x v="0"/>
    <m/>
    <x v="6"/>
    <x v="0"/>
    <x v="0"/>
  </r>
  <r>
    <x v="2"/>
    <x v="2"/>
    <n v="2"/>
    <x v="0"/>
    <m/>
    <x v="8"/>
    <x v="2"/>
    <s v="Devolución"/>
    <m/>
    <m/>
    <m/>
    <x v="0"/>
    <m/>
    <x v="6"/>
    <x v="0"/>
    <x v="0"/>
  </r>
  <r>
    <x v="5"/>
    <x v="5"/>
    <n v="3"/>
    <x v="0"/>
    <m/>
    <x v="8"/>
    <x v="2"/>
    <s v="Devolución"/>
    <m/>
    <m/>
    <m/>
    <x v="0"/>
    <m/>
    <x v="6"/>
    <x v="0"/>
    <x v="0"/>
  </r>
  <r>
    <x v="8"/>
    <x v="8"/>
    <n v="1"/>
    <x v="0"/>
    <m/>
    <x v="8"/>
    <x v="2"/>
    <s v="Devolución"/>
    <m/>
    <m/>
    <m/>
    <x v="0"/>
    <m/>
    <x v="6"/>
    <x v="0"/>
    <x v="0"/>
  </r>
  <r>
    <x v="3"/>
    <x v="3"/>
    <n v="2"/>
    <x v="0"/>
    <m/>
    <x v="8"/>
    <x v="2"/>
    <s v="Devolución"/>
    <m/>
    <m/>
    <m/>
    <x v="0"/>
    <m/>
    <x v="6"/>
    <x v="0"/>
    <x v="0"/>
  </r>
  <r>
    <x v="9"/>
    <x v="9"/>
    <n v="2"/>
    <x v="0"/>
    <m/>
    <x v="8"/>
    <x v="2"/>
    <s v="Devolución"/>
    <m/>
    <m/>
    <m/>
    <x v="0"/>
    <m/>
    <x v="6"/>
    <x v="0"/>
    <x v="0"/>
  </r>
  <r>
    <x v="6"/>
    <x v="6"/>
    <n v="1200"/>
    <x v="4"/>
    <n v="883642"/>
    <x v="9"/>
    <x v="3"/>
    <s v="Venta"/>
    <m/>
    <s v="G-011-01-44548"/>
    <d v="2025-04-04T00:00:00"/>
    <x v="0"/>
    <m/>
    <x v="4"/>
    <x v="1"/>
    <x v="4"/>
  </r>
  <r>
    <x v="10"/>
    <x v="10"/>
    <n v="100"/>
    <x v="5"/>
    <n v="883642"/>
    <x v="9"/>
    <x v="3"/>
    <s v="Venta"/>
    <m/>
    <s v="G-011-01-44550"/>
    <d v="2025-04-17T00:00:00"/>
    <x v="0"/>
    <m/>
    <x v="4"/>
    <x v="1"/>
    <x v="4"/>
  </r>
  <r>
    <x v="10"/>
    <x v="10"/>
    <n v="400"/>
    <x v="6"/>
    <n v="4500519755"/>
    <x v="10"/>
    <x v="3"/>
    <s v="Venta"/>
    <m/>
    <s v="G-011-01-44550"/>
    <d v="2025-04-17T00:00:00"/>
    <x v="0"/>
    <m/>
    <x v="8"/>
    <x v="1"/>
    <x v="5"/>
  </r>
  <r>
    <x v="11"/>
    <x v="11"/>
    <n v="1"/>
    <x v="7"/>
    <n v="4500520097"/>
    <x v="11"/>
    <x v="2"/>
    <s v="Reserva"/>
    <m/>
    <m/>
    <m/>
    <x v="0"/>
    <m/>
    <x v="9"/>
    <x v="0"/>
    <x v="0"/>
  </r>
  <r>
    <x v="12"/>
    <x v="12"/>
    <n v="4"/>
    <x v="8"/>
    <n v="4500520039"/>
    <x v="12"/>
    <x v="2"/>
    <s v="Reserva"/>
    <m/>
    <m/>
    <m/>
    <x v="0"/>
    <m/>
    <x v="10"/>
    <x v="0"/>
    <x v="0"/>
  </r>
  <r>
    <x v="13"/>
    <x v="13"/>
    <n v="1"/>
    <x v="9"/>
    <n v="4500520039"/>
    <x v="12"/>
    <x v="2"/>
    <s v="Reserva"/>
    <m/>
    <m/>
    <m/>
    <x v="0"/>
    <m/>
    <x v="10"/>
    <x v="0"/>
    <x v="0"/>
  </r>
  <r>
    <x v="14"/>
    <x v="14"/>
    <n v="4"/>
    <x v="10"/>
    <n v="4500520039"/>
    <x v="12"/>
    <x v="2"/>
    <s v="Reserva"/>
    <m/>
    <m/>
    <m/>
    <x v="0"/>
    <m/>
    <x v="10"/>
    <x v="0"/>
    <x v="0"/>
  </r>
  <r>
    <x v="15"/>
    <x v="15"/>
    <n v="1"/>
    <x v="11"/>
    <n v="4500520039"/>
    <x v="12"/>
    <x v="2"/>
    <s v="Reserva"/>
    <m/>
    <m/>
    <m/>
    <x v="0"/>
    <m/>
    <x v="10"/>
    <x v="0"/>
    <x v="0"/>
  </r>
  <r>
    <x v="16"/>
    <x v="16"/>
    <n v="1"/>
    <x v="12"/>
    <n v="4500520039"/>
    <x v="12"/>
    <x v="2"/>
    <s v="Reserva"/>
    <m/>
    <m/>
    <m/>
    <x v="0"/>
    <m/>
    <x v="10"/>
    <x v="0"/>
    <x v="0"/>
  </r>
  <r>
    <x v="17"/>
    <x v="17"/>
    <n v="1"/>
    <x v="13"/>
    <n v="4500520039"/>
    <x v="12"/>
    <x v="2"/>
    <s v="Reserva"/>
    <m/>
    <m/>
    <m/>
    <x v="0"/>
    <m/>
    <x v="10"/>
    <x v="0"/>
    <x v="0"/>
  </r>
  <r>
    <x v="10"/>
    <x v="10"/>
    <n v="150"/>
    <x v="14"/>
    <n v="4500519755"/>
    <x v="13"/>
    <x v="3"/>
    <s v="Venta"/>
    <m/>
    <s v="G-011-01-44550"/>
    <d v="2025-04-17T00:00:00"/>
    <x v="1"/>
    <m/>
    <x v="8"/>
    <x v="1"/>
    <x v="6"/>
  </r>
  <r>
    <x v="18"/>
    <x v="18"/>
    <n v="2000"/>
    <x v="15"/>
    <n v="883642"/>
    <x v="14"/>
    <x v="4"/>
    <s v="Venta"/>
    <m/>
    <m/>
    <m/>
    <x v="0"/>
    <m/>
    <x v="4"/>
    <x v="1"/>
    <x v="7"/>
  </r>
  <r>
    <x v="19"/>
    <x v="19"/>
    <n v="2000"/>
    <x v="16"/>
    <n v="883642"/>
    <x v="14"/>
    <x v="4"/>
    <s v="Venta"/>
    <m/>
    <m/>
    <m/>
    <x v="0"/>
    <m/>
    <x v="4"/>
    <x v="1"/>
    <x v="7"/>
  </r>
  <r>
    <x v="20"/>
    <x v="20"/>
    <n v="3"/>
    <x v="17"/>
    <n v="4500519835"/>
    <x v="15"/>
    <x v="4"/>
    <s v="Venta"/>
    <m/>
    <m/>
    <m/>
    <x v="0"/>
    <m/>
    <x v="11"/>
    <x v="2"/>
    <x v="8"/>
  </r>
  <r>
    <x v="18"/>
    <x v="18"/>
    <n v="400"/>
    <x v="18"/>
    <n v="4500519835"/>
    <x v="15"/>
    <x v="4"/>
    <s v="Venta"/>
    <m/>
    <m/>
    <m/>
    <x v="0"/>
    <m/>
    <x v="11"/>
    <x v="2"/>
    <x v="8"/>
  </r>
  <r>
    <x v="19"/>
    <x v="19"/>
    <n v="400"/>
    <x v="19"/>
    <n v="4500519835"/>
    <x v="15"/>
    <x v="4"/>
    <s v="Venta"/>
    <m/>
    <m/>
    <m/>
    <x v="0"/>
    <m/>
    <x v="11"/>
    <x v="2"/>
    <x v="8"/>
  </r>
  <r>
    <x v="2"/>
    <x v="2"/>
    <n v="150"/>
    <x v="20"/>
    <n v="4500519835"/>
    <x v="15"/>
    <x v="4"/>
    <s v="Venta"/>
    <m/>
    <m/>
    <m/>
    <x v="0"/>
    <m/>
    <x v="11"/>
    <x v="2"/>
    <x v="8"/>
  </r>
  <r>
    <x v="21"/>
    <x v="21"/>
    <n v="28"/>
    <x v="21"/>
    <n v="4500519835"/>
    <x v="15"/>
    <x v="4"/>
    <s v="Venta"/>
    <m/>
    <m/>
    <m/>
    <x v="0"/>
    <m/>
    <x v="11"/>
    <x v="2"/>
    <x v="8"/>
  </r>
  <r>
    <x v="22"/>
    <x v="22"/>
    <n v="28"/>
    <x v="22"/>
    <n v="4500519835"/>
    <x v="15"/>
    <x v="4"/>
    <s v="Venta"/>
    <m/>
    <m/>
    <m/>
    <x v="0"/>
    <m/>
    <x v="11"/>
    <x v="2"/>
    <x v="8"/>
  </r>
  <r>
    <x v="18"/>
    <x v="18"/>
    <n v="1200"/>
    <x v="23"/>
    <n v="4500519765"/>
    <x v="16"/>
    <x v="4"/>
    <s v="Venta"/>
    <m/>
    <m/>
    <m/>
    <x v="0"/>
    <m/>
    <x v="5"/>
    <x v="1"/>
    <x v="9"/>
  </r>
  <r>
    <x v="19"/>
    <x v="19"/>
    <n v="1200"/>
    <x v="24"/>
    <n v="4500519765"/>
    <x v="16"/>
    <x v="4"/>
    <s v="Venta"/>
    <m/>
    <m/>
    <m/>
    <x v="0"/>
    <m/>
    <x v="5"/>
    <x v="1"/>
    <x v="9"/>
  </r>
  <r>
    <x v="20"/>
    <x v="20"/>
    <n v="37"/>
    <x v="25"/>
    <n v="4500519755"/>
    <x v="17"/>
    <x v="4"/>
    <s v="Venta"/>
    <m/>
    <m/>
    <m/>
    <x v="0"/>
    <m/>
    <x v="8"/>
    <x v="1"/>
    <x v="10"/>
  </r>
  <r>
    <x v="18"/>
    <x v="18"/>
    <n v="2000"/>
    <x v="15"/>
    <n v="4500519755"/>
    <x v="17"/>
    <x v="4"/>
    <s v="Venta"/>
    <m/>
    <m/>
    <m/>
    <x v="0"/>
    <m/>
    <x v="8"/>
    <x v="1"/>
    <x v="10"/>
  </r>
  <r>
    <x v="19"/>
    <x v="19"/>
    <n v="2000"/>
    <x v="16"/>
    <n v="4500519755"/>
    <x v="17"/>
    <x v="4"/>
    <s v="Venta"/>
    <m/>
    <m/>
    <m/>
    <x v="0"/>
    <m/>
    <x v="8"/>
    <x v="1"/>
    <x v="10"/>
  </r>
  <r>
    <x v="21"/>
    <x v="21"/>
    <n v="79"/>
    <x v="26"/>
    <n v="4500519755"/>
    <x v="17"/>
    <x v="4"/>
    <s v="Venta"/>
    <m/>
    <m/>
    <m/>
    <x v="0"/>
    <m/>
    <x v="8"/>
    <x v="1"/>
    <x v="10"/>
  </r>
  <r>
    <x v="22"/>
    <x v="22"/>
    <n v="79"/>
    <x v="27"/>
    <n v="4500519755"/>
    <x v="17"/>
    <x v="4"/>
    <s v="Venta"/>
    <m/>
    <m/>
    <m/>
    <x v="0"/>
    <m/>
    <x v="8"/>
    <x v="1"/>
    <x v="10"/>
  </r>
  <r>
    <x v="23"/>
    <x v="23"/>
    <n v="3"/>
    <x v="28"/>
    <n v="4500519755"/>
    <x v="17"/>
    <x v="4"/>
    <s v="Venta"/>
    <m/>
    <m/>
    <m/>
    <x v="0"/>
    <m/>
    <x v="8"/>
    <x v="1"/>
    <x v="10"/>
  </r>
  <r>
    <x v="24"/>
    <x v="24"/>
    <n v="6"/>
    <x v="29"/>
    <n v="4500519755"/>
    <x v="17"/>
    <x v="4"/>
    <s v="Venta"/>
    <m/>
    <m/>
    <m/>
    <x v="0"/>
    <m/>
    <x v="8"/>
    <x v="1"/>
    <x v="10"/>
  </r>
  <r>
    <x v="2"/>
    <x v="2"/>
    <n v="600"/>
    <x v="30"/>
    <n v="4500519755"/>
    <x v="17"/>
    <x v="4"/>
    <s v="Venta"/>
    <m/>
    <m/>
    <m/>
    <x v="0"/>
    <m/>
    <x v="8"/>
    <x v="1"/>
    <x v="10"/>
  </r>
  <r>
    <x v="25"/>
    <x v="25"/>
    <n v="1"/>
    <x v="31"/>
    <n v="4500519923"/>
    <x v="18"/>
    <x v="4"/>
    <s v="Reserva"/>
    <m/>
    <m/>
    <m/>
    <x v="0"/>
    <m/>
    <x v="12"/>
    <x v="0"/>
    <x v="0"/>
  </r>
  <r>
    <x v="14"/>
    <x v="14"/>
    <n v="1"/>
    <x v="32"/>
    <n v="4500519923"/>
    <x v="18"/>
    <x v="4"/>
    <s v="Reserva"/>
    <m/>
    <m/>
    <m/>
    <x v="0"/>
    <m/>
    <x v="12"/>
    <x v="0"/>
    <x v="0"/>
  </r>
  <r>
    <x v="26"/>
    <x v="26"/>
    <n v="28"/>
    <x v="33"/>
    <n v="4500519835"/>
    <x v="19"/>
    <x v="4"/>
    <s v="Reserva"/>
    <m/>
    <m/>
    <m/>
    <x v="0"/>
    <m/>
    <x v="11"/>
    <x v="0"/>
    <x v="0"/>
  </r>
  <r>
    <x v="27"/>
    <x v="27"/>
    <n v="28"/>
    <x v="34"/>
    <n v="4500519835"/>
    <x v="19"/>
    <x v="4"/>
    <s v="Reserva"/>
    <m/>
    <m/>
    <m/>
    <x v="0"/>
    <m/>
    <x v="11"/>
    <x v="0"/>
    <x v="0"/>
  </r>
  <r>
    <x v="28"/>
    <x v="28"/>
    <n v="1"/>
    <x v="35"/>
    <n v="4500519835"/>
    <x v="19"/>
    <x v="4"/>
    <s v="Reserva"/>
    <m/>
    <m/>
    <m/>
    <x v="0"/>
    <m/>
    <x v="11"/>
    <x v="0"/>
    <x v="0"/>
  </r>
  <r>
    <x v="12"/>
    <x v="12"/>
    <n v="1"/>
    <x v="36"/>
    <n v="4500519835"/>
    <x v="19"/>
    <x v="4"/>
    <s v="Reserva"/>
    <m/>
    <m/>
    <m/>
    <x v="0"/>
    <m/>
    <x v="11"/>
    <x v="0"/>
    <x v="0"/>
  </r>
  <r>
    <x v="1"/>
    <x v="1"/>
    <n v="57"/>
    <x v="37"/>
    <n v="4500519835"/>
    <x v="19"/>
    <x v="4"/>
    <s v="Reserva"/>
    <m/>
    <m/>
    <m/>
    <x v="0"/>
    <m/>
    <x v="11"/>
    <x v="0"/>
    <x v="0"/>
  </r>
  <r>
    <x v="29"/>
    <x v="29"/>
    <n v="1"/>
    <x v="38"/>
    <n v="4500519835"/>
    <x v="19"/>
    <x v="4"/>
    <s v="Reserva"/>
    <m/>
    <m/>
    <m/>
    <x v="0"/>
    <m/>
    <x v="11"/>
    <x v="0"/>
    <x v="0"/>
  </r>
  <r>
    <x v="14"/>
    <x v="14"/>
    <n v="6"/>
    <x v="39"/>
    <n v="4500519835"/>
    <x v="19"/>
    <x v="4"/>
    <s v="Reserva"/>
    <m/>
    <m/>
    <m/>
    <x v="0"/>
    <m/>
    <x v="11"/>
    <x v="0"/>
    <x v="0"/>
  </r>
  <r>
    <x v="5"/>
    <x v="5"/>
    <n v="7"/>
    <x v="40"/>
    <n v="4500519835"/>
    <x v="19"/>
    <x v="4"/>
    <s v="Reserva"/>
    <m/>
    <m/>
    <m/>
    <x v="0"/>
    <m/>
    <x v="11"/>
    <x v="0"/>
    <x v="0"/>
  </r>
  <r>
    <x v="30"/>
    <x v="30"/>
    <n v="27"/>
    <x v="41"/>
    <n v="4500519835"/>
    <x v="19"/>
    <x v="4"/>
    <s v="Reserva"/>
    <m/>
    <m/>
    <m/>
    <x v="0"/>
    <m/>
    <x v="11"/>
    <x v="0"/>
    <x v="0"/>
  </r>
  <r>
    <x v="31"/>
    <x v="31"/>
    <n v="12"/>
    <x v="42"/>
    <n v="4500519755"/>
    <x v="20"/>
    <x v="4"/>
    <s v="Reserva"/>
    <m/>
    <m/>
    <m/>
    <x v="0"/>
    <m/>
    <x v="8"/>
    <x v="0"/>
    <x v="0"/>
  </r>
  <r>
    <x v="32"/>
    <x v="32"/>
    <n v="1"/>
    <x v="43"/>
    <n v="4500519755"/>
    <x v="20"/>
    <x v="4"/>
    <s v="Reserva"/>
    <m/>
    <m/>
    <m/>
    <x v="0"/>
    <m/>
    <x v="8"/>
    <x v="0"/>
    <x v="0"/>
  </r>
  <r>
    <x v="16"/>
    <x v="16"/>
    <n v="1"/>
    <x v="12"/>
    <n v="4500519755"/>
    <x v="20"/>
    <x v="4"/>
    <s v="Reserva"/>
    <m/>
    <m/>
    <m/>
    <x v="0"/>
    <m/>
    <x v="8"/>
    <x v="0"/>
    <x v="0"/>
  </r>
  <r>
    <x v="8"/>
    <x v="8"/>
    <n v="27"/>
    <x v="44"/>
    <n v="4500519755"/>
    <x v="20"/>
    <x v="4"/>
    <s v="Reserva"/>
    <m/>
    <m/>
    <m/>
    <x v="0"/>
    <m/>
    <x v="8"/>
    <x v="0"/>
    <x v="0"/>
  </r>
  <r>
    <x v="33"/>
    <x v="33"/>
    <n v="2"/>
    <x v="45"/>
    <n v="4500519755"/>
    <x v="20"/>
    <x v="4"/>
    <s v="Reserva"/>
    <m/>
    <m/>
    <m/>
    <x v="0"/>
    <m/>
    <x v="8"/>
    <x v="0"/>
    <x v="0"/>
  </r>
  <r>
    <x v="34"/>
    <x v="34"/>
    <n v="10"/>
    <x v="46"/>
    <n v="4500519755"/>
    <x v="20"/>
    <x v="4"/>
    <s v="Reserva"/>
    <m/>
    <m/>
    <m/>
    <x v="0"/>
    <m/>
    <x v="8"/>
    <x v="0"/>
    <x v="0"/>
  </r>
  <r>
    <x v="35"/>
    <x v="35"/>
    <n v="1"/>
    <x v="47"/>
    <n v="4500519755"/>
    <x v="20"/>
    <x v="4"/>
    <s v="Reserva"/>
    <m/>
    <m/>
    <m/>
    <x v="0"/>
    <m/>
    <x v="8"/>
    <x v="0"/>
    <x v="0"/>
  </r>
  <r>
    <x v="27"/>
    <x v="27"/>
    <n v="79"/>
    <x v="48"/>
    <n v="4500519755"/>
    <x v="20"/>
    <x v="4"/>
    <s v="Reserva"/>
    <m/>
    <m/>
    <m/>
    <x v="0"/>
    <m/>
    <x v="8"/>
    <x v="0"/>
    <x v="0"/>
  </r>
  <r>
    <x v="1"/>
    <x v="1"/>
    <n v="207"/>
    <x v="49"/>
    <n v="4500519755"/>
    <x v="20"/>
    <x v="4"/>
    <s v="Reserva"/>
    <m/>
    <m/>
    <m/>
    <x v="0"/>
    <m/>
    <x v="8"/>
    <x v="0"/>
    <x v="0"/>
  </r>
  <r>
    <x v="28"/>
    <x v="28"/>
    <n v="29"/>
    <x v="50"/>
    <n v="4500519755"/>
    <x v="20"/>
    <x v="4"/>
    <s v="Reserva"/>
    <m/>
    <m/>
    <m/>
    <x v="0"/>
    <m/>
    <x v="8"/>
    <x v="0"/>
    <x v="0"/>
  </r>
  <r>
    <x v="36"/>
    <x v="36"/>
    <n v="2"/>
    <x v="51"/>
    <n v="4500519755"/>
    <x v="20"/>
    <x v="4"/>
    <s v="Reserva"/>
    <m/>
    <m/>
    <m/>
    <x v="0"/>
    <m/>
    <x v="8"/>
    <x v="0"/>
    <x v="0"/>
  </r>
  <r>
    <x v="37"/>
    <x v="37"/>
    <n v="3"/>
    <x v="52"/>
    <n v="4500519755"/>
    <x v="20"/>
    <x v="4"/>
    <s v="Reserva"/>
    <m/>
    <m/>
    <m/>
    <x v="0"/>
    <m/>
    <x v="8"/>
    <x v="0"/>
    <x v="0"/>
  </r>
  <r>
    <x v="5"/>
    <x v="5"/>
    <n v="22"/>
    <x v="53"/>
    <n v="4500519755"/>
    <x v="20"/>
    <x v="4"/>
    <s v="Reserva"/>
    <m/>
    <m/>
    <m/>
    <x v="0"/>
    <m/>
    <x v="8"/>
    <x v="0"/>
    <x v="0"/>
  </r>
  <r>
    <x v="29"/>
    <x v="29"/>
    <n v="6"/>
    <x v="54"/>
    <n v="4500519755"/>
    <x v="20"/>
    <x v="4"/>
    <s v="Reserva"/>
    <m/>
    <m/>
    <m/>
    <x v="0"/>
    <m/>
    <x v="8"/>
    <x v="0"/>
    <x v="0"/>
  </r>
  <r>
    <x v="38"/>
    <x v="38"/>
    <n v="2"/>
    <x v="55"/>
    <n v="4500519755"/>
    <x v="20"/>
    <x v="4"/>
    <s v="Reserva"/>
    <m/>
    <m/>
    <m/>
    <x v="0"/>
    <m/>
    <x v="8"/>
    <x v="0"/>
    <x v="0"/>
  </r>
  <r>
    <x v="39"/>
    <x v="39"/>
    <n v="3"/>
    <x v="56"/>
    <n v="4500519755"/>
    <x v="20"/>
    <x v="4"/>
    <s v="Reserva"/>
    <m/>
    <m/>
    <m/>
    <x v="0"/>
    <m/>
    <x v="8"/>
    <x v="0"/>
    <x v="0"/>
  </r>
  <r>
    <x v="40"/>
    <x v="40"/>
    <n v="46"/>
    <x v="57"/>
    <n v="4500519755"/>
    <x v="20"/>
    <x v="4"/>
    <s v="Reserva"/>
    <m/>
    <m/>
    <m/>
    <x v="0"/>
    <m/>
    <x v="8"/>
    <x v="0"/>
    <x v="0"/>
  </r>
  <r>
    <x v="30"/>
    <x v="30"/>
    <n v="90"/>
    <x v="58"/>
    <n v="4500519755"/>
    <x v="20"/>
    <x v="4"/>
    <s v="Reserva"/>
    <m/>
    <m/>
    <m/>
    <x v="0"/>
    <m/>
    <x v="8"/>
    <x v="0"/>
    <x v="0"/>
  </r>
  <r>
    <x v="41"/>
    <x v="41"/>
    <n v="1"/>
    <x v="59"/>
    <n v="4500519755"/>
    <x v="20"/>
    <x v="4"/>
    <s v="Reserva"/>
    <m/>
    <m/>
    <m/>
    <x v="0"/>
    <m/>
    <x v="8"/>
    <x v="0"/>
    <x v="0"/>
  </r>
  <r>
    <x v="12"/>
    <x v="12"/>
    <n v="10"/>
    <x v="60"/>
    <n v="4500519755"/>
    <x v="20"/>
    <x v="4"/>
    <s v="Reserva"/>
    <m/>
    <m/>
    <m/>
    <x v="0"/>
    <m/>
    <x v="8"/>
    <x v="0"/>
    <x v="0"/>
  </r>
  <r>
    <x v="26"/>
    <x v="26"/>
    <n v="52"/>
    <x v="61"/>
    <n v="4500519755"/>
    <x v="20"/>
    <x v="4"/>
    <s v="Reserva"/>
    <m/>
    <m/>
    <m/>
    <x v="0"/>
    <m/>
    <x v="8"/>
    <x v="0"/>
    <x v="0"/>
  </r>
  <r>
    <x v="8"/>
    <x v="8"/>
    <n v="1"/>
    <x v="62"/>
    <n v="4500519757"/>
    <x v="21"/>
    <x v="4"/>
    <s v="Reserva"/>
    <m/>
    <m/>
    <m/>
    <x v="0"/>
    <m/>
    <x v="6"/>
    <x v="0"/>
    <x v="0"/>
  </r>
  <r>
    <x v="38"/>
    <x v="38"/>
    <n v="7"/>
    <x v="63"/>
    <n v="4500519758"/>
    <x v="22"/>
    <x v="4"/>
    <s v="Reserva"/>
    <m/>
    <m/>
    <m/>
    <x v="0"/>
    <m/>
    <x v="4"/>
    <x v="0"/>
    <x v="0"/>
  </r>
  <r>
    <x v="8"/>
    <x v="8"/>
    <n v="5"/>
    <x v="64"/>
    <n v="4500519758"/>
    <x v="22"/>
    <x v="4"/>
    <s v="Reserva"/>
    <m/>
    <m/>
    <m/>
    <x v="0"/>
    <m/>
    <x v="4"/>
    <x v="0"/>
    <x v="0"/>
  </r>
  <r>
    <x v="5"/>
    <x v="5"/>
    <n v="10"/>
    <x v="65"/>
    <n v="4500519765"/>
    <x v="23"/>
    <x v="4"/>
    <s v="Reserva"/>
    <m/>
    <m/>
    <m/>
    <x v="0"/>
    <m/>
    <x v="5"/>
    <x v="0"/>
    <x v="0"/>
  </r>
  <r>
    <x v="12"/>
    <x v="12"/>
    <n v="10"/>
    <x v="60"/>
    <n v="4500519765"/>
    <x v="23"/>
    <x v="4"/>
    <s v="Reserva"/>
    <m/>
    <m/>
    <m/>
    <x v="0"/>
    <m/>
    <x v="5"/>
    <x v="0"/>
    <x v="0"/>
  </r>
  <r>
    <x v="42"/>
    <x v="42"/>
    <n v="10"/>
    <x v="66"/>
    <n v="4500519765"/>
    <x v="23"/>
    <x v="4"/>
    <s v="Reserva"/>
    <m/>
    <m/>
    <m/>
    <x v="0"/>
    <m/>
    <x v="5"/>
    <x v="0"/>
    <x v="0"/>
  </r>
  <r>
    <x v="43"/>
    <x v="43"/>
    <n v="6"/>
    <x v="67"/>
    <n v="4500519765"/>
    <x v="23"/>
    <x v="4"/>
    <s v="Reserva"/>
    <m/>
    <m/>
    <m/>
    <x v="0"/>
    <m/>
    <x v="5"/>
    <x v="0"/>
    <x v="0"/>
  </r>
  <r>
    <x v="17"/>
    <x v="17"/>
    <n v="12"/>
    <x v="68"/>
    <n v="4500519765"/>
    <x v="23"/>
    <x v="4"/>
    <s v="Reserva"/>
    <m/>
    <m/>
    <m/>
    <x v="0"/>
    <m/>
    <x v="5"/>
    <x v="0"/>
    <x v="0"/>
  </r>
  <r>
    <x v="13"/>
    <x v="13"/>
    <n v="8"/>
    <x v="69"/>
    <n v="4500519765"/>
    <x v="23"/>
    <x v="4"/>
    <s v="Reserva"/>
    <m/>
    <m/>
    <m/>
    <x v="0"/>
    <m/>
    <x v="5"/>
    <x v="0"/>
    <x v="0"/>
  </r>
  <r>
    <x v="15"/>
    <x v="15"/>
    <n v="4"/>
    <x v="70"/>
    <n v="4500519765"/>
    <x v="23"/>
    <x v="4"/>
    <s v="Reserva"/>
    <m/>
    <m/>
    <m/>
    <x v="0"/>
    <m/>
    <x v="5"/>
    <x v="0"/>
    <x v="0"/>
  </r>
  <r>
    <x v="0"/>
    <x v="0"/>
    <n v="1"/>
    <x v="71"/>
    <n v="4500519770"/>
    <x v="24"/>
    <x v="4"/>
    <s v="Reserva"/>
    <m/>
    <m/>
    <m/>
    <x v="0"/>
    <m/>
    <x v="13"/>
    <x v="0"/>
    <x v="0"/>
  </r>
  <r>
    <x v="30"/>
    <x v="30"/>
    <n v="1"/>
    <x v="72"/>
    <n v="4500519771"/>
    <x v="25"/>
    <x v="4"/>
    <s v="Reserva"/>
    <m/>
    <m/>
    <m/>
    <x v="0"/>
    <m/>
    <x v="1"/>
    <x v="0"/>
    <x v="0"/>
  </r>
  <r>
    <x v="0"/>
    <x v="0"/>
    <n v="2"/>
    <x v="73"/>
    <n v="4500519771"/>
    <x v="25"/>
    <x v="4"/>
    <s v="Reserva"/>
    <m/>
    <m/>
    <m/>
    <x v="0"/>
    <m/>
    <x v="1"/>
    <x v="0"/>
    <x v="0"/>
  </r>
  <r>
    <x v="1"/>
    <x v="1"/>
    <n v="1"/>
    <x v="74"/>
    <n v="4500519771"/>
    <x v="25"/>
    <x v="4"/>
    <s v="Reserva"/>
    <m/>
    <m/>
    <m/>
    <x v="0"/>
    <m/>
    <x v="1"/>
    <x v="0"/>
    <x v="0"/>
  </r>
  <r>
    <x v="14"/>
    <x v="14"/>
    <n v="2"/>
    <x v="75"/>
    <n v="4500519772"/>
    <x v="26"/>
    <x v="4"/>
    <s v="Reserva"/>
    <m/>
    <m/>
    <m/>
    <x v="0"/>
    <m/>
    <x v="12"/>
    <x v="0"/>
    <x v="0"/>
  </r>
  <r>
    <x v="44"/>
    <x v="44"/>
    <n v="6"/>
    <x v="76"/>
    <n v="4500519495"/>
    <x v="27"/>
    <x v="5"/>
    <s v="Venta"/>
    <m/>
    <m/>
    <m/>
    <x v="0"/>
    <m/>
    <x v="9"/>
    <x v="1"/>
    <x v="0"/>
  </r>
  <r>
    <x v="45"/>
    <x v="45"/>
    <n v="1"/>
    <x v="77"/>
    <n v="4500519495"/>
    <x v="27"/>
    <x v="5"/>
    <s v="Venta"/>
    <m/>
    <m/>
    <m/>
    <x v="0"/>
    <m/>
    <x v="9"/>
    <x v="1"/>
    <x v="0"/>
  </r>
  <r>
    <x v="23"/>
    <x v="23"/>
    <n v="1"/>
    <x v="78"/>
    <n v="4500519494"/>
    <x v="28"/>
    <x v="5"/>
    <s v="Venta"/>
    <m/>
    <m/>
    <m/>
    <x v="0"/>
    <m/>
    <x v="3"/>
    <x v="1"/>
    <x v="11"/>
  </r>
  <r>
    <x v="22"/>
    <x v="22"/>
    <n v="1"/>
    <x v="79"/>
    <n v="4500519494"/>
    <x v="28"/>
    <x v="5"/>
    <s v="Venta"/>
    <m/>
    <m/>
    <m/>
    <x v="0"/>
    <m/>
    <x v="3"/>
    <x v="1"/>
    <x v="11"/>
  </r>
  <r>
    <x v="21"/>
    <x v="21"/>
    <n v="1"/>
    <x v="80"/>
    <n v="4500519494"/>
    <x v="28"/>
    <x v="5"/>
    <s v="Venta"/>
    <m/>
    <m/>
    <m/>
    <x v="0"/>
    <m/>
    <x v="3"/>
    <x v="1"/>
    <x v="11"/>
  </r>
  <r>
    <x v="23"/>
    <x v="23"/>
    <n v="1"/>
    <x v="78"/>
    <n v="4500519493"/>
    <x v="29"/>
    <x v="5"/>
    <s v="Venta"/>
    <m/>
    <m/>
    <m/>
    <x v="0"/>
    <m/>
    <x v="2"/>
    <x v="1"/>
    <x v="12"/>
  </r>
  <r>
    <x v="22"/>
    <x v="22"/>
    <n v="1"/>
    <x v="79"/>
    <n v="4500519493"/>
    <x v="29"/>
    <x v="5"/>
    <s v="Venta"/>
    <m/>
    <m/>
    <m/>
    <x v="0"/>
    <m/>
    <x v="2"/>
    <x v="1"/>
    <x v="12"/>
  </r>
  <r>
    <x v="21"/>
    <x v="21"/>
    <n v="1"/>
    <x v="80"/>
    <n v="4500519493"/>
    <x v="29"/>
    <x v="5"/>
    <s v="Venta"/>
    <m/>
    <m/>
    <m/>
    <x v="0"/>
    <m/>
    <x v="2"/>
    <x v="1"/>
    <x v="12"/>
  </r>
  <r>
    <x v="2"/>
    <x v="2"/>
    <n v="50"/>
    <x v="81"/>
    <n v="4500519493"/>
    <x v="29"/>
    <x v="5"/>
    <s v="Venta"/>
    <m/>
    <s v="G-011-01-44546"/>
    <d v="2025-08-14T00:00:00"/>
    <x v="0"/>
    <m/>
    <x v="2"/>
    <x v="1"/>
    <x v="12"/>
  </r>
  <r>
    <x v="21"/>
    <x v="21"/>
    <n v="1"/>
    <x v="80"/>
    <n v="4500519492"/>
    <x v="30"/>
    <x v="5"/>
    <s v="Venta"/>
    <m/>
    <m/>
    <m/>
    <x v="0"/>
    <m/>
    <x v="14"/>
    <x v="1"/>
    <x v="13"/>
  </r>
  <r>
    <x v="22"/>
    <x v="22"/>
    <n v="1"/>
    <x v="79"/>
    <n v="4500519492"/>
    <x v="30"/>
    <x v="5"/>
    <s v="Venta"/>
    <m/>
    <m/>
    <m/>
    <x v="0"/>
    <m/>
    <x v="14"/>
    <x v="1"/>
    <x v="13"/>
  </r>
  <r>
    <x v="18"/>
    <x v="18"/>
    <n v="100"/>
    <x v="82"/>
    <n v="4500519492"/>
    <x v="30"/>
    <x v="5"/>
    <s v="Venta"/>
    <m/>
    <m/>
    <m/>
    <x v="0"/>
    <m/>
    <x v="14"/>
    <x v="1"/>
    <x v="13"/>
  </r>
  <r>
    <x v="19"/>
    <x v="19"/>
    <n v="100"/>
    <x v="83"/>
    <n v="4500519492"/>
    <x v="30"/>
    <x v="5"/>
    <s v="Venta"/>
    <m/>
    <m/>
    <m/>
    <x v="0"/>
    <m/>
    <x v="14"/>
    <x v="1"/>
    <x v="13"/>
  </r>
  <r>
    <x v="23"/>
    <x v="23"/>
    <n v="1"/>
    <x v="78"/>
    <n v="4500519492"/>
    <x v="30"/>
    <x v="5"/>
    <s v="Venta"/>
    <m/>
    <m/>
    <m/>
    <x v="0"/>
    <m/>
    <x v="14"/>
    <x v="1"/>
    <x v="13"/>
  </r>
  <r>
    <x v="20"/>
    <x v="20"/>
    <n v="3"/>
    <x v="17"/>
    <n v="4500519492"/>
    <x v="30"/>
    <x v="5"/>
    <s v="Venta"/>
    <m/>
    <m/>
    <m/>
    <x v="0"/>
    <m/>
    <x v="14"/>
    <x v="1"/>
    <x v="13"/>
  </r>
  <r>
    <x v="10"/>
    <x v="10"/>
    <n v="150"/>
    <x v="14"/>
    <n v="4500519492"/>
    <x v="30"/>
    <x v="5"/>
    <s v="Venta"/>
    <m/>
    <s v="G-011-01-44550"/>
    <d v="2025-08-08T00:00:00"/>
    <x v="1"/>
    <m/>
    <x v="14"/>
    <x v="1"/>
    <x v="13"/>
  </r>
  <r>
    <x v="24"/>
    <x v="24"/>
    <n v="6"/>
    <x v="29"/>
    <n v="4500519492"/>
    <x v="30"/>
    <x v="5"/>
    <s v="Venta"/>
    <m/>
    <m/>
    <m/>
    <x v="0"/>
    <m/>
    <x v="14"/>
    <x v="1"/>
    <x v="13"/>
  </r>
  <r>
    <x v="45"/>
    <x v="45"/>
    <n v="1"/>
    <x v="77"/>
    <n v="4500519492"/>
    <x v="30"/>
    <x v="5"/>
    <s v="Venta"/>
    <m/>
    <m/>
    <m/>
    <x v="0"/>
    <m/>
    <x v="14"/>
    <x v="1"/>
    <x v="13"/>
  </r>
  <r>
    <x v="44"/>
    <x v="44"/>
    <n v="6"/>
    <x v="76"/>
    <n v="4500519492"/>
    <x v="30"/>
    <x v="5"/>
    <s v="Venta"/>
    <m/>
    <m/>
    <m/>
    <x v="0"/>
    <m/>
    <x v="14"/>
    <x v="1"/>
    <x v="13"/>
  </r>
  <r>
    <x v="46"/>
    <x v="46"/>
    <n v="3"/>
    <x v="84"/>
    <n v="4500519492"/>
    <x v="31"/>
    <x v="5"/>
    <s v="Reserva"/>
    <m/>
    <m/>
    <m/>
    <x v="0"/>
    <m/>
    <x v="14"/>
    <x v="0"/>
    <x v="0"/>
  </r>
  <r>
    <x v="40"/>
    <x v="40"/>
    <n v="1"/>
    <x v="85"/>
    <n v="4500519492"/>
    <x v="31"/>
    <x v="5"/>
    <s v="Reserva"/>
    <m/>
    <m/>
    <m/>
    <x v="0"/>
    <m/>
    <x v="14"/>
    <x v="0"/>
    <x v="0"/>
  </r>
  <r>
    <x v="47"/>
    <x v="47"/>
    <n v="4"/>
    <x v="86"/>
    <n v="4500519453"/>
    <x v="32"/>
    <x v="5"/>
    <s v="Reserva"/>
    <m/>
    <m/>
    <m/>
    <x v="0"/>
    <m/>
    <x v="9"/>
    <x v="0"/>
    <x v="0"/>
  </r>
  <r>
    <x v="27"/>
    <x v="27"/>
    <n v="1"/>
    <x v="87"/>
    <n v="4500519492"/>
    <x v="33"/>
    <x v="5"/>
    <s v="Reserva"/>
    <m/>
    <m/>
    <m/>
    <x v="0"/>
    <m/>
    <x v="14"/>
    <x v="0"/>
    <x v="0"/>
  </r>
  <r>
    <x v="1"/>
    <x v="1"/>
    <n v="3"/>
    <x v="88"/>
    <n v="4500519492"/>
    <x v="33"/>
    <x v="5"/>
    <s v="Reserva"/>
    <m/>
    <m/>
    <m/>
    <x v="0"/>
    <m/>
    <x v="14"/>
    <x v="0"/>
    <x v="0"/>
  </r>
  <r>
    <x v="48"/>
    <x v="48"/>
    <n v="1"/>
    <x v="89"/>
    <n v="4500519492"/>
    <x v="33"/>
    <x v="5"/>
    <s v="Reserva"/>
    <m/>
    <m/>
    <m/>
    <x v="0"/>
    <m/>
    <x v="14"/>
    <x v="0"/>
    <x v="0"/>
  </r>
  <r>
    <x v="5"/>
    <x v="5"/>
    <n v="3"/>
    <x v="90"/>
    <n v="4500519492"/>
    <x v="33"/>
    <x v="5"/>
    <s v="Reserva"/>
    <m/>
    <m/>
    <m/>
    <x v="0"/>
    <m/>
    <x v="14"/>
    <x v="0"/>
    <x v="0"/>
  </r>
  <r>
    <x v="14"/>
    <x v="14"/>
    <n v="3"/>
    <x v="91"/>
    <n v="4500519492"/>
    <x v="33"/>
    <x v="5"/>
    <s v="Reserva"/>
    <m/>
    <m/>
    <m/>
    <x v="0"/>
    <m/>
    <x v="14"/>
    <x v="0"/>
    <x v="0"/>
  </r>
  <r>
    <x v="49"/>
    <x v="49"/>
    <n v="1"/>
    <x v="92"/>
    <n v="4500519492"/>
    <x v="33"/>
    <x v="5"/>
    <s v="Reserva"/>
    <m/>
    <m/>
    <m/>
    <x v="0"/>
    <m/>
    <x v="14"/>
    <x v="0"/>
    <x v="0"/>
  </r>
  <r>
    <x v="12"/>
    <x v="12"/>
    <n v="1"/>
    <x v="36"/>
    <n v="4500519492"/>
    <x v="33"/>
    <x v="5"/>
    <s v="Reserva"/>
    <m/>
    <m/>
    <m/>
    <x v="0"/>
    <m/>
    <x v="14"/>
    <x v="0"/>
    <x v="0"/>
  </r>
  <r>
    <x v="28"/>
    <x v="28"/>
    <n v="1"/>
    <x v="35"/>
    <n v="4500519492"/>
    <x v="33"/>
    <x v="5"/>
    <s v="Reserva"/>
    <m/>
    <m/>
    <m/>
    <x v="0"/>
    <m/>
    <x v="14"/>
    <x v="0"/>
    <x v="0"/>
  </r>
  <r>
    <x v="50"/>
    <x v="50"/>
    <n v="1"/>
    <x v="93"/>
    <n v="4500519492"/>
    <x v="33"/>
    <x v="5"/>
    <s v="Reserva"/>
    <m/>
    <m/>
    <m/>
    <x v="0"/>
    <m/>
    <x v="14"/>
    <x v="0"/>
    <x v="0"/>
  </r>
  <r>
    <x v="51"/>
    <x v="51"/>
    <n v="1"/>
    <x v="94"/>
    <n v="4500519492"/>
    <x v="33"/>
    <x v="5"/>
    <s v="Reserva"/>
    <s v="M42000001302022"/>
    <m/>
    <m/>
    <x v="0"/>
    <m/>
    <x v="14"/>
    <x v="0"/>
    <x v="0"/>
  </r>
  <r>
    <x v="38"/>
    <x v="38"/>
    <n v="3"/>
    <x v="95"/>
    <n v="4500519492"/>
    <x v="33"/>
    <x v="5"/>
    <s v="Reserva"/>
    <m/>
    <m/>
    <m/>
    <x v="0"/>
    <m/>
    <x v="14"/>
    <x v="0"/>
    <x v="0"/>
  </r>
  <r>
    <x v="29"/>
    <x v="29"/>
    <n v="1"/>
    <x v="38"/>
    <n v="4500519492"/>
    <x v="33"/>
    <x v="5"/>
    <s v="Reserva"/>
    <m/>
    <m/>
    <m/>
    <x v="0"/>
    <m/>
    <x v="14"/>
    <x v="0"/>
    <x v="0"/>
  </r>
  <r>
    <x v="8"/>
    <x v="8"/>
    <n v="9"/>
    <x v="96"/>
    <n v="4500519492"/>
    <x v="33"/>
    <x v="5"/>
    <s v="Reserva"/>
    <m/>
    <m/>
    <m/>
    <x v="0"/>
    <m/>
    <x v="14"/>
    <x v="0"/>
    <x v="0"/>
  </r>
  <r>
    <x v="36"/>
    <x v="36"/>
    <n v="3"/>
    <x v="97"/>
    <n v="4500519492"/>
    <x v="33"/>
    <x v="5"/>
    <s v="Reserva"/>
    <m/>
    <m/>
    <m/>
    <x v="0"/>
    <m/>
    <x v="14"/>
    <x v="0"/>
    <x v="0"/>
  </r>
  <r>
    <x v="16"/>
    <x v="16"/>
    <n v="1"/>
    <x v="12"/>
    <n v="4500519492"/>
    <x v="33"/>
    <x v="5"/>
    <s v="Reserva"/>
    <m/>
    <m/>
    <m/>
    <x v="0"/>
    <m/>
    <x v="14"/>
    <x v="0"/>
    <x v="0"/>
  </r>
  <r>
    <x v="52"/>
    <x v="52"/>
    <n v="8"/>
    <x v="98"/>
    <n v="4500519492"/>
    <x v="33"/>
    <x v="5"/>
    <s v="Reserva"/>
    <m/>
    <m/>
    <m/>
    <x v="0"/>
    <m/>
    <x v="14"/>
    <x v="0"/>
    <x v="0"/>
  </r>
  <r>
    <x v="30"/>
    <x v="30"/>
    <n v="1"/>
    <x v="72"/>
    <n v="4500519494"/>
    <x v="34"/>
    <x v="5"/>
    <s v="Reserva"/>
    <m/>
    <m/>
    <m/>
    <x v="0"/>
    <m/>
    <x v="3"/>
    <x v="0"/>
    <x v="0"/>
  </r>
  <r>
    <x v="1"/>
    <x v="1"/>
    <n v="4"/>
    <x v="99"/>
    <n v="4500519494"/>
    <x v="34"/>
    <x v="5"/>
    <s v="Reserva"/>
    <m/>
    <m/>
    <m/>
    <x v="0"/>
    <m/>
    <x v="3"/>
    <x v="0"/>
    <x v="0"/>
  </r>
  <r>
    <x v="53"/>
    <x v="53"/>
    <n v="1"/>
    <x v="100"/>
    <n v="4500519494"/>
    <x v="34"/>
    <x v="5"/>
    <s v="Reserva"/>
    <m/>
    <m/>
    <m/>
    <x v="0"/>
    <m/>
    <x v="3"/>
    <x v="0"/>
    <x v="0"/>
  </r>
  <r>
    <x v="27"/>
    <x v="27"/>
    <n v="1"/>
    <x v="87"/>
    <n v="4500519494"/>
    <x v="34"/>
    <x v="5"/>
    <s v="Reserva"/>
    <m/>
    <m/>
    <m/>
    <x v="0"/>
    <m/>
    <x v="3"/>
    <x v="0"/>
    <x v="0"/>
  </r>
  <r>
    <x v="26"/>
    <x v="26"/>
    <n v="1"/>
    <x v="101"/>
    <n v="4500519494"/>
    <x v="34"/>
    <x v="5"/>
    <s v="Reserva"/>
    <m/>
    <m/>
    <m/>
    <x v="0"/>
    <m/>
    <x v="3"/>
    <x v="0"/>
    <x v="0"/>
  </r>
  <r>
    <x v="30"/>
    <x v="30"/>
    <n v="1"/>
    <x v="72"/>
    <n v="4500519493"/>
    <x v="35"/>
    <x v="5"/>
    <s v="Reserva"/>
    <m/>
    <m/>
    <m/>
    <x v="0"/>
    <m/>
    <x v="2"/>
    <x v="0"/>
    <x v="0"/>
  </r>
  <r>
    <x v="0"/>
    <x v="0"/>
    <n v="2"/>
    <x v="73"/>
    <n v="4500519493"/>
    <x v="35"/>
    <x v="5"/>
    <s v="Reserva"/>
    <m/>
    <m/>
    <m/>
    <x v="0"/>
    <m/>
    <x v="2"/>
    <x v="0"/>
    <x v="0"/>
  </r>
  <r>
    <x v="1"/>
    <x v="1"/>
    <n v="4"/>
    <x v="99"/>
    <n v="4500519493"/>
    <x v="35"/>
    <x v="5"/>
    <s v="Reserva"/>
    <m/>
    <m/>
    <m/>
    <x v="0"/>
    <m/>
    <x v="2"/>
    <x v="0"/>
    <x v="0"/>
  </r>
  <r>
    <x v="53"/>
    <x v="53"/>
    <n v="1"/>
    <x v="100"/>
    <n v="4500519493"/>
    <x v="35"/>
    <x v="5"/>
    <s v="Reserva"/>
    <m/>
    <m/>
    <m/>
    <x v="0"/>
    <m/>
    <x v="2"/>
    <x v="0"/>
    <x v="0"/>
  </r>
  <r>
    <x v="27"/>
    <x v="27"/>
    <n v="1"/>
    <x v="87"/>
    <n v="4500519493"/>
    <x v="35"/>
    <x v="5"/>
    <s v="Reserva"/>
    <m/>
    <m/>
    <m/>
    <x v="0"/>
    <m/>
    <x v="2"/>
    <x v="0"/>
    <x v="0"/>
  </r>
  <r>
    <x v="26"/>
    <x v="26"/>
    <n v="1"/>
    <x v="101"/>
    <n v="4500519493"/>
    <x v="35"/>
    <x v="5"/>
    <s v="Reserva"/>
    <m/>
    <m/>
    <m/>
    <x v="0"/>
    <m/>
    <x v="2"/>
    <x v="0"/>
    <x v="0"/>
  </r>
  <r>
    <x v="54"/>
    <x v="54"/>
    <n v="1"/>
    <x v="102"/>
    <n v="4500519495"/>
    <x v="36"/>
    <x v="5"/>
    <s v="Reserva"/>
    <s v="M12000004652019"/>
    <m/>
    <m/>
    <x v="0"/>
    <m/>
    <x v="9"/>
    <x v="0"/>
    <x v="0"/>
  </r>
  <r>
    <x v="30"/>
    <x v="30"/>
    <n v="1"/>
    <x v="0"/>
    <m/>
    <x v="37"/>
    <x v="6"/>
    <s v="Devolución"/>
    <m/>
    <m/>
    <m/>
    <x v="0"/>
    <m/>
    <x v="1"/>
    <x v="0"/>
    <x v="0"/>
  </r>
  <r>
    <x v="0"/>
    <x v="0"/>
    <n v="1"/>
    <x v="0"/>
    <m/>
    <x v="37"/>
    <x v="6"/>
    <s v="Devolución"/>
    <m/>
    <m/>
    <m/>
    <x v="0"/>
    <m/>
    <x v="1"/>
    <x v="0"/>
    <x v="0"/>
  </r>
  <r>
    <x v="40"/>
    <x v="40"/>
    <n v="4"/>
    <x v="103"/>
    <n v="4500519455"/>
    <x v="38"/>
    <x v="6"/>
    <s v="Reserva"/>
    <m/>
    <m/>
    <m/>
    <x v="0"/>
    <m/>
    <x v="15"/>
    <x v="0"/>
    <x v="0"/>
  </r>
  <r>
    <x v="30"/>
    <x v="30"/>
    <n v="8"/>
    <x v="104"/>
    <n v="4500519455"/>
    <x v="38"/>
    <x v="6"/>
    <s v="Reserva"/>
    <m/>
    <m/>
    <m/>
    <x v="0"/>
    <m/>
    <x v="15"/>
    <x v="0"/>
    <x v="0"/>
  </r>
  <r>
    <x v="27"/>
    <x v="27"/>
    <n v="8"/>
    <x v="105"/>
    <n v="4500519455"/>
    <x v="38"/>
    <x v="6"/>
    <s v="Reserva"/>
    <m/>
    <m/>
    <m/>
    <x v="0"/>
    <m/>
    <x v="15"/>
    <x v="0"/>
    <x v="0"/>
  </r>
  <r>
    <x v="55"/>
    <x v="55"/>
    <n v="4"/>
    <x v="106"/>
    <n v="4500519455"/>
    <x v="38"/>
    <x v="6"/>
    <s v="Reserva"/>
    <m/>
    <m/>
    <m/>
    <x v="0"/>
    <m/>
    <x v="15"/>
    <x v="0"/>
    <x v="0"/>
  </r>
  <r>
    <x v="0"/>
    <x v="0"/>
    <n v="16"/>
    <x v="107"/>
    <n v="4500519455"/>
    <x v="38"/>
    <x v="6"/>
    <s v="Reserva"/>
    <m/>
    <m/>
    <m/>
    <x v="0"/>
    <m/>
    <x v="15"/>
    <x v="0"/>
    <x v="0"/>
  </r>
  <r>
    <x v="8"/>
    <x v="8"/>
    <n v="2"/>
    <x v="108"/>
    <n v="4500519455"/>
    <x v="38"/>
    <x v="6"/>
    <s v="Reserva"/>
    <m/>
    <m/>
    <m/>
    <x v="0"/>
    <m/>
    <x v="15"/>
    <x v="0"/>
    <x v="0"/>
  </r>
  <r>
    <x v="39"/>
    <x v="39"/>
    <n v="1"/>
    <x v="109"/>
    <n v="4500519455"/>
    <x v="38"/>
    <x v="6"/>
    <s v="Reserva"/>
    <m/>
    <m/>
    <m/>
    <x v="0"/>
    <m/>
    <x v="15"/>
    <x v="0"/>
    <x v="0"/>
  </r>
  <r>
    <x v="36"/>
    <x v="36"/>
    <n v="4"/>
    <x v="110"/>
    <n v="4500519455"/>
    <x v="38"/>
    <x v="6"/>
    <s v="Reserva"/>
    <m/>
    <m/>
    <m/>
    <x v="0"/>
    <m/>
    <x v="15"/>
    <x v="0"/>
    <x v="0"/>
  </r>
  <r>
    <x v="38"/>
    <x v="38"/>
    <n v="2"/>
    <x v="55"/>
    <n v="4500519455"/>
    <x v="38"/>
    <x v="6"/>
    <s v="Reserva"/>
    <m/>
    <m/>
    <m/>
    <x v="0"/>
    <m/>
    <x v="15"/>
    <x v="0"/>
    <x v="0"/>
  </r>
  <r>
    <x v="22"/>
    <x v="22"/>
    <n v="8"/>
    <x v="111"/>
    <n v="4500519455"/>
    <x v="39"/>
    <x v="6"/>
    <s v="Venta"/>
    <m/>
    <m/>
    <m/>
    <x v="0"/>
    <m/>
    <x v="15"/>
    <x v="1"/>
    <x v="14"/>
  </r>
  <r>
    <x v="21"/>
    <x v="21"/>
    <n v="8"/>
    <x v="112"/>
    <n v="4500519455"/>
    <x v="39"/>
    <x v="6"/>
    <s v="Venta"/>
    <m/>
    <m/>
    <m/>
    <x v="0"/>
    <m/>
    <x v="15"/>
    <x v="1"/>
    <x v="14"/>
  </r>
  <r>
    <x v="56"/>
    <x v="56"/>
    <n v="2"/>
    <x v="113"/>
    <n v="4500519455"/>
    <x v="39"/>
    <x v="6"/>
    <s v="Venta"/>
    <m/>
    <m/>
    <m/>
    <x v="0"/>
    <m/>
    <x v="15"/>
    <x v="1"/>
    <x v="14"/>
  </r>
  <r>
    <x v="57"/>
    <x v="57"/>
    <n v="1"/>
    <x v="114"/>
    <n v="4500519615"/>
    <x v="40"/>
    <x v="6"/>
    <s v="Reserva"/>
    <m/>
    <m/>
    <m/>
    <x v="0"/>
    <m/>
    <x v="12"/>
    <x v="0"/>
    <x v="0"/>
  </r>
  <r>
    <x v="23"/>
    <x v="23"/>
    <n v="1"/>
    <x v="78"/>
    <n v="4500519264"/>
    <x v="41"/>
    <x v="7"/>
    <s v="Venta"/>
    <m/>
    <m/>
    <m/>
    <x v="0"/>
    <m/>
    <x v="12"/>
    <x v="1"/>
    <x v="15"/>
  </r>
  <r>
    <x v="22"/>
    <x v="22"/>
    <n v="2"/>
    <x v="115"/>
    <n v="4500519353"/>
    <x v="42"/>
    <x v="7"/>
    <s v="Venta"/>
    <m/>
    <m/>
    <m/>
    <x v="0"/>
    <m/>
    <x v="9"/>
    <x v="2"/>
    <x v="16"/>
  </r>
  <r>
    <x v="21"/>
    <x v="21"/>
    <n v="2"/>
    <x v="116"/>
    <n v="4500519353"/>
    <x v="42"/>
    <x v="7"/>
    <s v="Venta"/>
    <m/>
    <m/>
    <m/>
    <x v="0"/>
    <m/>
    <x v="9"/>
    <x v="2"/>
    <x v="16"/>
  </r>
  <r>
    <x v="18"/>
    <x v="18"/>
    <n v="200"/>
    <x v="117"/>
    <n v="4500519353"/>
    <x v="42"/>
    <x v="7"/>
    <s v="Venta"/>
    <m/>
    <m/>
    <m/>
    <x v="0"/>
    <m/>
    <x v="9"/>
    <x v="2"/>
    <x v="16"/>
  </r>
  <r>
    <x v="19"/>
    <x v="19"/>
    <n v="200"/>
    <x v="118"/>
    <n v="4500519353"/>
    <x v="42"/>
    <x v="7"/>
    <s v="Venta"/>
    <m/>
    <m/>
    <m/>
    <x v="0"/>
    <m/>
    <x v="9"/>
    <x v="2"/>
    <x v="16"/>
  </r>
  <r>
    <x v="2"/>
    <x v="2"/>
    <n v="100"/>
    <x v="119"/>
    <n v="4500519267"/>
    <x v="43"/>
    <x v="7"/>
    <s v="Venta"/>
    <m/>
    <s v="G-011-01-44546"/>
    <d v="2025-08-18T00:00:00"/>
    <x v="0"/>
    <m/>
    <x v="16"/>
    <x v="1"/>
    <x v="17"/>
  </r>
  <r>
    <x v="3"/>
    <x v="3"/>
    <n v="168"/>
    <x v="120"/>
    <n v="4500519353"/>
    <x v="44"/>
    <x v="8"/>
    <s v="Venta"/>
    <m/>
    <s v="G-011-01-44551"/>
    <d v="2025-07-31T00:00:00"/>
    <x v="1"/>
    <m/>
    <x v="9"/>
    <x v="2"/>
    <x v="18"/>
  </r>
  <r>
    <x v="4"/>
    <x v="4"/>
    <n v="2"/>
    <x v="121"/>
    <n v="4500519353"/>
    <x v="44"/>
    <x v="8"/>
    <s v="Venta"/>
    <m/>
    <m/>
    <m/>
    <x v="0"/>
    <m/>
    <x v="9"/>
    <x v="2"/>
    <x v="18"/>
  </r>
  <r>
    <x v="7"/>
    <x v="7"/>
    <n v="2"/>
    <x v="122"/>
    <n v="4500519100"/>
    <x v="45"/>
    <x v="8"/>
    <s v="Venta"/>
    <m/>
    <m/>
    <m/>
    <x v="0"/>
    <m/>
    <x v="17"/>
    <x v="2"/>
    <x v="19"/>
  </r>
  <r>
    <x v="58"/>
    <x v="58"/>
    <n v="3"/>
    <x v="123"/>
    <n v="4500519100"/>
    <x v="45"/>
    <x v="8"/>
    <s v="Venta"/>
    <m/>
    <m/>
    <m/>
    <x v="0"/>
    <m/>
    <x v="17"/>
    <x v="2"/>
    <x v="19"/>
  </r>
  <r>
    <x v="0"/>
    <x v="0"/>
    <n v="4"/>
    <x v="124"/>
    <n v="4500519265"/>
    <x v="46"/>
    <x v="7"/>
    <s v="Reserva"/>
    <m/>
    <m/>
    <m/>
    <x v="0"/>
    <m/>
    <x v="18"/>
    <x v="0"/>
    <x v="0"/>
  </r>
  <r>
    <x v="30"/>
    <x v="30"/>
    <n v="9"/>
    <x v="125"/>
    <n v="4500519267"/>
    <x v="47"/>
    <x v="7"/>
    <s v="Reserva"/>
    <m/>
    <m/>
    <m/>
    <x v="0"/>
    <m/>
    <x v="16"/>
    <x v="0"/>
    <x v="0"/>
  </r>
  <r>
    <x v="0"/>
    <x v="0"/>
    <n v="9"/>
    <x v="126"/>
    <n v="4500519267"/>
    <x v="47"/>
    <x v="7"/>
    <s v="Reserva"/>
    <m/>
    <m/>
    <m/>
    <x v="0"/>
    <m/>
    <x v="16"/>
    <x v="0"/>
    <x v="0"/>
  </r>
  <r>
    <x v="1"/>
    <x v="1"/>
    <n v="50"/>
    <x v="127"/>
    <n v="4500519267"/>
    <x v="47"/>
    <x v="7"/>
    <s v="Reserva"/>
    <m/>
    <m/>
    <m/>
    <x v="0"/>
    <m/>
    <x v="16"/>
    <x v="0"/>
    <x v="0"/>
  </r>
  <r>
    <x v="0"/>
    <x v="0"/>
    <n v="2"/>
    <x v="73"/>
    <n v="4500519268"/>
    <x v="48"/>
    <x v="7"/>
    <s v="Reserva"/>
    <m/>
    <m/>
    <m/>
    <x v="0"/>
    <m/>
    <x v="19"/>
    <x v="0"/>
    <x v="0"/>
  </r>
  <r>
    <x v="59"/>
    <x v="59"/>
    <n v="1"/>
    <x v="128"/>
    <n v="4500519264"/>
    <x v="49"/>
    <x v="7"/>
    <s v="Reserva"/>
    <m/>
    <m/>
    <m/>
    <x v="0"/>
    <m/>
    <x v="12"/>
    <x v="0"/>
    <x v="0"/>
  </r>
  <r>
    <x v="48"/>
    <x v="48"/>
    <n v="1"/>
    <x v="89"/>
    <n v="4500519264"/>
    <x v="49"/>
    <x v="7"/>
    <s v="Reserva"/>
    <m/>
    <m/>
    <m/>
    <x v="0"/>
    <m/>
    <x v="12"/>
    <x v="0"/>
    <x v="0"/>
  </r>
  <r>
    <x v="5"/>
    <x v="5"/>
    <n v="3"/>
    <x v="90"/>
    <n v="4500519264"/>
    <x v="49"/>
    <x v="7"/>
    <s v="Reserva"/>
    <m/>
    <m/>
    <m/>
    <x v="0"/>
    <m/>
    <x v="12"/>
    <x v="0"/>
    <x v="0"/>
  </r>
  <r>
    <x v="50"/>
    <x v="50"/>
    <n v="1"/>
    <x v="93"/>
    <n v="4500519264"/>
    <x v="49"/>
    <x v="7"/>
    <s v="Reserva"/>
    <m/>
    <m/>
    <m/>
    <x v="0"/>
    <m/>
    <x v="12"/>
    <x v="0"/>
    <x v="0"/>
  </r>
  <r>
    <x v="14"/>
    <x v="14"/>
    <n v="2"/>
    <x v="75"/>
    <n v="4500519264"/>
    <x v="49"/>
    <x v="7"/>
    <s v="Reserva"/>
    <m/>
    <m/>
    <m/>
    <x v="0"/>
    <m/>
    <x v="12"/>
    <x v="0"/>
    <x v="0"/>
  </r>
  <r>
    <x v="12"/>
    <x v="12"/>
    <n v="1"/>
    <x v="36"/>
    <n v="4500519264"/>
    <x v="49"/>
    <x v="7"/>
    <s v="Reserva"/>
    <m/>
    <m/>
    <m/>
    <x v="0"/>
    <m/>
    <x v="12"/>
    <x v="0"/>
    <x v="0"/>
  </r>
  <r>
    <x v="48"/>
    <x v="48"/>
    <n v="1"/>
    <x v="89"/>
    <n v="4500519264"/>
    <x v="49"/>
    <x v="7"/>
    <s v="Reserva"/>
    <m/>
    <m/>
    <m/>
    <x v="0"/>
    <m/>
    <x v="12"/>
    <x v="0"/>
    <x v="0"/>
  </r>
  <r>
    <x v="54"/>
    <x v="54"/>
    <n v="1"/>
    <x v="102"/>
    <n v="4500519264"/>
    <x v="49"/>
    <x v="7"/>
    <s v="Reserva"/>
    <s v="M12000003812019"/>
    <m/>
    <m/>
    <x v="0"/>
    <m/>
    <x v="12"/>
    <x v="0"/>
    <x v="0"/>
  </r>
  <r>
    <x v="13"/>
    <x v="13"/>
    <n v="1"/>
    <x v="9"/>
    <n v="4500519353"/>
    <x v="50"/>
    <x v="7"/>
    <s v="Reserva"/>
    <m/>
    <m/>
    <m/>
    <x v="0"/>
    <m/>
    <x v="9"/>
    <x v="0"/>
    <x v="0"/>
  </r>
  <r>
    <x v="60"/>
    <x v="60"/>
    <n v="1"/>
    <x v="129"/>
    <n v="4500519353"/>
    <x v="50"/>
    <x v="7"/>
    <s v="Reserva"/>
    <m/>
    <m/>
    <m/>
    <x v="0"/>
    <m/>
    <x v="9"/>
    <x v="0"/>
    <x v="0"/>
  </r>
  <r>
    <x v="49"/>
    <x v="49"/>
    <n v="10"/>
    <x v="130"/>
    <n v="4500519353"/>
    <x v="50"/>
    <x v="7"/>
    <s v="Reserva"/>
    <m/>
    <m/>
    <m/>
    <x v="0"/>
    <m/>
    <x v="9"/>
    <x v="0"/>
    <x v="0"/>
  </r>
  <r>
    <x v="17"/>
    <x v="17"/>
    <n v="2"/>
    <x v="131"/>
    <n v="4500519353"/>
    <x v="50"/>
    <x v="7"/>
    <s v="Reserva"/>
    <m/>
    <m/>
    <m/>
    <x v="0"/>
    <m/>
    <x v="9"/>
    <x v="0"/>
    <x v="0"/>
  </r>
  <r>
    <x v="0"/>
    <x v="0"/>
    <n v="2"/>
    <x v="73"/>
    <n v="4500519353"/>
    <x v="50"/>
    <x v="7"/>
    <s v="Reserva"/>
    <m/>
    <m/>
    <m/>
    <x v="0"/>
    <m/>
    <x v="9"/>
    <x v="0"/>
    <x v="0"/>
  </r>
  <r>
    <x v="55"/>
    <x v="55"/>
    <n v="2"/>
    <x v="73"/>
    <n v="4500519353"/>
    <x v="50"/>
    <x v="7"/>
    <s v="Reserva"/>
    <m/>
    <m/>
    <m/>
    <x v="0"/>
    <m/>
    <x v="9"/>
    <x v="0"/>
    <x v="0"/>
  </r>
  <r>
    <x v="27"/>
    <x v="27"/>
    <n v="2"/>
    <x v="132"/>
    <n v="4500519353"/>
    <x v="50"/>
    <x v="7"/>
    <s v="Reserva"/>
    <m/>
    <m/>
    <m/>
    <x v="0"/>
    <m/>
    <x v="9"/>
    <x v="0"/>
    <x v="0"/>
  </r>
  <r>
    <x v="61"/>
    <x v="61"/>
    <n v="24"/>
    <x v="133"/>
    <n v="12111135"/>
    <x v="51"/>
    <x v="9"/>
    <s v="Compra"/>
    <m/>
    <m/>
    <m/>
    <x v="0"/>
    <m/>
    <x v="20"/>
    <x v="0"/>
    <x v="0"/>
  </r>
  <r>
    <x v="62"/>
    <x v="62"/>
    <n v="48"/>
    <x v="134"/>
    <n v="12111135"/>
    <x v="51"/>
    <x v="9"/>
    <s v="Compra"/>
    <m/>
    <m/>
    <m/>
    <x v="0"/>
    <m/>
    <x v="20"/>
    <x v="0"/>
    <x v="0"/>
  </r>
  <r>
    <x v="5"/>
    <x v="5"/>
    <n v="1"/>
    <x v="0"/>
    <m/>
    <x v="7"/>
    <x v="1"/>
    <s v="Devolución"/>
    <m/>
    <m/>
    <m/>
    <x v="0"/>
    <m/>
    <x v="7"/>
    <x v="0"/>
    <x v="0"/>
  </r>
  <r>
    <x v="56"/>
    <x v="56"/>
    <n v="20"/>
    <x v="135"/>
    <n v="883415"/>
    <x v="52"/>
    <x v="10"/>
    <s v="Venta"/>
    <m/>
    <m/>
    <m/>
    <x v="0"/>
    <m/>
    <x v="20"/>
    <x v="1"/>
    <x v="20"/>
  </r>
  <r>
    <x v="63"/>
    <x v="63"/>
    <n v="20"/>
    <x v="136"/>
    <n v="883414"/>
    <x v="53"/>
    <x v="10"/>
    <s v="Venta"/>
    <m/>
    <m/>
    <m/>
    <x v="0"/>
    <m/>
    <x v="20"/>
    <x v="1"/>
    <x v="21"/>
  </r>
  <r>
    <x v="21"/>
    <x v="21"/>
    <n v="6"/>
    <x v="137"/>
    <n v="883390"/>
    <x v="54"/>
    <x v="10"/>
    <s v="Venta"/>
    <m/>
    <m/>
    <m/>
    <x v="0"/>
    <m/>
    <x v="17"/>
    <x v="2"/>
    <x v="22"/>
  </r>
  <r>
    <x v="24"/>
    <x v="24"/>
    <n v="6"/>
    <x v="29"/>
    <n v="4500519100"/>
    <x v="54"/>
    <x v="10"/>
    <s v="Venta"/>
    <m/>
    <m/>
    <m/>
    <x v="0"/>
    <m/>
    <x v="17"/>
    <x v="2"/>
    <x v="22"/>
  </r>
  <r>
    <x v="22"/>
    <x v="22"/>
    <n v="6"/>
    <x v="138"/>
    <n v="4500519100"/>
    <x v="54"/>
    <x v="10"/>
    <s v="Venta"/>
    <m/>
    <m/>
    <m/>
    <x v="0"/>
    <m/>
    <x v="17"/>
    <x v="2"/>
    <x v="22"/>
  </r>
  <r>
    <x v="18"/>
    <x v="18"/>
    <n v="400"/>
    <x v="18"/>
    <n v="4500519100"/>
    <x v="54"/>
    <x v="10"/>
    <s v="Venta"/>
    <m/>
    <m/>
    <m/>
    <x v="0"/>
    <m/>
    <x v="17"/>
    <x v="2"/>
    <x v="22"/>
  </r>
  <r>
    <x v="20"/>
    <x v="20"/>
    <n v="4"/>
    <x v="101"/>
    <n v="4500519100"/>
    <x v="54"/>
    <x v="10"/>
    <s v="Venta"/>
    <m/>
    <m/>
    <m/>
    <x v="0"/>
    <m/>
    <x v="17"/>
    <x v="2"/>
    <x v="22"/>
  </r>
  <r>
    <x v="64"/>
    <x v="64"/>
    <n v="2"/>
    <x v="139"/>
    <n v="4500519100"/>
    <x v="54"/>
    <x v="10"/>
    <s v="Venta"/>
    <m/>
    <m/>
    <m/>
    <x v="0"/>
    <m/>
    <x v="17"/>
    <x v="2"/>
    <x v="22"/>
  </r>
  <r>
    <x v="19"/>
    <x v="19"/>
    <n v="400"/>
    <x v="19"/>
    <n v="4500519100"/>
    <x v="54"/>
    <x v="10"/>
    <s v="Venta"/>
    <m/>
    <m/>
    <m/>
    <x v="0"/>
    <m/>
    <x v="17"/>
    <x v="2"/>
    <x v="22"/>
  </r>
  <r>
    <x v="23"/>
    <x v="23"/>
    <n v="5"/>
    <x v="140"/>
    <n v="4500519100"/>
    <x v="54"/>
    <x v="10"/>
    <s v="Venta"/>
    <m/>
    <m/>
    <m/>
    <x v="0"/>
    <m/>
    <x v="17"/>
    <x v="2"/>
    <x v="22"/>
  </r>
  <r>
    <x v="34"/>
    <x v="34"/>
    <n v="16"/>
    <x v="141"/>
    <n v="4500519100"/>
    <x v="55"/>
    <x v="10"/>
    <s v="Reserva"/>
    <m/>
    <m/>
    <m/>
    <x v="0"/>
    <m/>
    <x v="17"/>
    <x v="0"/>
    <x v="0"/>
  </r>
  <r>
    <x v="27"/>
    <x v="27"/>
    <n v="4"/>
    <x v="142"/>
    <n v="4500519100"/>
    <x v="55"/>
    <x v="10"/>
    <s v="Reserva"/>
    <m/>
    <m/>
    <m/>
    <x v="0"/>
    <m/>
    <x v="17"/>
    <x v="0"/>
    <x v="0"/>
  </r>
  <r>
    <x v="0"/>
    <x v="0"/>
    <n v="10"/>
    <x v="143"/>
    <n v="4500519100"/>
    <x v="55"/>
    <x v="10"/>
    <s v="Reserva"/>
    <m/>
    <m/>
    <m/>
    <x v="0"/>
    <m/>
    <x v="17"/>
    <x v="0"/>
    <x v="0"/>
  </r>
  <r>
    <x v="33"/>
    <x v="33"/>
    <n v="2"/>
    <x v="144"/>
    <n v="4500519100"/>
    <x v="55"/>
    <x v="10"/>
    <s v="Reserva"/>
    <m/>
    <m/>
    <m/>
    <x v="0"/>
    <m/>
    <x v="17"/>
    <x v="0"/>
    <x v="0"/>
  </r>
  <r>
    <x v="35"/>
    <x v="35"/>
    <n v="6"/>
    <x v="145"/>
    <n v="4500519100"/>
    <x v="55"/>
    <x v="10"/>
    <s v="Reserva"/>
    <m/>
    <m/>
    <m/>
    <x v="0"/>
    <m/>
    <x v="17"/>
    <x v="0"/>
    <x v="0"/>
  </r>
  <r>
    <x v="28"/>
    <x v="28"/>
    <n v="2"/>
    <x v="146"/>
    <n v="4500519100"/>
    <x v="55"/>
    <x v="10"/>
    <s v="Reserva"/>
    <m/>
    <m/>
    <m/>
    <x v="0"/>
    <m/>
    <x v="17"/>
    <x v="0"/>
    <x v="0"/>
  </r>
  <r>
    <x v="65"/>
    <x v="65"/>
    <n v="1"/>
    <x v="147"/>
    <n v="4500519100"/>
    <x v="55"/>
    <x v="10"/>
    <s v="Reserva"/>
    <m/>
    <m/>
    <m/>
    <x v="0"/>
    <m/>
    <x v="17"/>
    <x v="0"/>
    <x v="0"/>
  </r>
  <r>
    <x v="53"/>
    <x v="53"/>
    <n v="2"/>
    <x v="148"/>
    <n v="4500519100"/>
    <x v="55"/>
    <x v="10"/>
    <s v="Reserva"/>
    <m/>
    <m/>
    <m/>
    <x v="0"/>
    <m/>
    <x v="17"/>
    <x v="0"/>
    <x v="0"/>
  </r>
  <r>
    <x v="1"/>
    <x v="1"/>
    <n v="17"/>
    <x v="149"/>
    <n v="4500519100"/>
    <x v="55"/>
    <x v="10"/>
    <s v="Reserva"/>
    <m/>
    <m/>
    <m/>
    <x v="0"/>
    <m/>
    <x v="17"/>
    <x v="0"/>
    <x v="0"/>
  </r>
  <r>
    <x v="11"/>
    <x v="11"/>
    <n v="1"/>
    <x v="7"/>
    <n v="4500519100"/>
    <x v="55"/>
    <x v="10"/>
    <s v="Reserva"/>
    <m/>
    <m/>
    <m/>
    <x v="0"/>
    <m/>
    <x v="17"/>
    <x v="0"/>
    <x v="0"/>
  </r>
  <r>
    <x v="47"/>
    <x v="47"/>
    <n v="5"/>
    <x v="150"/>
    <n v="4500519100"/>
    <x v="55"/>
    <x v="10"/>
    <s v="Reserva"/>
    <m/>
    <m/>
    <m/>
    <x v="0"/>
    <m/>
    <x v="17"/>
    <x v="0"/>
    <x v="0"/>
  </r>
  <r>
    <x v="66"/>
    <x v="66"/>
    <n v="1"/>
    <x v="151"/>
    <n v="4500519100"/>
    <x v="55"/>
    <x v="10"/>
    <s v="Reserva"/>
    <m/>
    <m/>
    <m/>
    <x v="0"/>
    <m/>
    <x v="17"/>
    <x v="0"/>
    <x v="0"/>
  </r>
  <r>
    <x v="67"/>
    <x v="67"/>
    <n v="5"/>
    <x v="152"/>
    <n v="4500519100"/>
    <x v="55"/>
    <x v="10"/>
    <s v="Reserva"/>
    <m/>
    <m/>
    <m/>
    <x v="0"/>
    <m/>
    <x v="17"/>
    <x v="0"/>
    <x v="0"/>
  </r>
  <r>
    <x v="30"/>
    <x v="30"/>
    <n v="2"/>
    <x v="153"/>
    <n v="4500519100"/>
    <x v="55"/>
    <x v="10"/>
    <s v="Reserva"/>
    <m/>
    <m/>
    <m/>
    <x v="0"/>
    <m/>
    <x v="17"/>
    <x v="0"/>
    <x v="0"/>
  </r>
  <r>
    <x v="68"/>
    <x v="68"/>
    <n v="2"/>
    <x v="154"/>
    <n v="4500519100"/>
    <x v="55"/>
    <x v="10"/>
    <s v="Reserva"/>
    <m/>
    <m/>
    <m/>
    <x v="0"/>
    <m/>
    <x v="17"/>
    <x v="0"/>
    <x v="0"/>
  </r>
  <r>
    <x v="69"/>
    <x v="69"/>
    <n v="2"/>
    <x v="155"/>
    <n v="4500519100"/>
    <x v="55"/>
    <x v="10"/>
    <s v="Reserva"/>
    <m/>
    <m/>
    <m/>
    <x v="0"/>
    <m/>
    <x v="17"/>
    <x v="0"/>
    <x v="0"/>
  </r>
  <r>
    <x v="42"/>
    <x v="42"/>
    <n v="4"/>
    <x v="156"/>
    <n v="4500518959"/>
    <x v="56"/>
    <x v="10"/>
    <s v="Reserva"/>
    <m/>
    <m/>
    <m/>
    <x v="0"/>
    <s v="Adicional # 1 "/>
    <x v="10"/>
    <x v="0"/>
    <x v="0"/>
  </r>
  <r>
    <x v="49"/>
    <x v="49"/>
    <n v="3"/>
    <x v="157"/>
    <n v="4500518959"/>
    <x v="56"/>
    <x v="10"/>
    <s v="Reserva"/>
    <m/>
    <m/>
    <m/>
    <x v="0"/>
    <s v="Adicional # 1 "/>
    <x v="10"/>
    <x v="0"/>
    <x v="0"/>
  </r>
  <r>
    <x v="17"/>
    <x v="17"/>
    <n v="1"/>
    <x v="13"/>
    <n v="4500518959"/>
    <x v="56"/>
    <x v="10"/>
    <s v="Reserva"/>
    <m/>
    <m/>
    <m/>
    <x v="0"/>
    <s v="Adicional # 1 "/>
    <x v="10"/>
    <x v="0"/>
    <x v="0"/>
  </r>
  <r>
    <x v="17"/>
    <x v="17"/>
    <n v="10"/>
    <x v="158"/>
    <n v="4500519248"/>
    <x v="57"/>
    <x v="10"/>
    <s v="Reserva"/>
    <m/>
    <m/>
    <m/>
    <x v="0"/>
    <s v="Adicional # 2"/>
    <x v="21"/>
    <x v="0"/>
    <x v="0"/>
  </r>
  <r>
    <x v="49"/>
    <x v="49"/>
    <n v="10"/>
    <x v="130"/>
    <n v="4500519248"/>
    <x v="57"/>
    <x v="10"/>
    <s v="Reserva"/>
    <m/>
    <m/>
    <m/>
    <x v="0"/>
    <s v="Adicional # 2"/>
    <x v="21"/>
    <x v="0"/>
    <x v="0"/>
  </r>
  <r>
    <x v="28"/>
    <x v="28"/>
    <n v="10"/>
    <x v="159"/>
    <n v="4500519248"/>
    <x v="57"/>
    <x v="10"/>
    <s v="Reserva"/>
    <m/>
    <m/>
    <m/>
    <x v="0"/>
    <s v="Adicional # 2"/>
    <x v="21"/>
    <x v="0"/>
    <x v="0"/>
  </r>
  <r>
    <x v="1"/>
    <x v="1"/>
    <n v="10"/>
    <x v="160"/>
    <n v="4500519248"/>
    <x v="57"/>
    <x v="10"/>
    <s v="Reserva"/>
    <m/>
    <m/>
    <m/>
    <x v="0"/>
    <s v="Adicional # 2"/>
    <x v="21"/>
    <x v="0"/>
    <x v="0"/>
  </r>
  <r>
    <x v="0"/>
    <x v="0"/>
    <n v="5"/>
    <x v="161"/>
    <n v="4500519248"/>
    <x v="57"/>
    <x v="10"/>
    <s v="Reserva"/>
    <m/>
    <m/>
    <m/>
    <x v="0"/>
    <s v="Adicional # 2"/>
    <x v="21"/>
    <x v="0"/>
    <x v="0"/>
  </r>
  <r>
    <x v="47"/>
    <x v="47"/>
    <n v="4"/>
    <x v="86"/>
    <n v="4500518168"/>
    <x v="58"/>
    <x v="10"/>
    <s v="Reserva"/>
    <m/>
    <m/>
    <m/>
    <x v="0"/>
    <s v="Adicional # 3"/>
    <x v="9"/>
    <x v="0"/>
    <x v="0"/>
  </r>
  <r>
    <x v="34"/>
    <x v="34"/>
    <n v="2"/>
    <x v="162"/>
    <n v="4500519250"/>
    <x v="59"/>
    <x v="10"/>
    <s v="Reserva"/>
    <m/>
    <m/>
    <m/>
    <x v="0"/>
    <s v="Adicional # 3"/>
    <x v="9"/>
    <x v="0"/>
    <x v="0"/>
  </r>
  <r>
    <x v="47"/>
    <x v="47"/>
    <n v="1"/>
    <x v="163"/>
    <n v="4500519250"/>
    <x v="59"/>
    <x v="10"/>
    <s v="Reserva"/>
    <m/>
    <m/>
    <m/>
    <x v="0"/>
    <s v="Adicional # 3"/>
    <x v="9"/>
    <x v="0"/>
    <x v="0"/>
  </r>
  <r>
    <x v="14"/>
    <x v="14"/>
    <n v="1"/>
    <x v="32"/>
    <n v="4500519242"/>
    <x v="60"/>
    <x v="10"/>
    <s v="Reserva"/>
    <m/>
    <m/>
    <m/>
    <x v="0"/>
    <s v="Adicional # 4"/>
    <x v="7"/>
    <x v="0"/>
    <x v="0"/>
  </r>
  <r>
    <x v="5"/>
    <x v="5"/>
    <n v="2"/>
    <x v="164"/>
    <n v="4500519236"/>
    <x v="61"/>
    <x v="10"/>
    <s v="Reserva"/>
    <m/>
    <m/>
    <m/>
    <x v="0"/>
    <s v="Adicional # 3"/>
    <x v="7"/>
    <x v="0"/>
    <x v="0"/>
  </r>
  <r>
    <x v="0"/>
    <x v="0"/>
    <n v="1"/>
    <x v="71"/>
    <n v="4500519239"/>
    <x v="62"/>
    <x v="10"/>
    <s v="Reserva"/>
    <m/>
    <m/>
    <m/>
    <x v="0"/>
    <m/>
    <x v="22"/>
    <x v="0"/>
    <x v="0"/>
  </r>
  <r>
    <x v="36"/>
    <x v="36"/>
    <n v="3"/>
    <x v="97"/>
    <n v="4500519233"/>
    <x v="63"/>
    <x v="10"/>
    <s v="Reserva"/>
    <m/>
    <m/>
    <m/>
    <x v="0"/>
    <m/>
    <x v="15"/>
    <x v="0"/>
    <x v="0"/>
  </r>
  <r>
    <x v="57"/>
    <x v="57"/>
    <n v="1"/>
    <x v="114"/>
    <n v="4500519127"/>
    <x v="64"/>
    <x v="11"/>
    <s v="Reserva"/>
    <m/>
    <m/>
    <m/>
    <x v="0"/>
    <m/>
    <x v="23"/>
    <x v="0"/>
    <x v="0"/>
  </r>
  <r>
    <x v="70"/>
    <x v="70"/>
    <n v="384"/>
    <x v="165"/>
    <n v="4500519100"/>
    <x v="65"/>
    <x v="12"/>
    <s v="Venta"/>
    <m/>
    <s v="G-011-01-26950"/>
    <d v="2024-12-17T00:00:00"/>
    <x v="0"/>
    <m/>
    <x v="17"/>
    <x v="2"/>
    <x v="23"/>
  </r>
  <r>
    <x v="57"/>
    <x v="57"/>
    <n v="1"/>
    <x v="114"/>
    <n v="4500519127"/>
    <x v="64"/>
    <x v="11"/>
    <s v="Reserva"/>
    <m/>
    <m/>
    <m/>
    <x v="0"/>
    <m/>
    <x v="23"/>
    <x v="0"/>
    <x v="0"/>
  </r>
  <r>
    <x v="3"/>
    <x v="3"/>
    <n v="276"/>
    <x v="166"/>
    <n v="4500518484"/>
    <x v="66"/>
    <x v="12"/>
    <s v="Venta"/>
    <m/>
    <s v="G-011-01-44551"/>
    <d v="2025-08-09T00:00:00"/>
    <x v="1"/>
    <m/>
    <x v="15"/>
    <x v="1"/>
    <x v="24"/>
  </r>
  <r>
    <x v="2"/>
    <x v="2"/>
    <n v="50"/>
    <x v="81"/>
    <n v="4500519100"/>
    <x v="67"/>
    <x v="12"/>
    <s v="Venta"/>
    <m/>
    <s v="G-011-01-24417"/>
    <d v="2024-11-08T00:00:00"/>
    <x v="2"/>
    <m/>
    <x v="17"/>
    <x v="2"/>
    <x v="25"/>
  </r>
  <r>
    <x v="58"/>
    <x v="58"/>
    <n v="1"/>
    <x v="167"/>
    <n v="4500518484"/>
    <x v="68"/>
    <x v="12"/>
    <s v="Venta"/>
    <m/>
    <s v="G-011-01-44550"/>
    <d v="2025-03-29T00:00:00"/>
    <x v="1"/>
    <m/>
    <x v="15"/>
    <x v="1"/>
    <x v="26"/>
  </r>
  <r>
    <x v="10"/>
    <x v="10"/>
    <n v="100"/>
    <x v="5"/>
    <n v="4500518484"/>
    <x v="68"/>
    <x v="12"/>
    <s v="Venta"/>
    <m/>
    <s v="G-011-01-44550"/>
    <d v="2025-03-29T00:00:00"/>
    <x v="1"/>
    <m/>
    <x v="15"/>
    <x v="1"/>
    <x v="26"/>
  </r>
  <r>
    <x v="4"/>
    <x v="4"/>
    <n v="1"/>
    <x v="3"/>
    <n v="4500518959"/>
    <x v="69"/>
    <x v="12"/>
    <s v="Venta"/>
    <m/>
    <m/>
    <m/>
    <x v="0"/>
    <m/>
    <x v="10"/>
    <x v="1"/>
    <x v="27"/>
  </r>
  <r>
    <x v="53"/>
    <x v="53"/>
    <n v="1"/>
    <x v="0"/>
    <m/>
    <x v="70"/>
    <x v="11"/>
    <s v="Devolución"/>
    <m/>
    <m/>
    <m/>
    <x v="0"/>
    <m/>
    <x v="24"/>
    <x v="0"/>
    <x v="0"/>
  </r>
  <r>
    <x v="28"/>
    <x v="28"/>
    <n v="1"/>
    <x v="0"/>
    <m/>
    <x v="70"/>
    <x v="11"/>
    <s v="Devolución"/>
    <m/>
    <m/>
    <m/>
    <x v="0"/>
    <m/>
    <x v="24"/>
    <x v="0"/>
    <x v="0"/>
  </r>
  <r>
    <x v="1"/>
    <x v="1"/>
    <n v="3"/>
    <x v="0"/>
    <m/>
    <x v="70"/>
    <x v="11"/>
    <s v="Devolución"/>
    <m/>
    <m/>
    <m/>
    <x v="0"/>
    <m/>
    <x v="24"/>
    <x v="0"/>
    <x v="0"/>
  </r>
  <r>
    <x v="26"/>
    <x v="26"/>
    <n v="1"/>
    <x v="0"/>
    <m/>
    <x v="70"/>
    <x v="11"/>
    <s v="Devolución"/>
    <m/>
    <m/>
    <m/>
    <x v="0"/>
    <m/>
    <x v="24"/>
    <x v="0"/>
    <x v="0"/>
  </r>
  <r>
    <x v="2"/>
    <x v="2"/>
    <n v="3"/>
    <x v="0"/>
    <m/>
    <x v="70"/>
    <x v="11"/>
    <s v="Devolución"/>
    <m/>
    <m/>
    <m/>
    <x v="0"/>
    <m/>
    <x v="24"/>
    <x v="0"/>
    <x v="0"/>
  </r>
  <r>
    <x v="19"/>
    <x v="19"/>
    <n v="200"/>
    <x v="0"/>
    <m/>
    <x v="71"/>
    <x v="1"/>
    <s v="Devolución"/>
    <m/>
    <m/>
    <m/>
    <x v="0"/>
    <m/>
    <x v="10"/>
    <x v="0"/>
    <x v="0"/>
  </r>
  <r>
    <x v="18"/>
    <x v="18"/>
    <n v="100"/>
    <x v="0"/>
    <m/>
    <x v="71"/>
    <x v="1"/>
    <s v="Devolución"/>
    <m/>
    <m/>
    <m/>
    <x v="0"/>
    <m/>
    <x v="10"/>
    <x v="0"/>
    <x v="0"/>
  </r>
  <r>
    <x v="40"/>
    <x v="40"/>
    <n v="1"/>
    <x v="85"/>
    <n v="4500518312"/>
    <x v="72"/>
    <x v="1"/>
    <s v="Reserva"/>
    <m/>
    <m/>
    <m/>
    <x v="0"/>
    <m/>
    <x v="25"/>
    <x v="0"/>
    <x v="0"/>
  </r>
  <r>
    <x v="0"/>
    <x v="0"/>
    <n v="1"/>
    <x v="71"/>
    <n v="4500518312"/>
    <x v="72"/>
    <x v="1"/>
    <s v="Reserva"/>
    <m/>
    <m/>
    <m/>
    <x v="0"/>
    <m/>
    <x v="25"/>
    <x v="0"/>
    <x v="0"/>
  </r>
  <r>
    <x v="27"/>
    <x v="27"/>
    <n v="1"/>
    <x v="87"/>
    <n v="4500518312"/>
    <x v="72"/>
    <x v="1"/>
    <s v="Reserva"/>
    <m/>
    <m/>
    <m/>
    <x v="0"/>
    <m/>
    <x v="25"/>
    <x v="0"/>
    <x v="0"/>
  </r>
  <r>
    <x v="43"/>
    <x v="43"/>
    <n v="3"/>
    <x v="168"/>
    <n v="4500518484"/>
    <x v="73"/>
    <x v="1"/>
    <s v="Reserva"/>
    <m/>
    <m/>
    <m/>
    <x v="0"/>
    <m/>
    <x v="15"/>
    <x v="0"/>
    <x v="0"/>
  </r>
  <r>
    <x v="42"/>
    <x v="42"/>
    <n v="5"/>
    <x v="169"/>
    <n v="4500518484"/>
    <x v="73"/>
    <x v="1"/>
    <s v="Reserva"/>
    <m/>
    <m/>
    <m/>
    <x v="0"/>
    <m/>
    <x v="15"/>
    <x v="0"/>
    <x v="0"/>
  </r>
  <r>
    <x v="13"/>
    <x v="13"/>
    <n v="2"/>
    <x v="170"/>
    <n v="4500518484"/>
    <x v="73"/>
    <x v="1"/>
    <s v="Reserva"/>
    <m/>
    <m/>
    <m/>
    <x v="0"/>
    <m/>
    <x v="15"/>
    <x v="0"/>
    <x v="0"/>
  </r>
  <r>
    <x v="16"/>
    <x v="16"/>
    <n v="1"/>
    <x v="12"/>
    <n v="4500518484"/>
    <x v="73"/>
    <x v="1"/>
    <s v="Reserva"/>
    <m/>
    <m/>
    <m/>
    <x v="0"/>
    <m/>
    <x v="15"/>
    <x v="0"/>
    <x v="0"/>
  </r>
  <r>
    <x v="17"/>
    <x v="17"/>
    <n v="2"/>
    <x v="131"/>
    <n v="4500518484"/>
    <x v="73"/>
    <x v="1"/>
    <s v="Reserva"/>
    <m/>
    <m/>
    <m/>
    <x v="0"/>
    <m/>
    <x v="15"/>
    <x v="0"/>
    <x v="0"/>
  </r>
  <r>
    <x v="8"/>
    <x v="8"/>
    <n v="6"/>
    <x v="171"/>
    <n v="4500518484"/>
    <x v="73"/>
    <x v="1"/>
    <s v="Reserva"/>
    <m/>
    <m/>
    <m/>
    <x v="0"/>
    <m/>
    <x v="15"/>
    <x v="0"/>
    <x v="0"/>
  </r>
  <r>
    <x v="49"/>
    <x v="49"/>
    <n v="13"/>
    <x v="172"/>
    <n v="4500518484"/>
    <x v="73"/>
    <x v="1"/>
    <s v="Reserva"/>
    <m/>
    <m/>
    <m/>
    <x v="0"/>
    <m/>
    <x v="15"/>
    <x v="0"/>
    <x v="0"/>
  </r>
  <r>
    <x v="55"/>
    <x v="55"/>
    <n v="7"/>
    <x v="173"/>
    <n v="4500518484"/>
    <x v="73"/>
    <x v="1"/>
    <s v="Reserva"/>
    <m/>
    <m/>
    <m/>
    <x v="0"/>
    <m/>
    <x v="15"/>
    <x v="0"/>
    <x v="0"/>
  </r>
  <r>
    <x v="30"/>
    <x v="30"/>
    <n v="13"/>
    <x v="174"/>
    <n v="4500518484"/>
    <x v="73"/>
    <x v="1"/>
    <s v="Reserva"/>
    <m/>
    <m/>
    <m/>
    <x v="0"/>
    <m/>
    <x v="15"/>
    <x v="0"/>
    <x v="0"/>
  </r>
  <r>
    <x v="1"/>
    <x v="1"/>
    <n v="38"/>
    <x v="175"/>
    <n v="4500518484"/>
    <x v="73"/>
    <x v="1"/>
    <s v="Reserva"/>
    <m/>
    <m/>
    <m/>
    <x v="0"/>
    <m/>
    <x v="15"/>
    <x v="0"/>
    <x v="0"/>
  </r>
  <r>
    <x v="27"/>
    <x v="27"/>
    <n v="17"/>
    <x v="176"/>
    <n v="4500518484"/>
    <x v="73"/>
    <x v="1"/>
    <s v="Reserva"/>
    <m/>
    <m/>
    <m/>
    <x v="0"/>
    <m/>
    <x v="15"/>
    <x v="0"/>
    <x v="0"/>
  </r>
  <r>
    <x v="60"/>
    <x v="60"/>
    <n v="1"/>
    <x v="129"/>
    <n v="4500518484"/>
    <x v="73"/>
    <x v="1"/>
    <s v="Reserva"/>
    <m/>
    <m/>
    <m/>
    <x v="0"/>
    <m/>
    <x v="15"/>
    <x v="0"/>
    <x v="0"/>
  </r>
  <r>
    <x v="28"/>
    <x v="28"/>
    <n v="4"/>
    <x v="177"/>
    <n v="4500518484"/>
    <x v="73"/>
    <x v="1"/>
    <s v="Reserva"/>
    <m/>
    <m/>
    <m/>
    <x v="0"/>
    <m/>
    <x v="15"/>
    <x v="0"/>
    <x v="0"/>
  </r>
  <r>
    <x v="40"/>
    <x v="40"/>
    <n v="10"/>
    <x v="178"/>
    <n v="4500518484"/>
    <x v="73"/>
    <x v="1"/>
    <s v="Reserva"/>
    <m/>
    <m/>
    <m/>
    <x v="0"/>
    <m/>
    <x v="15"/>
    <x v="0"/>
    <x v="0"/>
  </r>
  <r>
    <x v="39"/>
    <x v="39"/>
    <n v="1"/>
    <x v="109"/>
    <n v="4500518484"/>
    <x v="73"/>
    <x v="1"/>
    <s v="Reserva"/>
    <m/>
    <m/>
    <m/>
    <x v="0"/>
    <m/>
    <x v="15"/>
    <x v="0"/>
    <x v="0"/>
  </r>
  <r>
    <x v="0"/>
    <x v="0"/>
    <n v="2"/>
    <x v="73"/>
    <n v="4500518486"/>
    <x v="74"/>
    <x v="1"/>
    <s v="Reserva"/>
    <m/>
    <m/>
    <m/>
    <x v="0"/>
    <m/>
    <x v="26"/>
    <x v="0"/>
    <x v="0"/>
  </r>
  <r>
    <x v="1"/>
    <x v="1"/>
    <n v="2"/>
    <x v="179"/>
    <n v="4500518486"/>
    <x v="74"/>
    <x v="1"/>
    <s v="Reserva"/>
    <m/>
    <m/>
    <m/>
    <x v="0"/>
    <m/>
    <x v="26"/>
    <x v="0"/>
    <x v="0"/>
  </r>
  <r>
    <x v="53"/>
    <x v="53"/>
    <n v="1"/>
    <x v="180"/>
    <n v="4500518486"/>
    <x v="74"/>
    <x v="1"/>
    <s v="Reserva"/>
    <m/>
    <m/>
    <m/>
    <x v="0"/>
    <m/>
    <x v="26"/>
    <x v="0"/>
    <x v="0"/>
  </r>
  <r>
    <x v="26"/>
    <x v="26"/>
    <n v="8"/>
    <x v="181"/>
    <n v="4500518602"/>
    <x v="75"/>
    <x v="1"/>
    <s v="Reserva"/>
    <m/>
    <m/>
    <m/>
    <x v="0"/>
    <m/>
    <x v="16"/>
    <x v="0"/>
    <x v="0"/>
  </r>
  <r>
    <x v="28"/>
    <x v="28"/>
    <n v="32"/>
    <x v="182"/>
    <n v="4500518602"/>
    <x v="75"/>
    <x v="1"/>
    <s v="Reserva"/>
    <m/>
    <m/>
    <m/>
    <x v="0"/>
    <m/>
    <x v="16"/>
    <x v="0"/>
    <x v="0"/>
  </r>
  <r>
    <x v="30"/>
    <x v="30"/>
    <n v="8"/>
    <x v="183"/>
    <n v="4500518602"/>
    <x v="75"/>
    <x v="1"/>
    <s v="Reserva"/>
    <m/>
    <m/>
    <m/>
    <x v="0"/>
    <m/>
    <x v="16"/>
    <x v="0"/>
    <x v="0"/>
  </r>
  <r>
    <x v="0"/>
    <x v="0"/>
    <n v="30"/>
    <x v="184"/>
    <n v="4500518602"/>
    <x v="75"/>
    <x v="1"/>
    <s v="Reserva"/>
    <m/>
    <m/>
    <m/>
    <x v="0"/>
    <m/>
    <x v="16"/>
    <x v="0"/>
    <x v="0"/>
  </r>
  <r>
    <x v="0"/>
    <x v="0"/>
    <n v="15"/>
    <x v="185"/>
    <n v="4500518601"/>
    <x v="76"/>
    <x v="1"/>
    <s v="Reserva"/>
    <m/>
    <m/>
    <m/>
    <x v="0"/>
    <m/>
    <x v="4"/>
    <x v="0"/>
    <x v="0"/>
  </r>
  <r>
    <x v="41"/>
    <x v="41"/>
    <n v="1"/>
    <x v="59"/>
    <n v="4500518818"/>
    <x v="77"/>
    <x v="13"/>
    <s v="Reserva"/>
    <m/>
    <m/>
    <m/>
    <x v="0"/>
    <m/>
    <x v="4"/>
    <x v="0"/>
    <x v="0"/>
  </r>
  <r>
    <x v="5"/>
    <x v="5"/>
    <n v="30"/>
    <x v="186"/>
    <n v="4500518818"/>
    <x v="77"/>
    <x v="13"/>
    <s v="Reserva"/>
    <m/>
    <m/>
    <m/>
    <x v="0"/>
    <m/>
    <x v="4"/>
    <x v="0"/>
    <x v="0"/>
  </r>
  <r>
    <x v="12"/>
    <x v="12"/>
    <n v="15"/>
    <x v="187"/>
    <n v="4500518818"/>
    <x v="77"/>
    <x v="13"/>
    <s v="Reserva"/>
    <m/>
    <m/>
    <m/>
    <x v="0"/>
    <m/>
    <x v="4"/>
    <x v="0"/>
    <x v="0"/>
  </r>
  <r>
    <x v="12"/>
    <x v="12"/>
    <n v="1"/>
    <x v="36"/>
    <n v="4500518815"/>
    <x v="78"/>
    <x v="13"/>
    <s v="Reserva"/>
    <m/>
    <m/>
    <m/>
    <x v="0"/>
    <m/>
    <x v="27"/>
    <x v="0"/>
    <x v="0"/>
  </r>
  <r>
    <x v="5"/>
    <x v="5"/>
    <n v="3"/>
    <x v="90"/>
    <n v="4500518815"/>
    <x v="78"/>
    <x v="13"/>
    <s v="Reserva"/>
    <m/>
    <m/>
    <m/>
    <x v="0"/>
    <m/>
    <x v="27"/>
    <x v="0"/>
    <x v="0"/>
  </r>
  <r>
    <x v="26"/>
    <x v="26"/>
    <n v="30"/>
    <x v="188"/>
    <n v="4500518815"/>
    <x v="78"/>
    <x v="13"/>
    <s v="Reserva"/>
    <m/>
    <m/>
    <m/>
    <x v="0"/>
    <m/>
    <x v="27"/>
    <x v="0"/>
    <x v="0"/>
  </r>
  <r>
    <x v="27"/>
    <x v="27"/>
    <n v="30"/>
    <x v="189"/>
    <n v="4500518815"/>
    <x v="78"/>
    <x v="13"/>
    <s v="Reserva"/>
    <m/>
    <m/>
    <m/>
    <x v="0"/>
    <m/>
    <x v="27"/>
    <x v="0"/>
    <x v="0"/>
  </r>
  <r>
    <x v="1"/>
    <x v="1"/>
    <n v="119"/>
    <x v="190"/>
    <n v="4500518815"/>
    <x v="78"/>
    <x v="13"/>
    <s v="Reserva"/>
    <m/>
    <m/>
    <m/>
    <x v="0"/>
    <m/>
    <x v="27"/>
    <x v="0"/>
    <x v="0"/>
  </r>
  <r>
    <x v="28"/>
    <x v="28"/>
    <n v="1"/>
    <x v="35"/>
    <n v="4500518815"/>
    <x v="78"/>
    <x v="13"/>
    <s v="Reserva"/>
    <m/>
    <m/>
    <m/>
    <x v="0"/>
    <m/>
    <x v="27"/>
    <x v="0"/>
    <x v="0"/>
  </r>
  <r>
    <x v="53"/>
    <x v="53"/>
    <n v="29"/>
    <x v="191"/>
    <n v="4500518815"/>
    <x v="78"/>
    <x v="13"/>
    <s v="Reserva"/>
    <m/>
    <m/>
    <m/>
    <x v="0"/>
    <m/>
    <x v="27"/>
    <x v="0"/>
    <x v="0"/>
  </r>
  <r>
    <x v="30"/>
    <x v="30"/>
    <n v="29"/>
    <x v="192"/>
    <n v="4500518815"/>
    <x v="78"/>
    <x v="13"/>
    <s v="Reserva"/>
    <m/>
    <m/>
    <m/>
    <x v="0"/>
    <m/>
    <x v="27"/>
    <x v="0"/>
    <x v="0"/>
  </r>
  <r>
    <x v="20"/>
    <x v="20"/>
    <n v="9"/>
    <x v="193"/>
    <n v="4500518484"/>
    <x v="79"/>
    <x v="1"/>
    <s v="Venta"/>
    <m/>
    <m/>
    <m/>
    <x v="0"/>
    <m/>
    <x v="15"/>
    <x v="1"/>
    <x v="28"/>
  </r>
  <r>
    <x v="18"/>
    <x v="18"/>
    <n v="400"/>
    <x v="18"/>
    <n v="4500518484"/>
    <x v="79"/>
    <x v="1"/>
    <s v="Venta"/>
    <m/>
    <m/>
    <m/>
    <x v="0"/>
    <m/>
    <x v="15"/>
    <x v="1"/>
    <x v="28"/>
  </r>
  <r>
    <x v="19"/>
    <x v="19"/>
    <n v="400"/>
    <x v="19"/>
    <n v="4500518484"/>
    <x v="79"/>
    <x v="1"/>
    <s v="Venta"/>
    <m/>
    <m/>
    <m/>
    <x v="0"/>
    <m/>
    <x v="15"/>
    <x v="1"/>
    <x v="28"/>
  </r>
  <r>
    <x v="2"/>
    <x v="2"/>
    <n v="50"/>
    <x v="81"/>
    <n v="4500518484"/>
    <x v="79"/>
    <x v="1"/>
    <s v="Venta"/>
    <m/>
    <s v="G-011-01-44546"/>
    <d v="2025-08-05T00:00:00"/>
    <x v="1"/>
    <m/>
    <x v="15"/>
    <x v="1"/>
    <x v="28"/>
  </r>
  <r>
    <x v="21"/>
    <x v="21"/>
    <n v="17"/>
    <x v="194"/>
    <n v="4500518484"/>
    <x v="79"/>
    <x v="1"/>
    <s v="Venta"/>
    <m/>
    <m/>
    <m/>
    <x v="0"/>
    <m/>
    <x v="15"/>
    <x v="1"/>
    <x v="28"/>
  </r>
  <r>
    <x v="22"/>
    <x v="22"/>
    <n v="17"/>
    <x v="195"/>
    <n v="4500518484"/>
    <x v="79"/>
    <x v="1"/>
    <s v="Venta"/>
    <m/>
    <m/>
    <m/>
    <x v="0"/>
    <m/>
    <x v="15"/>
    <x v="1"/>
    <x v="28"/>
  </r>
  <r>
    <x v="23"/>
    <x v="23"/>
    <n v="2"/>
    <x v="196"/>
    <n v="4500518484"/>
    <x v="79"/>
    <x v="1"/>
    <s v="Venta"/>
    <m/>
    <m/>
    <m/>
    <x v="0"/>
    <m/>
    <x v="15"/>
    <x v="1"/>
    <x v="28"/>
  </r>
  <r>
    <x v="24"/>
    <x v="24"/>
    <n v="6"/>
    <x v="29"/>
    <n v="4500518484"/>
    <x v="79"/>
    <x v="1"/>
    <s v="Venta"/>
    <m/>
    <m/>
    <m/>
    <x v="0"/>
    <m/>
    <x v="15"/>
    <x v="1"/>
    <x v="28"/>
  </r>
  <r>
    <x v="20"/>
    <x v="20"/>
    <n v="2"/>
    <x v="197"/>
    <n v="4500518815"/>
    <x v="80"/>
    <x v="1"/>
    <s v="Venta"/>
    <m/>
    <m/>
    <m/>
    <x v="0"/>
    <m/>
    <x v="27"/>
    <x v="1"/>
    <x v="29"/>
  </r>
  <r>
    <x v="18"/>
    <x v="18"/>
    <n v="300"/>
    <x v="198"/>
    <n v="4500518815"/>
    <x v="80"/>
    <x v="1"/>
    <s v="Venta"/>
    <m/>
    <m/>
    <m/>
    <x v="0"/>
    <m/>
    <x v="27"/>
    <x v="1"/>
    <x v="29"/>
  </r>
  <r>
    <x v="19"/>
    <x v="19"/>
    <n v="300"/>
    <x v="199"/>
    <n v="4500518815"/>
    <x v="80"/>
    <x v="1"/>
    <s v="Venta"/>
    <m/>
    <m/>
    <m/>
    <x v="0"/>
    <m/>
    <x v="27"/>
    <x v="1"/>
    <x v="29"/>
  </r>
  <r>
    <x v="21"/>
    <x v="21"/>
    <n v="30"/>
    <x v="200"/>
    <n v="4500518815"/>
    <x v="80"/>
    <x v="1"/>
    <s v="Venta"/>
    <m/>
    <m/>
    <m/>
    <x v="0"/>
    <m/>
    <x v="27"/>
    <x v="1"/>
    <x v="29"/>
  </r>
  <r>
    <x v="22"/>
    <x v="22"/>
    <n v="30"/>
    <x v="201"/>
    <n v="4500518815"/>
    <x v="80"/>
    <x v="1"/>
    <s v="Venta"/>
    <m/>
    <m/>
    <m/>
    <x v="0"/>
    <m/>
    <x v="27"/>
    <x v="1"/>
    <x v="29"/>
  </r>
  <r>
    <x v="2"/>
    <x v="2"/>
    <n v="150"/>
    <x v="20"/>
    <n v="4500518815"/>
    <x v="80"/>
    <x v="1"/>
    <s v="Venta"/>
    <m/>
    <m/>
    <m/>
    <x v="0"/>
    <m/>
    <x v="27"/>
    <x v="1"/>
    <x v="29"/>
  </r>
  <r>
    <x v="23"/>
    <x v="23"/>
    <n v="29"/>
    <x v="202"/>
    <n v="4500518815"/>
    <x v="80"/>
    <x v="1"/>
    <s v="Venta"/>
    <m/>
    <m/>
    <m/>
    <x v="0"/>
    <m/>
    <x v="27"/>
    <x v="1"/>
    <x v="29"/>
  </r>
  <r>
    <x v="24"/>
    <x v="24"/>
    <n v="60"/>
    <x v="203"/>
    <n v="4500518815"/>
    <x v="80"/>
    <x v="1"/>
    <s v="Venta"/>
    <m/>
    <m/>
    <m/>
    <x v="0"/>
    <m/>
    <x v="27"/>
    <x v="1"/>
    <x v="29"/>
  </r>
  <r>
    <x v="22"/>
    <x v="22"/>
    <n v="1"/>
    <x v="79"/>
    <n v="4500518312"/>
    <x v="81"/>
    <x v="1"/>
    <s v="Venta"/>
    <m/>
    <m/>
    <m/>
    <x v="0"/>
    <m/>
    <x v="25"/>
    <x v="1"/>
    <x v="30"/>
  </r>
  <r>
    <x v="21"/>
    <x v="21"/>
    <n v="1"/>
    <x v="80"/>
    <n v="4500518312"/>
    <x v="81"/>
    <x v="1"/>
    <s v="Venta"/>
    <m/>
    <m/>
    <m/>
    <x v="0"/>
    <m/>
    <x v="25"/>
    <x v="1"/>
    <x v="30"/>
  </r>
  <r>
    <x v="12"/>
    <x v="12"/>
    <n v="1"/>
    <x v="0"/>
    <m/>
    <x v="82"/>
    <x v="14"/>
    <s v="Devolución"/>
    <m/>
    <m/>
    <m/>
    <x v="0"/>
    <m/>
    <x v="28"/>
    <x v="0"/>
    <x v="0"/>
  </r>
  <r>
    <x v="5"/>
    <x v="5"/>
    <n v="1"/>
    <x v="0"/>
    <m/>
    <x v="82"/>
    <x v="14"/>
    <s v="Devolución"/>
    <m/>
    <m/>
    <m/>
    <x v="0"/>
    <m/>
    <x v="28"/>
    <x v="0"/>
    <x v="0"/>
  </r>
  <r>
    <x v="48"/>
    <x v="48"/>
    <n v="1"/>
    <x v="0"/>
    <m/>
    <x v="82"/>
    <x v="14"/>
    <s v="Devolución"/>
    <m/>
    <m/>
    <m/>
    <x v="0"/>
    <m/>
    <x v="28"/>
    <x v="0"/>
    <x v="0"/>
  </r>
  <r>
    <x v="14"/>
    <x v="14"/>
    <n v="1"/>
    <x v="0"/>
    <m/>
    <x v="82"/>
    <x v="14"/>
    <s v="Devolución"/>
    <m/>
    <m/>
    <m/>
    <x v="0"/>
    <m/>
    <x v="28"/>
    <x v="0"/>
    <x v="0"/>
  </r>
  <r>
    <x v="19"/>
    <x v="19"/>
    <n v="1"/>
    <x v="0"/>
    <m/>
    <x v="82"/>
    <x v="14"/>
    <s v="Devolución"/>
    <m/>
    <m/>
    <m/>
    <x v="0"/>
    <m/>
    <x v="28"/>
    <x v="0"/>
    <x v="0"/>
  </r>
  <r>
    <x v="6"/>
    <x v="6"/>
    <n v="1.5"/>
    <x v="0"/>
    <m/>
    <x v="82"/>
    <x v="14"/>
    <s v="Devolución"/>
    <m/>
    <m/>
    <m/>
    <x v="0"/>
    <m/>
    <x v="28"/>
    <x v="0"/>
    <x v="0"/>
  </r>
  <r>
    <x v="6"/>
    <x v="6"/>
    <n v="50"/>
    <x v="204"/>
    <n v="4500518211"/>
    <x v="83"/>
    <x v="15"/>
    <s v="Venta"/>
    <m/>
    <m/>
    <m/>
    <x v="0"/>
    <m/>
    <x v="7"/>
    <x v="1"/>
    <x v="31"/>
  </r>
  <r>
    <x v="6"/>
    <x v="6"/>
    <n v="100"/>
    <x v="205"/>
    <n v="4500518228"/>
    <x v="84"/>
    <x v="15"/>
    <s v="Venta"/>
    <m/>
    <m/>
    <m/>
    <x v="0"/>
    <m/>
    <x v="16"/>
    <x v="1"/>
    <x v="32"/>
  </r>
  <r>
    <x v="7"/>
    <x v="7"/>
    <n v="10"/>
    <x v="206"/>
    <m/>
    <x v="85"/>
    <x v="15"/>
    <s v="Venta"/>
    <m/>
    <m/>
    <m/>
    <x v="0"/>
    <m/>
    <x v="4"/>
    <x v="1"/>
    <x v="33"/>
  </r>
  <r>
    <x v="7"/>
    <x v="7"/>
    <n v="1"/>
    <x v="207"/>
    <m/>
    <x v="86"/>
    <x v="15"/>
    <s v="Venta"/>
    <m/>
    <m/>
    <m/>
    <x v="0"/>
    <m/>
    <x v="7"/>
    <x v="1"/>
    <x v="34"/>
  </r>
  <r>
    <x v="18"/>
    <x v="18"/>
    <n v="100"/>
    <x v="82"/>
    <n v="4500518228"/>
    <x v="87"/>
    <x v="15"/>
    <s v="Venta"/>
    <m/>
    <m/>
    <m/>
    <x v="0"/>
    <m/>
    <x v="16"/>
    <x v="1"/>
    <x v="35"/>
  </r>
  <r>
    <x v="19"/>
    <x v="19"/>
    <n v="100"/>
    <x v="83"/>
    <n v="4500518228"/>
    <x v="87"/>
    <x v="15"/>
    <s v="Venta"/>
    <m/>
    <m/>
    <m/>
    <x v="0"/>
    <m/>
    <x v="16"/>
    <x v="1"/>
    <x v="35"/>
  </r>
  <r>
    <x v="2"/>
    <x v="2"/>
    <n v="50"/>
    <x v="81"/>
    <n v="4500518229"/>
    <x v="88"/>
    <x v="15"/>
    <s v="Venta"/>
    <m/>
    <m/>
    <m/>
    <x v="0"/>
    <m/>
    <x v="22"/>
    <x v="1"/>
    <x v="36"/>
  </r>
  <r>
    <x v="23"/>
    <x v="23"/>
    <n v="1"/>
    <x v="78"/>
    <n v="4500518229"/>
    <x v="88"/>
    <x v="15"/>
    <s v="Venta"/>
    <m/>
    <m/>
    <m/>
    <x v="0"/>
    <m/>
    <x v="22"/>
    <x v="1"/>
    <x v="36"/>
  </r>
  <r>
    <x v="22"/>
    <x v="22"/>
    <n v="1"/>
    <x v="79"/>
    <n v="4500518229"/>
    <x v="88"/>
    <x v="15"/>
    <s v="Venta"/>
    <m/>
    <m/>
    <m/>
    <x v="0"/>
    <m/>
    <x v="22"/>
    <x v="1"/>
    <x v="36"/>
  </r>
  <r>
    <x v="21"/>
    <x v="21"/>
    <n v="1"/>
    <x v="80"/>
    <n v="4500518229"/>
    <x v="88"/>
    <x v="15"/>
    <s v="Venta"/>
    <m/>
    <m/>
    <m/>
    <x v="0"/>
    <m/>
    <x v="22"/>
    <x v="1"/>
    <x v="36"/>
  </r>
  <r>
    <x v="24"/>
    <x v="24"/>
    <n v="6"/>
    <x v="29"/>
    <n v="4500518229"/>
    <x v="88"/>
    <x v="15"/>
    <s v="Venta"/>
    <m/>
    <m/>
    <m/>
    <x v="0"/>
    <m/>
    <x v="22"/>
    <x v="1"/>
    <x v="36"/>
  </r>
  <r>
    <x v="23"/>
    <x v="23"/>
    <n v="1"/>
    <x v="78"/>
    <n v="4500518238"/>
    <x v="89"/>
    <x v="15"/>
    <s v="Venta"/>
    <m/>
    <m/>
    <m/>
    <x v="0"/>
    <m/>
    <x v="29"/>
    <x v="1"/>
    <x v="37"/>
  </r>
  <r>
    <x v="71"/>
    <x v="71"/>
    <n v="1"/>
    <x v="208"/>
    <n v="4500518238"/>
    <x v="89"/>
    <x v="15"/>
    <s v="Venta"/>
    <m/>
    <m/>
    <m/>
    <x v="0"/>
    <m/>
    <x v="29"/>
    <x v="1"/>
    <x v="37"/>
  </r>
  <r>
    <x v="64"/>
    <x v="64"/>
    <n v="1"/>
    <x v="209"/>
    <n v="4500518238"/>
    <x v="89"/>
    <x v="15"/>
    <s v="Venta"/>
    <m/>
    <m/>
    <m/>
    <x v="0"/>
    <m/>
    <x v="29"/>
    <x v="1"/>
    <x v="37"/>
  </r>
  <r>
    <x v="23"/>
    <x v="23"/>
    <n v="1"/>
    <x v="78"/>
    <n v="4500518235"/>
    <x v="90"/>
    <x v="15"/>
    <s v="Venta"/>
    <m/>
    <m/>
    <m/>
    <x v="0"/>
    <m/>
    <x v="30"/>
    <x v="1"/>
    <x v="38"/>
  </r>
  <r>
    <x v="22"/>
    <x v="22"/>
    <n v="1"/>
    <x v="79"/>
    <n v="4500518235"/>
    <x v="90"/>
    <x v="15"/>
    <s v="Venta"/>
    <m/>
    <m/>
    <m/>
    <x v="0"/>
    <m/>
    <x v="30"/>
    <x v="1"/>
    <x v="38"/>
  </r>
  <r>
    <x v="21"/>
    <x v="21"/>
    <n v="1"/>
    <x v="80"/>
    <n v="4500518235"/>
    <x v="90"/>
    <x v="15"/>
    <s v="Venta"/>
    <m/>
    <m/>
    <m/>
    <x v="0"/>
    <m/>
    <x v="30"/>
    <x v="1"/>
    <x v="38"/>
  </r>
  <r>
    <x v="22"/>
    <x v="22"/>
    <n v="1"/>
    <x v="79"/>
    <n v="4500518243"/>
    <x v="91"/>
    <x v="15"/>
    <s v="Venta"/>
    <m/>
    <m/>
    <m/>
    <x v="0"/>
    <m/>
    <x v="31"/>
    <x v="1"/>
    <x v="39"/>
  </r>
  <r>
    <x v="71"/>
    <x v="71"/>
    <n v="1"/>
    <x v="208"/>
    <n v="4500518243"/>
    <x v="91"/>
    <x v="15"/>
    <s v="Venta"/>
    <m/>
    <m/>
    <m/>
    <x v="0"/>
    <m/>
    <x v="31"/>
    <x v="1"/>
    <x v="39"/>
  </r>
  <r>
    <x v="64"/>
    <x v="64"/>
    <n v="1"/>
    <x v="209"/>
    <n v="4500518243"/>
    <x v="91"/>
    <x v="15"/>
    <s v="Venta"/>
    <m/>
    <m/>
    <m/>
    <x v="0"/>
    <m/>
    <x v="31"/>
    <x v="1"/>
    <x v="39"/>
  </r>
  <r>
    <x v="23"/>
    <x v="23"/>
    <n v="1"/>
    <x v="78"/>
    <n v="4500518243"/>
    <x v="91"/>
    <x v="15"/>
    <s v="Venta"/>
    <m/>
    <m/>
    <m/>
    <x v="0"/>
    <m/>
    <x v="31"/>
    <x v="1"/>
    <x v="39"/>
  </r>
  <r>
    <x v="23"/>
    <x v="23"/>
    <n v="1"/>
    <x v="78"/>
    <n v="4500518184"/>
    <x v="92"/>
    <x v="15"/>
    <s v="Venta"/>
    <m/>
    <m/>
    <m/>
    <x v="0"/>
    <m/>
    <x v="24"/>
    <x v="1"/>
    <x v="40"/>
  </r>
  <r>
    <x v="22"/>
    <x v="22"/>
    <n v="1"/>
    <x v="79"/>
    <n v="4500518184"/>
    <x v="92"/>
    <x v="15"/>
    <s v="Venta"/>
    <m/>
    <m/>
    <m/>
    <x v="0"/>
    <m/>
    <x v="24"/>
    <x v="1"/>
    <x v="40"/>
  </r>
  <r>
    <x v="21"/>
    <x v="21"/>
    <n v="1"/>
    <x v="80"/>
    <n v="4500518184"/>
    <x v="92"/>
    <x v="15"/>
    <s v="Venta"/>
    <m/>
    <m/>
    <m/>
    <x v="0"/>
    <m/>
    <x v="24"/>
    <x v="1"/>
    <x v="40"/>
  </r>
  <r>
    <x v="23"/>
    <x v="23"/>
    <n v="1"/>
    <x v="78"/>
    <n v="4500518198"/>
    <x v="93"/>
    <x v="15"/>
    <s v="Venta"/>
    <m/>
    <m/>
    <m/>
    <x v="0"/>
    <m/>
    <x v="19"/>
    <x v="1"/>
    <x v="41"/>
  </r>
  <r>
    <x v="22"/>
    <x v="22"/>
    <n v="1"/>
    <x v="79"/>
    <n v="4500518198"/>
    <x v="93"/>
    <x v="15"/>
    <s v="Venta"/>
    <m/>
    <m/>
    <m/>
    <x v="0"/>
    <m/>
    <x v="19"/>
    <x v="1"/>
    <x v="41"/>
  </r>
  <r>
    <x v="21"/>
    <x v="21"/>
    <n v="2"/>
    <x v="116"/>
    <n v="4500518198"/>
    <x v="93"/>
    <x v="15"/>
    <s v="Venta"/>
    <m/>
    <m/>
    <m/>
    <x v="0"/>
    <m/>
    <x v="19"/>
    <x v="1"/>
    <x v="41"/>
  </r>
  <r>
    <x v="23"/>
    <x v="23"/>
    <n v="1"/>
    <x v="78"/>
    <n v="4500518201"/>
    <x v="94"/>
    <x v="15"/>
    <s v="Venta"/>
    <m/>
    <m/>
    <m/>
    <x v="0"/>
    <m/>
    <x v="23"/>
    <x v="1"/>
    <x v="42"/>
  </r>
  <r>
    <x v="23"/>
    <x v="23"/>
    <n v="1"/>
    <x v="78"/>
    <n v="4500518200"/>
    <x v="95"/>
    <x v="15"/>
    <s v="Venta"/>
    <m/>
    <m/>
    <m/>
    <x v="0"/>
    <m/>
    <x v="26"/>
    <x v="1"/>
    <x v="43"/>
  </r>
  <r>
    <x v="22"/>
    <x v="22"/>
    <n v="1"/>
    <x v="79"/>
    <n v="4500518200"/>
    <x v="95"/>
    <x v="15"/>
    <s v="Venta"/>
    <m/>
    <m/>
    <m/>
    <x v="0"/>
    <m/>
    <x v="26"/>
    <x v="1"/>
    <x v="43"/>
  </r>
  <r>
    <x v="21"/>
    <x v="21"/>
    <n v="1"/>
    <x v="80"/>
    <n v="4500518200"/>
    <x v="95"/>
    <x v="15"/>
    <s v="Venta"/>
    <m/>
    <m/>
    <m/>
    <x v="0"/>
    <m/>
    <x v="26"/>
    <x v="1"/>
    <x v="43"/>
  </r>
  <r>
    <x v="24"/>
    <x v="24"/>
    <n v="6"/>
    <x v="29"/>
    <n v="4500518200"/>
    <x v="95"/>
    <x v="15"/>
    <s v="Venta"/>
    <m/>
    <m/>
    <m/>
    <x v="0"/>
    <m/>
    <x v="26"/>
    <x v="1"/>
    <x v="43"/>
  </r>
  <r>
    <x v="59"/>
    <x v="59"/>
    <n v="1"/>
    <x v="0"/>
    <n v="4500518201"/>
    <x v="96"/>
    <x v="15"/>
    <s v="Reserva"/>
    <m/>
    <m/>
    <m/>
    <x v="0"/>
    <m/>
    <x v="23"/>
    <x v="0"/>
    <x v="0"/>
  </r>
  <r>
    <x v="48"/>
    <x v="48"/>
    <n v="2"/>
    <x v="0"/>
    <n v="4500518201"/>
    <x v="96"/>
    <x v="15"/>
    <s v="Reserva"/>
    <m/>
    <m/>
    <m/>
    <x v="0"/>
    <m/>
    <x v="23"/>
    <x v="0"/>
    <x v="0"/>
  </r>
  <r>
    <x v="5"/>
    <x v="5"/>
    <n v="3"/>
    <x v="0"/>
    <n v="4500518201"/>
    <x v="96"/>
    <x v="15"/>
    <s v="Reserva"/>
    <m/>
    <m/>
    <m/>
    <x v="0"/>
    <m/>
    <x v="23"/>
    <x v="0"/>
    <x v="0"/>
  </r>
  <r>
    <x v="50"/>
    <x v="50"/>
    <n v="1"/>
    <x v="0"/>
    <n v="4500518201"/>
    <x v="96"/>
    <x v="15"/>
    <s v="Reserva"/>
    <m/>
    <m/>
    <m/>
    <x v="0"/>
    <m/>
    <x v="23"/>
    <x v="0"/>
    <x v="0"/>
  </r>
  <r>
    <x v="14"/>
    <x v="14"/>
    <n v="2"/>
    <x v="0"/>
    <n v="4500518201"/>
    <x v="96"/>
    <x v="15"/>
    <s v="Reserva"/>
    <m/>
    <m/>
    <m/>
    <x v="0"/>
    <m/>
    <x v="23"/>
    <x v="0"/>
    <x v="0"/>
  </r>
  <r>
    <x v="12"/>
    <x v="12"/>
    <n v="1"/>
    <x v="0"/>
    <n v="4500518201"/>
    <x v="96"/>
    <x v="15"/>
    <s v="Reserva"/>
    <m/>
    <m/>
    <m/>
    <x v="0"/>
    <m/>
    <x v="23"/>
    <x v="0"/>
    <x v="0"/>
  </r>
  <r>
    <x v="72"/>
    <x v="72"/>
    <n v="1"/>
    <x v="0"/>
    <n v="4500518201"/>
    <x v="96"/>
    <x v="15"/>
    <s v="Reserva"/>
    <s v="MRPC18009562022"/>
    <m/>
    <m/>
    <x v="0"/>
    <m/>
    <x v="23"/>
    <x v="0"/>
    <x v="0"/>
  </r>
  <r>
    <x v="46"/>
    <x v="46"/>
    <n v="1"/>
    <x v="210"/>
    <n v="4500518228"/>
    <x v="97"/>
    <x v="15"/>
    <s v="Reserva"/>
    <m/>
    <m/>
    <m/>
    <x v="0"/>
    <m/>
    <x v="16"/>
    <x v="0"/>
    <x v="0"/>
  </r>
  <r>
    <x v="29"/>
    <x v="29"/>
    <n v="1"/>
    <x v="0"/>
    <n v="4500518228"/>
    <x v="97"/>
    <x v="15"/>
    <s v="Reserva"/>
    <m/>
    <m/>
    <m/>
    <x v="0"/>
    <m/>
    <x v="16"/>
    <x v="0"/>
    <x v="0"/>
  </r>
  <r>
    <x v="14"/>
    <x v="14"/>
    <n v="1"/>
    <x v="0"/>
    <n v="4500518228"/>
    <x v="97"/>
    <x v="15"/>
    <s v="Reserva"/>
    <m/>
    <m/>
    <m/>
    <x v="0"/>
    <m/>
    <x v="16"/>
    <x v="0"/>
    <x v="0"/>
  </r>
  <r>
    <x v="5"/>
    <x v="5"/>
    <n v="2"/>
    <x v="0"/>
    <n v="4500518228"/>
    <x v="97"/>
    <x v="15"/>
    <s v="Reserva"/>
    <m/>
    <m/>
    <m/>
    <x v="0"/>
    <m/>
    <x v="16"/>
    <x v="0"/>
    <x v="0"/>
  </r>
  <r>
    <x v="12"/>
    <x v="12"/>
    <n v="1"/>
    <x v="0"/>
    <n v="4500518228"/>
    <x v="97"/>
    <x v="15"/>
    <s v="Reserva"/>
    <m/>
    <m/>
    <m/>
    <x v="0"/>
    <m/>
    <x v="16"/>
    <x v="0"/>
    <x v="0"/>
  </r>
  <r>
    <x v="0"/>
    <x v="0"/>
    <n v="20"/>
    <x v="0"/>
    <n v="4500518228"/>
    <x v="97"/>
    <x v="15"/>
    <s v="Reserva"/>
    <m/>
    <m/>
    <m/>
    <x v="0"/>
    <m/>
    <x v="16"/>
    <x v="0"/>
    <x v="0"/>
  </r>
  <r>
    <x v="8"/>
    <x v="8"/>
    <n v="1"/>
    <x v="0"/>
    <n v="4500518228"/>
    <x v="97"/>
    <x v="15"/>
    <s v="Reserva"/>
    <m/>
    <m/>
    <m/>
    <x v="0"/>
    <m/>
    <x v="16"/>
    <x v="0"/>
    <x v="0"/>
  </r>
  <r>
    <x v="57"/>
    <x v="57"/>
    <n v="2"/>
    <x v="0"/>
    <n v="4500518231"/>
    <x v="98"/>
    <x v="15"/>
    <s v="Reserva"/>
    <m/>
    <m/>
    <m/>
    <x v="0"/>
    <s v="Adicional # 1"/>
    <x v="7"/>
    <x v="0"/>
    <x v="0"/>
  </r>
  <r>
    <x v="26"/>
    <x v="26"/>
    <n v="1"/>
    <x v="0"/>
    <n v="4500518229"/>
    <x v="99"/>
    <x v="15"/>
    <s v="Reserva"/>
    <m/>
    <m/>
    <m/>
    <x v="0"/>
    <m/>
    <x v="22"/>
    <x v="0"/>
    <x v="0"/>
  </r>
  <r>
    <x v="53"/>
    <x v="53"/>
    <n v="1"/>
    <x v="0"/>
    <n v="4500518229"/>
    <x v="99"/>
    <x v="15"/>
    <s v="Reserva"/>
    <m/>
    <m/>
    <m/>
    <x v="0"/>
    <m/>
    <x v="22"/>
    <x v="0"/>
    <x v="0"/>
  </r>
  <r>
    <x v="1"/>
    <x v="1"/>
    <n v="4"/>
    <x v="0"/>
    <n v="4500518229"/>
    <x v="99"/>
    <x v="15"/>
    <s v="Reserva"/>
    <m/>
    <m/>
    <m/>
    <x v="0"/>
    <m/>
    <x v="22"/>
    <x v="0"/>
    <x v="0"/>
  </r>
  <r>
    <x v="27"/>
    <x v="27"/>
    <n v="1"/>
    <x v="0"/>
    <n v="4500518229"/>
    <x v="99"/>
    <x v="15"/>
    <s v="Reserva"/>
    <m/>
    <m/>
    <m/>
    <x v="0"/>
    <m/>
    <x v="22"/>
    <x v="0"/>
    <x v="0"/>
  </r>
  <r>
    <x v="30"/>
    <x v="30"/>
    <n v="1"/>
    <x v="0"/>
    <n v="4500518229"/>
    <x v="99"/>
    <x v="15"/>
    <s v="Reserva"/>
    <m/>
    <m/>
    <m/>
    <x v="0"/>
    <m/>
    <x v="22"/>
    <x v="0"/>
    <x v="0"/>
  </r>
  <r>
    <x v="59"/>
    <x v="59"/>
    <n v="1"/>
    <x v="0"/>
    <n v="4500518238"/>
    <x v="100"/>
    <x v="15"/>
    <s v="Reserva"/>
    <m/>
    <m/>
    <m/>
    <x v="0"/>
    <m/>
    <x v="29"/>
    <x v="0"/>
    <x v="0"/>
  </r>
  <r>
    <x v="48"/>
    <x v="48"/>
    <n v="2"/>
    <x v="0"/>
    <n v="4500518238"/>
    <x v="100"/>
    <x v="15"/>
    <s v="Reserva"/>
    <m/>
    <m/>
    <m/>
    <x v="0"/>
    <m/>
    <x v="29"/>
    <x v="0"/>
    <x v="0"/>
  </r>
  <r>
    <x v="5"/>
    <x v="5"/>
    <n v="3"/>
    <x v="0"/>
    <n v="4500518238"/>
    <x v="100"/>
    <x v="15"/>
    <s v="Reserva"/>
    <m/>
    <m/>
    <m/>
    <x v="0"/>
    <m/>
    <x v="29"/>
    <x v="0"/>
    <x v="0"/>
  </r>
  <r>
    <x v="50"/>
    <x v="50"/>
    <n v="1"/>
    <x v="0"/>
    <n v="4500518238"/>
    <x v="100"/>
    <x v="15"/>
    <s v="Reserva"/>
    <m/>
    <m/>
    <m/>
    <x v="0"/>
    <m/>
    <x v="29"/>
    <x v="0"/>
    <x v="0"/>
  </r>
  <r>
    <x v="14"/>
    <x v="14"/>
    <n v="3"/>
    <x v="0"/>
    <n v="4500518238"/>
    <x v="100"/>
    <x v="15"/>
    <s v="Reserva"/>
    <m/>
    <m/>
    <m/>
    <x v="0"/>
    <m/>
    <x v="29"/>
    <x v="0"/>
    <x v="0"/>
  </r>
  <r>
    <x v="12"/>
    <x v="12"/>
    <n v="1"/>
    <x v="0"/>
    <n v="4500518238"/>
    <x v="100"/>
    <x v="15"/>
    <s v="Reserva"/>
    <m/>
    <m/>
    <m/>
    <x v="0"/>
    <m/>
    <x v="29"/>
    <x v="0"/>
    <x v="0"/>
  </r>
  <r>
    <x v="72"/>
    <x v="72"/>
    <n v="1"/>
    <x v="0"/>
    <n v="4500518238"/>
    <x v="100"/>
    <x v="15"/>
    <s v="Reserva"/>
    <s v="MRPC18008022022"/>
    <m/>
    <m/>
    <x v="0"/>
    <m/>
    <x v="29"/>
    <x v="0"/>
    <x v="0"/>
  </r>
  <r>
    <x v="55"/>
    <x v="55"/>
    <n v="1"/>
    <x v="0"/>
    <n v="4500518235"/>
    <x v="101"/>
    <x v="15"/>
    <s v="Reserva"/>
    <m/>
    <m/>
    <m/>
    <x v="0"/>
    <m/>
    <x v="30"/>
    <x v="0"/>
    <x v="0"/>
  </r>
  <r>
    <x v="53"/>
    <x v="53"/>
    <n v="1"/>
    <x v="0"/>
    <n v="4500518235"/>
    <x v="101"/>
    <x v="15"/>
    <s v="Reserva"/>
    <m/>
    <m/>
    <m/>
    <x v="0"/>
    <m/>
    <x v="30"/>
    <x v="0"/>
    <x v="0"/>
  </r>
  <r>
    <x v="1"/>
    <x v="1"/>
    <n v="4"/>
    <x v="0"/>
    <n v="4500518235"/>
    <x v="101"/>
    <x v="15"/>
    <s v="Reserva"/>
    <m/>
    <m/>
    <m/>
    <x v="0"/>
    <m/>
    <x v="30"/>
    <x v="0"/>
    <x v="0"/>
  </r>
  <r>
    <x v="27"/>
    <x v="27"/>
    <n v="1"/>
    <x v="0"/>
    <n v="4500518235"/>
    <x v="101"/>
    <x v="15"/>
    <s v="Reserva"/>
    <m/>
    <m/>
    <m/>
    <x v="0"/>
    <m/>
    <x v="30"/>
    <x v="0"/>
    <x v="0"/>
  </r>
  <r>
    <x v="30"/>
    <x v="30"/>
    <n v="1"/>
    <x v="0"/>
    <n v="4500518235"/>
    <x v="101"/>
    <x v="15"/>
    <s v="Reserva"/>
    <m/>
    <m/>
    <m/>
    <x v="0"/>
    <m/>
    <x v="30"/>
    <x v="0"/>
    <x v="0"/>
  </r>
  <r>
    <x v="40"/>
    <x v="40"/>
    <n v="1"/>
    <x v="0"/>
    <n v="4500518243"/>
    <x v="102"/>
    <x v="15"/>
    <s v="Reserva"/>
    <m/>
    <m/>
    <m/>
    <x v="0"/>
    <m/>
    <x v="31"/>
    <x v="0"/>
    <x v="0"/>
  </r>
  <r>
    <x v="0"/>
    <x v="0"/>
    <n v="4"/>
    <x v="0"/>
    <n v="4500518243"/>
    <x v="102"/>
    <x v="15"/>
    <s v="Reserva"/>
    <m/>
    <m/>
    <m/>
    <x v="0"/>
    <m/>
    <x v="31"/>
    <x v="0"/>
    <x v="0"/>
  </r>
  <r>
    <x v="53"/>
    <x v="53"/>
    <n v="1"/>
    <x v="0"/>
    <n v="4500518243"/>
    <x v="102"/>
    <x v="15"/>
    <s v="Reserva"/>
    <m/>
    <m/>
    <m/>
    <x v="0"/>
    <m/>
    <x v="31"/>
    <x v="0"/>
    <x v="0"/>
  </r>
  <r>
    <x v="1"/>
    <x v="1"/>
    <n v="4"/>
    <x v="0"/>
    <n v="4500518243"/>
    <x v="102"/>
    <x v="15"/>
    <s v="Reserva"/>
    <m/>
    <m/>
    <m/>
    <x v="0"/>
    <m/>
    <x v="31"/>
    <x v="0"/>
    <x v="0"/>
  </r>
  <r>
    <x v="73"/>
    <x v="73"/>
    <n v="1"/>
    <x v="0"/>
    <n v="4500518243"/>
    <x v="102"/>
    <x v="15"/>
    <s v="Reserva"/>
    <m/>
    <m/>
    <m/>
    <x v="0"/>
    <m/>
    <x v="31"/>
    <x v="0"/>
    <x v="0"/>
  </r>
  <r>
    <x v="74"/>
    <x v="74"/>
    <n v="1"/>
    <x v="0"/>
    <n v="4500518243"/>
    <x v="102"/>
    <x v="15"/>
    <s v="Reserva"/>
    <m/>
    <m/>
    <m/>
    <x v="0"/>
    <m/>
    <x v="31"/>
    <x v="0"/>
    <x v="0"/>
  </r>
  <r>
    <x v="26"/>
    <x v="26"/>
    <n v="1"/>
    <x v="0"/>
    <n v="4500518184"/>
    <x v="103"/>
    <x v="15"/>
    <s v="Reserva"/>
    <m/>
    <m/>
    <m/>
    <x v="0"/>
    <m/>
    <x v="24"/>
    <x v="0"/>
    <x v="0"/>
  </r>
  <r>
    <x v="53"/>
    <x v="53"/>
    <n v="1"/>
    <x v="0"/>
    <n v="4500518184"/>
    <x v="103"/>
    <x v="15"/>
    <s v="Reserva"/>
    <m/>
    <m/>
    <m/>
    <x v="0"/>
    <m/>
    <x v="24"/>
    <x v="0"/>
    <x v="0"/>
  </r>
  <r>
    <x v="1"/>
    <x v="1"/>
    <n v="4"/>
    <x v="0"/>
    <n v="4500518184"/>
    <x v="103"/>
    <x v="15"/>
    <s v="Reserva"/>
    <m/>
    <m/>
    <m/>
    <x v="0"/>
    <m/>
    <x v="24"/>
    <x v="0"/>
    <x v="0"/>
  </r>
  <r>
    <x v="27"/>
    <x v="27"/>
    <n v="1"/>
    <x v="0"/>
    <n v="4500518184"/>
    <x v="103"/>
    <x v="15"/>
    <s v="Reserva"/>
    <m/>
    <m/>
    <m/>
    <x v="0"/>
    <m/>
    <x v="24"/>
    <x v="0"/>
    <x v="0"/>
  </r>
  <r>
    <x v="30"/>
    <x v="30"/>
    <n v="1"/>
    <x v="0"/>
    <n v="4500518184"/>
    <x v="103"/>
    <x v="15"/>
    <s v="Reserva"/>
    <m/>
    <m/>
    <m/>
    <x v="0"/>
    <m/>
    <x v="24"/>
    <x v="0"/>
    <x v="0"/>
  </r>
  <r>
    <x v="26"/>
    <x v="26"/>
    <n v="1"/>
    <x v="0"/>
    <n v="4500518198"/>
    <x v="104"/>
    <x v="15"/>
    <s v="Reserva"/>
    <m/>
    <m/>
    <m/>
    <x v="0"/>
    <m/>
    <x v="19"/>
    <x v="0"/>
    <x v="0"/>
  </r>
  <r>
    <x v="53"/>
    <x v="53"/>
    <n v="1"/>
    <x v="0"/>
    <n v="4500518198"/>
    <x v="104"/>
    <x v="15"/>
    <s v="Reserva"/>
    <m/>
    <m/>
    <m/>
    <x v="0"/>
    <m/>
    <x v="19"/>
    <x v="0"/>
    <x v="0"/>
  </r>
  <r>
    <x v="1"/>
    <x v="1"/>
    <n v="4"/>
    <x v="0"/>
    <n v="4500518198"/>
    <x v="104"/>
    <x v="15"/>
    <s v="Reserva"/>
    <m/>
    <m/>
    <m/>
    <x v="0"/>
    <m/>
    <x v="19"/>
    <x v="0"/>
    <x v="0"/>
  </r>
  <r>
    <x v="27"/>
    <x v="27"/>
    <n v="1"/>
    <x v="0"/>
    <n v="4500518198"/>
    <x v="104"/>
    <x v="15"/>
    <s v="Reserva"/>
    <m/>
    <m/>
    <m/>
    <x v="0"/>
    <m/>
    <x v="19"/>
    <x v="0"/>
    <x v="0"/>
  </r>
  <r>
    <x v="30"/>
    <x v="30"/>
    <n v="1"/>
    <x v="0"/>
    <n v="4500518198"/>
    <x v="104"/>
    <x v="15"/>
    <s v="Reserva"/>
    <m/>
    <m/>
    <m/>
    <x v="0"/>
    <m/>
    <x v="19"/>
    <x v="0"/>
    <x v="0"/>
  </r>
  <r>
    <x v="26"/>
    <x v="26"/>
    <n v="1"/>
    <x v="0"/>
    <n v="4500518200"/>
    <x v="105"/>
    <x v="15"/>
    <s v="Reserva"/>
    <m/>
    <m/>
    <m/>
    <x v="0"/>
    <m/>
    <x v="26"/>
    <x v="0"/>
    <x v="0"/>
  </r>
  <r>
    <x v="53"/>
    <x v="53"/>
    <n v="1"/>
    <x v="0"/>
    <n v="4500518200"/>
    <x v="105"/>
    <x v="15"/>
    <s v="Reserva"/>
    <m/>
    <m/>
    <m/>
    <x v="0"/>
    <m/>
    <x v="26"/>
    <x v="0"/>
    <x v="0"/>
  </r>
  <r>
    <x v="1"/>
    <x v="1"/>
    <n v="4"/>
    <x v="0"/>
    <n v="4500518200"/>
    <x v="105"/>
    <x v="15"/>
    <s v="Reserva"/>
    <m/>
    <m/>
    <m/>
    <x v="0"/>
    <m/>
    <x v="26"/>
    <x v="0"/>
    <x v="0"/>
  </r>
  <r>
    <x v="27"/>
    <x v="27"/>
    <n v="1"/>
    <x v="0"/>
    <n v="4500518200"/>
    <x v="105"/>
    <x v="15"/>
    <s v="Reserva"/>
    <m/>
    <m/>
    <m/>
    <x v="0"/>
    <m/>
    <x v="26"/>
    <x v="0"/>
    <x v="0"/>
  </r>
  <r>
    <x v="30"/>
    <x v="30"/>
    <n v="1"/>
    <x v="0"/>
    <n v="4500518200"/>
    <x v="105"/>
    <x v="15"/>
    <s v="Reserva"/>
    <m/>
    <m/>
    <m/>
    <x v="0"/>
    <m/>
    <x v="26"/>
    <x v="0"/>
    <x v="0"/>
  </r>
  <r>
    <x v="75"/>
    <x v="75"/>
    <n v="3"/>
    <x v="0"/>
    <n v="4500518211"/>
    <x v="106"/>
    <x v="15"/>
    <s v="Reserva"/>
    <m/>
    <m/>
    <m/>
    <x v="0"/>
    <m/>
    <x v="7"/>
    <x v="0"/>
    <x v="0"/>
  </r>
  <r>
    <x v="5"/>
    <x v="5"/>
    <n v="9"/>
    <x v="0"/>
    <n v="4500518211"/>
    <x v="106"/>
    <x v="15"/>
    <s v="Reserva"/>
    <m/>
    <m/>
    <m/>
    <x v="0"/>
    <m/>
    <x v="7"/>
    <x v="0"/>
    <x v="0"/>
  </r>
  <r>
    <x v="50"/>
    <x v="50"/>
    <n v="1"/>
    <x v="0"/>
    <n v="4500518211"/>
    <x v="106"/>
    <x v="15"/>
    <s v="Reserva"/>
    <m/>
    <m/>
    <m/>
    <x v="0"/>
    <m/>
    <x v="7"/>
    <x v="0"/>
    <x v="0"/>
  </r>
  <r>
    <x v="14"/>
    <x v="14"/>
    <n v="2"/>
    <x v="0"/>
    <n v="4500518211"/>
    <x v="106"/>
    <x v="15"/>
    <s v="Reserva"/>
    <m/>
    <m/>
    <m/>
    <x v="0"/>
    <m/>
    <x v="7"/>
    <x v="0"/>
    <x v="0"/>
  </r>
  <r>
    <x v="12"/>
    <x v="12"/>
    <n v="3"/>
    <x v="0"/>
    <n v="4500518211"/>
    <x v="106"/>
    <x v="15"/>
    <s v="Reserva"/>
    <m/>
    <m/>
    <m/>
    <x v="0"/>
    <m/>
    <x v="7"/>
    <x v="0"/>
    <x v="0"/>
  </r>
  <r>
    <x v="48"/>
    <x v="48"/>
    <n v="3"/>
    <x v="0"/>
    <n v="4500518211"/>
    <x v="106"/>
    <x v="15"/>
    <s v="Reserva"/>
    <m/>
    <m/>
    <m/>
    <x v="0"/>
    <m/>
    <x v="7"/>
    <x v="0"/>
    <x v="0"/>
  </r>
  <r>
    <x v="72"/>
    <x v="72"/>
    <n v="1"/>
    <x v="0"/>
    <n v="4500518211"/>
    <x v="106"/>
    <x v="15"/>
    <s v="Reserva"/>
    <s v="MRPC18009002022"/>
    <m/>
    <m/>
    <x v="0"/>
    <m/>
    <x v="7"/>
    <x v="0"/>
    <x v="0"/>
  </r>
  <r>
    <x v="59"/>
    <x v="59"/>
    <n v="2"/>
    <x v="0"/>
    <n v="4500518211"/>
    <x v="106"/>
    <x v="15"/>
    <s v="Reserva"/>
    <m/>
    <m/>
    <m/>
    <x v="0"/>
    <m/>
    <x v="7"/>
    <x v="0"/>
    <x v="0"/>
  </r>
  <r>
    <x v="26"/>
    <x v="26"/>
    <n v="1"/>
    <x v="0"/>
    <n v="4500518211"/>
    <x v="106"/>
    <x v="15"/>
    <s v="Reserva"/>
    <m/>
    <m/>
    <m/>
    <x v="0"/>
    <m/>
    <x v="7"/>
    <x v="0"/>
    <x v="0"/>
  </r>
  <r>
    <x v="27"/>
    <x v="27"/>
    <n v="1"/>
    <x v="0"/>
    <n v="4500518211"/>
    <x v="106"/>
    <x v="15"/>
    <s v="Reserva"/>
    <m/>
    <m/>
    <m/>
    <x v="0"/>
    <m/>
    <x v="7"/>
    <x v="0"/>
    <x v="0"/>
  </r>
  <r>
    <x v="1"/>
    <x v="1"/>
    <n v="1"/>
    <x v="0"/>
    <n v="4500518211"/>
    <x v="106"/>
    <x v="15"/>
    <s v="Reserva"/>
    <m/>
    <m/>
    <m/>
    <x v="0"/>
    <m/>
    <x v="7"/>
    <x v="0"/>
    <x v="0"/>
  </r>
  <r>
    <x v="28"/>
    <x v="28"/>
    <n v="50"/>
    <x v="0"/>
    <n v="4500518211"/>
    <x v="106"/>
    <x v="15"/>
    <s v="Reserva"/>
    <m/>
    <m/>
    <m/>
    <x v="0"/>
    <m/>
    <x v="7"/>
    <x v="0"/>
    <x v="0"/>
  </r>
  <r>
    <x v="67"/>
    <x v="67"/>
    <n v="4"/>
    <x v="0"/>
    <n v="4500518168"/>
    <x v="107"/>
    <x v="15"/>
    <s v="Reserva"/>
    <m/>
    <m/>
    <m/>
    <x v="0"/>
    <s v="Adicional # 3"/>
    <x v="9"/>
    <x v="0"/>
    <x v="0"/>
  </r>
  <r>
    <x v="73"/>
    <x v="73"/>
    <n v="1"/>
    <x v="0"/>
    <n v="4500518039"/>
    <x v="108"/>
    <x v="15"/>
    <s v="Reserva"/>
    <m/>
    <m/>
    <m/>
    <x v="0"/>
    <s v="Adicional # 1"/>
    <x v="32"/>
    <x v="0"/>
    <x v="0"/>
  </r>
  <r>
    <x v="0"/>
    <x v="0"/>
    <n v="1"/>
    <x v="0"/>
    <n v="4500518039"/>
    <x v="108"/>
    <x v="15"/>
    <s v="Reserva"/>
    <m/>
    <m/>
    <m/>
    <x v="0"/>
    <s v="Adicional # 1"/>
    <x v="32"/>
    <x v="0"/>
    <x v="0"/>
  </r>
  <r>
    <x v="0"/>
    <x v="0"/>
    <n v="40"/>
    <x v="0"/>
    <n v="4500518036"/>
    <x v="109"/>
    <x v="15"/>
    <s v="Reserva"/>
    <m/>
    <m/>
    <m/>
    <x v="0"/>
    <s v="Adicional # 2"/>
    <x v="15"/>
    <x v="0"/>
    <x v="0"/>
  </r>
  <r>
    <x v="38"/>
    <x v="38"/>
    <n v="2"/>
    <x v="0"/>
    <n v="4500518034"/>
    <x v="110"/>
    <x v="15"/>
    <s v="Reserva"/>
    <m/>
    <m/>
    <m/>
    <x v="0"/>
    <s v="Adicional # 1"/>
    <x v="15"/>
    <x v="0"/>
    <x v="0"/>
  </r>
  <r>
    <x v="8"/>
    <x v="8"/>
    <n v="2"/>
    <x v="0"/>
    <n v="4500518034"/>
    <x v="110"/>
    <x v="15"/>
    <s v="Reserva"/>
    <m/>
    <m/>
    <m/>
    <x v="0"/>
    <s v="Adicional # 1"/>
    <x v="15"/>
    <x v="0"/>
    <x v="0"/>
  </r>
  <r>
    <x v="14"/>
    <x v="14"/>
    <n v="2"/>
    <x v="0"/>
    <n v="4500518029"/>
    <x v="111"/>
    <x v="15"/>
    <s v="Reserva"/>
    <m/>
    <m/>
    <m/>
    <x v="0"/>
    <s v="Adicional # 2"/>
    <x v="33"/>
    <x v="0"/>
    <x v="0"/>
  </r>
  <r>
    <x v="8"/>
    <x v="8"/>
    <n v="3"/>
    <x v="0"/>
    <n v="4500518027"/>
    <x v="112"/>
    <x v="15"/>
    <s v="Reserva"/>
    <m/>
    <m/>
    <m/>
    <x v="0"/>
    <s v="Adicional # 3"/>
    <x v="16"/>
    <x v="0"/>
    <x v="0"/>
  </r>
  <r>
    <x v="38"/>
    <x v="38"/>
    <n v="2"/>
    <x v="0"/>
    <n v="4500518027"/>
    <x v="112"/>
    <x v="15"/>
    <s v="Reserva"/>
    <m/>
    <m/>
    <m/>
    <x v="0"/>
    <s v="Adicional # 3"/>
    <x v="16"/>
    <x v="0"/>
    <x v="0"/>
  </r>
  <r>
    <x v="40"/>
    <x v="40"/>
    <n v="1"/>
    <x v="0"/>
    <n v="4500518027"/>
    <x v="112"/>
    <x v="15"/>
    <s v="Reserva"/>
    <m/>
    <m/>
    <m/>
    <x v="0"/>
    <s v="Adicional # 3"/>
    <x v="16"/>
    <x v="0"/>
    <x v="0"/>
  </r>
  <r>
    <x v="0"/>
    <x v="0"/>
    <n v="1"/>
    <x v="0"/>
    <n v="4500518027"/>
    <x v="112"/>
    <x v="15"/>
    <s v="Reserva"/>
    <m/>
    <m/>
    <m/>
    <x v="0"/>
    <s v="Adicional # 3"/>
    <x v="16"/>
    <x v="0"/>
    <x v="0"/>
  </r>
  <r>
    <x v="5"/>
    <x v="5"/>
    <n v="1"/>
    <x v="0"/>
    <m/>
    <x v="113"/>
    <x v="16"/>
    <s v="Devolución"/>
    <m/>
    <m/>
    <m/>
    <x v="0"/>
    <m/>
    <x v="34"/>
    <x v="0"/>
    <x v="0"/>
  </r>
  <r>
    <x v="48"/>
    <x v="48"/>
    <n v="2"/>
    <x v="0"/>
    <m/>
    <x v="113"/>
    <x v="16"/>
    <s v="Devolución"/>
    <m/>
    <m/>
    <m/>
    <x v="0"/>
    <m/>
    <x v="34"/>
    <x v="0"/>
    <x v="0"/>
  </r>
  <r>
    <x v="6"/>
    <x v="6"/>
    <n v="1.7"/>
    <x v="0"/>
    <m/>
    <x v="113"/>
    <x v="16"/>
    <s v="Devolución"/>
    <m/>
    <m/>
    <m/>
    <x v="0"/>
    <m/>
    <x v="34"/>
    <x v="0"/>
    <x v="0"/>
  </r>
  <r>
    <x v="19"/>
    <x v="19"/>
    <n v="3"/>
    <x v="0"/>
    <m/>
    <x v="113"/>
    <x v="16"/>
    <s v="Devolución"/>
    <m/>
    <m/>
    <m/>
    <x v="0"/>
    <m/>
    <x v="34"/>
    <x v="0"/>
    <x v="0"/>
  </r>
  <r>
    <x v="1"/>
    <x v="1"/>
    <n v="2"/>
    <x v="0"/>
    <m/>
    <x v="114"/>
    <x v="17"/>
    <s v="Devolución"/>
    <m/>
    <m/>
    <m/>
    <x v="0"/>
    <m/>
    <x v="22"/>
    <x v="0"/>
    <x v="0"/>
  </r>
  <r>
    <x v="2"/>
    <x v="2"/>
    <n v="1"/>
    <x v="0"/>
    <m/>
    <x v="114"/>
    <x v="17"/>
    <s v="Devolución"/>
    <m/>
    <m/>
    <m/>
    <x v="0"/>
    <m/>
    <x v="22"/>
    <x v="0"/>
    <x v="0"/>
  </r>
  <r>
    <x v="18"/>
    <x v="18"/>
    <n v="2"/>
    <x v="0"/>
    <m/>
    <x v="114"/>
    <x v="17"/>
    <s v="Devolución"/>
    <m/>
    <m/>
    <m/>
    <x v="0"/>
    <m/>
    <x v="22"/>
    <x v="0"/>
    <x v="0"/>
  </r>
  <r>
    <x v="30"/>
    <x v="30"/>
    <n v="13"/>
    <x v="0"/>
    <n v="4500518042"/>
    <x v="115"/>
    <x v="18"/>
    <s v="Reserva"/>
    <m/>
    <m/>
    <m/>
    <x v="0"/>
    <m/>
    <x v="16"/>
    <x v="0"/>
    <x v="0"/>
  </r>
  <r>
    <x v="1"/>
    <x v="1"/>
    <n v="26"/>
    <x v="0"/>
    <n v="4500518042"/>
    <x v="115"/>
    <x v="18"/>
    <s v="Reserva"/>
    <m/>
    <m/>
    <m/>
    <x v="0"/>
    <m/>
    <x v="16"/>
    <x v="0"/>
    <x v="0"/>
  </r>
  <r>
    <x v="28"/>
    <x v="28"/>
    <n v="13"/>
    <x v="0"/>
    <n v="4500518042"/>
    <x v="115"/>
    <x v="18"/>
    <s v="Reserva"/>
    <m/>
    <m/>
    <m/>
    <x v="0"/>
    <m/>
    <x v="16"/>
    <x v="0"/>
    <x v="0"/>
  </r>
  <r>
    <x v="8"/>
    <x v="8"/>
    <n v="2"/>
    <x v="0"/>
    <n v="4500518042"/>
    <x v="115"/>
    <x v="18"/>
    <s v="Reserva"/>
    <m/>
    <m/>
    <m/>
    <x v="0"/>
    <m/>
    <x v="16"/>
    <x v="0"/>
    <x v="0"/>
  </r>
  <r>
    <x v="1"/>
    <x v="1"/>
    <n v="14"/>
    <x v="0"/>
    <n v="4500518023"/>
    <x v="116"/>
    <x v="18"/>
    <s v="Reserva"/>
    <m/>
    <m/>
    <m/>
    <x v="0"/>
    <m/>
    <x v="35"/>
    <x v="0"/>
    <x v="0"/>
  </r>
  <r>
    <x v="28"/>
    <x v="28"/>
    <n v="14"/>
    <x v="0"/>
    <n v="4500518023"/>
    <x v="116"/>
    <x v="18"/>
    <s v="Reserva"/>
    <m/>
    <m/>
    <m/>
    <x v="0"/>
    <m/>
    <x v="35"/>
    <x v="0"/>
    <x v="0"/>
  </r>
  <r>
    <x v="26"/>
    <x v="26"/>
    <n v="14"/>
    <x v="0"/>
    <n v="4500518023"/>
    <x v="116"/>
    <x v="18"/>
    <s v="Reserva"/>
    <m/>
    <m/>
    <m/>
    <x v="0"/>
    <m/>
    <x v="35"/>
    <x v="0"/>
    <x v="0"/>
  </r>
  <r>
    <x v="0"/>
    <x v="0"/>
    <n v="14"/>
    <x v="0"/>
    <n v="4500518023"/>
    <x v="116"/>
    <x v="18"/>
    <s v="Reserva"/>
    <m/>
    <m/>
    <m/>
    <x v="0"/>
    <m/>
    <x v="35"/>
    <x v="0"/>
    <x v="0"/>
  </r>
  <r>
    <x v="27"/>
    <x v="27"/>
    <n v="14"/>
    <x v="0"/>
    <n v="4500518023"/>
    <x v="116"/>
    <x v="18"/>
    <s v="Reserva"/>
    <m/>
    <m/>
    <m/>
    <x v="0"/>
    <m/>
    <x v="35"/>
    <x v="0"/>
    <x v="0"/>
  </r>
  <r>
    <x v="27"/>
    <x v="27"/>
    <n v="1"/>
    <x v="0"/>
    <n v="4500518017"/>
    <x v="117"/>
    <x v="18"/>
    <s v="Reserva"/>
    <m/>
    <m/>
    <m/>
    <x v="0"/>
    <m/>
    <x v="35"/>
    <x v="0"/>
    <x v="0"/>
  </r>
  <r>
    <x v="1"/>
    <x v="1"/>
    <n v="14"/>
    <x v="0"/>
    <n v="4500518017"/>
    <x v="117"/>
    <x v="18"/>
    <s v="Reserva"/>
    <m/>
    <m/>
    <m/>
    <x v="0"/>
    <m/>
    <x v="35"/>
    <x v="0"/>
    <x v="0"/>
  </r>
  <r>
    <x v="28"/>
    <x v="28"/>
    <n v="8"/>
    <x v="0"/>
    <n v="4500518017"/>
    <x v="117"/>
    <x v="18"/>
    <s v="Reserva"/>
    <m/>
    <m/>
    <m/>
    <x v="0"/>
    <m/>
    <x v="35"/>
    <x v="0"/>
    <x v="0"/>
  </r>
  <r>
    <x v="26"/>
    <x v="26"/>
    <n v="1"/>
    <x v="0"/>
    <n v="4500518017"/>
    <x v="117"/>
    <x v="18"/>
    <s v="Reserva"/>
    <m/>
    <m/>
    <m/>
    <x v="0"/>
    <m/>
    <x v="35"/>
    <x v="0"/>
    <x v="0"/>
  </r>
  <r>
    <x v="0"/>
    <x v="0"/>
    <n v="1"/>
    <x v="0"/>
    <n v="4500518017"/>
    <x v="117"/>
    <x v="18"/>
    <s v="Reserva"/>
    <m/>
    <m/>
    <m/>
    <x v="0"/>
    <m/>
    <x v="35"/>
    <x v="0"/>
    <x v="0"/>
  </r>
  <r>
    <x v="27"/>
    <x v="27"/>
    <n v="13"/>
    <x v="0"/>
    <n v="4500517998"/>
    <x v="118"/>
    <x v="18"/>
    <s v="Reserva"/>
    <m/>
    <m/>
    <m/>
    <x v="0"/>
    <m/>
    <x v="35"/>
    <x v="0"/>
    <x v="0"/>
  </r>
  <r>
    <x v="1"/>
    <x v="1"/>
    <n v="13"/>
    <x v="0"/>
    <n v="4500517998"/>
    <x v="118"/>
    <x v="18"/>
    <s v="Reserva"/>
    <m/>
    <m/>
    <m/>
    <x v="0"/>
    <m/>
    <x v="35"/>
    <x v="0"/>
    <x v="0"/>
  </r>
  <r>
    <x v="76"/>
    <x v="76"/>
    <n v="1"/>
    <x v="0"/>
    <n v="4500517989"/>
    <x v="119"/>
    <x v="18"/>
    <s v="Reserva"/>
    <m/>
    <m/>
    <m/>
    <x v="0"/>
    <m/>
    <x v="36"/>
    <x v="0"/>
    <x v="0"/>
  </r>
  <r>
    <x v="53"/>
    <x v="53"/>
    <n v="1"/>
    <x v="0"/>
    <n v="4500517989"/>
    <x v="119"/>
    <x v="18"/>
    <s v="Reserva"/>
    <m/>
    <m/>
    <m/>
    <x v="0"/>
    <m/>
    <x v="36"/>
    <x v="0"/>
    <x v="0"/>
  </r>
  <r>
    <x v="1"/>
    <x v="1"/>
    <n v="4"/>
    <x v="0"/>
    <n v="4500517989"/>
    <x v="119"/>
    <x v="18"/>
    <s v="Reserva"/>
    <m/>
    <m/>
    <m/>
    <x v="0"/>
    <m/>
    <x v="36"/>
    <x v="0"/>
    <x v="0"/>
  </r>
  <r>
    <x v="27"/>
    <x v="27"/>
    <n v="1"/>
    <x v="0"/>
    <n v="4500517989"/>
    <x v="119"/>
    <x v="18"/>
    <s v="Reserva"/>
    <m/>
    <m/>
    <m/>
    <x v="0"/>
    <m/>
    <x v="36"/>
    <x v="0"/>
    <x v="0"/>
  </r>
  <r>
    <x v="30"/>
    <x v="30"/>
    <n v="1"/>
    <x v="0"/>
    <n v="4500517989"/>
    <x v="119"/>
    <x v="18"/>
    <s v="Reserva"/>
    <m/>
    <m/>
    <m/>
    <x v="0"/>
    <m/>
    <x v="36"/>
    <x v="0"/>
    <x v="0"/>
  </r>
  <r>
    <x v="2"/>
    <x v="2"/>
    <n v="100"/>
    <x v="119"/>
    <n v="875144"/>
    <x v="120"/>
    <x v="18"/>
    <s v="Venta"/>
    <m/>
    <s v="G-011-01-44546"/>
    <s v="05-08-25 / 19-08-25"/>
    <x v="0"/>
    <m/>
    <x v="16"/>
    <x v="1"/>
    <x v="44"/>
  </r>
  <r>
    <x v="18"/>
    <x v="18"/>
    <n v="100"/>
    <x v="82"/>
    <n v="875144"/>
    <x v="120"/>
    <x v="18"/>
    <s v="Venta"/>
    <m/>
    <s v="G-011-01-44546"/>
    <s v="05-08-25 / 19-08-25"/>
    <x v="0"/>
    <m/>
    <x v="16"/>
    <x v="1"/>
    <x v="44"/>
  </r>
  <r>
    <x v="22"/>
    <x v="22"/>
    <n v="1"/>
    <x v="79"/>
    <n v="875141"/>
    <x v="121"/>
    <x v="18"/>
    <s v="Venta"/>
    <m/>
    <m/>
    <m/>
    <x v="0"/>
    <m/>
    <x v="35"/>
    <x v="1"/>
    <x v="45"/>
  </r>
  <r>
    <x v="21"/>
    <x v="21"/>
    <n v="1"/>
    <x v="80"/>
    <n v="875141"/>
    <x v="121"/>
    <x v="18"/>
    <s v="Venta"/>
    <m/>
    <m/>
    <m/>
    <x v="0"/>
    <m/>
    <x v="35"/>
    <x v="1"/>
    <x v="45"/>
  </r>
  <r>
    <x v="21"/>
    <x v="21"/>
    <n v="1"/>
    <x v="79"/>
    <n v="875140"/>
    <x v="122"/>
    <x v="18"/>
    <s v="Venta"/>
    <m/>
    <m/>
    <m/>
    <x v="0"/>
    <m/>
    <x v="35"/>
    <x v="1"/>
    <x v="46"/>
  </r>
  <r>
    <x v="22"/>
    <x v="22"/>
    <n v="1"/>
    <x v="80"/>
    <n v="875140"/>
    <x v="122"/>
    <x v="18"/>
    <s v="Venta"/>
    <m/>
    <m/>
    <m/>
    <x v="0"/>
    <m/>
    <x v="35"/>
    <x v="1"/>
    <x v="46"/>
  </r>
  <r>
    <x v="56"/>
    <x v="56"/>
    <n v="2"/>
    <x v="113"/>
    <n v="875138"/>
    <x v="123"/>
    <x v="18"/>
    <s v="Venta"/>
    <m/>
    <m/>
    <m/>
    <x v="0"/>
    <m/>
    <x v="35"/>
    <x v="1"/>
    <x v="47"/>
  </r>
  <r>
    <x v="21"/>
    <x v="21"/>
    <n v="13"/>
    <x v="211"/>
    <n v="875138"/>
    <x v="123"/>
    <x v="18"/>
    <s v="Venta"/>
    <m/>
    <m/>
    <m/>
    <x v="0"/>
    <m/>
    <x v="35"/>
    <x v="1"/>
    <x v="47"/>
  </r>
  <r>
    <x v="22"/>
    <x v="22"/>
    <n v="13"/>
    <x v="212"/>
    <n v="875138"/>
    <x v="123"/>
    <x v="18"/>
    <s v="Venta"/>
    <m/>
    <m/>
    <m/>
    <x v="0"/>
    <m/>
    <x v="35"/>
    <x v="1"/>
    <x v="47"/>
  </r>
  <r>
    <x v="23"/>
    <x v="23"/>
    <n v="1"/>
    <x v="78"/>
    <n v="875137"/>
    <x v="124"/>
    <x v="18"/>
    <s v="Venta"/>
    <m/>
    <m/>
    <m/>
    <x v="0"/>
    <m/>
    <x v="36"/>
    <x v="2"/>
    <x v="48"/>
  </r>
  <r>
    <x v="22"/>
    <x v="22"/>
    <n v="1"/>
    <x v="79"/>
    <n v="875137"/>
    <x v="124"/>
    <x v="18"/>
    <s v="Venta"/>
    <m/>
    <m/>
    <m/>
    <x v="0"/>
    <m/>
    <x v="36"/>
    <x v="2"/>
    <x v="48"/>
  </r>
  <r>
    <x v="21"/>
    <x v="21"/>
    <n v="1"/>
    <x v="80"/>
    <n v="875137"/>
    <x v="124"/>
    <x v="18"/>
    <s v="Venta"/>
    <m/>
    <m/>
    <m/>
    <x v="0"/>
    <m/>
    <x v="36"/>
    <x v="2"/>
    <x v="48"/>
  </r>
  <r>
    <x v="70"/>
    <x v="70"/>
    <n v="96"/>
    <x v="213"/>
    <n v="875136"/>
    <x v="125"/>
    <x v="19"/>
    <s v="Venta"/>
    <m/>
    <s v="G-011-01-23950"/>
    <d v="2024-12-17T00:00:00"/>
    <x v="3"/>
    <m/>
    <x v="9"/>
    <x v="2"/>
    <x v="49"/>
  </r>
  <r>
    <x v="7"/>
    <x v="7"/>
    <n v="5"/>
    <x v="214"/>
    <n v="875150"/>
    <x v="126"/>
    <x v="19"/>
    <s v="Venta"/>
    <m/>
    <m/>
    <m/>
    <x v="0"/>
    <m/>
    <x v="4"/>
    <x v="1"/>
    <x v="50"/>
  </r>
  <r>
    <x v="7"/>
    <x v="7"/>
    <n v="2"/>
    <x v="122"/>
    <n v="875151"/>
    <x v="127"/>
    <x v="19"/>
    <s v="Venta"/>
    <m/>
    <m/>
    <m/>
    <x v="0"/>
    <m/>
    <x v="25"/>
    <x v="1"/>
    <x v="51"/>
  </r>
  <r>
    <x v="7"/>
    <x v="7"/>
    <n v="1"/>
    <x v="207"/>
    <n v="875142"/>
    <x v="128"/>
    <x v="19"/>
    <s v="Venta"/>
    <m/>
    <m/>
    <m/>
    <x v="0"/>
    <m/>
    <x v="33"/>
    <x v="1"/>
    <x v="52"/>
  </r>
  <r>
    <x v="7"/>
    <x v="7"/>
    <n v="2"/>
    <x v="122"/>
    <n v="875143"/>
    <x v="129"/>
    <x v="19"/>
    <s v="Venta"/>
    <m/>
    <m/>
    <m/>
    <x v="0"/>
    <m/>
    <x v="25"/>
    <x v="1"/>
    <x v="53"/>
  </r>
  <r>
    <x v="73"/>
    <x v="73"/>
    <n v="1"/>
    <x v="0"/>
    <m/>
    <x v="130"/>
    <x v="20"/>
    <s v="Devolución"/>
    <m/>
    <m/>
    <m/>
    <x v="0"/>
    <m/>
    <x v="32"/>
    <x v="0"/>
    <x v="0"/>
  </r>
  <r>
    <x v="2"/>
    <x v="2"/>
    <n v="2"/>
    <x v="0"/>
    <m/>
    <x v="130"/>
    <x v="20"/>
    <s v="Devolución"/>
    <m/>
    <m/>
    <m/>
    <x v="0"/>
    <m/>
    <x v="32"/>
    <x v="0"/>
    <x v="0"/>
  </r>
  <r>
    <x v="10"/>
    <x v="10"/>
    <n v="38"/>
    <x v="0"/>
    <m/>
    <x v="131"/>
    <x v="21"/>
    <s v="Devolución"/>
    <m/>
    <m/>
    <m/>
    <x v="0"/>
    <m/>
    <x v="4"/>
    <x v="0"/>
    <x v="0"/>
  </r>
  <r>
    <x v="5"/>
    <x v="5"/>
    <n v="4"/>
    <x v="0"/>
    <m/>
    <x v="132"/>
    <x v="22"/>
    <s v="Devolución"/>
    <m/>
    <m/>
    <m/>
    <x v="0"/>
    <m/>
    <x v="33"/>
    <x v="0"/>
    <x v="0"/>
  </r>
  <r>
    <x v="48"/>
    <x v="48"/>
    <n v="1"/>
    <x v="0"/>
    <m/>
    <x v="132"/>
    <x v="22"/>
    <s v="Devolución"/>
    <m/>
    <m/>
    <m/>
    <x v="0"/>
    <m/>
    <x v="33"/>
    <x v="0"/>
    <x v="0"/>
  </r>
  <r>
    <x v="14"/>
    <x v="14"/>
    <n v="1"/>
    <x v="0"/>
    <m/>
    <x v="132"/>
    <x v="22"/>
    <s v="Devolución"/>
    <m/>
    <m/>
    <m/>
    <x v="0"/>
    <m/>
    <x v="33"/>
    <x v="0"/>
    <x v="0"/>
  </r>
  <r>
    <x v="50"/>
    <x v="50"/>
    <n v="1"/>
    <x v="0"/>
    <m/>
    <x v="132"/>
    <x v="22"/>
    <s v="Devolución"/>
    <m/>
    <m/>
    <m/>
    <x v="0"/>
    <m/>
    <x v="33"/>
    <x v="0"/>
    <x v="0"/>
  </r>
  <r>
    <x v="19"/>
    <x v="19"/>
    <n v="11"/>
    <x v="0"/>
    <m/>
    <x v="132"/>
    <x v="22"/>
    <s v="Devolución"/>
    <m/>
    <m/>
    <m/>
    <x v="0"/>
    <m/>
    <x v="33"/>
    <x v="0"/>
    <x v="0"/>
  </r>
  <r>
    <x v="6"/>
    <x v="6"/>
    <n v="20"/>
    <x v="0"/>
    <m/>
    <x v="132"/>
    <x v="22"/>
    <s v="Devolución"/>
    <m/>
    <m/>
    <m/>
    <x v="0"/>
    <m/>
    <x v="33"/>
    <x v="0"/>
    <x v="0"/>
  </r>
  <r>
    <x v="18"/>
    <x v="18"/>
    <n v="11"/>
    <x v="0"/>
    <m/>
    <x v="132"/>
    <x v="22"/>
    <s v="Devolución"/>
    <m/>
    <m/>
    <m/>
    <x v="0"/>
    <m/>
    <x v="33"/>
    <x v="0"/>
    <x v="0"/>
  </r>
  <r>
    <x v="61"/>
    <x v="61"/>
    <n v="13"/>
    <x v="0"/>
    <m/>
    <x v="133"/>
    <x v="23"/>
    <s v="Compra"/>
    <m/>
    <m/>
    <m/>
    <x v="0"/>
    <m/>
    <x v="20"/>
    <x v="1"/>
    <x v="54"/>
  </r>
  <r>
    <x v="62"/>
    <x v="62"/>
    <n v="30"/>
    <x v="0"/>
    <m/>
    <x v="133"/>
    <x v="23"/>
    <s v="Compra"/>
    <m/>
    <m/>
    <m/>
    <x v="0"/>
    <m/>
    <x v="20"/>
    <x v="1"/>
    <x v="54"/>
  </r>
  <r>
    <x v="43"/>
    <x v="43"/>
    <n v="4"/>
    <x v="0"/>
    <m/>
    <x v="134"/>
    <x v="24"/>
    <s v="Reserva"/>
    <m/>
    <m/>
    <m/>
    <x v="0"/>
    <m/>
    <x v="5"/>
    <x v="0"/>
    <x v="0"/>
  </r>
  <r>
    <x v="49"/>
    <x v="49"/>
    <n v="40"/>
    <x v="0"/>
    <m/>
    <x v="134"/>
    <x v="24"/>
    <s v="Reserva"/>
    <m/>
    <m/>
    <m/>
    <x v="0"/>
    <m/>
    <x v="5"/>
    <x v="0"/>
    <x v="0"/>
  </r>
  <r>
    <x v="13"/>
    <x v="13"/>
    <n v="12"/>
    <x v="0"/>
    <m/>
    <x v="134"/>
    <x v="24"/>
    <s v="Reserva"/>
    <m/>
    <m/>
    <m/>
    <x v="0"/>
    <m/>
    <x v="5"/>
    <x v="0"/>
    <x v="0"/>
  </r>
  <r>
    <x v="42"/>
    <x v="42"/>
    <n v="26"/>
    <x v="0"/>
    <m/>
    <x v="134"/>
    <x v="24"/>
    <s v="Reserva"/>
    <m/>
    <m/>
    <m/>
    <x v="0"/>
    <m/>
    <x v="5"/>
    <x v="0"/>
    <x v="0"/>
  </r>
  <r>
    <x v="15"/>
    <x v="15"/>
    <n v="2"/>
    <x v="0"/>
    <m/>
    <x v="134"/>
    <x v="24"/>
    <s v="Reserva"/>
    <m/>
    <m/>
    <m/>
    <x v="0"/>
    <m/>
    <x v="5"/>
    <x v="0"/>
    <x v="0"/>
  </r>
  <r>
    <x v="0"/>
    <x v="0"/>
    <n v="2"/>
    <x v="0"/>
    <m/>
    <x v="134"/>
    <x v="24"/>
    <s v="Reserva"/>
    <m/>
    <m/>
    <m/>
    <x v="0"/>
    <m/>
    <x v="5"/>
    <x v="0"/>
    <x v="0"/>
  </r>
  <r>
    <x v="60"/>
    <x v="60"/>
    <n v="1"/>
    <x v="0"/>
    <m/>
    <x v="134"/>
    <x v="24"/>
    <s v="Reserva"/>
    <m/>
    <m/>
    <m/>
    <x v="0"/>
    <m/>
    <x v="5"/>
    <x v="0"/>
    <x v="0"/>
  </r>
  <r>
    <x v="30"/>
    <x v="30"/>
    <n v="20"/>
    <x v="0"/>
    <m/>
    <x v="134"/>
    <x v="24"/>
    <s v="Reserva"/>
    <m/>
    <m/>
    <m/>
    <x v="0"/>
    <m/>
    <x v="5"/>
    <x v="0"/>
    <x v="0"/>
  </r>
  <r>
    <x v="68"/>
    <x v="68"/>
    <n v="2"/>
    <x v="0"/>
    <m/>
    <x v="134"/>
    <x v="24"/>
    <s v="Reserva"/>
    <m/>
    <m/>
    <m/>
    <x v="0"/>
    <m/>
    <x v="5"/>
    <x v="0"/>
    <x v="0"/>
  </r>
  <r>
    <x v="69"/>
    <x v="69"/>
    <n v="2"/>
    <x v="0"/>
    <m/>
    <x v="134"/>
    <x v="24"/>
    <s v="Reserva"/>
    <m/>
    <m/>
    <m/>
    <x v="0"/>
    <m/>
    <x v="5"/>
    <x v="0"/>
    <x v="0"/>
  </r>
  <r>
    <x v="27"/>
    <x v="27"/>
    <n v="20"/>
    <x v="0"/>
    <m/>
    <x v="134"/>
    <x v="24"/>
    <s v="Reserva"/>
    <m/>
    <m/>
    <m/>
    <x v="0"/>
    <m/>
    <x v="5"/>
    <x v="0"/>
    <x v="0"/>
  </r>
  <r>
    <x v="35"/>
    <x v="35"/>
    <n v="2"/>
    <x v="0"/>
    <m/>
    <x v="134"/>
    <x v="24"/>
    <s v="Reserva"/>
    <m/>
    <m/>
    <m/>
    <x v="0"/>
    <m/>
    <x v="5"/>
    <x v="0"/>
    <x v="0"/>
  </r>
  <r>
    <x v="1"/>
    <x v="1"/>
    <n v="40"/>
    <x v="0"/>
    <m/>
    <x v="134"/>
    <x v="24"/>
    <s v="Reserva"/>
    <m/>
    <m/>
    <m/>
    <x v="0"/>
    <m/>
    <x v="5"/>
    <x v="0"/>
    <x v="0"/>
  </r>
  <r>
    <x v="55"/>
    <x v="55"/>
    <n v="20"/>
    <x v="0"/>
    <m/>
    <x v="134"/>
    <x v="24"/>
    <s v="Reserva"/>
    <m/>
    <m/>
    <m/>
    <x v="0"/>
    <m/>
    <x v="5"/>
    <x v="0"/>
    <x v="0"/>
  </r>
  <r>
    <x v="17"/>
    <x v="17"/>
    <n v="5"/>
    <x v="0"/>
    <m/>
    <x v="134"/>
    <x v="24"/>
    <s v="Reserva"/>
    <m/>
    <m/>
    <m/>
    <x v="0"/>
    <m/>
    <x v="5"/>
    <x v="0"/>
    <x v="0"/>
  </r>
  <r>
    <x v="35"/>
    <x v="35"/>
    <n v="1"/>
    <x v="0"/>
    <n v="4500516980"/>
    <x v="135"/>
    <x v="24"/>
    <s v="Reserva"/>
    <m/>
    <m/>
    <m/>
    <x v="0"/>
    <m/>
    <x v="37"/>
    <x v="0"/>
    <x v="0"/>
  </r>
  <r>
    <x v="53"/>
    <x v="53"/>
    <n v="1"/>
    <x v="0"/>
    <n v="4500516980"/>
    <x v="135"/>
    <x v="24"/>
    <s v="Reserva"/>
    <m/>
    <m/>
    <m/>
    <x v="0"/>
    <m/>
    <x v="37"/>
    <x v="0"/>
    <x v="0"/>
  </r>
  <r>
    <x v="1"/>
    <x v="1"/>
    <n v="4"/>
    <x v="0"/>
    <n v="4500516980"/>
    <x v="135"/>
    <x v="24"/>
    <s v="Reserva"/>
    <m/>
    <m/>
    <m/>
    <x v="0"/>
    <m/>
    <x v="37"/>
    <x v="0"/>
    <x v="0"/>
  </r>
  <r>
    <x v="27"/>
    <x v="27"/>
    <n v="1"/>
    <x v="0"/>
    <n v="4500516980"/>
    <x v="135"/>
    <x v="24"/>
    <s v="Reserva"/>
    <m/>
    <m/>
    <m/>
    <x v="0"/>
    <m/>
    <x v="37"/>
    <x v="0"/>
    <x v="0"/>
  </r>
  <r>
    <x v="30"/>
    <x v="30"/>
    <n v="1"/>
    <x v="0"/>
    <n v="4500516980"/>
    <x v="135"/>
    <x v="24"/>
    <s v="Reserva"/>
    <m/>
    <m/>
    <m/>
    <x v="0"/>
    <m/>
    <x v="37"/>
    <x v="0"/>
    <x v="0"/>
  </r>
  <r>
    <x v="3"/>
    <x v="3"/>
    <n v="636"/>
    <x v="215"/>
    <n v="874767"/>
    <x v="136"/>
    <x v="23"/>
    <s v="Venta"/>
    <m/>
    <s v="G-011-01-44551"/>
    <d v="2025-08-02T00:00:00"/>
    <x v="1"/>
    <m/>
    <x v="5"/>
    <x v="1"/>
    <x v="55"/>
  </r>
  <r>
    <x v="4"/>
    <x v="4"/>
    <n v="8"/>
    <x v="216"/>
    <n v="874767"/>
    <x v="136"/>
    <x v="23"/>
    <s v="Venta"/>
    <m/>
    <m/>
    <m/>
    <x v="0"/>
    <m/>
    <x v="5"/>
    <x v="1"/>
    <x v="55"/>
  </r>
  <r>
    <x v="7"/>
    <x v="7"/>
    <n v="6"/>
    <x v="217"/>
    <n v="874768"/>
    <x v="137"/>
    <x v="23"/>
    <s v="Venta"/>
    <m/>
    <m/>
    <m/>
    <x v="0"/>
    <m/>
    <x v="4"/>
    <x v="1"/>
    <x v="56"/>
  </r>
  <r>
    <x v="23"/>
    <x v="23"/>
    <n v="1"/>
    <x v="78"/>
    <n v="874752"/>
    <x v="138"/>
    <x v="24"/>
    <s v="Venta"/>
    <m/>
    <m/>
    <m/>
    <x v="0"/>
    <m/>
    <x v="38"/>
    <x v="2"/>
    <x v="57"/>
  </r>
  <r>
    <x v="22"/>
    <x v="22"/>
    <n v="1"/>
    <x v="79"/>
    <n v="874752"/>
    <x v="138"/>
    <x v="24"/>
    <s v="Venta"/>
    <m/>
    <m/>
    <m/>
    <x v="0"/>
    <m/>
    <x v="38"/>
    <x v="2"/>
    <x v="57"/>
  </r>
  <r>
    <x v="21"/>
    <x v="21"/>
    <n v="1"/>
    <x v="80"/>
    <n v="874752"/>
    <x v="138"/>
    <x v="24"/>
    <s v="Venta"/>
    <m/>
    <m/>
    <m/>
    <x v="0"/>
    <m/>
    <x v="38"/>
    <x v="2"/>
    <x v="57"/>
  </r>
  <r>
    <x v="2"/>
    <x v="2"/>
    <n v="50"/>
    <x v="81"/>
    <n v="874748"/>
    <x v="139"/>
    <x v="24"/>
    <s v="Venta"/>
    <m/>
    <s v="G-011-01-44546"/>
    <d v="2025-08-14T00:00:00"/>
    <x v="1"/>
    <m/>
    <x v="39"/>
    <x v="2"/>
    <x v="58"/>
  </r>
  <r>
    <x v="23"/>
    <x v="23"/>
    <n v="1"/>
    <x v="78"/>
    <n v="874748"/>
    <x v="139"/>
    <x v="24"/>
    <s v="Venta"/>
    <m/>
    <m/>
    <m/>
    <x v="0"/>
    <m/>
    <x v="39"/>
    <x v="2"/>
    <x v="58"/>
  </r>
  <r>
    <x v="22"/>
    <x v="22"/>
    <n v="1"/>
    <x v="79"/>
    <n v="874748"/>
    <x v="139"/>
    <x v="24"/>
    <s v="Venta"/>
    <m/>
    <m/>
    <m/>
    <x v="0"/>
    <m/>
    <x v="39"/>
    <x v="2"/>
    <x v="58"/>
  </r>
  <r>
    <x v="21"/>
    <x v="21"/>
    <n v="1"/>
    <x v="80"/>
    <n v="874748"/>
    <x v="139"/>
    <x v="24"/>
    <s v="Venta"/>
    <m/>
    <m/>
    <m/>
    <x v="0"/>
    <m/>
    <x v="39"/>
    <x v="2"/>
    <x v="58"/>
  </r>
  <r>
    <x v="24"/>
    <x v="24"/>
    <n v="6"/>
    <x v="29"/>
    <n v="874748"/>
    <x v="139"/>
    <x v="24"/>
    <s v="Venta"/>
    <m/>
    <m/>
    <m/>
    <x v="0"/>
    <m/>
    <x v="39"/>
    <x v="2"/>
    <x v="58"/>
  </r>
  <r>
    <x v="24"/>
    <x v="24"/>
    <n v="24"/>
    <x v="218"/>
    <n v="874767"/>
    <x v="140"/>
    <x v="24"/>
    <s v="Venta"/>
    <m/>
    <m/>
    <m/>
    <x v="0"/>
    <m/>
    <x v="5"/>
    <x v="1"/>
    <x v="59"/>
  </r>
  <r>
    <x v="2"/>
    <x v="2"/>
    <n v="100"/>
    <x v="119"/>
    <n v="874767"/>
    <x v="140"/>
    <x v="24"/>
    <s v="Venta"/>
    <m/>
    <s v="G-011-01-44546"/>
    <d v="2025-08-14T00:00:00"/>
    <x v="1"/>
    <m/>
    <x v="5"/>
    <x v="1"/>
    <x v="59"/>
  </r>
  <r>
    <x v="21"/>
    <x v="21"/>
    <n v="20"/>
    <x v="219"/>
    <n v="874767"/>
    <x v="140"/>
    <x v="24"/>
    <s v="Venta"/>
    <m/>
    <m/>
    <m/>
    <x v="0"/>
    <m/>
    <x v="5"/>
    <x v="1"/>
    <x v="59"/>
  </r>
  <r>
    <x v="22"/>
    <x v="22"/>
    <n v="20"/>
    <x v="220"/>
    <n v="874767"/>
    <x v="140"/>
    <x v="24"/>
    <s v="Venta"/>
    <m/>
    <m/>
    <m/>
    <x v="0"/>
    <m/>
    <x v="5"/>
    <x v="1"/>
    <x v="59"/>
  </r>
  <r>
    <x v="18"/>
    <x v="18"/>
    <n v="800"/>
    <x v="221"/>
    <n v="874767"/>
    <x v="140"/>
    <x v="24"/>
    <s v="Venta"/>
    <m/>
    <m/>
    <m/>
    <x v="0"/>
    <m/>
    <x v="5"/>
    <x v="1"/>
    <x v="59"/>
  </r>
  <r>
    <x v="20"/>
    <x v="20"/>
    <n v="10"/>
    <x v="222"/>
    <n v="874767"/>
    <x v="140"/>
    <x v="24"/>
    <s v="Venta"/>
    <m/>
    <m/>
    <m/>
    <x v="0"/>
    <m/>
    <x v="5"/>
    <x v="1"/>
    <x v="59"/>
  </r>
  <r>
    <x v="19"/>
    <x v="19"/>
    <n v="800"/>
    <x v="223"/>
    <n v="874767"/>
    <x v="140"/>
    <x v="24"/>
    <s v="Venta"/>
    <m/>
    <m/>
    <m/>
    <x v="0"/>
    <m/>
    <x v="5"/>
    <x v="1"/>
    <x v="59"/>
  </r>
  <r>
    <x v="23"/>
    <x v="23"/>
    <n v="24"/>
    <x v="224"/>
    <n v="874767"/>
    <x v="140"/>
    <x v="24"/>
    <s v="Venta"/>
    <m/>
    <m/>
    <m/>
    <x v="0"/>
    <m/>
    <x v="5"/>
    <x v="1"/>
    <x v="59"/>
  </r>
  <r>
    <x v="23"/>
    <x v="23"/>
    <n v="1"/>
    <x v="78"/>
    <n v="874751"/>
    <x v="141"/>
    <x v="24"/>
    <s v="Venta"/>
    <m/>
    <m/>
    <m/>
    <x v="0"/>
    <m/>
    <x v="37"/>
    <x v="2"/>
    <x v="60"/>
  </r>
  <r>
    <x v="22"/>
    <x v="22"/>
    <n v="1"/>
    <x v="79"/>
    <n v="874751"/>
    <x v="141"/>
    <x v="24"/>
    <s v="Venta"/>
    <m/>
    <m/>
    <m/>
    <x v="0"/>
    <m/>
    <x v="37"/>
    <x v="2"/>
    <x v="60"/>
  </r>
  <r>
    <x v="21"/>
    <x v="21"/>
    <n v="1"/>
    <x v="80"/>
    <n v="874751"/>
    <x v="141"/>
    <x v="24"/>
    <s v="Venta"/>
    <m/>
    <m/>
    <m/>
    <x v="0"/>
    <m/>
    <x v="37"/>
    <x v="2"/>
    <x v="60"/>
  </r>
  <r>
    <x v="23"/>
    <x v="23"/>
    <n v="1"/>
    <x v="78"/>
    <n v="874750"/>
    <x v="142"/>
    <x v="24"/>
    <s v="Venta"/>
    <m/>
    <m/>
    <m/>
    <x v="0"/>
    <m/>
    <x v="40"/>
    <x v="2"/>
    <x v="61"/>
  </r>
  <r>
    <x v="22"/>
    <x v="22"/>
    <n v="1"/>
    <x v="79"/>
    <n v="874750"/>
    <x v="142"/>
    <x v="24"/>
    <s v="Venta"/>
    <m/>
    <m/>
    <m/>
    <x v="0"/>
    <m/>
    <x v="40"/>
    <x v="2"/>
    <x v="61"/>
  </r>
  <r>
    <x v="21"/>
    <x v="21"/>
    <n v="1"/>
    <x v="80"/>
    <n v="874750"/>
    <x v="142"/>
    <x v="24"/>
    <s v="Venta"/>
    <m/>
    <m/>
    <m/>
    <x v="0"/>
    <m/>
    <x v="40"/>
    <x v="2"/>
    <x v="61"/>
  </r>
  <r>
    <x v="19"/>
    <x v="19"/>
    <n v="100"/>
    <x v="83"/>
    <n v="874747"/>
    <x v="143"/>
    <x v="24"/>
    <s v="Venta"/>
    <m/>
    <s v=" "/>
    <m/>
    <x v="0"/>
    <m/>
    <x v="35"/>
    <x v="1"/>
    <x v="62"/>
  </r>
  <r>
    <x v="18"/>
    <x v="18"/>
    <n v="200"/>
    <x v="117"/>
    <n v="874747"/>
    <x v="143"/>
    <x v="24"/>
    <s v="Venta"/>
    <m/>
    <m/>
    <m/>
    <x v="0"/>
    <m/>
    <x v="35"/>
    <x v="1"/>
    <x v="62"/>
  </r>
  <r>
    <x v="2"/>
    <x v="2"/>
    <n v="100"/>
    <x v="119"/>
    <n v="874747"/>
    <x v="143"/>
    <x v="24"/>
    <s v="Venta"/>
    <m/>
    <s v="G-011-01-44546"/>
    <d v="2025-08-14T00:00:00"/>
    <x v="1"/>
    <m/>
    <x v="35"/>
    <x v="1"/>
    <x v="62"/>
  </r>
  <r>
    <x v="22"/>
    <x v="22"/>
    <n v="1"/>
    <x v="79"/>
    <n v="874747"/>
    <x v="143"/>
    <x v="24"/>
    <s v="Venta"/>
    <m/>
    <m/>
    <m/>
    <x v="0"/>
    <m/>
    <x v="35"/>
    <x v="1"/>
    <x v="62"/>
  </r>
  <r>
    <x v="21"/>
    <x v="21"/>
    <n v="1"/>
    <x v="80"/>
    <n v="874747"/>
    <x v="143"/>
    <x v="24"/>
    <s v="Venta"/>
    <m/>
    <m/>
    <m/>
    <x v="0"/>
    <m/>
    <x v="35"/>
    <x v="1"/>
    <x v="62"/>
  </r>
  <r>
    <x v="56"/>
    <x v="56"/>
    <n v="1"/>
    <x v="225"/>
    <n v="874747"/>
    <x v="143"/>
    <x v="24"/>
    <s v="Venta"/>
    <m/>
    <m/>
    <m/>
    <x v="0"/>
    <m/>
    <x v="35"/>
    <x v="1"/>
    <x v="62"/>
  </r>
  <r>
    <x v="6"/>
    <x v="6"/>
    <n v="100"/>
    <x v="205"/>
    <n v="874747"/>
    <x v="143"/>
    <x v="24"/>
    <s v="Venta"/>
    <m/>
    <s v="G-011-01-44548"/>
    <d v="2025-07-25T00:00:00"/>
    <x v="1"/>
    <m/>
    <x v="35"/>
    <x v="1"/>
    <x v="62"/>
  </r>
  <r>
    <x v="21"/>
    <x v="21"/>
    <n v="3"/>
    <x v="226"/>
    <n v="874680"/>
    <x v="144"/>
    <x v="24"/>
    <s v="Venta"/>
    <m/>
    <m/>
    <m/>
    <x v="0"/>
    <m/>
    <x v="9"/>
    <x v="2"/>
    <x v="63"/>
  </r>
  <r>
    <x v="22"/>
    <x v="22"/>
    <n v="3"/>
    <x v="227"/>
    <n v="874680"/>
    <x v="144"/>
    <x v="24"/>
    <s v="Venta"/>
    <m/>
    <m/>
    <m/>
    <x v="0"/>
    <m/>
    <x v="9"/>
    <x v="2"/>
    <x v="63"/>
  </r>
  <r>
    <x v="0"/>
    <x v="0"/>
    <n v="10"/>
    <x v="0"/>
    <n v="4500517048"/>
    <x v="145"/>
    <x v="24"/>
    <s v="Reserva"/>
    <m/>
    <m/>
    <m/>
    <x v="0"/>
    <m/>
    <x v="41"/>
    <x v="0"/>
    <x v="0"/>
  </r>
  <r>
    <x v="73"/>
    <x v="73"/>
    <n v="10"/>
    <x v="0"/>
    <n v="4500517048"/>
    <x v="145"/>
    <x v="24"/>
    <s v="Reserva"/>
    <m/>
    <m/>
    <m/>
    <x v="0"/>
    <m/>
    <x v="41"/>
    <x v="0"/>
    <x v="0"/>
  </r>
  <r>
    <x v="35"/>
    <x v="35"/>
    <n v="1"/>
    <x v="0"/>
    <n v="4500516985"/>
    <x v="146"/>
    <x v="24"/>
    <s v="Reserva"/>
    <m/>
    <m/>
    <m/>
    <x v="0"/>
    <m/>
    <x v="38"/>
    <x v="0"/>
    <x v="0"/>
  </r>
  <r>
    <x v="53"/>
    <x v="53"/>
    <n v="1"/>
    <x v="0"/>
    <n v="4500516985"/>
    <x v="146"/>
    <x v="24"/>
    <s v="Reserva"/>
    <m/>
    <m/>
    <m/>
    <x v="0"/>
    <m/>
    <x v="38"/>
    <x v="0"/>
    <x v="0"/>
  </r>
  <r>
    <x v="1"/>
    <x v="1"/>
    <n v="4"/>
    <x v="0"/>
    <n v="4500516985"/>
    <x v="146"/>
    <x v="24"/>
    <s v="Reserva"/>
    <m/>
    <m/>
    <m/>
    <x v="0"/>
    <m/>
    <x v="38"/>
    <x v="0"/>
    <x v="0"/>
  </r>
  <r>
    <x v="27"/>
    <x v="27"/>
    <n v="1"/>
    <x v="0"/>
    <n v="4500516985"/>
    <x v="146"/>
    <x v="24"/>
    <s v="Reserva"/>
    <m/>
    <m/>
    <m/>
    <x v="0"/>
    <m/>
    <x v="38"/>
    <x v="0"/>
    <x v="0"/>
  </r>
  <r>
    <x v="30"/>
    <x v="30"/>
    <n v="1"/>
    <x v="0"/>
    <n v="4500516985"/>
    <x v="146"/>
    <x v="24"/>
    <s v="Reserva"/>
    <m/>
    <m/>
    <m/>
    <x v="0"/>
    <m/>
    <x v="38"/>
    <x v="0"/>
    <x v="0"/>
  </r>
  <r>
    <x v="55"/>
    <x v="55"/>
    <n v="1"/>
    <x v="0"/>
    <n v="4500516978"/>
    <x v="147"/>
    <x v="24"/>
    <s v="Reserva"/>
    <m/>
    <m/>
    <m/>
    <x v="0"/>
    <m/>
    <x v="40"/>
    <x v="0"/>
    <x v="0"/>
  </r>
  <r>
    <x v="53"/>
    <x v="53"/>
    <n v="1"/>
    <x v="0"/>
    <n v="4500516978"/>
    <x v="147"/>
    <x v="24"/>
    <s v="Reserva"/>
    <m/>
    <m/>
    <m/>
    <x v="0"/>
    <m/>
    <x v="40"/>
    <x v="0"/>
    <x v="0"/>
  </r>
  <r>
    <x v="1"/>
    <x v="1"/>
    <n v="4"/>
    <x v="0"/>
    <n v="4500516978"/>
    <x v="147"/>
    <x v="24"/>
    <s v="Reserva"/>
    <m/>
    <m/>
    <m/>
    <x v="0"/>
    <m/>
    <x v="40"/>
    <x v="0"/>
    <x v="0"/>
  </r>
  <r>
    <x v="27"/>
    <x v="27"/>
    <n v="1"/>
    <x v="0"/>
    <n v="4500516978"/>
    <x v="147"/>
    <x v="24"/>
    <s v="Reserva"/>
    <m/>
    <m/>
    <m/>
    <x v="0"/>
    <m/>
    <x v="40"/>
    <x v="0"/>
    <x v="0"/>
  </r>
  <r>
    <x v="30"/>
    <x v="30"/>
    <n v="1"/>
    <x v="0"/>
    <n v="4500516978"/>
    <x v="147"/>
    <x v="24"/>
    <s v="Reserva"/>
    <m/>
    <m/>
    <m/>
    <x v="0"/>
    <m/>
    <x v="40"/>
    <x v="0"/>
    <x v="0"/>
  </r>
  <r>
    <x v="0"/>
    <x v="0"/>
    <n v="1"/>
    <x v="0"/>
    <n v="4500516978"/>
    <x v="147"/>
    <x v="24"/>
    <s v="Reserva"/>
    <m/>
    <m/>
    <m/>
    <x v="0"/>
    <m/>
    <x v="40"/>
    <x v="0"/>
    <x v="0"/>
  </r>
  <r>
    <x v="26"/>
    <x v="26"/>
    <n v="1"/>
    <x v="0"/>
    <n v="4500516976"/>
    <x v="148"/>
    <x v="24"/>
    <s v="Reserva"/>
    <m/>
    <m/>
    <m/>
    <x v="0"/>
    <m/>
    <x v="39"/>
    <x v="0"/>
    <x v="0"/>
  </r>
  <r>
    <x v="53"/>
    <x v="53"/>
    <n v="1"/>
    <x v="0"/>
    <n v="4500516976"/>
    <x v="148"/>
    <x v="24"/>
    <s v="Reserva"/>
    <m/>
    <m/>
    <m/>
    <x v="0"/>
    <m/>
    <x v="39"/>
    <x v="0"/>
    <x v="0"/>
  </r>
  <r>
    <x v="1"/>
    <x v="1"/>
    <n v="4"/>
    <x v="0"/>
    <n v="4500516976"/>
    <x v="148"/>
    <x v="24"/>
    <s v="Reserva"/>
    <m/>
    <m/>
    <m/>
    <x v="0"/>
    <m/>
    <x v="39"/>
    <x v="0"/>
    <x v="0"/>
  </r>
  <r>
    <x v="27"/>
    <x v="27"/>
    <n v="1"/>
    <x v="0"/>
    <n v="4500516976"/>
    <x v="148"/>
    <x v="24"/>
    <s v="Reserva"/>
    <m/>
    <m/>
    <m/>
    <x v="0"/>
    <m/>
    <x v="39"/>
    <x v="0"/>
    <x v="0"/>
  </r>
  <r>
    <x v="30"/>
    <x v="30"/>
    <n v="1"/>
    <x v="0"/>
    <n v="4500516976"/>
    <x v="148"/>
    <x v="24"/>
    <s v="Reserva"/>
    <m/>
    <m/>
    <m/>
    <x v="0"/>
    <m/>
    <x v="39"/>
    <x v="0"/>
    <x v="0"/>
  </r>
  <r>
    <x v="26"/>
    <x v="26"/>
    <n v="14"/>
    <x v="0"/>
    <n v="4500516973"/>
    <x v="149"/>
    <x v="24"/>
    <s v="Reserva"/>
    <m/>
    <m/>
    <m/>
    <x v="0"/>
    <m/>
    <x v="35"/>
    <x v="0"/>
    <x v="0"/>
  </r>
  <r>
    <x v="30"/>
    <x v="30"/>
    <n v="13"/>
    <x v="0"/>
    <n v="4500516973"/>
    <x v="149"/>
    <x v="24"/>
    <s v="Reserva"/>
    <m/>
    <m/>
    <m/>
    <x v="0"/>
    <m/>
    <x v="35"/>
    <x v="0"/>
    <x v="0"/>
  </r>
  <r>
    <x v="1"/>
    <x v="1"/>
    <n v="26"/>
    <x v="0"/>
    <n v="4500516973"/>
    <x v="149"/>
    <x v="24"/>
    <s v="Reserva"/>
    <m/>
    <m/>
    <m/>
    <x v="0"/>
    <m/>
    <x v="35"/>
    <x v="0"/>
    <x v="0"/>
  </r>
  <r>
    <x v="28"/>
    <x v="28"/>
    <n v="13"/>
    <x v="0"/>
    <n v="4500516973"/>
    <x v="149"/>
    <x v="24"/>
    <s v="Reserva"/>
    <m/>
    <m/>
    <m/>
    <x v="0"/>
    <m/>
    <x v="35"/>
    <x v="0"/>
    <x v="0"/>
  </r>
  <r>
    <x v="5"/>
    <x v="5"/>
    <n v="3"/>
    <x v="0"/>
    <n v="4500516973"/>
    <x v="149"/>
    <x v="24"/>
    <s v="Reserva"/>
    <m/>
    <m/>
    <m/>
    <x v="0"/>
    <m/>
    <x v="35"/>
    <x v="0"/>
    <x v="0"/>
  </r>
  <r>
    <x v="12"/>
    <x v="12"/>
    <n v="2"/>
    <x v="0"/>
    <n v="4500516973"/>
    <x v="149"/>
    <x v="24"/>
    <s v="Reserva"/>
    <m/>
    <m/>
    <m/>
    <x v="0"/>
    <m/>
    <x v="35"/>
    <x v="0"/>
    <x v="0"/>
  </r>
  <r>
    <x v="27"/>
    <x v="27"/>
    <n v="1"/>
    <x v="0"/>
    <n v="4500516973"/>
    <x v="149"/>
    <x v="24"/>
    <s v="Reserva"/>
    <m/>
    <m/>
    <m/>
    <x v="0"/>
    <m/>
    <x v="35"/>
    <x v="0"/>
    <x v="0"/>
  </r>
  <r>
    <x v="0"/>
    <x v="0"/>
    <n v="1"/>
    <x v="0"/>
    <n v="4500516973"/>
    <x v="149"/>
    <x v="24"/>
    <s v="Reserva"/>
    <m/>
    <m/>
    <m/>
    <x v="0"/>
    <m/>
    <x v="35"/>
    <x v="0"/>
    <x v="0"/>
  </r>
  <r>
    <x v="0"/>
    <x v="0"/>
    <n v="3"/>
    <x v="0"/>
    <n v="4500516971"/>
    <x v="150"/>
    <x v="24"/>
    <s v="Reserva"/>
    <m/>
    <m/>
    <m/>
    <x v="0"/>
    <m/>
    <x v="42"/>
    <x v="0"/>
    <x v="0"/>
  </r>
  <r>
    <x v="24"/>
    <x v="24"/>
    <n v="2"/>
    <x v="0"/>
    <m/>
    <x v="151"/>
    <x v="25"/>
    <s v="Devolución"/>
    <m/>
    <m/>
    <m/>
    <x v="0"/>
    <m/>
    <x v="43"/>
    <x v="0"/>
    <x v="0"/>
  </r>
  <r>
    <x v="48"/>
    <x v="48"/>
    <n v="2"/>
    <x v="0"/>
    <m/>
    <x v="151"/>
    <x v="25"/>
    <s v="Devolución"/>
    <m/>
    <m/>
    <m/>
    <x v="0"/>
    <m/>
    <x v="43"/>
    <x v="0"/>
    <x v="0"/>
  </r>
  <r>
    <x v="12"/>
    <x v="12"/>
    <n v="2"/>
    <x v="0"/>
    <m/>
    <x v="151"/>
    <x v="25"/>
    <s v="Devolución"/>
    <m/>
    <m/>
    <m/>
    <x v="0"/>
    <m/>
    <x v="43"/>
    <x v="0"/>
    <x v="0"/>
  </r>
  <r>
    <x v="14"/>
    <x v="14"/>
    <n v="1"/>
    <x v="0"/>
    <m/>
    <x v="151"/>
    <x v="25"/>
    <s v="Devolución"/>
    <m/>
    <m/>
    <m/>
    <x v="0"/>
    <m/>
    <x v="43"/>
    <x v="0"/>
    <x v="0"/>
  </r>
  <r>
    <x v="5"/>
    <x v="5"/>
    <n v="6"/>
    <x v="0"/>
    <m/>
    <x v="151"/>
    <x v="25"/>
    <s v="Devolución"/>
    <m/>
    <m/>
    <m/>
    <x v="0"/>
    <m/>
    <x v="43"/>
    <x v="0"/>
    <x v="0"/>
  </r>
  <r>
    <x v="28"/>
    <x v="28"/>
    <n v="2"/>
    <x v="0"/>
    <m/>
    <x v="151"/>
    <x v="25"/>
    <s v="Devolución"/>
    <m/>
    <m/>
    <m/>
    <x v="0"/>
    <m/>
    <x v="43"/>
    <x v="0"/>
    <x v="0"/>
  </r>
  <r>
    <x v="1"/>
    <x v="1"/>
    <n v="6"/>
    <x v="0"/>
    <m/>
    <x v="151"/>
    <x v="25"/>
    <s v="Devolución"/>
    <m/>
    <m/>
    <m/>
    <x v="0"/>
    <m/>
    <x v="43"/>
    <x v="0"/>
    <x v="0"/>
  </r>
  <r>
    <x v="27"/>
    <x v="27"/>
    <n v="2"/>
    <x v="0"/>
    <m/>
    <x v="151"/>
    <x v="25"/>
    <s v="Devolución"/>
    <m/>
    <m/>
    <m/>
    <x v="0"/>
    <m/>
    <x v="43"/>
    <x v="0"/>
    <x v="0"/>
  </r>
  <r>
    <x v="26"/>
    <x v="26"/>
    <n v="2"/>
    <x v="0"/>
    <m/>
    <x v="151"/>
    <x v="25"/>
    <s v="Devolución"/>
    <m/>
    <m/>
    <m/>
    <x v="0"/>
    <m/>
    <x v="43"/>
    <x v="0"/>
    <x v="0"/>
  </r>
  <r>
    <x v="19"/>
    <x v="19"/>
    <n v="12"/>
    <x v="0"/>
    <m/>
    <x v="151"/>
    <x v="25"/>
    <s v="Devolución"/>
    <m/>
    <m/>
    <m/>
    <x v="0"/>
    <m/>
    <x v="43"/>
    <x v="0"/>
    <x v="0"/>
  </r>
  <r>
    <x v="9"/>
    <x v="9"/>
    <n v="6"/>
    <x v="0"/>
    <m/>
    <x v="151"/>
    <x v="25"/>
    <s v="Devolución"/>
    <m/>
    <m/>
    <m/>
    <x v="0"/>
    <m/>
    <x v="43"/>
    <x v="0"/>
    <x v="0"/>
  </r>
  <r>
    <x v="6"/>
    <x v="6"/>
    <n v="0.5"/>
    <x v="0"/>
    <m/>
    <x v="151"/>
    <x v="25"/>
    <s v="Devolución"/>
    <m/>
    <m/>
    <m/>
    <x v="0"/>
    <m/>
    <x v="43"/>
    <x v="0"/>
    <x v="0"/>
  </r>
  <r>
    <x v="77"/>
    <x v="77"/>
    <n v="6"/>
    <x v="0"/>
    <m/>
    <x v="151"/>
    <x v="25"/>
    <s v="Devolución"/>
    <m/>
    <m/>
    <m/>
    <x v="0"/>
    <m/>
    <x v="43"/>
    <x v="0"/>
    <x v="0"/>
  </r>
  <r>
    <x v="20"/>
    <x v="20"/>
    <n v="1"/>
    <x v="0"/>
    <m/>
    <x v="151"/>
    <x v="25"/>
    <s v="Devolución"/>
    <m/>
    <m/>
    <m/>
    <x v="0"/>
    <m/>
    <x v="43"/>
    <x v="0"/>
    <x v="0"/>
  </r>
  <r>
    <x v="78"/>
    <x v="78"/>
    <n v="2"/>
    <x v="0"/>
    <m/>
    <x v="151"/>
    <x v="25"/>
    <s v="Devolución"/>
    <m/>
    <m/>
    <m/>
    <x v="0"/>
    <m/>
    <x v="43"/>
    <x v="0"/>
    <x v="0"/>
  </r>
  <r>
    <x v="22"/>
    <x v="22"/>
    <n v="2"/>
    <x v="0"/>
    <m/>
    <x v="151"/>
    <x v="25"/>
    <s v="Devolución"/>
    <m/>
    <m/>
    <m/>
    <x v="0"/>
    <m/>
    <x v="43"/>
    <x v="0"/>
    <x v="0"/>
  </r>
  <r>
    <x v="7"/>
    <x v="7"/>
    <n v="2"/>
    <x v="122"/>
    <n v="874696"/>
    <x v="152"/>
    <x v="26"/>
    <s v="Venta"/>
    <m/>
    <m/>
    <m/>
    <x v="0"/>
    <m/>
    <x v="44"/>
    <x v="1"/>
    <x v="64"/>
  </r>
  <r>
    <x v="6"/>
    <x v="6"/>
    <n v="700"/>
    <x v="228"/>
    <n v="874696"/>
    <x v="152"/>
    <x v="26"/>
    <s v="Venta"/>
    <m/>
    <m/>
    <m/>
    <x v="0"/>
    <m/>
    <x v="44"/>
    <x v="1"/>
    <x v="64"/>
  </r>
  <r>
    <x v="7"/>
    <x v="7"/>
    <n v="1"/>
    <x v="207"/>
    <n v="874678"/>
    <x v="153"/>
    <x v="26"/>
    <s v="Venta"/>
    <m/>
    <m/>
    <m/>
    <x v="0"/>
    <m/>
    <x v="33"/>
    <x v="1"/>
    <x v="65"/>
  </r>
  <r>
    <x v="3"/>
    <x v="3"/>
    <n v="72"/>
    <x v="229"/>
    <n v="874679"/>
    <x v="154"/>
    <x v="26"/>
    <s v="Venta"/>
    <m/>
    <m/>
    <m/>
    <x v="0"/>
    <m/>
    <x v="6"/>
    <x v="1"/>
    <x v="66"/>
  </r>
  <r>
    <x v="58"/>
    <x v="58"/>
    <n v="5"/>
    <x v="230"/>
    <n v="874679"/>
    <x v="154"/>
    <x v="26"/>
    <s v="Venta"/>
    <m/>
    <m/>
    <m/>
    <x v="0"/>
    <m/>
    <x v="6"/>
    <x v="1"/>
    <x v="66"/>
  </r>
  <r>
    <x v="30"/>
    <x v="30"/>
    <n v="1"/>
    <x v="231"/>
    <n v="4500516582"/>
    <x v="155"/>
    <x v="26"/>
    <s v="Reserva"/>
    <m/>
    <m/>
    <m/>
    <x v="0"/>
    <m/>
    <x v="32"/>
    <x v="0"/>
    <x v="0"/>
  </r>
  <r>
    <x v="1"/>
    <x v="1"/>
    <n v="4"/>
    <x v="99"/>
    <n v="4500516582"/>
    <x v="155"/>
    <x v="26"/>
    <s v="Reserva"/>
    <m/>
    <m/>
    <m/>
    <x v="0"/>
    <m/>
    <x v="32"/>
    <x v="0"/>
    <x v="0"/>
  </r>
  <r>
    <x v="53"/>
    <x v="53"/>
    <n v="1"/>
    <x v="180"/>
    <n v="4500516582"/>
    <x v="155"/>
    <x v="26"/>
    <s v="Reserva"/>
    <m/>
    <m/>
    <m/>
    <x v="0"/>
    <m/>
    <x v="32"/>
    <x v="0"/>
    <x v="0"/>
  </r>
  <r>
    <x v="27"/>
    <x v="27"/>
    <n v="1"/>
    <x v="87"/>
    <n v="4500516582"/>
    <x v="155"/>
    <x v="26"/>
    <s v="Reserva"/>
    <m/>
    <m/>
    <m/>
    <x v="0"/>
    <m/>
    <x v="32"/>
    <x v="0"/>
    <x v="0"/>
  </r>
  <r>
    <x v="26"/>
    <x v="26"/>
    <n v="1"/>
    <x v="101"/>
    <n v="4500516582"/>
    <x v="155"/>
    <x v="26"/>
    <s v="Reserva"/>
    <m/>
    <m/>
    <m/>
    <x v="0"/>
    <m/>
    <x v="32"/>
    <x v="0"/>
    <x v="0"/>
  </r>
  <r>
    <x v="76"/>
    <x v="76"/>
    <n v="1"/>
    <x v="232"/>
    <n v="4500516580"/>
    <x v="156"/>
    <x v="26"/>
    <s v="Reserva"/>
    <m/>
    <m/>
    <m/>
    <x v="0"/>
    <m/>
    <x v="45"/>
    <x v="0"/>
    <x v="0"/>
  </r>
  <r>
    <x v="1"/>
    <x v="1"/>
    <n v="4"/>
    <x v="99"/>
    <n v="4500516580"/>
    <x v="156"/>
    <x v="26"/>
    <s v="Reserva"/>
    <m/>
    <m/>
    <m/>
    <x v="0"/>
    <m/>
    <x v="45"/>
    <x v="0"/>
    <x v="0"/>
  </r>
  <r>
    <x v="53"/>
    <x v="53"/>
    <n v="1"/>
    <x v="180"/>
    <n v="4500516580"/>
    <x v="156"/>
    <x v="26"/>
    <s v="Reserva"/>
    <m/>
    <m/>
    <m/>
    <x v="0"/>
    <m/>
    <x v="45"/>
    <x v="0"/>
    <x v="0"/>
  </r>
  <r>
    <x v="27"/>
    <x v="27"/>
    <n v="1"/>
    <x v="87"/>
    <n v="4500516580"/>
    <x v="156"/>
    <x v="26"/>
    <s v="Reserva"/>
    <m/>
    <m/>
    <m/>
    <x v="0"/>
    <m/>
    <x v="45"/>
    <x v="0"/>
    <x v="0"/>
  </r>
  <r>
    <x v="79"/>
    <x v="79"/>
    <n v="1"/>
    <x v="233"/>
    <n v="4500516586"/>
    <x v="157"/>
    <x v="26"/>
    <s v="Reserva"/>
    <m/>
    <m/>
    <m/>
    <x v="0"/>
    <m/>
    <x v="34"/>
    <x v="0"/>
    <x v="0"/>
  </r>
  <r>
    <x v="29"/>
    <x v="29"/>
    <n v="1"/>
    <x v="38"/>
    <n v="4500516586"/>
    <x v="157"/>
    <x v="26"/>
    <s v="Reserva"/>
    <m/>
    <m/>
    <m/>
    <x v="0"/>
    <m/>
    <x v="34"/>
    <x v="0"/>
    <x v="0"/>
  </r>
  <r>
    <x v="50"/>
    <x v="50"/>
    <n v="1"/>
    <x v="93"/>
    <n v="4500516586"/>
    <x v="157"/>
    <x v="26"/>
    <s v="Reserva"/>
    <m/>
    <m/>
    <m/>
    <x v="0"/>
    <m/>
    <x v="34"/>
    <x v="0"/>
    <x v="0"/>
  </r>
  <r>
    <x v="48"/>
    <x v="48"/>
    <n v="1"/>
    <x v="89"/>
    <n v="4500516586"/>
    <x v="157"/>
    <x v="26"/>
    <s v="Reserva"/>
    <m/>
    <m/>
    <m/>
    <x v="0"/>
    <m/>
    <x v="34"/>
    <x v="0"/>
    <x v="0"/>
  </r>
  <r>
    <x v="5"/>
    <x v="5"/>
    <n v="3"/>
    <x v="90"/>
    <n v="4500516586"/>
    <x v="157"/>
    <x v="26"/>
    <s v="Reserva"/>
    <m/>
    <m/>
    <m/>
    <x v="0"/>
    <m/>
    <x v="34"/>
    <x v="0"/>
    <x v="0"/>
  </r>
  <r>
    <x v="14"/>
    <x v="14"/>
    <n v="2"/>
    <x v="234"/>
    <n v="4500516586"/>
    <x v="157"/>
    <x v="26"/>
    <s v="Reserva"/>
    <m/>
    <m/>
    <m/>
    <x v="0"/>
    <m/>
    <x v="34"/>
    <x v="0"/>
    <x v="0"/>
  </r>
  <r>
    <x v="12"/>
    <x v="12"/>
    <n v="1"/>
    <x v="36"/>
    <n v="4500516586"/>
    <x v="157"/>
    <x v="26"/>
    <s v="Reserva"/>
    <m/>
    <m/>
    <m/>
    <x v="0"/>
    <m/>
    <x v="34"/>
    <x v="0"/>
    <x v="0"/>
  </r>
  <r>
    <x v="72"/>
    <x v="72"/>
    <n v="1"/>
    <x v="235"/>
    <n v="4500516586"/>
    <x v="157"/>
    <x v="26"/>
    <s v="Reserva"/>
    <s v="MRPC18008152022"/>
    <m/>
    <m/>
    <x v="0"/>
    <m/>
    <x v="34"/>
    <x v="0"/>
    <x v="0"/>
  </r>
  <r>
    <x v="72"/>
    <x v="72"/>
    <n v="1"/>
    <x v="235"/>
    <n v="4500516635"/>
    <x v="158"/>
    <x v="26"/>
    <s v="Reserva"/>
    <s v="MRPC18007642021"/>
    <m/>
    <m/>
    <x v="0"/>
    <m/>
    <x v="28"/>
    <x v="0"/>
    <x v="0"/>
  </r>
  <r>
    <x v="48"/>
    <x v="48"/>
    <n v="1"/>
    <x v="89"/>
    <m/>
    <x v="159"/>
    <x v="26"/>
    <s v="Reserva"/>
    <m/>
    <m/>
    <m/>
    <x v="0"/>
    <m/>
    <x v="28"/>
    <x v="0"/>
    <x v="0"/>
  </r>
  <r>
    <x v="5"/>
    <x v="5"/>
    <n v="3"/>
    <x v="90"/>
    <m/>
    <x v="159"/>
    <x v="26"/>
    <s v="Reserva"/>
    <m/>
    <m/>
    <m/>
    <x v="0"/>
    <m/>
    <x v="28"/>
    <x v="0"/>
    <x v="0"/>
  </r>
  <r>
    <x v="14"/>
    <x v="14"/>
    <n v="3"/>
    <x v="236"/>
    <m/>
    <x v="159"/>
    <x v="26"/>
    <s v="Reserva"/>
    <m/>
    <m/>
    <m/>
    <x v="0"/>
    <m/>
    <x v="28"/>
    <x v="0"/>
    <x v="0"/>
  </r>
  <r>
    <x v="29"/>
    <x v="29"/>
    <n v="1"/>
    <x v="38"/>
    <m/>
    <x v="159"/>
    <x v="26"/>
    <s v="Reserva"/>
    <m/>
    <m/>
    <m/>
    <x v="0"/>
    <m/>
    <x v="28"/>
    <x v="0"/>
    <x v="0"/>
  </r>
  <r>
    <x v="79"/>
    <x v="79"/>
    <n v="1"/>
    <x v="233"/>
    <m/>
    <x v="159"/>
    <x v="26"/>
    <s v="Reserva"/>
    <m/>
    <m/>
    <m/>
    <x v="0"/>
    <m/>
    <x v="28"/>
    <x v="0"/>
    <x v="0"/>
  </r>
  <r>
    <x v="12"/>
    <x v="12"/>
    <n v="1"/>
    <x v="36"/>
    <m/>
    <x v="159"/>
    <x v="26"/>
    <s v="Reserva"/>
    <m/>
    <m/>
    <m/>
    <x v="0"/>
    <m/>
    <x v="28"/>
    <x v="0"/>
    <x v="0"/>
  </r>
  <r>
    <x v="50"/>
    <x v="50"/>
    <n v="1"/>
    <x v="93"/>
    <m/>
    <x v="159"/>
    <x v="26"/>
    <s v="Reserva"/>
    <m/>
    <m/>
    <m/>
    <x v="0"/>
    <m/>
    <x v="28"/>
    <x v="0"/>
    <x v="0"/>
  </r>
  <r>
    <x v="55"/>
    <x v="55"/>
    <n v="1"/>
    <x v="237"/>
    <n v="4500516587"/>
    <x v="160"/>
    <x v="26"/>
    <s v="Reserva"/>
    <m/>
    <m/>
    <m/>
    <x v="0"/>
    <m/>
    <x v="13"/>
    <x v="0"/>
    <x v="0"/>
  </r>
  <r>
    <x v="1"/>
    <x v="1"/>
    <n v="4"/>
    <x v="99"/>
    <n v="4500516587"/>
    <x v="160"/>
    <x v="26"/>
    <s v="Reserva"/>
    <m/>
    <m/>
    <m/>
    <x v="0"/>
    <m/>
    <x v="13"/>
    <x v="0"/>
    <x v="0"/>
  </r>
  <r>
    <x v="53"/>
    <x v="53"/>
    <n v="1"/>
    <x v="180"/>
    <n v="4500516587"/>
    <x v="160"/>
    <x v="26"/>
    <s v="Reserva"/>
    <m/>
    <m/>
    <m/>
    <x v="0"/>
    <m/>
    <x v="13"/>
    <x v="0"/>
    <x v="0"/>
  </r>
  <r>
    <x v="27"/>
    <x v="27"/>
    <n v="1"/>
    <x v="87"/>
    <n v="4500516587"/>
    <x v="160"/>
    <x v="26"/>
    <s v="Reserva"/>
    <m/>
    <m/>
    <m/>
    <x v="0"/>
    <m/>
    <x v="13"/>
    <x v="0"/>
    <x v="0"/>
  </r>
  <r>
    <x v="27"/>
    <x v="27"/>
    <n v="106"/>
    <x v="238"/>
    <n v="4500516638"/>
    <x v="161"/>
    <x v="26"/>
    <s v="Reserva"/>
    <m/>
    <m/>
    <m/>
    <x v="0"/>
    <m/>
    <x v="46"/>
    <x v="0"/>
    <x v="0"/>
  </r>
  <r>
    <x v="1"/>
    <x v="1"/>
    <n v="217"/>
    <x v="239"/>
    <n v="4500516638"/>
    <x v="161"/>
    <x v="26"/>
    <s v="Reserva"/>
    <m/>
    <m/>
    <m/>
    <x v="0"/>
    <m/>
    <x v="46"/>
    <x v="0"/>
    <x v="0"/>
  </r>
  <r>
    <x v="69"/>
    <x v="69"/>
    <n v="2"/>
    <x v="155"/>
    <n v="4500516638"/>
    <x v="161"/>
    <x v="26"/>
    <s v="Reserva"/>
    <m/>
    <m/>
    <m/>
    <x v="0"/>
    <m/>
    <x v="46"/>
    <x v="0"/>
    <x v="0"/>
  </r>
  <r>
    <x v="68"/>
    <x v="68"/>
    <n v="2"/>
    <x v="154"/>
    <n v="4500516638"/>
    <x v="161"/>
    <x v="26"/>
    <s v="Reserva"/>
    <m/>
    <m/>
    <m/>
    <x v="0"/>
    <m/>
    <x v="46"/>
    <x v="0"/>
    <x v="0"/>
  </r>
  <r>
    <x v="0"/>
    <x v="0"/>
    <n v="2"/>
    <x v="73"/>
    <n v="4500516638"/>
    <x v="161"/>
    <x v="26"/>
    <s v="Reserva"/>
    <m/>
    <m/>
    <m/>
    <x v="0"/>
    <m/>
    <x v="46"/>
    <x v="0"/>
    <x v="0"/>
  </r>
  <r>
    <x v="5"/>
    <x v="5"/>
    <n v="25"/>
    <x v="240"/>
    <n v="4500516638"/>
    <x v="161"/>
    <x v="26"/>
    <s v="Reserva"/>
    <m/>
    <m/>
    <m/>
    <x v="0"/>
    <m/>
    <x v="46"/>
    <x v="0"/>
    <x v="0"/>
  </r>
  <r>
    <x v="14"/>
    <x v="14"/>
    <n v="2"/>
    <x v="234"/>
    <n v="4500516638"/>
    <x v="161"/>
    <x v="26"/>
    <s v="Reserva"/>
    <m/>
    <m/>
    <m/>
    <x v="0"/>
    <m/>
    <x v="46"/>
    <x v="0"/>
    <x v="0"/>
  </r>
  <r>
    <x v="12"/>
    <x v="12"/>
    <n v="4"/>
    <x v="8"/>
    <n v="4500516638"/>
    <x v="161"/>
    <x v="26"/>
    <s v="Reserva"/>
    <m/>
    <m/>
    <m/>
    <x v="0"/>
    <m/>
    <x v="46"/>
    <x v="0"/>
    <x v="0"/>
  </r>
  <r>
    <x v="28"/>
    <x v="28"/>
    <n v="3"/>
    <x v="241"/>
    <n v="4500516638"/>
    <x v="161"/>
    <x v="26"/>
    <s v="Reserva"/>
    <m/>
    <m/>
    <m/>
    <x v="0"/>
    <m/>
    <x v="46"/>
    <x v="0"/>
    <x v="0"/>
  </r>
  <r>
    <x v="50"/>
    <x v="50"/>
    <n v="2"/>
    <x v="242"/>
    <n v="4500516638"/>
    <x v="161"/>
    <x v="26"/>
    <s v="Reserva"/>
    <m/>
    <m/>
    <m/>
    <x v="0"/>
    <m/>
    <x v="46"/>
    <x v="0"/>
    <x v="0"/>
  </r>
  <r>
    <x v="41"/>
    <x v="41"/>
    <n v="3"/>
    <x v="243"/>
    <n v="4500516638"/>
    <x v="161"/>
    <x v="26"/>
    <s v="Reserva"/>
    <m/>
    <m/>
    <m/>
    <x v="0"/>
    <m/>
    <x v="46"/>
    <x v="0"/>
    <x v="0"/>
  </r>
  <r>
    <x v="26"/>
    <x v="26"/>
    <n v="108"/>
    <x v="244"/>
    <n v="4500516638"/>
    <x v="161"/>
    <x v="26"/>
    <s v="Reserva"/>
    <m/>
    <m/>
    <m/>
    <x v="0"/>
    <m/>
    <x v="46"/>
    <x v="0"/>
    <x v="0"/>
  </r>
  <r>
    <x v="30"/>
    <x v="30"/>
    <n v="103"/>
    <x v="245"/>
    <n v="4500516638"/>
    <x v="161"/>
    <x v="26"/>
    <s v="Reserva"/>
    <m/>
    <m/>
    <m/>
    <x v="0"/>
    <m/>
    <x v="46"/>
    <x v="0"/>
    <x v="0"/>
  </r>
  <r>
    <x v="80"/>
    <x v="80"/>
    <n v="1"/>
    <x v="246"/>
    <n v="4500516638"/>
    <x v="161"/>
    <x v="26"/>
    <s v="Reserva"/>
    <m/>
    <m/>
    <m/>
    <x v="0"/>
    <m/>
    <x v="46"/>
    <x v="0"/>
    <x v="0"/>
  </r>
  <r>
    <x v="67"/>
    <x v="67"/>
    <n v="5"/>
    <x v="152"/>
    <n v="4500516647"/>
    <x v="162"/>
    <x v="26"/>
    <s v="Reserva"/>
    <m/>
    <m/>
    <m/>
    <x v="0"/>
    <m/>
    <x v="9"/>
    <x v="0"/>
    <x v="0"/>
  </r>
  <r>
    <x v="38"/>
    <x v="38"/>
    <n v="2"/>
    <x v="55"/>
    <n v="4500516647"/>
    <x v="162"/>
    <x v="26"/>
    <s v="Reserva"/>
    <m/>
    <m/>
    <m/>
    <x v="0"/>
    <m/>
    <x v="9"/>
    <x v="0"/>
    <x v="0"/>
  </r>
  <r>
    <x v="65"/>
    <x v="65"/>
    <n v="6"/>
    <x v="247"/>
    <n v="4500516647"/>
    <x v="162"/>
    <x v="26"/>
    <s v="Reserva"/>
    <m/>
    <m/>
    <m/>
    <x v="0"/>
    <m/>
    <x v="9"/>
    <x v="0"/>
    <x v="0"/>
  </r>
  <r>
    <x v="81"/>
    <x v="81"/>
    <n v="3"/>
    <x v="248"/>
    <n v="4500516647"/>
    <x v="162"/>
    <x v="26"/>
    <s v="Reserva"/>
    <m/>
    <m/>
    <m/>
    <x v="0"/>
    <m/>
    <x v="9"/>
    <x v="0"/>
    <x v="0"/>
  </r>
  <r>
    <x v="11"/>
    <x v="11"/>
    <n v="1"/>
    <x v="249"/>
    <n v="4500516647"/>
    <x v="162"/>
    <x v="26"/>
    <s v="Reserva"/>
    <m/>
    <m/>
    <m/>
    <x v="0"/>
    <m/>
    <x v="9"/>
    <x v="0"/>
    <x v="0"/>
  </r>
  <r>
    <x v="34"/>
    <x v="34"/>
    <n v="16"/>
    <x v="141"/>
    <n v="4500516647"/>
    <x v="162"/>
    <x v="26"/>
    <s v="Reserva"/>
    <m/>
    <m/>
    <m/>
    <x v="0"/>
    <m/>
    <x v="9"/>
    <x v="0"/>
    <x v="0"/>
  </r>
  <r>
    <x v="33"/>
    <x v="33"/>
    <n v="3"/>
    <x v="250"/>
    <n v="4500516647"/>
    <x v="162"/>
    <x v="26"/>
    <s v="Reserva"/>
    <m/>
    <m/>
    <m/>
    <x v="0"/>
    <m/>
    <x v="9"/>
    <x v="0"/>
    <x v="0"/>
  </r>
  <r>
    <x v="38"/>
    <x v="38"/>
    <n v="3"/>
    <x v="95"/>
    <n v="4500516651"/>
    <x v="163"/>
    <x v="26"/>
    <s v="Reserva"/>
    <m/>
    <m/>
    <m/>
    <x v="0"/>
    <m/>
    <x v="16"/>
    <x v="0"/>
    <x v="0"/>
  </r>
  <r>
    <x v="23"/>
    <x v="23"/>
    <n v="1"/>
    <x v="78"/>
    <n v="874695"/>
    <x v="164"/>
    <x v="26"/>
    <s v="Venta"/>
    <m/>
    <m/>
    <m/>
    <x v="0"/>
    <m/>
    <x v="28"/>
    <x v="1"/>
    <x v="67"/>
  </r>
  <r>
    <x v="24"/>
    <x v="24"/>
    <n v="6"/>
    <x v="29"/>
    <n v="874695"/>
    <x v="164"/>
    <x v="26"/>
    <s v="Venta"/>
    <m/>
    <m/>
    <m/>
    <x v="0"/>
    <m/>
    <x v="28"/>
    <x v="1"/>
    <x v="67"/>
  </r>
  <r>
    <x v="77"/>
    <x v="77"/>
    <n v="1"/>
    <x v="251"/>
    <n v="874695"/>
    <x v="164"/>
    <x v="26"/>
    <s v="Venta"/>
    <m/>
    <m/>
    <m/>
    <x v="0"/>
    <m/>
    <x v="28"/>
    <x v="1"/>
    <x v="67"/>
  </r>
  <r>
    <x v="71"/>
    <x v="71"/>
    <n v="1"/>
    <x v="208"/>
    <n v="874695"/>
    <x v="164"/>
    <x v="26"/>
    <s v="Venta"/>
    <m/>
    <m/>
    <m/>
    <x v="0"/>
    <m/>
    <x v="28"/>
    <x v="1"/>
    <x v="67"/>
  </r>
  <r>
    <x v="64"/>
    <x v="64"/>
    <n v="1"/>
    <x v="209"/>
    <n v="874695"/>
    <x v="164"/>
    <x v="26"/>
    <s v="Venta"/>
    <m/>
    <m/>
    <m/>
    <x v="0"/>
    <m/>
    <x v="28"/>
    <x v="1"/>
    <x v="67"/>
  </r>
  <r>
    <x v="19"/>
    <x v="19"/>
    <n v="1200"/>
    <x v="24"/>
    <n v="874696"/>
    <x v="165"/>
    <x v="26"/>
    <s v="Venta"/>
    <m/>
    <m/>
    <m/>
    <x v="0"/>
    <m/>
    <x v="44"/>
    <x v="1"/>
    <x v="68"/>
  </r>
  <r>
    <x v="18"/>
    <x v="18"/>
    <n v="1200"/>
    <x v="23"/>
    <n v="874696"/>
    <x v="165"/>
    <x v="26"/>
    <s v="Venta"/>
    <m/>
    <m/>
    <m/>
    <x v="0"/>
    <m/>
    <x v="44"/>
    <x v="1"/>
    <x v="68"/>
  </r>
  <r>
    <x v="2"/>
    <x v="2"/>
    <n v="500"/>
    <x v="252"/>
    <n v="874696"/>
    <x v="165"/>
    <x v="26"/>
    <s v="Venta"/>
    <m/>
    <m/>
    <m/>
    <x v="0"/>
    <m/>
    <x v="44"/>
    <x v="1"/>
    <x v="68"/>
  </r>
  <r>
    <x v="21"/>
    <x v="21"/>
    <n v="108"/>
    <x v="253"/>
    <n v="874696"/>
    <x v="165"/>
    <x v="26"/>
    <s v="Venta"/>
    <m/>
    <m/>
    <m/>
    <x v="0"/>
    <m/>
    <x v="44"/>
    <x v="1"/>
    <x v="68"/>
  </r>
  <r>
    <x v="22"/>
    <x v="22"/>
    <n v="108"/>
    <x v="254"/>
    <n v="874696"/>
    <x v="165"/>
    <x v="26"/>
    <s v="Venta"/>
    <m/>
    <m/>
    <m/>
    <x v="0"/>
    <m/>
    <x v="44"/>
    <x v="1"/>
    <x v="68"/>
  </r>
  <r>
    <x v="24"/>
    <x v="24"/>
    <n v="6"/>
    <x v="29"/>
    <n v="874696"/>
    <x v="165"/>
    <x v="26"/>
    <s v="Venta"/>
    <m/>
    <m/>
    <m/>
    <x v="0"/>
    <m/>
    <x v="44"/>
    <x v="1"/>
    <x v="68"/>
  </r>
  <r>
    <x v="23"/>
    <x v="23"/>
    <n v="4"/>
    <x v="255"/>
    <n v="874696"/>
    <x v="165"/>
    <x v="26"/>
    <s v="Venta"/>
    <m/>
    <m/>
    <m/>
    <x v="0"/>
    <m/>
    <x v="44"/>
    <x v="1"/>
    <x v="68"/>
  </r>
  <r>
    <x v="20"/>
    <x v="20"/>
    <n v="12"/>
    <x v="256"/>
    <n v="874696"/>
    <x v="165"/>
    <x v="26"/>
    <s v="Venta"/>
    <m/>
    <m/>
    <m/>
    <x v="0"/>
    <m/>
    <x v="44"/>
    <x v="1"/>
    <x v="68"/>
  </r>
  <r>
    <x v="23"/>
    <x v="23"/>
    <n v="1"/>
    <x v="78"/>
    <n v="874684"/>
    <x v="166"/>
    <x v="26"/>
    <s v="Venta"/>
    <m/>
    <m/>
    <m/>
    <x v="0"/>
    <m/>
    <x v="13"/>
    <x v="1"/>
    <x v="69"/>
  </r>
  <r>
    <x v="22"/>
    <x v="22"/>
    <n v="1"/>
    <x v="79"/>
    <n v="874684"/>
    <x v="166"/>
    <x v="26"/>
    <s v="Venta"/>
    <m/>
    <m/>
    <m/>
    <x v="0"/>
    <m/>
    <x v="13"/>
    <x v="1"/>
    <x v="69"/>
  </r>
  <r>
    <x v="78"/>
    <x v="78"/>
    <n v="1"/>
    <x v="257"/>
    <n v="874684"/>
    <x v="166"/>
    <x v="26"/>
    <s v="Venta"/>
    <m/>
    <m/>
    <m/>
    <x v="0"/>
    <m/>
    <x v="13"/>
    <x v="1"/>
    <x v="69"/>
  </r>
  <r>
    <x v="23"/>
    <x v="23"/>
    <n v="1"/>
    <x v="78"/>
    <n v="874683"/>
    <x v="167"/>
    <x v="26"/>
    <s v="Venta"/>
    <m/>
    <m/>
    <m/>
    <x v="0"/>
    <m/>
    <x v="34"/>
    <x v="1"/>
    <x v="70"/>
  </r>
  <r>
    <x v="23"/>
    <x v="23"/>
    <n v="1"/>
    <x v="78"/>
    <n v="874682"/>
    <x v="168"/>
    <x v="26"/>
    <s v="Venta"/>
    <m/>
    <m/>
    <m/>
    <x v="0"/>
    <m/>
    <x v="32"/>
    <x v="1"/>
    <x v="71"/>
  </r>
  <r>
    <x v="22"/>
    <x v="22"/>
    <n v="1"/>
    <x v="79"/>
    <n v="874682"/>
    <x v="168"/>
    <x v="26"/>
    <s v="Venta"/>
    <m/>
    <m/>
    <m/>
    <x v="0"/>
    <m/>
    <x v="32"/>
    <x v="1"/>
    <x v="71"/>
  </r>
  <r>
    <x v="78"/>
    <x v="78"/>
    <n v="1"/>
    <x v="257"/>
    <n v="874682"/>
    <x v="168"/>
    <x v="26"/>
    <s v="Venta"/>
    <m/>
    <m/>
    <m/>
    <x v="0"/>
    <m/>
    <x v="32"/>
    <x v="1"/>
    <x v="71"/>
  </r>
  <r>
    <x v="24"/>
    <x v="24"/>
    <n v="6"/>
    <x v="29"/>
    <n v="874682"/>
    <x v="168"/>
    <x v="26"/>
    <s v="Venta"/>
    <m/>
    <m/>
    <m/>
    <x v="0"/>
    <m/>
    <x v="32"/>
    <x v="1"/>
    <x v="71"/>
  </r>
  <r>
    <x v="69"/>
    <x v="69"/>
    <n v="2"/>
    <x v="155"/>
    <n v="4500516563"/>
    <x v="169"/>
    <x v="27"/>
    <s v="Reserva"/>
    <m/>
    <m/>
    <m/>
    <x v="0"/>
    <s v="Pedido Completo"/>
    <x v="33"/>
    <x v="0"/>
    <x v="0"/>
  </r>
  <r>
    <x v="68"/>
    <x v="68"/>
    <n v="2"/>
    <x v="154"/>
    <n v="4500516563"/>
    <x v="169"/>
    <x v="27"/>
    <s v="Reserva"/>
    <m/>
    <m/>
    <m/>
    <x v="0"/>
    <s v="Pedido Completo"/>
    <x v="33"/>
    <x v="0"/>
    <x v="0"/>
  </r>
  <r>
    <x v="0"/>
    <x v="0"/>
    <n v="2"/>
    <x v="73"/>
    <n v="4500516563"/>
    <x v="169"/>
    <x v="27"/>
    <s v="Reserva"/>
    <m/>
    <m/>
    <m/>
    <x v="0"/>
    <s v="Pedido Completo"/>
    <x v="33"/>
    <x v="0"/>
    <x v="0"/>
  </r>
  <r>
    <x v="41"/>
    <x v="41"/>
    <n v="2"/>
    <x v="258"/>
    <n v="4500516563"/>
    <x v="169"/>
    <x v="27"/>
    <s v="Reserva"/>
    <m/>
    <m/>
    <m/>
    <x v="0"/>
    <s v="Pedido Completo"/>
    <x v="33"/>
    <x v="0"/>
    <x v="0"/>
  </r>
  <r>
    <x v="72"/>
    <x v="72"/>
    <n v="1"/>
    <x v="235"/>
    <n v="4500516563"/>
    <x v="169"/>
    <x v="27"/>
    <s v="Reserva"/>
    <s v="MRPC18008432022"/>
    <m/>
    <m/>
    <x v="0"/>
    <s v="Pedido Completo"/>
    <x v="33"/>
    <x v="0"/>
    <x v="0"/>
  </r>
  <r>
    <x v="48"/>
    <x v="48"/>
    <n v="1"/>
    <x v="89"/>
    <n v="4500516563"/>
    <x v="169"/>
    <x v="27"/>
    <s v="Reserva"/>
    <m/>
    <m/>
    <m/>
    <x v="0"/>
    <s v="Pedido Completo"/>
    <x v="33"/>
    <x v="0"/>
    <x v="0"/>
  </r>
  <r>
    <x v="5"/>
    <x v="5"/>
    <n v="14"/>
    <x v="259"/>
    <n v="4500516563"/>
    <x v="169"/>
    <x v="27"/>
    <s v="Reserva"/>
    <m/>
    <m/>
    <m/>
    <x v="0"/>
    <s v="Pedido Completo"/>
    <x v="33"/>
    <x v="0"/>
    <x v="0"/>
  </r>
  <r>
    <x v="14"/>
    <x v="14"/>
    <n v="1"/>
    <x v="260"/>
    <n v="4500516563"/>
    <x v="169"/>
    <x v="27"/>
    <s v="Reserva"/>
    <m/>
    <m/>
    <m/>
    <x v="0"/>
    <s v="Pedido Completo"/>
    <x v="33"/>
    <x v="0"/>
    <x v="0"/>
  </r>
  <r>
    <x v="29"/>
    <x v="29"/>
    <n v="1"/>
    <x v="38"/>
    <n v="4500516563"/>
    <x v="169"/>
    <x v="27"/>
    <s v="Reserva"/>
    <m/>
    <m/>
    <m/>
    <x v="0"/>
    <s v="Pedido Completo"/>
    <x v="33"/>
    <x v="0"/>
    <x v="0"/>
  </r>
  <r>
    <x v="79"/>
    <x v="79"/>
    <n v="1"/>
    <x v="233"/>
    <n v="4500516563"/>
    <x v="169"/>
    <x v="27"/>
    <s v="Reserva"/>
    <m/>
    <m/>
    <m/>
    <x v="0"/>
    <s v="Pedido Completo"/>
    <x v="33"/>
    <x v="0"/>
    <x v="0"/>
  </r>
  <r>
    <x v="1"/>
    <x v="1"/>
    <n v="5"/>
    <x v="261"/>
    <n v="4500516563"/>
    <x v="169"/>
    <x v="27"/>
    <s v="Reserva"/>
    <m/>
    <m/>
    <m/>
    <x v="0"/>
    <s v="Pedido Completo"/>
    <x v="33"/>
    <x v="0"/>
    <x v="0"/>
  </r>
  <r>
    <x v="12"/>
    <x v="12"/>
    <n v="3"/>
    <x v="262"/>
    <n v="4500516563"/>
    <x v="169"/>
    <x v="27"/>
    <s v="Reserva"/>
    <m/>
    <m/>
    <m/>
    <x v="0"/>
    <s v="Pedido Completo"/>
    <x v="33"/>
    <x v="0"/>
    <x v="0"/>
  </r>
  <r>
    <x v="28"/>
    <x v="28"/>
    <n v="1"/>
    <x v="35"/>
    <n v="4500516563"/>
    <x v="169"/>
    <x v="27"/>
    <s v="Reserva"/>
    <m/>
    <m/>
    <m/>
    <x v="0"/>
    <s v="Pedido Completo"/>
    <x v="33"/>
    <x v="0"/>
    <x v="0"/>
  </r>
  <r>
    <x v="50"/>
    <x v="50"/>
    <n v="2"/>
    <x v="242"/>
    <n v="4500516563"/>
    <x v="169"/>
    <x v="27"/>
    <s v="Reserva"/>
    <m/>
    <m/>
    <m/>
    <x v="0"/>
    <s v="Pedido Completo"/>
    <x v="33"/>
    <x v="0"/>
    <x v="0"/>
  </r>
  <r>
    <x v="27"/>
    <x v="27"/>
    <n v="1"/>
    <x v="87"/>
    <n v="4500516563"/>
    <x v="169"/>
    <x v="27"/>
    <s v="Reserva"/>
    <m/>
    <m/>
    <m/>
    <x v="0"/>
    <s v="Pedido Completo"/>
    <x v="33"/>
    <x v="0"/>
    <x v="0"/>
  </r>
  <r>
    <x v="26"/>
    <x v="26"/>
    <n v="3"/>
    <x v="256"/>
    <n v="4500516563"/>
    <x v="169"/>
    <x v="27"/>
    <s v="Reserva"/>
    <m/>
    <m/>
    <m/>
    <x v="0"/>
    <s v="Pedido Completo"/>
    <x v="33"/>
    <x v="0"/>
    <x v="0"/>
  </r>
  <r>
    <x v="69"/>
    <x v="69"/>
    <n v="2"/>
    <x v="155"/>
    <n v="4500516564"/>
    <x v="170"/>
    <x v="27"/>
    <s v="Reserva"/>
    <m/>
    <m/>
    <m/>
    <x v="0"/>
    <s v="Pedido Completo"/>
    <x v="6"/>
    <x v="0"/>
    <x v="0"/>
  </r>
  <r>
    <x v="27"/>
    <x v="27"/>
    <n v="1"/>
    <x v="87"/>
    <n v="4500516564"/>
    <x v="170"/>
    <x v="27"/>
    <s v="Reserva"/>
    <m/>
    <m/>
    <m/>
    <x v="0"/>
    <s v="Pedido Completo"/>
    <x v="6"/>
    <x v="0"/>
    <x v="0"/>
  </r>
  <r>
    <x v="1"/>
    <x v="1"/>
    <n v="5"/>
    <x v="261"/>
    <n v="4500516564"/>
    <x v="170"/>
    <x v="27"/>
    <s v="Reserva"/>
    <m/>
    <m/>
    <m/>
    <x v="0"/>
    <s v="Pedido Completo"/>
    <x v="6"/>
    <x v="0"/>
    <x v="0"/>
  </r>
  <r>
    <x v="82"/>
    <x v="82"/>
    <n v="1"/>
    <x v="263"/>
    <n v="4500516564"/>
    <x v="170"/>
    <x v="27"/>
    <s v="Reserva"/>
    <m/>
    <m/>
    <m/>
    <x v="0"/>
    <s v="Pedido Completo"/>
    <x v="6"/>
    <x v="0"/>
    <x v="0"/>
  </r>
  <r>
    <x v="68"/>
    <x v="68"/>
    <n v="2"/>
    <x v="154"/>
    <n v="4500516564"/>
    <x v="170"/>
    <x v="27"/>
    <s v="Reserva"/>
    <m/>
    <m/>
    <m/>
    <x v="0"/>
    <s v="Pedido Completo"/>
    <x v="6"/>
    <x v="0"/>
    <x v="0"/>
  </r>
  <r>
    <x v="72"/>
    <x v="72"/>
    <n v="1"/>
    <x v="235"/>
    <n v="4500516564"/>
    <x v="170"/>
    <x v="27"/>
    <s v="Reserva"/>
    <s v="MRPC18008492022"/>
    <m/>
    <m/>
    <x v="0"/>
    <s v="Pedido Completo"/>
    <x v="6"/>
    <x v="0"/>
    <x v="0"/>
  </r>
  <r>
    <x v="60"/>
    <x v="60"/>
    <n v="2"/>
    <x v="264"/>
    <n v="4500516564"/>
    <x v="170"/>
    <x v="27"/>
    <s v="Reserva"/>
    <m/>
    <m/>
    <m/>
    <x v="0"/>
    <s v="Pedido Completo"/>
    <x v="6"/>
    <x v="0"/>
    <x v="0"/>
  </r>
  <r>
    <x v="0"/>
    <x v="0"/>
    <n v="2"/>
    <x v="73"/>
    <n v="4500516564"/>
    <x v="170"/>
    <x v="27"/>
    <s v="Reserva"/>
    <m/>
    <m/>
    <m/>
    <x v="0"/>
    <s v="Pedido Completo"/>
    <x v="6"/>
    <x v="0"/>
    <x v="0"/>
  </r>
  <r>
    <x v="15"/>
    <x v="15"/>
    <n v="1"/>
    <x v="11"/>
    <n v="4500516564"/>
    <x v="170"/>
    <x v="27"/>
    <s v="Reserva"/>
    <m/>
    <m/>
    <m/>
    <x v="0"/>
    <s v="Pedido Completo"/>
    <x v="6"/>
    <x v="0"/>
    <x v="0"/>
  </r>
  <r>
    <x v="48"/>
    <x v="48"/>
    <n v="1"/>
    <x v="89"/>
    <n v="4500516564"/>
    <x v="170"/>
    <x v="27"/>
    <s v="Reserva"/>
    <m/>
    <m/>
    <m/>
    <x v="0"/>
    <s v="Pedido Completo"/>
    <x v="6"/>
    <x v="0"/>
    <x v="0"/>
  </r>
  <r>
    <x v="5"/>
    <x v="5"/>
    <n v="4"/>
    <x v="265"/>
    <n v="4500516564"/>
    <x v="170"/>
    <x v="27"/>
    <s v="Reserva"/>
    <m/>
    <m/>
    <m/>
    <x v="0"/>
    <s v="Pedido Completo"/>
    <x v="6"/>
    <x v="0"/>
    <x v="0"/>
  </r>
  <r>
    <x v="42"/>
    <x v="42"/>
    <n v="3"/>
    <x v="266"/>
    <n v="4500516564"/>
    <x v="170"/>
    <x v="27"/>
    <s v="Reserva"/>
    <m/>
    <m/>
    <m/>
    <x v="0"/>
    <s v="Pedido Completo"/>
    <x v="6"/>
    <x v="0"/>
    <x v="0"/>
  </r>
  <r>
    <x v="13"/>
    <x v="13"/>
    <n v="1"/>
    <x v="9"/>
    <n v="4500516564"/>
    <x v="170"/>
    <x v="27"/>
    <s v="Reserva"/>
    <m/>
    <m/>
    <m/>
    <x v="0"/>
    <s v="Pedido Completo"/>
    <x v="6"/>
    <x v="0"/>
    <x v="0"/>
  </r>
  <r>
    <x v="14"/>
    <x v="14"/>
    <n v="1"/>
    <x v="260"/>
    <n v="4500516564"/>
    <x v="170"/>
    <x v="27"/>
    <s v="Reserva"/>
    <m/>
    <m/>
    <m/>
    <x v="0"/>
    <s v="Pedido Completo"/>
    <x v="6"/>
    <x v="0"/>
    <x v="0"/>
  </r>
  <r>
    <x v="49"/>
    <x v="49"/>
    <n v="7"/>
    <x v="267"/>
    <n v="4500516564"/>
    <x v="170"/>
    <x v="27"/>
    <s v="Reserva"/>
    <m/>
    <m/>
    <m/>
    <x v="0"/>
    <s v="Pedido Completo"/>
    <x v="6"/>
    <x v="0"/>
    <x v="0"/>
  </r>
  <r>
    <x v="43"/>
    <x v="43"/>
    <n v="2"/>
    <x v="268"/>
    <n v="4500516564"/>
    <x v="170"/>
    <x v="27"/>
    <s v="Reserva"/>
    <m/>
    <m/>
    <m/>
    <x v="0"/>
    <s v="Pedido Completo"/>
    <x v="6"/>
    <x v="0"/>
    <x v="0"/>
  </r>
  <r>
    <x v="17"/>
    <x v="17"/>
    <n v="1"/>
    <x v="13"/>
    <n v="4500516564"/>
    <x v="170"/>
    <x v="27"/>
    <s v="Reserva"/>
    <m/>
    <m/>
    <m/>
    <x v="0"/>
    <s v="Pedido Completo"/>
    <x v="6"/>
    <x v="0"/>
    <x v="0"/>
  </r>
  <r>
    <x v="83"/>
    <x v="83"/>
    <n v="2"/>
    <x v="269"/>
    <n v="4500516564"/>
    <x v="170"/>
    <x v="27"/>
    <s v="Reserva"/>
    <m/>
    <m/>
    <m/>
    <x v="0"/>
    <s v="Pedido Completo"/>
    <x v="6"/>
    <x v="0"/>
    <x v="0"/>
  </r>
  <r>
    <x v="55"/>
    <x v="55"/>
    <n v="3"/>
    <x v="270"/>
    <n v="4500516564"/>
    <x v="170"/>
    <x v="27"/>
    <s v="Reserva"/>
    <m/>
    <m/>
    <m/>
    <x v="0"/>
    <s v="Pedido Completo"/>
    <x v="6"/>
    <x v="0"/>
    <x v="0"/>
  </r>
  <r>
    <x v="12"/>
    <x v="12"/>
    <n v="1"/>
    <x v="36"/>
    <n v="4500516564"/>
    <x v="170"/>
    <x v="27"/>
    <s v="Reserva"/>
    <m/>
    <m/>
    <m/>
    <x v="0"/>
    <s v="Pedido Completo"/>
    <x v="6"/>
    <x v="0"/>
    <x v="0"/>
  </r>
  <r>
    <x v="28"/>
    <x v="28"/>
    <n v="1"/>
    <x v="35"/>
    <n v="4500516564"/>
    <x v="170"/>
    <x v="27"/>
    <s v="Reserva"/>
    <m/>
    <m/>
    <m/>
    <x v="0"/>
    <s v="Pedido Completo"/>
    <x v="6"/>
    <x v="0"/>
    <x v="0"/>
  </r>
  <r>
    <x v="50"/>
    <x v="50"/>
    <n v="1"/>
    <x v="93"/>
    <n v="4500516564"/>
    <x v="170"/>
    <x v="27"/>
    <s v="Reserva"/>
    <m/>
    <m/>
    <m/>
    <x v="0"/>
    <s v="Pedido Completo"/>
    <x v="6"/>
    <x v="0"/>
    <x v="0"/>
  </r>
  <r>
    <x v="23"/>
    <x v="23"/>
    <n v="5"/>
    <x v="140"/>
    <n v="874679"/>
    <x v="171"/>
    <x v="27"/>
    <s v="Venta"/>
    <m/>
    <m/>
    <m/>
    <x v="0"/>
    <s v="Pedido Completo"/>
    <x v="6"/>
    <x v="1"/>
    <x v="72"/>
  </r>
  <r>
    <x v="18"/>
    <x v="18"/>
    <n v="100"/>
    <x v="82"/>
    <n v="874679"/>
    <x v="171"/>
    <x v="27"/>
    <s v="Venta"/>
    <m/>
    <m/>
    <m/>
    <x v="0"/>
    <s v="Pedido Completo"/>
    <x v="6"/>
    <x v="1"/>
    <x v="72"/>
  </r>
  <r>
    <x v="19"/>
    <x v="19"/>
    <n v="100"/>
    <x v="83"/>
    <n v="874679"/>
    <x v="171"/>
    <x v="27"/>
    <s v="Venta"/>
    <m/>
    <m/>
    <m/>
    <x v="0"/>
    <s v="Pedido Completo"/>
    <x v="6"/>
    <x v="1"/>
    <x v="72"/>
  </r>
  <r>
    <x v="20"/>
    <x v="20"/>
    <n v="2"/>
    <x v="197"/>
    <n v="874679"/>
    <x v="171"/>
    <x v="27"/>
    <s v="Venta"/>
    <m/>
    <m/>
    <m/>
    <x v="0"/>
    <s v="Pedido Completo"/>
    <x v="6"/>
    <x v="1"/>
    <x v="72"/>
  </r>
  <r>
    <x v="22"/>
    <x v="22"/>
    <n v="3"/>
    <x v="227"/>
    <n v="874679"/>
    <x v="171"/>
    <x v="27"/>
    <s v="Venta"/>
    <m/>
    <m/>
    <m/>
    <x v="0"/>
    <s v="Pedido Completo"/>
    <x v="6"/>
    <x v="1"/>
    <x v="72"/>
  </r>
  <r>
    <x v="18"/>
    <x v="18"/>
    <n v="100"/>
    <x v="82"/>
    <n v="874678"/>
    <x v="172"/>
    <x v="27"/>
    <s v="Venta"/>
    <m/>
    <m/>
    <m/>
    <x v="0"/>
    <s v="Pedido Completo"/>
    <x v="33"/>
    <x v="1"/>
    <x v="73"/>
  </r>
  <r>
    <x v="19"/>
    <x v="19"/>
    <n v="100"/>
    <x v="83"/>
    <n v="874678"/>
    <x v="172"/>
    <x v="27"/>
    <s v="Venta"/>
    <m/>
    <m/>
    <m/>
    <x v="0"/>
    <s v="Pedido Completo"/>
    <x v="33"/>
    <x v="1"/>
    <x v="73"/>
  </r>
  <r>
    <x v="6"/>
    <x v="6"/>
    <n v="50"/>
    <x v="204"/>
    <n v="874678"/>
    <x v="172"/>
    <x v="27"/>
    <s v="Venta"/>
    <m/>
    <m/>
    <m/>
    <x v="0"/>
    <s v="Pedido Completo"/>
    <x v="33"/>
    <x v="1"/>
    <x v="73"/>
  </r>
  <r>
    <x v="20"/>
    <x v="20"/>
    <n v="3"/>
    <x v="17"/>
    <n v="874678"/>
    <x v="172"/>
    <x v="27"/>
    <s v="Venta"/>
    <m/>
    <m/>
    <m/>
    <x v="0"/>
    <s v="Pedido Completo"/>
    <x v="33"/>
    <x v="1"/>
    <x v="73"/>
  </r>
  <r>
    <x v="22"/>
    <x v="22"/>
    <n v="3"/>
    <x v="227"/>
    <n v="874678"/>
    <x v="172"/>
    <x v="27"/>
    <s v="Venta"/>
    <m/>
    <m/>
    <m/>
    <x v="0"/>
    <s v="Pedido Completo"/>
    <x v="33"/>
    <x v="1"/>
    <x v="73"/>
  </r>
  <r>
    <x v="23"/>
    <x v="23"/>
    <n v="3"/>
    <x v="28"/>
    <n v="874678"/>
    <x v="172"/>
    <x v="27"/>
    <s v="Venta"/>
    <m/>
    <m/>
    <m/>
    <x v="0"/>
    <s v="Pedido Completo"/>
    <x v="33"/>
    <x v="1"/>
    <x v="73"/>
  </r>
  <r>
    <x v="24"/>
    <x v="24"/>
    <n v="6"/>
    <x v="29"/>
    <n v="874694"/>
    <x v="173"/>
    <x v="27"/>
    <s v="Venta"/>
    <m/>
    <m/>
    <m/>
    <x v="0"/>
    <s v="Pedido Completo"/>
    <x v="6"/>
    <x v="1"/>
    <x v="74"/>
  </r>
  <r>
    <x v="33"/>
    <x v="33"/>
    <n v="6"/>
    <x v="271"/>
    <n v="4500516572"/>
    <x v="174"/>
    <x v="27"/>
    <s v="Reserva"/>
    <m/>
    <m/>
    <m/>
    <x v="0"/>
    <s v="Adcional # 2"/>
    <x v="9"/>
    <x v="0"/>
    <x v="0"/>
  </r>
  <r>
    <x v="34"/>
    <x v="34"/>
    <n v="12"/>
    <x v="272"/>
    <n v="4500516572"/>
    <x v="174"/>
    <x v="27"/>
    <s v="Reserva"/>
    <m/>
    <m/>
    <m/>
    <x v="0"/>
    <s v="Adcional # 2"/>
    <x v="9"/>
    <x v="0"/>
    <x v="0"/>
  </r>
  <r>
    <x v="53"/>
    <x v="53"/>
    <n v="3"/>
    <x v="273"/>
    <n v="4500516572"/>
    <x v="174"/>
    <x v="27"/>
    <s v="Reserva"/>
    <m/>
    <m/>
    <m/>
    <x v="0"/>
    <s v="Adcional # 2"/>
    <x v="9"/>
    <x v="0"/>
    <x v="0"/>
  </r>
  <r>
    <x v="1"/>
    <x v="1"/>
    <n v="6"/>
    <x v="274"/>
    <n v="4500516572"/>
    <x v="174"/>
    <x v="27"/>
    <s v="Reserva"/>
    <m/>
    <m/>
    <m/>
    <x v="0"/>
    <s v="Adcional # 2"/>
    <x v="9"/>
    <x v="0"/>
    <x v="0"/>
  </r>
  <r>
    <x v="0"/>
    <x v="0"/>
    <n v="3"/>
    <x v="275"/>
    <n v="4500516572"/>
    <x v="174"/>
    <x v="27"/>
    <s v="Reserva"/>
    <m/>
    <m/>
    <m/>
    <x v="0"/>
    <s v="Adcional # 2"/>
    <x v="9"/>
    <x v="0"/>
    <x v="0"/>
  </r>
  <r>
    <x v="27"/>
    <x v="27"/>
    <n v="3"/>
    <x v="276"/>
    <n v="4500516572"/>
    <x v="174"/>
    <x v="27"/>
    <s v="Reserva"/>
    <m/>
    <m/>
    <m/>
    <x v="0"/>
    <s v="Adcional # 2"/>
    <x v="9"/>
    <x v="0"/>
    <x v="0"/>
  </r>
  <r>
    <x v="35"/>
    <x v="35"/>
    <n v="3"/>
    <x v="277"/>
    <n v="4500516572"/>
    <x v="174"/>
    <x v="27"/>
    <s v="Reserva"/>
    <m/>
    <m/>
    <m/>
    <x v="0"/>
    <s v="Adcional # 2"/>
    <x v="9"/>
    <x v="0"/>
    <x v="0"/>
  </r>
  <r>
    <x v="84"/>
    <x v="84"/>
    <n v="7"/>
    <x v="278"/>
    <n v="4500516572"/>
    <x v="174"/>
    <x v="27"/>
    <s v="Reserva"/>
    <m/>
    <m/>
    <m/>
    <x v="0"/>
    <s v="Adcional # 2"/>
    <x v="9"/>
    <x v="0"/>
    <x v="0"/>
  </r>
  <r>
    <x v="47"/>
    <x v="47"/>
    <n v="3"/>
    <x v="279"/>
    <n v="4500516572"/>
    <x v="174"/>
    <x v="27"/>
    <s v="Reserva"/>
    <m/>
    <m/>
    <m/>
    <x v="0"/>
    <s v="Adcional # 2"/>
    <x v="9"/>
    <x v="0"/>
    <x v="0"/>
  </r>
  <r>
    <x v="30"/>
    <x v="30"/>
    <n v="3"/>
    <x v="280"/>
    <n v="4500516572"/>
    <x v="174"/>
    <x v="27"/>
    <s v="Reserva"/>
    <m/>
    <m/>
    <m/>
    <x v="0"/>
    <s v="Adcional # 2"/>
    <x v="9"/>
    <x v="0"/>
    <x v="0"/>
  </r>
  <r>
    <x v="0"/>
    <x v="0"/>
    <n v="20"/>
    <x v="281"/>
    <n v="4500516574"/>
    <x v="175"/>
    <x v="27"/>
    <s v="Reserva"/>
    <m/>
    <m/>
    <m/>
    <x v="0"/>
    <s v="Adicional # 2"/>
    <x v="4"/>
    <x v="0"/>
    <x v="0"/>
  </r>
  <r>
    <x v="85"/>
    <x v="85"/>
    <n v="4"/>
    <x v="282"/>
    <n v="4500516574"/>
    <x v="175"/>
    <x v="27"/>
    <s v="Reserva"/>
    <m/>
    <m/>
    <m/>
    <x v="0"/>
    <s v="Adicional # 2"/>
    <x v="4"/>
    <x v="0"/>
    <x v="0"/>
  </r>
  <r>
    <x v="52"/>
    <x v="52"/>
    <n v="8"/>
    <x v="98"/>
    <n v="4500516576"/>
    <x v="176"/>
    <x v="27"/>
    <s v="Reserva"/>
    <m/>
    <m/>
    <m/>
    <x v="0"/>
    <s v="Adicional # 3"/>
    <x v="4"/>
    <x v="0"/>
    <x v="0"/>
  </r>
  <r>
    <x v="2"/>
    <x v="2"/>
    <n v="50"/>
    <x v="81"/>
    <n v="874575"/>
    <x v="177"/>
    <x v="28"/>
    <s v="Venta"/>
    <m/>
    <m/>
    <m/>
    <x v="0"/>
    <s v="Pedido Completo"/>
    <x v="0"/>
    <x v="1"/>
    <x v="75"/>
  </r>
  <r>
    <x v="23"/>
    <x v="23"/>
    <n v="4"/>
    <x v="255"/>
    <n v="874675"/>
    <x v="178"/>
    <x v="28"/>
    <s v="Venta"/>
    <m/>
    <m/>
    <m/>
    <x v="0"/>
    <s v="Pedido Completo"/>
    <x v="0"/>
    <x v="1"/>
    <x v="76"/>
  </r>
  <r>
    <x v="22"/>
    <x v="22"/>
    <n v="4"/>
    <x v="283"/>
    <n v="874675"/>
    <x v="178"/>
    <x v="28"/>
    <s v="Venta"/>
    <m/>
    <m/>
    <m/>
    <x v="0"/>
    <s v="Pedido Completo"/>
    <x v="0"/>
    <x v="1"/>
    <x v="76"/>
  </r>
  <r>
    <x v="21"/>
    <x v="21"/>
    <n v="4"/>
    <x v="284"/>
    <n v="874675"/>
    <x v="178"/>
    <x v="28"/>
    <s v="Venta"/>
    <m/>
    <m/>
    <m/>
    <x v="0"/>
    <s v="Pedido Completo"/>
    <x v="0"/>
    <x v="1"/>
    <x v="76"/>
  </r>
  <r>
    <x v="18"/>
    <x v="18"/>
    <n v="100"/>
    <x v="82"/>
    <n v="874675"/>
    <x v="178"/>
    <x v="28"/>
    <s v="Venta"/>
    <m/>
    <m/>
    <m/>
    <x v="0"/>
    <s v="Pedido Completo"/>
    <x v="0"/>
    <x v="1"/>
    <x v="76"/>
  </r>
  <r>
    <x v="19"/>
    <x v="19"/>
    <n v="100"/>
    <x v="83"/>
    <n v="874675"/>
    <x v="178"/>
    <x v="28"/>
    <s v="Venta"/>
    <m/>
    <m/>
    <m/>
    <x v="0"/>
    <s v="Pedido Completo"/>
    <x v="0"/>
    <x v="1"/>
    <x v="76"/>
  </r>
  <r>
    <x v="24"/>
    <x v="24"/>
    <n v="6"/>
    <x v="29"/>
    <n v="874675"/>
    <x v="178"/>
    <x v="28"/>
    <s v="Venta"/>
    <m/>
    <m/>
    <m/>
    <x v="0"/>
    <s v="Pedido Completo"/>
    <x v="0"/>
    <x v="1"/>
    <x v="76"/>
  </r>
  <r>
    <x v="22"/>
    <x v="22"/>
    <n v="3"/>
    <x v="227"/>
    <n v="874674"/>
    <x v="179"/>
    <x v="28"/>
    <s v="Venta"/>
    <m/>
    <m/>
    <m/>
    <x v="0"/>
    <s v="Adicional # 1"/>
    <x v="9"/>
    <x v="2"/>
    <x v="77"/>
  </r>
  <r>
    <x v="21"/>
    <x v="21"/>
    <n v="3"/>
    <x v="226"/>
    <n v="874674"/>
    <x v="179"/>
    <x v="28"/>
    <s v="Venta"/>
    <m/>
    <m/>
    <m/>
    <x v="0"/>
    <s v="Adicional # 1"/>
    <x v="9"/>
    <x v="2"/>
    <x v="77"/>
  </r>
  <r>
    <x v="22"/>
    <x v="22"/>
    <n v="10"/>
    <x v="285"/>
    <n v="874673"/>
    <x v="180"/>
    <x v="28"/>
    <s v="Venta"/>
    <m/>
    <m/>
    <m/>
    <x v="0"/>
    <m/>
    <x v="21"/>
    <x v="2"/>
    <x v="78"/>
  </r>
  <r>
    <x v="21"/>
    <x v="21"/>
    <n v="10"/>
    <x v="286"/>
    <n v="874673"/>
    <x v="180"/>
    <x v="28"/>
    <s v="Venta"/>
    <m/>
    <m/>
    <m/>
    <x v="0"/>
    <m/>
    <x v="21"/>
    <x v="2"/>
    <x v="78"/>
  </r>
  <r>
    <x v="23"/>
    <x v="23"/>
    <n v="10"/>
    <x v="287"/>
    <n v="874673"/>
    <x v="180"/>
    <x v="28"/>
    <s v="Venta"/>
    <m/>
    <m/>
    <m/>
    <x v="0"/>
    <m/>
    <x v="21"/>
    <x v="2"/>
    <x v="78"/>
  </r>
  <r>
    <x v="24"/>
    <x v="24"/>
    <n v="12"/>
    <x v="288"/>
    <n v="874673"/>
    <x v="180"/>
    <x v="28"/>
    <s v="Venta"/>
    <m/>
    <m/>
    <m/>
    <x v="0"/>
    <m/>
    <x v="21"/>
    <x v="2"/>
    <x v="78"/>
  </r>
  <r>
    <x v="2"/>
    <x v="2"/>
    <n v="50"/>
    <x v="81"/>
    <n v="874672"/>
    <x v="181"/>
    <x v="28"/>
    <s v="Venta"/>
    <m/>
    <m/>
    <m/>
    <x v="0"/>
    <s v="Pedido Completo"/>
    <x v="47"/>
    <x v="1"/>
    <x v="79"/>
  </r>
  <r>
    <x v="23"/>
    <x v="23"/>
    <n v="1"/>
    <x v="78"/>
    <n v="874672"/>
    <x v="182"/>
    <x v="28"/>
    <s v="Venta"/>
    <m/>
    <m/>
    <m/>
    <x v="0"/>
    <s v="Pedido Completo"/>
    <x v="47"/>
    <x v="1"/>
    <x v="80"/>
  </r>
  <r>
    <x v="22"/>
    <x v="22"/>
    <n v="1"/>
    <x v="79"/>
    <n v="874672"/>
    <x v="182"/>
    <x v="28"/>
    <s v="Venta"/>
    <m/>
    <m/>
    <m/>
    <x v="0"/>
    <s v="Pedido Completo"/>
    <x v="47"/>
    <x v="1"/>
    <x v="80"/>
  </r>
  <r>
    <x v="18"/>
    <x v="18"/>
    <n v="100"/>
    <x v="82"/>
    <n v="874672"/>
    <x v="182"/>
    <x v="28"/>
    <s v="Venta"/>
    <m/>
    <m/>
    <m/>
    <x v="0"/>
    <s v="Pedido Completo"/>
    <x v="47"/>
    <x v="1"/>
    <x v="80"/>
  </r>
  <r>
    <x v="19"/>
    <x v="19"/>
    <n v="100"/>
    <x v="83"/>
    <n v="874672"/>
    <x v="182"/>
    <x v="28"/>
    <s v="Venta"/>
    <m/>
    <m/>
    <m/>
    <x v="0"/>
    <s v="Pedido Completo"/>
    <x v="47"/>
    <x v="1"/>
    <x v="80"/>
  </r>
  <r>
    <x v="26"/>
    <x v="26"/>
    <n v="4"/>
    <x v="289"/>
    <n v="4500516559"/>
    <x v="183"/>
    <x v="28"/>
    <s v="Reserva"/>
    <m/>
    <m/>
    <m/>
    <x v="0"/>
    <s v="Pedido Completo"/>
    <x v="0"/>
    <x v="0"/>
    <x v="0"/>
  </r>
  <r>
    <x v="27"/>
    <x v="27"/>
    <n v="4"/>
    <x v="142"/>
    <n v="4500516559"/>
    <x v="183"/>
    <x v="28"/>
    <s v="Reserva"/>
    <m/>
    <m/>
    <m/>
    <x v="0"/>
    <s v="Pedido Completo"/>
    <x v="0"/>
    <x v="0"/>
    <x v="0"/>
  </r>
  <r>
    <x v="53"/>
    <x v="53"/>
    <n v="4"/>
    <x v="290"/>
    <n v="4500516559"/>
    <x v="183"/>
    <x v="28"/>
    <s v="Reserva"/>
    <m/>
    <m/>
    <m/>
    <x v="0"/>
    <s v="Pedido Completo"/>
    <x v="0"/>
    <x v="0"/>
    <x v="0"/>
  </r>
  <r>
    <x v="1"/>
    <x v="1"/>
    <n v="16"/>
    <x v="291"/>
    <n v="4500516559"/>
    <x v="183"/>
    <x v="28"/>
    <s v="Reserva"/>
    <m/>
    <m/>
    <m/>
    <x v="0"/>
    <s v="Pedido Completo"/>
    <x v="0"/>
    <x v="0"/>
    <x v="0"/>
  </r>
  <r>
    <x v="30"/>
    <x v="30"/>
    <n v="4"/>
    <x v="292"/>
    <n v="4500516559"/>
    <x v="183"/>
    <x v="28"/>
    <s v="Reserva"/>
    <m/>
    <m/>
    <m/>
    <x v="0"/>
    <s v="Pedido Completo"/>
    <x v="0"/>
    <x v="0"/>
    <x v="0"/>
  </r>
  <r>
    <x v="1"/>
    <x v="1"/>
    <n v="6"/>
    <x v="274"/>
    <n v="4500516556"/>
    <x v="184"/>
    <x v="28"/>
    <s v="Reserva"/>
    <m/>
    <m/>
    <m/>
    <x v="0"/>
    <s v="Adicional # 1"/>
    <x v="9"/>
    <x v="0"/>
    <x v="0"/>
  </r>
  <r>
    <x v="35"/>
    <x v="35"/>
    <n v="3"/>
    <x v="277"/>
    <n v="4500516556"/>
    <x v="184"/>
    <x v="28"/>
    <s v="Reserva"/>
    <m/>
    <m/>
    <m/>
    <x v="0"/>
    <s v="Adicional # 1"/>
    <x v="9"/>
    <x v="0"/>
    <x v="0"/>
  </r>
  <r>
    <x v="68"/>
    <x v="68"/>
    <n v="3"/>
    <x v="293"/>
    <n v="4500516556"/>
    <x v="184"/>
    <x v="28"/>
    <s v="Reserva"/>
    <m/>
    <m/>
    <m/>
    <x v="0"/>
    <s v="Adicional # 1"/>
    <x v="9"/>
    <x v="0"/>
    <x v="0"/>
  </r>
  <r>
    <x v="27"/>
    <x v="27"/>
    <n v="3"/>
    <x v="276"/>
    <n v="4500516556"/>
    <x v="184"/>
    <x v="28"/>
    <s v="Reserva"/>
    <m/>
    <m/>
    <m/>
    <x v="0"/>
    <s v="Adicional # 1"/>
    <x v="9"/>
    <x v="0"/>
    <x v="0"/>
  </r>
  <r>
    <x v="1"/>
    <x v="1"/>
    <n v="20"/>
    <x v="294"/>
    <n v="4500516554"/>
    <x v="185"/>
    <x v="28"/>
    <s v="Reserva"/>
    <m/>
    <m/>
    <m/>
    <x v="0"/>
    <m/>
    <x v="21"/>
    <x v="0"/>
    <x v="0"/>
  </r>
  <r>
    <x v="55"/>
    <x v="55"/>
    <n v="10"/>
    <x v="295"/>
    <n v="4500516554"/>
    <x v="185"/>
    <x v="28"/>
    <s v="Reserva"/>
    <m/>
    <m/>
    <m/>
    <x v="0"/>
    <m/>
    <x v="21"/>
    <x v="0"/>
    <x v="0"/>
  </r>
  <r>
    <x v="68"/>
    <x v="68"/>
    <n v="10"/>
    <x v="296"/>
    <n v="4500516554"/>
    <x v="185"/>
    <x v="28"/>
    <s v="Reserva"/>
    <m/>
    <m/>
    <m/>
    <x v="0"/>
    <m/>
    <x v="21"/>
    <x v="0"/>
    <x v="0"/>
  </r>
  <r>
    <x v="27"/>
    <x v="27"/>
    <n v="10"/>
    <x v="297"/>
    <n v="4500516554"/>
    <x v="185"/>
    <x v="28"/>
    <s v="Reserva"/>
    <m/>
    <m/>
    <m/>
    <x v="0"/>
    <m/>
    <x v="21"/>
    <x v="0"/>
    <x v="0"/>
  </r>
  <r>
    <x v="30"/>
    <x v="30"/>
    <n v="10"/>
    <x v="298"/>
    <n v="4500516554"/>
    <x v="185"/>
    <x v="28"/>
    <s v="Reserva"/>
    <m/>
    <m/>
    <m/>
    <x v="0"/>
    <m/>
    <x v="21"/>
    <x v="0"/>
    <x v="0"/>
  </r>
  <r>
    <x v="0"/>
    <x v="0"/>
    <n v="2"/>
    <x v="73"/>
    <n v="4500516551"/>
    <x v="186"/>
    <x v="28"/>
    <s v="Reserva"/>
    <m/>
    <m/>
    <m/>
    <x v="0"/>
    <s v="Adicional # 1"/>
    <x v="1"/>
    <x v="0"/>
    <x v="0"/>
  </r>
  <r>
    <x v="74"/>
    <x v="74"/>
    <n v="1"/>
    <x v="299"/>
    <n v="4500516549"/>
    <x v="187"/>
    <x v="28"/>
    <s v="Reserva"/>
    <m/>
    <m/>
    <m/>
    <x v="0"/>
    <s v="Pedido Completo"/>
    <x v="47"/>
    <x v="0"/>
    <x v="0"/>
  </r>
  <r>
    <x v="1"/>
    <x v="1"/>
    <n v="4"/>
    <x v="99"/>
    <n v="4500516549"/>
    <x v="187"/>
    <x v="28"/>
    <s v="Reserva"/>
    <m/>
    <m/>
    <m/>
    <x v="0"/>
    <s v="Pedido Completo"/>
    <x v="47"/>
    <x v="0"/>
    <x v="0"/>
  </r>
  <r>
    <x v="53"/>
    <x v="53"/>
    <n v="1"/>
    <x v="180"/>
    <n v="4500516549"/>
    <x v="187"/>
    <x v="28"/>
    <s v="Reserva"/>
    <m/>
    <m/>
    <m/>
    <x v="0"/>
    <s v="Pedido Completo"/>
    <x v="47"/>
    <x v="0"/>
    <x v="0"/>
  </r>
  <r>
    <x v="35"/>
    <x v="35"/>
    <n v="1"/>
    <x v="47"/>
    <n v="4500516549"/>
    <x v="187"/>
    <x v="28"/>
    <s v="Reserva"/>
    <m/>
    <m/>
    <m/>
    <x v="0"/>
    <s v="Pedido Completo"/>
    <x v="47"/>
    <x v="0"/>
    <x v="0"/>
  </r>
  <r>
    <x v="73"/>
    <x v="73"/>
    <n v="1"/>
    <x v="300"/>
    <n v="4500516549"/>
    <x v="187"/>
    <x v="28"/>
    <s v="Reserva"/>
    <m/>
    <m/>
    <m/>
    <x v="0"/>
    <s v="Pedido Completo"/>
    <x v="47"/>
    <x v="0"/>
    <x v="0"/>
  </r>
  <r>
    <x v="2"/>
    <x v="2"/>
    <n v="550"/>
    <x v="301"/>
    <n v="874662"/>
    <x v="188"/>
    <x v="29"/>
    <s v="Venta"/>
    <m/>
    <s v="G-011-01-44546"/>
    <m/>
    <x v="1"/>
    <m/>
    <x v="48"/>
    <x v="1"/>
    <x v="81"/>
  </r>
  <r>
    <x v="3"/>
    <x v="3"/>
    <n v="396"/>
    <x v="302"/>
    <n v="874236"/>
    <x v="189"/>
    <x v="30"/>
    <s v="Venta"/>
    <m/>
    <m/>
    <m/>
    <x v="0"/>
    <m/>
    <x v="10"/>
    <x v="1"/>
    <x v="82"/>
  </r>
  <r>
    <x v="1"/>
    <x v="1"/>
    <n v="3"/>
    <x v="0"/>
    <m/>
    <x v="190"/>
    <x v="30"/>
    <s v="Devolución"/>
    <m/>
    <m/>
    <m/>
    <x v="0"/>
    <m/>
    <x v="49"/>
    <x v="0"/>
    <x v="0"/>
  </r>
  <r>
    <x v="0"/>
    <x v="0"/>
    <n v="2"/>
    <x v="0"/>
    <m/>
    <x v="190"/>
    <x v="30"/>
    <s v="Devolución"/>
    <m/>
    <m/>
    <m/>
    <x v="0"/>
    <m/>
    <x v="49"/>
    <x v="0"/>
    <x v="0"/>
  </r>
  <r>
    <x v="73"/>
    <x v="73"/>
    <n v="1"/>
    <x v="300"/>
    <n v="4500514869"/>
    <x v="191"/>
    <x v="31"/>
    <s v="Reserva"/>
    <m/>
    <m/>
    <m/>
    <x v="0"/>
    <m/>
    <x v="49"/>
    <x v="0"/>
    <x v="0"/>
  </r>
  <r>
    <x v="86"/>
    <x v="86"/>
    <n v="1"/>
    <x v="303"/>
    <n v="4500514869"/>
    <x v="191"/>
    <x v="31"/>
    <s v="Reserva"/>
    <m/>
    <m/>
    <m/>
    <x v="0"/>
    <m/>
    <x v="49"/>
    <x v="0"/>
    <x v="0"/>
  </r>
  <r>
    <x v="53"/>
    <x v="53"/>
    <n v="1"/>
    <x v="180"/>
    <n v="4500514869"/>
    <x v="191"/>
    <x v="31"/>
    <s v="Reserva"/>
    <m/>
    <m/>
    <m/>
    <x v="0"/>
    <m/>
    <x v="49"/>
    <x v="0"/>
    <x v="0"/>
  </r>
  <r>
    <x v="1"/>
    <x v="1"/>
    <n v="4"/>
    <x v="304"/>
    <n v="4500514869"/>
    <x v="191"/>
    <x v="31"/>
    <s v="Reserva"/>
    <m/>
    <m/>
    <m/>
    <x v="0"/>
    <m/>
    <x v="49"/>
    <x v="0"/>
    <x v="0"/>
  </r>
  <r>
    <x v="74"/>
    <x v="74"/>
    <n v="1"/>
    <x v="299"/>
    <n v="4500514869"/>
    <x v="191"/>
    <x v="31"/>
    <s v="Reserva"/>
    <m/>
    <m/>
    <m/>
    <x v="0"/>
    <m/>
    <x v="49"/>
    <x v="0"/>
    <x v="0"/>
  </r>
  <r>
    <x v="0"/>
    <x v="0"/>
    <n v="4"/>
    <x v="124"/>
    <n v="4500514869"/>
    <x v="191"/>
    <x v="31"/>
    <s v="Reserva"/>
    <m/>
    <m/>
    <m/>
    <x v="0"/>
    <m/>
    <x v="49"/>
    <x v="0"/>
    <x v="0"/>
  </r>
  <r>
    <x v="45"/>
    <x v="45"/>
    <n v="1"/>
    <x v="77"/>
    <n v="874277"/>
    <x v="192"/>
    <x v="32"/>
    <s v="Venta"/>
    <m/>
    <m/>
    <m/>
    <x v="0"/>
    <m/>
    <x v="21"/>
    <x v="2"/>
    <x v="83"/>
  </r>
  <r>
    <x v="44"/>
    <x v="44"/>
    <n v="6"/>
    <x v="76"/>
    <n v="874277"/>
    <x v="192"/>
    <x v="32"/>
    <s v="Venta"/>
    <m/>
    <m/>
    <m/>
    <x v="0"/>
    <m/>
    <x v="21"/>
    <x v="2"/>
    <x v="83"/>
  </r>
  <r>
    <x v="7"/>
    <x v="7"/>
    <n v="4"/>
    <x v="305"/>
    <n v="874237"/>
    <x v="193"/>
    <x v="32"/>
    <s v="Venta"/>
    <m/>
    <m/>
    <m/>
    <x v="0"/>
    <m/>
    <x v="25"/>
    <x v="1"/>
    <x v="84"/>
  </r>
  <r>
    <x v="7"/>
    <x v="7"/>
    <n v="4"/>
    <x v="305"/>
    <n v="844242"/>
    <x v="194"/>
    <x v="32"/>
    <s v="Venta"/>
    <m/>
    <m/>
    <m/>
    <x v="0"/>
    <m/>
    <x v="16"/>
    <x v="1"/>
    <x v="85"/>
  </r>
  <r>
    <x v="7"/>
    <x v="7"/>
    <n v="12"/>
    <x v="306"/>
    <n v="874200"/>
    <x v="195"/>
    <x v="32"/>
    <s v="Venta"/>
    <m/>
    <m/>
    <m/>
    <x v="0"/>
    <m/>
    <x v="16"/>
    <x v="1"/>
    <x v="86"/>
  </r>
  <r>
    <x v="7"/>
    <x v="7"/>
    <n v="2"/>
    <x v="122"/>
    <n v="874278"/>
    <x v="196"/>
    <x v="32"/>
    <s v="Venta"/>
    <m/>
    <m/>
    <m/>
    <x v="0"/>
    <m/>
    <x v="4"/>
    <x v="1"/>
    <x v="87"/>
  </r>
  <r>
    <x v="7"/>
    <x v="7"/>
    <n v="2"/>
    <x v="122"/>
    <n v="874236"/>
    <x v="197"/>
    <x v="32"/>
    <s v="Venta"/>
    <m/>
    <m/>
    <m/>
    <x v="0"/>
    <m/>
    <x v="10"/>
    <x v="1"/>
    <x v="88"/>
  </r>
  <r>
    <x v="4"/>
    <x v="4"/>
    <n v="1"/>
    <x v="3"/>
    <n v="874236"/>
    <x v="197"/>
    <x v="32"/>
    <s v="Venta"/>
    <m/>
    <m/>
    <m/>
    <x v="0"/>
    <m/>
    <x v="10"/>
    <x v="1"/>
    <x v="88"/>
  </r>
  <r>
    <x v="6"/>
    <x v="6"/>
    <n v="750"/>
    <x v="307"/>
    <n v="874278"/>
    <x v="198"/>
    <x v="33"/>
    <s v="Venta"/>
    <m/>
    <s v="G-011-01-44548"/>
    <m/>
    <x v="0"/>
    <m/>
    <x v="4"/>
    <x v="1"/>
    <x v="89"/>
  </r>
  <r>
    <x v="24"/>
    <x v="24"/>
    <n v="78"/>
    <x v="308"/>
    <n v="874278"/>
    <x v="198"/>
    <x v="33"/>
    <s v="Venta"/>
    <m/>
    <m/>
    <m/>
    <x v="0"/>
    <m/>
    <x v="4"/>
    <x v="1"/>
    <x v="89"/>
  </r>
  <r>
    <x v="2"/>
    <x v="2"/>
    <n v="200"/>
    <x v="309"/>
    <n v="874278"/>
    <x v="198"/>
    <x v="33"/>
    <s v="Venta"/>
    <m/>
    <s v="G-011-01-44546"/>
    <d v="2025-07-02T00:00:00"/>
    <x v="1"/>
    <m/>
    <x v="4"/>
    <x v="1"/>
    <x v="89"/>
  </r>
  <r>
    <x v="10"/>
    <x v="10"/>
    <n v="600"/>
    <x v="310"/>
    <n v="874278"/>
    <x v="198"/>
    <x v="33"/>
    <s v="Venta"/>
    <m/>
    <s v="G-011-01-44550"/>
    <m/>
    <x v="0"/>
    <m/>
    <x v="4"/>
    <x v="1"/>
    <x v="89"/>
  </r>
  <r>
    <x v="4"/>
    <x v="4"/>
    <n v="13"/>
    <x v="311"/>
    <n v="874277"/>
    <x v="192"/>
    <x v="32"/>
    <s v="Venta"/>
    <m/>
    <m/>
    <m/>
    <x v="0"/>
    <m/>
    <x v="21"/>
    <x v="2"/>
    <x v="83"/>
  </r>
  <r>
    <x v="3"/>
    <x v="3"/>
    <n v="1164"/>
    <x v="312"/>
    <n v="874277"/>
    <x v="199"/>
    <x v="32"/>
    <s v="Venta"/>
    <m/>
    <s v="G-011-01-24001"/>
    <m/>
    <x v="0"/>
    <m/>
    <x v="21"/>
    <x v="2"/>
    <x v="90"/>
  </r>
  <r>
    <x v="3"/>
    <x v="3"/>
    <n v="132"/>
    <x v="313"/>
    <n v="874186"/>
    <x v="200"/>
    <x v="34"/>
    <s v="Venta"/>
    <m/>
    <s v="G-011-01-24001"/>
    <m/>
    <x v="0"/>
    <s v="Pedido Parcial # 1"/>
    <x v="9"/>
    <x v="2"/>
    <x v="91"/>
  </r>
  <r>
    <x v="70"/>
    <x v="70"/>
    <n v="300"/>
    <x v="314"/>
    <n v="874186"/>
    <x v="200"/>
    <x v="35"/>
    <s v="Venta"/>
    <m/>
    <s v="G-011-01-26950"/>
    <m/>
    <x v="0"/>
    <s v="Pedido Parcial # 1"/>
    <x v="9"/>
    <x v="2"/>
    <x v="91"/>
  </r>
  <r>
    <x v="87"/>
    <x v="87"/>
    <n v="3"/>
    <x v="315"/>
    <n v="874186"/>
    <x v="200"/>
    <x v="35"/>
    <s v="Venta"/>
    <m/>
    <m/>
    <m/>
    <x v="0"/>
    <s v="Pedido Parcial # 1"/>
    <x v="9"/>
    <x v="2"/>
    <x v="91"/>
  </r>
  <r>
    <x v="18"/>
    <x v="18"/>
    <n v="1"/>
    <x v="0"/>
    <m/>
    <x v="201"/>
    <x v="32"/>
    <s v="Devolución"/>
    <m/>
    <m/>
    <m/>
    <x v="0"/>
    <m/>
    <x v="50"/>
    <x v="0"/>
    <x v="0"/>
  </r>
  <r>
    <x v="1"/>
    <x v="1"/>
    <n v="4"/>
    <x v="0"/>
    <m/>
    <x v="201"/>
    <x v="32"/>
    <s v="Devolución"/>
    <m/>
    <m/>
    <m/>
    <x v="0"/>
    <m/>
    <x v="50"/>
    <x v="0"/>
    <x v="0"/>
  </r>
  <r>
    <x v="68"/>
    <x v="68"/>
    <n v="6"/>
    <x v="0"/>
    <n v="4500515072"/>
    <x v="202"/>
    <x v="33"/>
    <s v="Reserva"/>
    <m/>
    <m/>
    <m/>
    <x v="0"/>
    <m/>
    <x v="21"/>
    <x v="0"/>
    <x v="0"/>
  </r>
  <r>
    <x v="60"/>
    <x v="60"/>
    <n v="3"/>
    <x v="0"/>
    <n v="4500515072"/>
    <x v="202"/>
    <x v="33"/>
    <s v="Reserva"/>
    <m/>
    <m/>
    <m/>
    <x v="0"/>
    <m/>
    <x v="21"/>
    <x v="0"/>
    <x v="0"/>
  </r>
  <r>
    <x v="51"/>
    <x v="51"/>
    <n v="1"/>
    <x v="0"/>
    <n v="4500515072"/>
    <x v="202"/>
    <x v="33"/>
    <s v="Reserva"/>
    <m/>
    <m/>
    <m/>
    <x v="0"/>
    <m/>
    <x v="21"/>
    <x v="0"/>
    <x v="0"/>
  </r>
  <r>
    <x v="0"/>
    <x v="0"/>
    <n v="6"/>
    <x v="0"/>
    <n v="4500515072"/>
    <x v="202"/>
    <x v="33"/>
    <s v="Reserva"/>
    <m/>
    <m/>
    <m/>
    <x v="0"/>
    <m/>
    <x v="21"/>
    <x v="0"/>
    <x v="0"/>
  </r>
  <r>
    <x v="48"/>
    <x v="48"/>
    <n v="1"/>
    <x v="0"/>
    <n v="4500515072"/>
    <x v="202"/>
    <x v="33"/>
    <s v="Reserva"/>
    <m/>
    <m/>
    <m/>
    <x v="0"/>
    <m/>
    <x v="21"/>
    <x v="0"/>
    <x v="0"/>
  </r>
  <r>
    <x v="5"/>
    <x v="5"/>
    <n v="4"/>
    <x v="0"/>
    <n v="4500515072"/>
    <x v="202"/>
    <x v="33"/>
    <s v="Reserva"/>
    <m/>
    <m/>
    <m/>
    <x v="0"/>
    <m/>
    <x v="21"/>
    <x v="0"/>
    <x v="0"/>
  </r>
  <r>
    <x v="42"/>
    <x v="42"/>
    <n v="10"/>
    <x v="0"/>
    <n v="4500515072"/>
    <x v="202"/>
    <x v="33"/>
    <s v="Reserva"/>
    <m/>
    <m/>
    <m/>
    <x v="0"/>
    <m/>
    <x v="21"/>
    <x v="0"/>
    <x v="0"/>
  </r>
  <r>
    <x v="14"/>
    <x v="14"/>
    <n v="1"/>
    <x v="0"/>
    <n v="4500515072"/>
    <x v="202"/>
    <x v="33"/>
    <s v="Reserva"/>
    <m/>
    <m/>
    <m/>
    <x v="0"/>
    <m/>
    <x v="21"/>
    <x v="0"/>
    <x v="0"/>
  </r>
  <r>
    <x v="49"/>
    <x v="49"/>
    <n v="44"/>
    <x v="0"/>
    <n v="4500515072"/>
    <x v="202"/>
    <x v="33"/>
    <s v="Reserva"/>
    <m/>
    <m/>
    <m/>
    <x v="0"/>
    <m/>
    <x v="21"/>
    <x v="0"/>
    <x v="0"/>
  </r>
  <r>
    <x v="29"/>
    <x v="29"/>
    <n v="1"/>
    <x v="0"/>
    <n v="4500515072"/>
    <x v="202"/>
    <x v="33"/>
    <s v="Reserva"/>
    <m/>
    <m/>
    <m/>
    <x v="0"/>
    <m/>
    <x v="21"/>
    <x v="0"/>
    <x v="0"/>
  </r>
  <r>
    <x v="43"/>
    <x v="43"/>
    <n v="10"/>
    <x v="0"/>
    <n v="4500515072"/>
    <x v="202"/>
    <x v="33"/>
    <s v="Reserva"/>
    <m/>
    <m/>
    <m/>
    <x v="0"/>
    <m/>
    <x v="21"/>
    <x v="0"/>
    <x v="0"/>
  </r>
  <r>
    <x v="17"/>
    <x v="17"/>
    <n v="3"/>
    <x v="0"/>
    <n v="4500515072"/>
    <x v="202"/>
    <x v="33"/>
    <s v="Reserva"/>
    <m/>
    <m/>
    <m/>
    <x v="0"/>
    <m/>
    <x v="21"/>
    <x v="0"/>
    <x v="0"/>
  </r>
  <r>
    <x v="88"/>
    <x v="88"/>
    <n v="2"/>
    <x v="0"/>
    <n v="4500515072"/>
    <x v="202"/>
    <x v="33"/>
    <s v="Reserva"/>
    <m/>
    <m/>
    <m/>
    <x v="0"/>
    <m/>
    <x v="21"/>
    <x v="0"/>
    <x v="0"/>
  </r>
  <r>
    <x v="89"/>
    <x v="89"/>
    <n v="1"/>
    <x v="0"/>
    <n v="4500515072"/>
    <x v="202"/>
    <x v="33"/>
    <s v="Reserva"/>
    <m/>
    <m/>
    <m/>
    <x v="0"/>
    <m/>
    <x v="21"/>
    <x v="0"/>
    <x v="0"/>
  </r>
  <r>
    <x v="55"/>
    <x v="55"/>
    <n v="10"/>
    <x v="0"/>
    <n v="4500515072"/>
    <x v="202"/>
    <x v="33"/>
    <s v="Reserva"/>
    <m/>
    <m/>
    <m/>
    <x v="0"/>
    <m/>
    <x v="21"/>
    <x v="0"/>
    <x v="0"/>
  </r>
  <r>
    <x v="1"/>
    <x v="1"/>
    <n v="18"/>
    <x v="0"/>
    <n v="4500515072"/>
    <x v="202"/>
    <x v="33"/>
    <s v="Reserva"/>
    <m/>
    <m/>
    <m/>
    <x v="0"/>
    <m/>
    <x v="21"/>
    <x v="0"/>
    <x v="0"/>
  </r>
  <r>
    <x v="12"/>
    <x v="12"/>
    <n v="1"/>
    <x v="0"/>
    <n v="4500515072"/>
    <x v="202"/>
    <x v="33"/>
    <s v="Reserva"/>
    <m/>
    <m/>
    <m/>
    <x v="0"/>
    <m/>
    <x v="21"/>
    <x v="0"/>
    <x v="0"/>
  </r>
  <r>
    <x v="28"/>
    <x v="28"/>
    <n v="4"/>
    <x v="0"/>
    <n v="4500515072"/>
    <x v="202"/>
    <x v="33"/>
    <s v="Reserva"/>
    <m/>
    <m/>
    <m/>
    <x v="0"/>
    <m/>
    <x v="21"/>
    <x v="0"/>
    <x v="0"/>
  </r>
  <r>
    <x v="50"/>
    <x v="50"/>
    <n v="1"/>
    <x v="0"/>
    <n v="4500515072"/>
    <x v="202"/>
    <x v="33"/>
    <s v="Reserva"/>
    <m/>
    <m/>
    <m/>
    <x v="0"/>
    <m/>
    <x v="21"/>
    <x v="0"/>
    <x v="0"/>
  </r>
  <r>
    <x v="27"/>
    <x v="27"/>
    <n v="4"/>
    <x v="0"/>
    <n v="4500515072"/>
    <x v="202"/>
    <x v="33"/>
    <s v="Reserva"/>
    <m/>
    <m/>
    <m/>
    <x v="0"/>
    <m/>
    <x v="21"/>
    <x v="0"/>
    <x v="0"/>
  </r>
  <r>
    <x v="69"/>
    <x v="69"/>
    <n v="6"/>
    <x v="0"/>
    <n v="4500515072"/>
    <x v="202"/>
    <x v="33"/>
    <s v="Reserva"/>
    <m/>
    <m/>
    <m/>
    <x v="0"/>
    <m/>
    <x v="21"/>
    <x v="0"/>
    <x v="0"/>
  </r>
  <r>
    <x v="38"/>
    <x v="38"/>
    <n v="10"/>
    <x v="316"/>
    <n v="4500515192"/>
    <x v="203"/>
    <x v="33"/>
    <s v="Reserva"/>
    <m/>
    <m/>
    <m/>
    <x v="0"/>
    <m/>
    <x v="4"/>
    <x v="0"/>
    <x v="0"/>
  </r>
  <r>
    <x v="8"/>
    <x v="8"/>
    <n v="10"/>
    <x v="317"/>
    <n v="4500515192"/>
    <x v="203"/>
    <x v="33"/>
    <s v="Reserva"/>
    <m/>
    <m/>
    <m/>
    <x v="0"/>
    <m/>
    <x v="4"/>
    <x v="0"/>
    <x v="0"/>
  </r>
  <r>
    <x v="0"/>
    <x v="0"/>
    <n v="15"/>
    <x v="0"/>
    <n v="4500515080"/>
    <x v="204"/>
    <x v="33"/>
    <s v="Reserva"/>
    <m/>
    <m/>
    <m/>
    <x v="0"/>
    <m/>
    <x v="16"/>
    <x v="0"/>
    <x v="0"/>
  </r>
  <r>
    <x v="28"/>
    <x v="28"/>
    <n v="10"/>
    <x v="0"/>
    <n v="4500515080"/>
    <x v="204"/>
    <x v="33"/>
    <s v="Reserva"/>
    <m/>
    <m/>
    <m/>
    <x v="0"/>
    <m/>
    <x v="16"/>
    <x v="0"/>
    <x v="0"/>
  </r>
  <r>
    <x v="1"/>
    <x v="1"/>
    <n v="10"/>
    <x v="0"/>
    <n v="4500515080"/>
    <x v="204"/>
    <x v="33"/>
    <s v="Reserva"/>
    <m/>
    <m/>
    <m/>
    <x v="0"/>
    <m/>
    <x v="16"/>
    <x v="0"/>
    <x v="0"/>
  </r>
  <r>
    <x v="28"/>
    <x v="28"/>
    <n v="10"/>
    <x v="0"/>
    <n v="4500515285"/>
    <x v="205"/>
    <x v="33"/>
    <s v="Reserva"/>
    <m/>
    <m/>
    <m/>
    <x v="0"/>
    <m/>
    <x v="16"/>
    <x v="0"/>
    <x v="0"/>
  </r>
  <r>
    <x v="0"/>
    <x v="0"/>
    <n v="10"/>
    <x v="0"/>
    <n v="4500515285"/>
    <x v="205"/>
    <x v="33"/>
    <s v="Reserva"/>
    <m/>
    <m/>
    <m/>
    <x v="0"/>
    <m/>
    <x v="16"/>
    <x v="0"/>
    <x v="0"/>
  </r>
  <r>
    <x v="36"/>
    <x v="36"/>
    <n v="4"/>
    <x v="318"/>
    <n v="4500515285"/>
    <x v="205"/>
    <x v="33"/>
    <s v="Reserva"/>
    <m/>
    <m/>
    <m/>
    <x v="0"/>
    <m/>
    <x v="16"/>
    <x v="0"/>
    <x v="0"/>
  </r>
  <r>
    <x v="56"/>
    <x v="56"/>
    <n v="20"/>
    <x v="135"/>
    <n v="874280"/>
    <x v="206"/>
    <x v="33"/>
    <s v="Venta"/>
    <m/>
    <m/>
    <m/>
    <x v="0"/>
    <m/>
    <x v="48"/>
    <x v="1"/>
    <x v="92"/>
  </r>
  <r>
    <x v="23"/>
    <x v="23"/>
    <n v="10"/>
    <x v="287"/>
    <n v="874277"/>
    <x v="207"/>
    <x v="33"/>
    <s v="Venta"/>
    <m/>
    <m/>
    <m/>
    <x v="0"/>
    <m/>
    <x v="21"/>
    <x v="2"/>
    <x v="93"/>
  </r>
  <r>
    <x v="19"/>
    <x v="19"/>
    <n v="1200"/>
    <x v="24"/>
    <n v="874277"/>
    <x v="207"/>
    <x v="33"/>
    <s v="Venta"/>
    <m/>
    <m/>
    <m/>
    <x v="0"/>
    <m/>
    <x v="21"/>
    <x v="2"/>
    <x v="93"/>
  </r>
  <r>
    <x v="64"/>
    <x v="64"/>
    <n v="1"/>
    <x v="209"/>
    <n v="874277"/>
    <x v="207"/>
    <x v="33"/>
    <s v="Venta"/>
    <m/>
    <m/>
    <m/>
    <x v="0"/>
    <m/>
    <x v="21"/>
    <x v="2"/>
    <x v="93"/>
  </r>
  <r>
    <x v="20"/>
    <x v="20"/>
    <n v="13"/>
    <x v="319"/>
    <n v="874277"/>
    <x v="207"/>
    <x v="33"/>
    <s v="Venta"/>
    <m/>
    <m/>
    <m/>
    <x v="0"/>
    <m/>
    <x v="21"/>
    <x v="2"/>
    <x v="93"/>
  </r>
  <r>
    <x v="18"/>
    <x v="18"/>
    <n v="1200"/>
    <x v="23"/>
    <n v="874277"/>
    <x v="207"/>
    <x v="33"/>
    <s v="Venta"/>
    <m/>
    <m/>
    <m/>
    <x v="0"/>
    <m/>
    <x v="21"/>
    <x v="2"/>
    <x v="93"/>
  </r>
  <r>
    <x v="22"/>
    <x v="22"/>
    <n v="10"/>
    <x v="285"/>
    <n v="874277"/>
    <x v="207"/>
    <x v="33"/>
    <s v="Venta"/>
    <m/>
    <m/>
    <m/>
    <x v="0"/>
    <m/>
    <x v="21"/>
    <x v="2"/>
    <x v="93"/>
  </r>
  <r>
    <x v="78"/>
    <x v="78"/>
    <n v="10"/>
    <x v="320"/>
    <n v="874277"/>
    <x v="207"/>
    <x v="33"/>
    <s v="Venta"/>
    <m/>
    <m/>
    <m/>
    <x v="0"/>
    <m/>
    <x v="21"/>
    <x v="2"/>
    <x v="93"/>
  </r>
  <r>
    <x v="2"/>
    <x v="2"/>
    <n v="50"/>
    <x v="321"/>
    <n v="874277"/>
    <x v="207"/>
    <x v="33"/>
    <s v="Venta"/>
    <m/>
    <s v="G-011-01-44546"/>
    <d v="2025-07-02T00:00:00"/>
    <x v="1"/>
    <m/>
    <x v="21"/>
    <x v="2"/>
    <x v="93"/>
  </r>
  <r>
    <x v="23"/>
    <x v="23"/>
    <n v="75"/>
    <x v="322"/>
    <n v="874278"/>
    <x v="208"/>
    <x v="33"/>
    <s v="Venta"/>
    <m/>
    <m/>
    <m/>
    <x v="0"/>
    <m/>
    <x v="4"/>
    <x v="1"/>
    <x v="94"/>
  </r>
  <r>
    <x v="22"/>
    <x v="22"/>
    <n v="75"/>
    <x v="323"/>
    <n v="874278"/>
    <x v="208"/>
    <x v="33"/>
    <s v="Venta"/>
    <m/>
    <m/>
    <m/>
    <x v="0"/>
    <m/>
    <x v="4"/>
    <x v="1"/>
    <x v="94"/>
  </r>
  <r>
    <x v="78"/>
    <x v="78"/>
    <n v="75"/>
    <x v="324"/>
    <n v="874278"/>
    <x v="208"/>
    <x v="33"/>
    <s v="Venta"/>
    <m/>
    <m/>
    <m/>
    <x v="0"/>
    <m/>
    <x v="4"/>
    <x v="1"/>
    <x v="94"/>
  </r>
  <r>
    <x v="19"/>
    <x v="19"/>
    <n v="1400"/>
    <x v="325"/>
    <n v="874278"/>
    <x v="208"/>
    <x v="33"/>
    <s v="Venta"/>
    <m/>
    <m/>
    <m/>
    <x v="0"/>
    <m/>
    <x v="4"/>
    <x v="1"/>
    <x v="94"/>
  </r>
  <r>
    <x v="18"/>
    <x v="18"/>
    <n v="1400"/>
    <x v="326"/>
    <n v="874278"/>
    <x v="208"/>
    <x v="33"/>
    <s v="Venta"/>
    <m/>
    <m/>
    <m/>
    <x v="0"/>
    <m/>
    <x v="4"/>
    <x v="1"/>
    <x v="94"/>
  </r>
  <r>
    <x v="20"/>
    <x v="20"/>
    <n v="30"/>
    <x v="327"/>
    <n v="874278"/>
    <x v="208"/>
    <x v="33"/>
    <s v="Venta"/>
    <m/>
    <m/>
    <m/>
    <x v="0"/>
    <m/>
    <x v="4"/>
    <x v="1"/>
    <x v="94"/>
  </r>
  <r>
    <x v="38"/>
    <x v="38"/>
    <n v="2"/>
    <x v="0"/>
    <n v="4500515077"/>
    <x v="209"/>
    <x v="33"/>
    <s v="Reserva"/>
    <m/>
    <m/>
    <m/>
    <x v="0"/>
    <m/>
    <x v="4"/>
    <x v="0"/>
    <x v="0"/>
  </r>
  <r>
    <x v="68"/>
    <x v="68"/>
    <n v="2"/>
    <x v="0"/>
    <n v="4500515077"/>
    <x v="209"/>
    <x v="33"/>
    <s v="Reserva"/>
    <m/>
    <m/>
    <m/>
    <x v="0"/>
    <m/>
    <x v="4"/>
    <x v="0"/>
    <x v="0"/>
  </r>
  <r>
    <x v="39"/>
    <x v="39"/>
    <n v="1"/>
    <x v="0"/>
    <n v="4500515077"/>
    <x v="209"/>
    <x v="33"/>
    <s v="Reserva"/>
    <m/>
    <m/>
    <m/>
    <x v="0"/>
    <m/>
    <x v="4"/>
    <x v="0"/>
    <x v="0"/>
  </r>
  <r>
    <x v="30"/>
    <x v="30"/>
    <n v="133"/>
    <x v="0"/>
    <n v="4500515077"/>
    <x v="209"/>
    <x v="33"/>
    <s v="Reserva"/>
    <m/>
    <m/>
    <m/>
    <x v="0"/>
    <m/>
    <x v="4"/>
    <x v="0"/>
    <x v="0"/>
  </r>
  <r>
    <x v="0"/>
    <x v="0"/>
    <n v="2"/>
    <x v="0"/>
    <n v="4500515077"/>
    <x v="209"/>
    <x v="33"/>
    <s v="Reserva"/>
    <m/>
    <m/>
    <m/>
    <x v="0"/>
    <m/>
    <x v="4"/>
    <x v="0"/>
    <x v="0"/>
  </r>
  <r>
    <x v="41"/>
    <x v="41"/>
    <n v="4"/>
    <x v="0"/>
    <n v="4500515077"/>
    <x v="209"/>
    <x v="33"/>
    <s v="Reserva"/>
    <m/>
    <m/>
    <m/>
    <x v="0"/>
    <m/>
    <x v="4"/>
    <x v="0"/>
    <x v="0"/>
  </r>
  <r>
    <x v="15"/>
    <x v="15"/>
    <n v="6"/>
    <x v="0"/>
    <n v="4500515077"/>
    <x v="209"/>
    <x v="33"/>
    <s v="Reserva"/>
    <m/>
    <m/>
    <m/>
    <x v="0"/>
    <m/>
    <x v="4"/>
    <x v="0"/>
    <x v="0"/>
  </r>
  <r>
    <x v="5"/>
    <x v="5"/>
    <n v="64"/>
    <x v="0"/>
    <n v="4500515077"/>
    <x v="209"/>
    <x v="33"/>
    <s v="Reserva"/>
    <m/>
    <m/>
    <m/>
    <x v="0"/>
    <m/>
    <x v="4"/>
    <x v="0"/>
    <x v="0"/>
  </r>
  <r>
    <x v="42"/>
    <x v="42"/>
    <n v="6"/>
    <x v="0"/>
    <n v="4500515077"/>
    <x v="209"/>
    <x v="33"/>
    <s v="Reserva"/>
    <m/>
    <m/>
    <m/>
    <x v="0"/>
    <m/>
    <x v="4"/>
    <x v="0"/>
    <x v="0"/>
  </r>
  <r>
    <x v="13"/>
    <x v="13"/>
    <n v="7"/>
    <x v="0"/>
    <n v="4500515077"/>
    <x v="209"/>
    <x v="33"/>
    <s v="Reserva"/>
    <m/>
    <m/>
    <m/>
    <x v="0"/>
    <m/>
    <x v="4"/>
    <x v="0"/>
    <x v="0"/>
  </r>
  <r>
    <x v="14"/>
    <x v="14"/>
    <n v="12"/>
    <x v="0"/>
    <n v="4500515077"/>
    <x v="209"/>
    <x v="33"/>
    <s v="Reserva"/>
    <m/>
    <m/>
    <m/>
    <x v="0"/>
    <m/>
    <x v="4"/>
    <x v="0"/>
    <x v="0"/>
  </r>
  <r>
    <x v="49"/>
    <x v="49"/>
    <n v="34"/>
    <x v="0"/>
    <n v="4500515077"/>
    <x v="209"/>
    <x v="33"/>
    <s v="Reserva"/>
    <m/>
    <m/>
    <m/>
    <x v="0"/>
    <m/>
    <x v="4"/>
    <x v="0"/>
    <x v="0"/>
  </r>
  <r>
    <x v="29"/>
    <x v="29"/>
    <n v="4"/>
    <x v="0"/>
    <n v="4500515077"/>
    <x v="209"/>
    <x v="33"/>
    <s v="Reserva"/>
    <m/>
    <m/>
    <m/>
    <x v="0"/>
    <m/>
    <x v="4"/>
    <x v="0"/>
    <x v="0"/>
  </r>
  <r>
    <x v="8"/>
    <x v="8"/>
    <n v="17"/>
    <x v="0"/>
    <n v="4500515077"/>
    <x v="209"/>
    <x v="33"/>
    <s v="Reserva"/>
    <m/>
    <m/>
    <m/>
    <x v="0"/>
    <m/>
    <x v="4"/>
    <x v="0"/>
    <x v="0"/>
  </r>
  <r>
    <x v="17"/>
    <x v="17"/>
    <n v="2"/>
    <x v="0"/>
    <n v="4500515077"/>
    <x v="209"/>
    <x v="33"/>
    <s v="Reserva"/>
    <m/>
    <m/>
    <m/>
    <x v="0"/>
    <m/>
    <x v="4"/>
    <x v="0"/>
    <x v="0"/>
  </r>
  <r>
    <x v="36"/>
    <x v="36"/>
    <n v="9"/>
    <x v="0"/>
    <n v="4500515077"/>
    <x v="209"/>
    <x v="33"/>
    <s v="Reserva"/>
    <m/>
    <m/>
    <m/>
    <x v="0"/>
    <m/>
    <x v="4"/>
    <x v="0"/>
    <x v="0"/>
  </r>
  <r>
    <x v="16"/>
    <x v="16"/>
    <n v="1"/>
    <x v="0"/>
    <n v="4500515077"/>
    <x v="209"/>
    <x v="33"/>
    <s v="Reserva"/>
    <m/>
    <m/>
    <m/>
    <x v="0"/>
    <m/>
    <x v="4"/>
    <x v="0"/>
    <x v="0"/>
  </r>
  <r>
    <x v="55"/>
    <x v="55"/>
    <n v="23"/>
    <x v="0"/>
    <n v="4500515077"/>
    <x v="209"/>
    <x v="33"/>
    <s v="Reserva"/>
    <m/>
    <m/>
    <m/>
    <x v="0"/>
    <m/>
    <x v="4"/>
    <x v="0"/>
    <x v="0"/>
  </r>
  <r>
    <x v="1"/>
    <x v="1"/>
    <n v="555"/>
    <x v="0"/>
    <n v="4500515077"/>
    <x v="209"/>
    <x v="33"/>
    <s v="Reserva"/>
    <m/>
    <m/>
    <m/>
    <x v="0"/>
    <m/>
    <x v="4"/>
    <x v="0"/>
    <x v="0"/>
  </r>
  <r>
    <x v="12"/>
    <x v="12"/>
    <n v="10"/>
    <x v="0"/>
    <n v="4500515077"/>
    <x v="209"/>
    <x v="33"/>
    <s v="Reserva"/>
    <m/>
    <m/>
    <m/>
    <x v="0"/>
    <m/>
    <x v="4"/>
    <x v="0"/>
    <x v="0"/>
  </r>
  <r>
    <x v="53"/>
    <x v="53"/>
    <n v="133"/>
    <x v="0"/>
    <n v="4500515077"/>
    <x v="209"/>
    <x v="33"/>
    <s v="Reserva"/>
    <m/>
    <m/>
    <m/>
    <x v="0"/>
    <m/>
    <x v="4"/>
    <x v="0"/>
    <x v="0"/>
  </r>
  <r>
    <x v="28"/>
    <x v="28"/>
    <n v="7"/>
    <x v="0"/>
    <n v="4500515077"/>
    <x v="209"/>
    <x v="33"/>
    <s v="Reserva"/>
    <m/>
    <m/>
    <m/>
    <x v="0"/>
    <m/>
    <x v="4"/>
    <x v="0"/>
    <x v="0"/>
  </r>
  <r>
    <x v="46"/>
    <x v="46"/>
    <n v="4"/>
    <x v="0"/>
    <n v="4500515077"/>
    <x v="209"/>
    <x v="33"/>
    <s v="Reserva"/>
    <m/>
    <m/>
    <m/>
    <x v="0"/>
    <m/>
    <x v="4"/>
    <x v="0"/>
    <x v="0"/>
  </r>
  <r>
    <x v="27"/>
    <x v="27"/>
    <n v="140"/>
    <x v="0"/>
    <n v="4500515077"/>
    <x v="209"/>
    <x v="33"/>
    <s v="Reserva"/>
    <m/>
    <m/>
    <m/>
    <x v="0"/>
    <m/>
    <x v="4"/>
    <x v="0"/>
    <x v="0"/>
  </r>
  <r>
    <x v="40"/>
    <x v="40"/>
    <n v="18"/>
    <x v="0"/>
    <n v="4500515077"/>
    <x v="209"/>
    <x v="33"/>
    <s v="Reserva"/>
    <m/>
    <m/>
    <m/>
    <x v="0"/>
    <m/>
    <x v="4"/>
    <x v="0"/>
    <x v="0"/>
  </r>
  <r>
    <x v="26"/>
    <x v="26"/>
    <n v="101"/>
    <x v="0"/>
    <n v="4500515077"/>
    <x v="209"/>
    <x v="33"/>
    <s v="Reserva"/>
    <m/>
    <m/>
    <m/>
    <x v="0"/>
    <m/>
    <x v="4"/>
    <x v="0"/>
    <x v="0"/>
  </r>
  <r>
    <x v="69"/>
    <x v="69"/>
    <n v="2"/>
    <x v="0"/>
    <n v="4500515077"/>
    <x v="209"/>
    <x v="33"/>
    <s v="Reserva"/>
    <m/>
    <m/>
    <m/>
    <x v="0"/>
    <m/>
    <x v="4"/>
    <x v="0"/>
    <x v="0"/>
  </r>
  <r>
    <x v="2"/>
    <x v="2"/>
    <n v="100"/>
    <x v="119"/>
    <n v="874211"/>
    <x v="210"/>
    <x v="36"/>
    <s v="Venta"/>
    <m/>
    <s v="G-011-01-44546"/>
    <d v="2025-07-02T00:00:00"/>
    <x v="1"/>
    <m/>
    <x v="16"/>
    <x v="1"/>
    <x v="95"/>
  </r>
  <r>
    <x v="6"/>
    <x v="6"/>
    <n v="300"/>
    <x v="328"/>
    <n v="874236"/>
    <x v="211"/>
    <x v="37"/>
    <s v="Venta"/>
    <m/>
    <s v="G-011-01-44548"/>
    <m/>
    <x v="0"/>
    <m/>
    <x v="10"/>
    <x v="1"/>
    <x v="96"/>
  </r>
  <r>
    <x v="23"/>
    <x v="23"/>
    <n v="1"/>
    <x v="78"/>
    <n v="874242"/>
    <x v="212"/>
    <x v="35"/>
    <s v="Venta"/>
    <m/>
    <m/>
    <m/>
    <x v="0"/>
    <m/>
    <x v="16"/>
    <x v="1"/>
    <x v="97"/>
  </r>
  <r>
    <x v="2"/>
    <x v="2"/>
    <n v="100"/>
    <x v="119"/>
    <n v="874242"/>
    <x v="212"/>
    <x v="35"/>
    <s v="Venta"/>
    <m/>
    <s v="G-011-01-44546"/>
    <d v="2025-07-02T00:00:00"/>
    <x v="1"/>
    <m/>
    <x v="16"/>
    <x v="1"/>
    <x v="97"/>
  </r>
  <r>
    <x v="64"/>
    <x v="64"/>
    <n v="4"/>
    <x v="329"/>
    <n v="874242"/>
    <x v="212"/>
    <x v="35"/>
    <s v="Venta"/>
    <m/>
    <m/>
    <m/>
    <x v="0"/>
    <m/>
    <x v="16"/>
    <x v="1"/>
    <x v="97"/>
  </r>
  <r>
    <x v="22"/>
    <x v="22"/>
    <n v="41"/>
    <x v="330"/>
    <n v="874242"/>
    <x v="212"/>
    <x v="35"/>
    <s v="Venta"/>
    <m/>
    <m/>
    <m/>
    <x v="0"/>
    <m/>
    <x v="16"/>
    <x v="1"/>
    <x v="97"/>
  </r>
  <r>
    <x v="78"/>
    <x v="78"/>
    <n v="41"/>
    <x v="331"/>
    <n v="874242"/>
    <x v="212"/>
    <x v="35"/>
    <s v="Venta"/>
    <m/>
    <m/>
    <m/>
    <x v="0"/>
    <m/>
    <x v="16"/>
    <x v="1"/>
    <x v="97"/>
  </r>
  <r>
    <x v="19"/>
    <x v="19"/>
    <n v="600"/>
    <x v="332"/>
    <n v="874242"/>
    <x v="212"/>
    <x v="35"/>
    <s v="Venta"/>
    <m/>
    <m/>
    <m/>
    <x v="0"/>
    <m/>
    <x v="16"/>
    <x v="1"/>
    <x v="97"/>
  </r>
  <r>
    <x v="18"/>
    <x v="18"/>
    <n v="600"/>
    <x v="333"/>
    <n v="874242"/>
    <x v="212"/>
    <x v="35"/>
    <s v="Venta"/>
    <m/>
    <m/>
    <m/>
    <x v="0"/>
    <m/>
    <x v="16"/>
    <x v="1"/>
    <x v="97"/>
  </r>
  <r>
    <x v="20"/>
    <x v="20"/>
    <n v="5"/>
    <x v="334"/>
    <n v="874242"/>
    <x v="212"/>
    <x v="35"/>
    <s v="Venta"/>
    <m/>
    <m/>
    <m/>
    <x v="0"/>
    <m/>
    <x v="16"/>
    <x v="1"/>
    <x v="97"/>
  </r>
  <r>
    <x v="20"/>
    <x v="20"/>
    <n v="35"/>
    <x v="335"/>
    <n v="874236"/>
    <x v="213"/>
    <x v="35"/>
    <s v="Venta"/>
    <m/>
    <m/>
    <m/>
    <x v="0"/>
    <m/>
    <x v="10"/>
    <x v="1"/>
    <x v="98"/>
  </r>
  <r>
    <x v="19"/>
    <x v="19"/>
    <n v="1900"/>
    <x v="336"/>
    <n v="874236"/>
    <x v="213"/>
    <x v="35"/>
    <s v="Venta"/>
    <m/>
    <m/>
    <m/>
    <x v="0"/>
    <m/>
    <x v="10"/>
    <x v="1"/>
    <x v="98"/>
  </r>
  <r>
    <x v="18"/>
    <x v="18"/>
    <n v="1900"/>
    <x v="337"/>
    <n v="874236"/>
    <x v="213"/>
    <x v="35"/>
    <s v="Venta"/>
    <m/>
    <m/>
    <m/>
    <x v="0"/>
    <m/>
    <x v="10"/>
    <x v="1"/>
    <x v="98"/>
  </r>
  <r>
    <x v="78"/>
    <x v="78"/>
    <n v="59"/>
    <x v="338"/>
    <n v="874236"/>
    <x v="213"/>
    <x v="35"/>
    <s v="Venta"/>
    <m/>
    <m/>
    <m/>
    <x v="0"/>
    <m/>
    <x v="10"/>
    <x v="1"/>
    <x v="98"/>
  </r>
  <r>
    <x v="22"/>
    <x v="22"/>
    <n v="59"/>
    <x v="339"/>
    <n v="874236"/>
    <x v="213"/>
    <x v="35"/>
    <s v="Venta"/>
    <m/>
    <m/>
    <m/>
    <x v="0"/>
    <m/>
    <x v="10"/>
    <x v="1"/>
    <x v="98"/>
  </r>
  <r>
    <x v="23"/>
    <x v="23"/>
    <n v="54"/>
    <x v="340"/>
    <n v="874236"/>
    <x v="213"/>
    <x v="35"/>
    <s v="Venta"/>
    <m/>
    <m/>
    <m/>
    <x v="0"/>
    <m/>
    <x v="10"/>
    <x v="1"/>
    <x v="98"/>
  </r>
  <r>
    <x v="2"/>
    <x v="2"/>
    <n v="150"/>
    <x v="20"/>
    <n v="874236"/>
    <x v="213"/>
    <x v="35"/>
    <s v="Venta"/>
    <m/>
    <s v="G-011-01-44546"/>
    <d v="2025-07-02T00:00:00"/>
    <x v="1"/>
    <m/>
    <x v="10"/>
    <x v="1"/>
    <x v="98"/>
  </r>
  <r>
    <x v="22"/>
    <x v="22"/>
    <n v="2"/>
    <x v="115"/>
    <n v="874241"/>
    <x v="214"/>
    <x v="35"/>
    <s v="Venta"/>
    <m/>
    <m/>
    <m/>
    <x v="0"/>
    <m/>
    <x v="43"/>
    <x v="1"/>
    <x v="99"/>
  </r>
  <r>
    <x v="78"/>
    <x v="78"/>
    <n v="2"/>
    <x v="341"/>
    <n v="874241"/>
    <x v="214"/>
    <x v="35"/>
    <s v="Venta"/>
    <m/>
    <m/>
    <m/>
    <x v="0"/>
    <m/>
    <x v="43"/>
    <x v="1"/>
    <x v="99"/>
  </r>
  <r>
    <x v="20"/>
    <x v="20"/>
    <n v="2"/>
    <x v="197"/>
    <n v="874241"/>
    <x v="214"/>
    <x v="35"/>
    <s v="Venta"/>
    <m/>
    <m/>
    <m/>
    <x v="0"/>
    <m/>
    <x v="43"/>
    <x v="1"/>
    <x v="99"/>
  </r>
  <r>
    <x v="77"/>
    <x v="77"/>
    <n v="6"/>
    <x v="342"/>
    <n v="874241"/>
    <x v="214"/>
    <x v="35"/>
    <s v="Venta"/>
    <m/>
    <m/>
    <m/>
    <x v="0"/>
    <m/>
    <x v="43"/>
    <x v="1"/>
    <x v="99"/>
  </r>
  <r>
    <x v="23"/>
    <x v="23"/>
    <n v="2"/>
    <x v="196"/>
    <n v="874241"/>
    <x v="214"/>
    <x v="35"/>
    <s v="Venta"/>
    <m/>
    <m/>
    <m/>
    <x v="0"/>
    <m/>
    <x v="43"/>
    <x v="1"/>
    <x v="99"/>
  </r>
  <r>
    <x v="64"/>
    <x v="64"/>
    <n v="1"/>
    <x v="209"/>
    <n v="874240"/>
    <x v="215"/>
    <x v="35"/>
    <s v="Venta"/>
    <m/>
    <m/>
    <m/>
    <x v="0"/>
    <m/>
    <x v="42"/>
    <x v="1"/>
    <x v="100"/>
  </r>
  <r>
    <x v="71"/>
    <x v="71"/>
    <n v="1"/>
    <x v="208"/>
    <n v="874240"/>
    <x v="215"/>
    <x v="35"/>
    <s v="Venta"/>
    <m/>
    <m/>
    <m/>
    <x v="0"/>
    <m/>
    <x v="42"/>
    <x v="1"/>
    <x v="100"/>
  </r>
  <r>
    <x v="78"/>
    <x v="78"/>
    <n v="1"/>
    <x v="257"/>
    <n v="874240"/>
    <x v="215"/>
    <x v="35"/>
    <s v="Venta"/>
    <m/>
    <m/>
    <m/>
    <x v="0"/>
    <m/>
    <x v="42"/>
    <x v="1"/>
    <x v="100"/>
  </r>
  <r>
    <x v="22"/>
    <x v="22"/>
    <n v="1"/>
    <x v="79"/>
    <n v="874240"/>
    <x v="215"/>
    <x v="35"/>
    <s v="Venta"/>
    <m/>
    <m/>
    <m/>
    <x v="0"/>
    <m/>
    <x v="42"/>
    <x v="1"/>
    <x v="100"/>
  </r>
  <r>
    <x v="23"/>
    <x v="23"/>
    <n v="1"/>
    <x v="78"/>
    <n v="874240"/>
    <x v="215"/>
    <x v="35"/>
    <s v="Venta"/>
    <m/>
    <m/>
    <m/>
    <x v="0"/>
    <m/>
    <x v="42"/>
    <x v="1"/>
    <x v="100"/>
  </r>
  <r>
    <x v="2"/>
    <x v="2"/>
    <n v="50"/>
    <x v="81"/>
    <n v="874240"/>
    <x v="215"/>
    <x v="35"/>
    <s v="Venta"/>
    <m/>
    <s v="G-011-01-44546"/>
    <d v="2025-07-02T00:00:00"/>
    <x v="1"/>
    <m/>
    <x v="42"/>
    <x v="1"/>
    <x v="100"/>
  </r>
  <r>
    <x v="22"/>
    <x v="22"/>
    <n v="3"/>
    <x v="227"/>
    <n v="874237"/>
    <x v="216"/>
    <x v="35"/>
    <s v="Venta"/>
    <m/>
    <m/>
    <m/>
    <x v="0"/>
    <m/>
    <x v="25"/>
    <x v="1"/>
    <x v="101"/>
  </r>
  <r>
    <x v="78"/>
    <x v="78"/>
    <n v="3"/>
    <x v="343"/>
    <n v="874237"/>
    <x v="216"/>
    <x v="35"/>
    <s v="Venta"/>
    <m/>
    <m/>
    <m/>
    <x v="0"/>
    <m/>
    <x v="25"/>
    <x v="1"/>
    <x v="101"/>
  </r>
  <r>
    <x v="20"/>
    <x v="20"/>
    <n v="13"/>
    <x v="319"/>
    <n v="874237"/>
    <x v="216"/>
    <x v="35"/>
    <s v="Venta"/>
    <m/>
    <m/>
    <m/>
    <x v="0"/>
    <m/>
    <x v="25"/>
    <x v="1"/>
    <x v="101"/>
  </r>
  <r>
    <x v="19"/>
    <x v="19"/>
    <n v="600"/>
    <x v="332"/>
    <n v="874237"/>
    <x v="216"/>
    <x v="35"/>
    <s v="Venta"/>
    <m/>
    <m/>
    <m/>
    <x v="0"/>
    <m/>
    <x v="25"/>
    <x v="1"/>
    <x v="101"/>
  </r>
  <r>
    <x v="18"/>
    <x v="18"/>
    <n v="600"/>
    <x v="333"/>
    <n v="874237"/>
    <x v="216"/>
    <x v="35"/>
    <s v="Venta"/>
    <m/>
    <m/>
    <m/>
    <x v="0"/>
    <m/>
    <x v="25"/>
    <x v="1"/>
    <x v="101"/>
  </r>
  <r>
    <x v="23"/>
    <x v="23"/>
    <n v="4"/>
    <x v="255"/>
    <n v="874237"/>
    <x v="216"/>
    <x v="35"/>
    <s v="Venta"/>
    <m/>
    <m/>
    <m/>
    <x v="0"/>
    <m/>
    <x v="25"/>
    <x v="1"/>
    <x v="101"/>
  </r>
  <r>
    <x v="22"/>
    <x v="22"/>
    <n v="17"/>
    <x v="195"/>
    <n v="874235"/>
    <x v="217"/>
    <x v="35"/>
    <s v="Venta"/>
    <m/>
    <m/>
    <m/>
    <x v="0"/>
    <m/>
    <x v="15"/>
    <x v="1"/>
    <x v="102"/>
  </r>
  <r>
    <x v="78"/>
    <x v="78"/>
    <n v="17"/>
    <x v="344"/>
    <n v="874235"/>
    <x v="217"/>
    <x v="35"/>
    <s v="Venta"/>
    <m/>
    <m/>
    <m/>
    <x v="0"/>
    <m/>
    <x v="15"/>
    <x v="1"/>
    <x v="102"/>
  </r>
  <r>
    <x v="2"/>
    <x v="2"/>
    <n v="50"/>
    <x v="81"/>
    <n v="874235"/>
    <x v="217"/>
    <x v="35"/>
    <s v="Venta"/>
    <m/>
    <s v="G-011-01-44546"/>
    <d v="2025-07-02T00:00:00"/>
    <x v="1"/>
    <m/>
    <x v="15"/>
    <x v="1"/>
    <x v="102"/>
  </r>
  <r>
    <x v="19"/>
    <x v="19"/>
    <n v="300"/>
    <x v="199"/>
    <n v="874235"/>
    <x v="217"/>
    <x v="35"/>
    <s v="Venta"/>
    <m/>
    <m/>
    <m/>
    <x v="0"/>
    <m/>
    <x v="15"/>
    <x v="1"/>
    <x v="102"/>
  </r>
  <r>
    <x v="18"/>
    <x v="18"/>
    <n v="300"/>
    <x v="198"/>
    <n v="874235"/>
    <x v="217"/>
    <x v="35"/>
    <s v="Venta"/>
    <m/>
    <m/>
    <m/>
    <x v="0"/>
    <m/>
    <x v="15"/>
    <x v="1"/>
    <x v="102"/>
  </r>
  <r>
    <x v="20"/>
    <x v="20"/>
    <n v="2"/>
    <x v="197"/>
    <n v="874235"/>
    <x v="217"/>
    <x v="35"/>
    <s v="Venta"/>
    <m/>
    <m/>
    <m/>
    <x v="0"/>
    <m/>
    <x v="15"/>
    <x v="1"/>
    <x v="102"/>
  </r>
  <r>
    <x v="20"/>
    <x v="20"/>
    <n v="1"/>
    <x v="345"/>
    <n v="874186"/>
    <x v="218"/>
    <x v="35"/>
    <s v="Venta"/>
    <m/>
    <m/>
    <m/>
    <x v="0"/>
    <s v="Pedido Parcial # 1"/>
    <x v="9"/>
    <x v="2"/>
    <x v="103"/>
  </r>
  <r>
    <x v="2"/>
    <x v="2"/>
    <n v="50"/>
    <x v="81"/>
    <n v="874186"/>
    <x v="218"/>
    <x v="35"/>
    <s v="Venta"/>
    <m/>
    <s v="G-011-01-44546"/>
    <d v="2025-07-01T00:00:00"/>
    <x v="1"/>
    <s v="Pedido Parcial # 1"/>
    <x v="9"/>
    <x v="2"/>
    <x v="103"/>
  </r>
  <r>
    <x v="19"/>
    <x v="19"/>
    <n v="500"/>
    <x v="346"/>
    <n v="874186"/>
    <x v="218"/>
    <x v="35"/>
    <s v="Venta"/>
    <m/>
    <m/>
    <m/>
    <x v="0"/>
    <s v="Pedido Parcial # 1"/>
    <x v="9"/>
    <x v="2"/>
    <x v="103"/>
  </r>
  <r>
    <x v="18"/>
    <x v="18"/>
    <n v="500"/>
    <x v="347"/>
    <n v="874186"/>
    <x v="218"/>
    <x v="35"/>
    <s v="Venta"/>
    <m/>
    <m/>
    <m/>
    <x v="0"/>
    <s v="Pedido Parcial # 1"/>
    <x v="9"/>
    <x v="2"/>
    <x v="103"/>
  </r>
  <r>
    <x v="22"/>
    <x v="22"/>
    <n v="1"/>
    <x v="79"/>
    <n v="874246"/>
    <x v="219"/>
    <x v="35"/>
    <s v="Venta"/>
    <m/>
    <m/>
    <m/>
    <x v="0"/>
    <m/>
    <x v="49"/>
    <x v="1"/>
    <x v="104"/>
  </r>
  <r>
    <x v="23"/>
    <x v="23"/>
    <n v="1"/>
    <x v="78"/>
    <n v="874246"/>
    <x v="219"/>
    <x v="35"/>
    <s v="Venta"/>
    <m/>
    <m/>
    <m/>
    <x v="0"/>
    <m/>
    <x v="49"/>
    <x v="1"/>
    <x v="104"/>
  </r>
  <r>
    <x v="22"/>
    <x v="22"/>
    <n v="1"/>
    <x v="79"/>
    <n v="874239"/>
    <x v="220"/>
    <x v="35"/>
    <s v="Venta"/>
    <m/>
    <m/>
    <m/>
    <x v="0"/>
    <m/>
    <x v="51"/>
    <x v="1"/>
    <x v="105"/>
  </r>
  <r>
    <x v="23"/>
    <x v="23"/>
    <n v="1"/>
    <x v="78"/>
    <n v="874239"/>
    <x v="220"/>
    <x v="35"/>
    <s v="Venta"/>
    <m/>
    <m/>
    <m/>
    <x v="0"/>
    <m/>
    <x v="51"/>
    <x v="1"/>
    <x v="105"/>
  </r>
  <r>
    <x v="78"/>
    <x v="78"/>
    <n v="1"/>
    <x v="257"/>
    <n v="874238"/>
    <x v="221"/>
    <x v="35"/>
    <s v="Venta"/>
    <m/>
    <m/>
    <m/>
    <x v="0"/>
    <m/>
    <x v="22"/>
    <x v="1"/>
    <x v="106"/>
  </r>
  <r>
    <x v="22"/>
    <x v="22"/>
    <n v="1"/>
    <x v="79"/>
    <n v="874238"/>
    <x v="221"/>
    <x v="35"/>
    <s v="Venta"/>
    <m/>
    <m/>
    <m/>
    <x v="0"/>
    <m/>
    <x v="22"/>
    <x v="1"/>
    <x v="106"/>
  </r>
  <r>
    <x v="23"/>
    <x v="23"/>
    <n v="1"/>
    <x v="78"/>
    <n v="874238"/>
    <x v="221"/>
    <x v="35"/>
    <s v="Venta"/>
    <m/>
    <m/>
    <m/>
    <x v="0"/>
    <m/>
    <x v="22"/>
    <x v="1"/>
    <x v="106"/>
  </r>
  <r>
    <x v="6"/>
    <x v="6"/>
    <n v="300"/>
    <x v="328"/>
    <n v="874236"/>
    <x v="222"/>
    <x v="37"/>
    <s v="Venta"/>
    <m/>
    <s v="G-011-01-44548"/>
    <m/>
    <x v="0"/>
    <m/>
    <x v="10"/>
    <x v="1"/>
    <x v="107"/>
  </r>
  <r>
    <x v="6"/>
    <x v="6"/>
    <n v="50"/>
    <x v="204"/>
    <n v="874237"/>
    <x v="223"/>
    <x v="37"/>
    <s v="Venta"/>
    <m/>
    <s v="G-011-01-44548"/>
    <m/>
    <x v="0"/>
    <m/>
    <x v="25"/>
    <x v="1"/>
    <x v="108"/>
  </r>
  <r>
    <x v="6"/>
    <x v="6"/>
    <n v="50"/>
    <x v="204"/>
    <n v="874241"/>
    <x v="224"/>
    <x v="37"/>
    <s v="Venta"/>
    <m/>
    <s v="G-011-01-44548"/>
    <m/>
    <x v="0"/>
    <m/>
    <x v="43"/>
    <x v="1"/>
    <x v="109"/>
  </r>
  <r>
    <x v="6"/>
    <x v="6"/>
    <n v="200"/>
    <x v="348"/>
    <n v="874236"/>
    <x v="225"/>
    <x v="37"/>
    <s v="Venta"/>
    <m/>
    <s v="G-011-01-44548"/>
    <m/>
    <x v="0"/>
    <m/>
    <x v="10"/>
    <x v="1"/>
    <x v="110"/>
  </r>
  <r>
    <x v="6"/>
    <x v="6"/>
    <n v="100"/>
    <x v="205"/>
    <n v="874236"/>
    <x v="226"/>
    <x v="37"/>
    <s v="Venta"/>
    <m/>
    <s v="G-011-01-44548"/>
    <m/>
    <x v="0"/>
    <m/>
    <x v="10"/>
    <x v="1"/>
    <x v="111"/>
  </r>
  <r>
    <x v="10"/>
    <x v="10"/>
    <n v="150"/>
    <x v="14"/>
    <n v="874236"/>
    <x v="226"/>
    <x v="37"/>
    <s v="Venta"/>
    <m/>
    <s v="G-011-01-44550"/>
    <m/>
    <x v="0"/>
    <m/>
    <x v="10"/>
    <x v="1"/>
    <x v="111"/>
  </r>
  <r>
    <x v="6"/>
    <x v="6"/>
    <n v="300"/>
    <x v="328"/>
    <n v="874236"/>
    <x v="227"/>
    <x v="37"/>
    <s v="Venta"/>
    <m/>
    <s v="G-011-01-44548"/>
    <m/>
    <x v="0"/>
    <m/>
    <x v="10"/>
    <x v="1"/>
    <x v="112"/>
  </r>
  <r>
    <x v="10"/>
    <x v="10"/>
    <n v="200"/>
    <x v="349"/>
    <n v="874235"/>
    <x v="228"/>
    <x v="38"/>
    <s v="Venta"/>
    <m/>
    <s v="G-011-01-44550"/>
    <m/>
    <x v="0"/>
    <m/>
    <x v="15"/>
    <x v="1"/>
    <x v="113"/>
  </r>
  <r>
    <x v="10"/>
    <x v="10"/>
    <n v="400"/>
    <x v="6"/>
    <n v="874242"/>
    <x v="229"/>
    <x v="38"/>
    <s v="Venta"/>
    <m/>
    <s v="G-011-01-44550"/>
    <m/>
    <x v="0"/>
    <m/>
    <x v="16"/>
    <x v="1"/>
    <x v="114"/>
  </r>
  <r>
    <x v="24"/>
    <x v="24"/>
    <n v="6"/>
    <x v="29"/>
    <n v="874242"/>
    <x v="229"/>
    <x v="37"/>
    <s v="Venta"/>
    <m/>
    <m/>
    <m/>
    <x v="0"/>
    <m/>
    <x v="16"/>
    <x v="1"/>
    <x v="114"/>
  </r>
  <r>
    <x v="24"/>
    <x v="24"/>
    <n v="6"/>
    <x v="29"/>
    <n v="874240"/>
    <x v="230"/>
    <x v="37"/>
    <s v="Venta"/>
    <m/>
    <m/>
    <m/>
    <x v="0"/>
    <m/>
    <x v="42"/>
    <x v="1"/>
    <x v="115"/>
  </r>
  <r>
    <x v="10"/>
    <x v="10"/>
    <n v="550"/>
    <x v="350"/>
    <n v="874237"/>
    <x v="231"/>
    <x v="37"/>
    <s v="Venta"/>
    <m/>
    <s v="G-011-01-44550"/>
    <m/>
    <x v="0"/>
    <m/>
    <x v="25"/>
    <x v="1"/>
    <x v="116"/>
  </r>
  <r>
    <x v="24"/>
    <x v="24"/>
    <n v="6"/>
    <x v="29"/>
    <n v="874237"/>
    <x v="231"/>
    <x v="37"/>
    <s v="Venta"/>
    <m/>
    <m/>
    <m/>
    <x v="0"/>
    <m/>
    <x v="25"/>
    <x v="1"/>
    <x v="116"/>
  </r>
  <r>
    <x v="24"/>
    <x v="24"/>
    <n v="108"/>
    <x v="351"/>
    <m/>
    <x v="232"/>
    <x v="37"/>
    <s v="Venta"/>
    <m/>
    <m/>
    <m/>
    <x v="0"/>
    <m/>
    <x v="10"/>
    <x v="1"/>
    <x v="117"/>
  </r>
  <r>
    <x v="40"/>
    <x v="40"/>
    <n v="1"/>
    <x v="85"/>
    <n v="4500514835"/>
    <x v="233"/>
    <x v="35"/>
    <s v="Reserva"/>
    <m/>
    <m/>
    <m/>
    <x v="0"/>
    <m/>
    <x v="42"/>
    <x v="0"/>
    <x v="0"/>
  </r>
  <r>
    <x v="27"/>
    <x v="27"/>
    <n v="1"/>
    <x v="352"/>
    <n v="4500514835"/>
    <x v="233"/>
    <x v="35"/>
    <s v="Reserva"/>
    <m/>
    <m/>
    <m/>
    <x v="0"/>
    <m/>
    <x v="42"/>
    <x v="0"/>
    <x v="0"/>
  </r>
  <r>
    <x v="53"/>
    <x v="53"/>
    <n v="1"/>
    <x v="180"/>
    <n v="4500514835"/>
    <x v="233"/>
    <x v="35"/>
    <s v="Reserva"/>
    <m/>
    <m/>
    <m/>
    <x v="0"/>
    <m/>
    <x v="42"/>
    <x v="0"/>
    <x v="0"/>
  </r>
  <r>
    <x v="1"/>
    <x v="1"/>
    <n v="4"/>
    <x v="304"/>
    <n v="4500514835"/>
    <x v="233"/>
    <x v="35"/>
    <s v="Reserva"/>
    <m/>
    <m/>
    <m/>
    <x v="0"/>
    <m/>
    <x v="42"/>
    <x v="0"/>
    <x v="0"/>
  </r>
  <r>
    <x v="30"/>
    <x v="30"/>
    <n v="1"/>
    <x v="231"/>
    <n v="4500514835"/>
    <x v="233"/>
    <x v="35"/>
    <s v="Reserva"/>
    <m/>
    <m/>
    <m/>
    <x v="0"/>
    <m/>
    <x v="42"/>
    <x v="0"/>
    <x v="0"/>
  </r>
  <r>
    <x v="73"/>
    <x v="73"/>
    <n v="1"/>
    <x v="300"/>
    <n v="4500514832"/>
    <x v="234"/>
    <x v="35"/>
    <s v="Reserva"/>
    <m/>
    <m/>
    <m/>
    <x v="0"/>
    <m/>
    <x v="51"/>
    <x v="0"/>
    <x v="0"/>
  </r>
  <r>
    <x v="40"/>
    <x v="40"/>
    <n v="1"/>
    <x v="85"/>
    <n v="4500514832"/>
    <x v="234"/>
    <x v="35"/>
    <s v="Reserva"/>
    <m/>
    <m/>
    <m/>
    <x v="0"/>
    <m/>
    <x v="51"/>
    <x v="0"/>
    <x v="0"/>
  </r>
  <r>
    <x v="53"/>
    <x v="53"/>
    <n v="1"/>
    <x v="180"/>
    <n v="4500514832"/>
    <x v="234"/>
    <x v="35"/>
    <s v="Reserva"/>
    <m/>
    <m/>
    <m/>
    <x v="0"/>
    <m/>
    <x v="51"/>
    <x v="0"/>
    <x v="0"/>
  </r>
  <r>
    <x v="1"/>
    <x v="1"/>
    <n v="4"/>
    <x v="304"/>
    <n v="4500514832"/>
    <x v="234"/>
    <x v="35"/>
    <s v="Reserva"/>
    <m/>
    <m/>
    <m/>
    <x v="0"/>
    <m/>
    <x v="51"/>
    <x v="0"/>
    <x v="0"/>
  </r>
  <r>
    <x v="74"/>
    <x v="74"/>
    <n v="1"/>
    <x v="299"/>
    <n v="4500514832"/>
    <x v="234"/>
    <x v="35"/>
    <s v="Reserva"/>
    <m/>
    <m/>
    <m/>
    <x v="0"/>
    <m/>
    <x v="51"/>
    <x v="0"/>
    <x v="0"/>
  </r>
  <r>
    <x v="0"/>
    <x v="0"/>
    <n v="2"/>
    <x v="73"/>
    <n v="4500514832"/>
    <x v="234"/>
    <x v="35"/>
    <s v="Reserva"/>
    <m/>
    <m/>
    <m/>
    <x v="0"/>
    <m/>
    <x v="51"/>
    <x v="0"/>
    <x v="0"/>
  </r>
  <r>
    <x v="26"/>
    <x v="26"/>
    <n v="1"/>
    <x v="101"/>
    <n v="4500514828"/>
    <x v="235"/>
    <x v="35"/>
    <s v="Reserva"/>
    <m/>
    <m/>
    <m/>
    <x v="0"/>
    <m/>
    <x v="22"/>
    <x v="0"/>
    <x v="0"/>
  </r>
  <r>
    <x v="27"/>
    <x v="27"/>
    <n v="1"/>
    <x v="352"/>
    <n v="4500514828"/>
    <x v="235"/>
    <x v="35"/>
    <s v="Reserva"/>
    <m/>
    <m/>
    <m/>
    <x v="0"/>
    <m/>
    <x v="22"/>
    <x v="0"/>
    <x v="0"/>
  </r>
  <r>
    <x v="53"/>
    <x v="53"/>
    <n v="1"/>
    <x v="180"/>
    <n v="4500514828"/>
    <x v="235"/>
    <x v="35"/>
    <s v="Reserva"/>
    <m/>
    <m/>
    <m/>
    <x v="0"/>
    <m/>
    <x v="22"/>
    <x v="0"/>
    <x v="0"/>
  </r>
  <r>
    <x v="1"/>
    <x v="1"/>
    <n v="4"/>
    <x v="304"/>
    <n v="4500514828"/>
    <x v="235"/>
    <x v="35"/>
    <s v="Reserva"/>
    <m/>
    <m/>
    <m/>
    <x v="0"/>
    <m/>
    <x v="22"/>
    <x v="0"/>
    <x v="0"/>
  </r>
  <r>
    <x v="30"/>
    <x v="30"/>
    <n v="1"/>
    <x v="353"/>
    <n v="4500514828"/>
    <x v="235"/>
    <x v="35"/>
    <s v="Reserva"/>
    <m/>
    <m/>
    <m/>
    <x v="0"/>
    <m/>
    <x v="22"/>
    <x v="0"/>
    <x v="0"/>
  </r>
  <r>
    <x v="39"/>
    <x v="39"/>
    <n v="1"/>
    <x v="109"/>
    <n v="4500514844"/>
    <x v="236"/>
    <x v="35"/>
    <s v="Reserva"/>
    <m/>
    <m/>
    <m/>
    <x v="0"/>
    <m/>
    <x v="16"/>
    <x v="0"/>
    <x v="0"/>
  </r>
  <r>
    <x v="30"/>
    <x v="30"/>
    <n v="37"/>
    <x v="354"/>
    <n v="4500514844"/>
    <x v="236"/>
    <x v="35"/>
    <s v="Reserva"/>
    <m/>
    <m/>
    <m/>
    <x v="0"/>
    <m/>
    <x v="16"/>
    <x v="0"/>
    <x v="0"/>
  </r>
  <r>
    <x v="90"/>
    <x v="90"/>
    <n v="3"/>
    <x v="355"/>
    <n v="4500514844"/>
    <x v="236"/>
    <x v="35"/>
    <s v="Reserva"/>
    <m/>
    <m/>
    <m/>
    <x v="0"/>
    <m/>
    <x v="16"/>
    <x v="0"/>
    <x v="0"/>
  </r>
  <r>
    <x v="5"/>
    <x v="5"/>
    <n v="13"/>
    <x v="356"/>
    <n v="4500514844"/>
    <x v="236"/>
    <x v="35"/>
    <s v="Reserva"/>
    <m/>
    <m/>
    <m/>
    <x v="0"/>
    <m/>
    <x v="16"/>
    <x v="0"/>
    <x v="0"/>
  </r>
  <r>
    <x v="8"/>
    <x v="8"/>
    <n v="2"/>
    <x v="108"/>
    <n v="4500514844"/>
    <x v="236"/>
    <x v="35"/>
    <s v="Reserva"/>
    <m/>
    <m/>
    <m/>
    <x v="0"/>
    <m/>
    <x v="16"/>
    <x v="0"/>
    <x v="0"/>
  </r>
  <r>
    <x v="36"/>
    <x v="36"/>
    <n v="4"/>
    <x v="318"/>
    <n v="4500514844"/>
    <x v="236"/>
    <x v="35"/>
    <s v="Reserva"/>
    <m/>
    <m/>
    <m/>
    <x v="0"/>
    <m/>
    <x v="16"/>
    <x v="0"/>
    <x v="0"/>
  </r>
  <r>
    <x v="1"/>
    <x v="1"/>
    <n v="88"/>
    <x v="357"/>
    <n v="4500514844"/>
    <x v="236"/>
    <x v="35"/>
    <s v="Reserva"/>
    <m/>
    <m/>
    <m/>
    <x v="0"/>
    <m/>
    <x v="16"/>
    <x v="0"/>
    <x v="0"/>
  </r>
  <r>
    <x v="52"/>
    <x v="52"/>
    <n v="4"/>
    <x v="358"/>
    <n v="4500514844"/>
    <x v="236"/>
    <x v="35"/>
    <s v="Reserva"/>
    <m/>
    <m/>
    <m/>
    <x v="0"/>
    <m/>
    <x v="16"/>
    <x v="0"/>
    <x v="0"/>
  </r>
  <r>
    <x v="28"/>
    <x v="28"/>
    <n v="4"/>
    <x v="177"/>
    <n v="4500514844"/>
    <x v="236"/>
    <x v="35"/>
    <s v="Reserva"/>
    <m/>
    <m/>
    <m/>
    <x v="0"/>
    <m/>
    <x v="16"/>
    <x v="0"/>
    <x v="0"/>
  </r>
  <r>
    <x v="91"/>
    <x v="91"/>
    <n v="1"/>
    <x v="359"/>
    <n v="4500514844"/>
    <x v="236"/>
    <x v="35"/>
    <s v="Reserva"/>
    <m/>
    <m/>
    <m/>
    <x v="0"/>
    <m/>
    <x v="16"/>
    <x v="0"/>
    <x v="0"/>
  </r>
  <r>
    <x v="46"/>
    <x v="46"/>
    <n v="1"/>
    <x v="360"/>
    <n v="4500514844"/>
    <x v="236"/>
    <x v="35"/>
    <s v="Reserva"/>
    <m/>
    <m/>
    <m/>
    <x v="0"/>
    <m/>
    <x v="16"/>
    <x v="0"/>
    <x v="0"/>
  </r>
  <r>
    <x v="27"/>
    <x v="27"/>
    <n v="41"/>
    <x v="361"/>
    <n v="4500514844"/>
    <x v="236"/>
    <x v="35"/>
    <s v="Reserva"/>
    <m/>
    <m/>
    <m/>
    <x v="0"/>
    <m/>
    <x v="16"/>
    <x v="0"/>
    <x v="0"/>
  </r>
  <r>
    <x v="40"/>
    <x v="40"/>
    <n v="41"/>
    <x v="362"/>
    <n v="4500514844"/>
    <x v="236"/>
    <x v="35"/>
    <s v="Reserva"/>
    <m/>
    <m/>
    <m/>
    <x v="0"/>
    <m/>
    <x v="16"/>
    <x v="0"/>
    <x v="0"/>
  </r>
  <r>
    <x v="26"/>
    <x v="26"/>
    <n v="2"/>
    <x v="363"/>
    <n v="4500514839"/>
    <x v="237"/>
    <x v="35"/>
    <s v="Reserva"/>
    <m/>
    <m/>
    <m/>
    <x v="0"/>
    <m/>
    <x v="43"/>
    <x v="0"/>
    <x v="0"/>
  </r>
  <r>
    <x v="41"/>
    <x v="41"/>
    <n v="1"/>
    <x v="59"/>
    <n v="4500514839"/>
    <x v="237"/>
    <x v="35"/>
    <s v="Reserva"/>
    <m/>
    <m/>
    <m/>
    <x v="0"/>
    <m/>
    <x v="43"/>
    <x v="0"/>
    <x v="0"/>
  </r>
  <r>
    <x v="50"/>
    <x v="50"/>
    <n v="2"/>
    <x v="242"/>
    <n v="4500514839"/>
    <x v="237"/>
    <x v="35"/>
    <s v="Reserva"/>
    <m/>
    <m/>
    <m/>
    <x v="0"/>
    <m/>
    <x v="43"/>
    <x v="0"/>
    <x v="0"/>
  </r>
  <r>
    <x v="28"/>
    <x v="28"/>
    <n v="2"/>
    <x v="146"/>
    <n v="4500514839"/>
    <x v="237"/>
    <x v="35"/>
    <s v="Reserva"/>
    <m/>
    <m/>
    <m/>
    <x v="0"/>
    <m/>
    <x v="43"/>
    <x v="0"/>
    <x v="0"/>
  </r>
  <r>
    <x v="12"/>
    <x v="12"/>
    <n v="3"/>
    <x v="262"/>
    <n v="4500514839"/>
    <x v="237"/>
    <x v="35"/>
    <s v="Reserva"/>
    <m/>
    <m/>
    <m/>
    <x v="0"/>
    <m/>
    <x v="43"/>
    <x v="0"/>
    <x v="0"/>
  </r>
  <r>
    <x v="14"/>
    <x v="14"/>
    <n v="4"/>
    <x v="364"/>
    <n v="4500514839"/>
    <x v="237"/>
    <x v="35"/>
    <s v="Reserva"/>
    <m/>
    <m/>
    <m/>
    <x v="0"/>
    <m/>
    <x v="43"/>
    <x v="0"/>
    <x v="0"/>
  </r>
  <r>
    <x v="5"/>
    <x v="5"/>
    <n v="9"/>
    <x v="365"/>
    <n v="4500514839"/>
    <x v="237"/>
    <x v="35"/>
    <s v="Reserva"/>
    <m/>
    <m/>
    <m/>
    <x v="0"/>
    <m/>
    <x v="43"/>
    <x v="0"/>
    <x v="0"/>
  </r>
  <r>
    <x v="48"/>
    <x v="48"/>
    <n v="2"/>
    <x v="366"/>
    <n v="4500514839"/>
    <x v="237"/>
    <x v="35"/>
    <s v="Reserva"/>
    <m/>
    <m/>
    <m/>
    <x v="0"/>
    <m/>
    <x v="43"/>
    <x v="0"/>
    <x v="0"/>
  </r>
  <r>
    <x v="72"/>
    <x v="72"/>
    <n v="1"/>
    <x v="235"/>
    <m/>
    <x v="238"/>
    <x v="39"/>
    <s v="Reserva"/>
    <s v="MRPC18009132022"/>
    <m/>
    <m/>
    <x v="0"/>
    <m/>
    <x v="43"/>
    <x v="0"/>
    <x v="0"/>
  </r>
  <r>
    <x v="72"/>
    <x v="72"/>
    <n v="1"/>
    <x v="235"/>
    <m/>
    <x v="238"/>
    <x v="39"/>
    <s v="Reserva"/>
    <s v="MRPC18009732022"/>
    <m/>
    <m/>
    <x v="0"/>
    <m/>
    <x v="43"/>
    <x v="0"/>
    <x v="0"/>
  </r>
  <r>
    <x v="1"/>
    <x v="1"/>
    <n v="6"/>
    <x v="367"/>
    <n v="4500514839"/>
    <x v="237"/>
    <x v="35"/>
    <s v="Reserva"/>
    <m/>
    <m/>
    <m/>
    <x v="0"/>
    <m/>
    <x v="43"/>
    <x v="0"/>
    <x v="0"/>
  </r>
  <r>
    <x v="27"/>
    <x v="27"/>
    <n v="2"/>
    <x v="368"/>
    <n v="4500514839"/>
    <x v="237"/>
    <x v="35"/>
    <s v="Reserva"/>
    <m/>
    <m/>
    <m/>
    <x v="0"/>
    <m/>
    <x v="43"/>
    <x v="0"/>
    <x v="0"/>
  </r>
  <r>
    <x v="69"/>
    <x v="69"/>
    <n v="2"/>
    <x v="155"/>
    <n v="4500514825"/>
    <x v="239"/>
    <x v="35"/>
    <s v="Reserva"/>
    <m/>
    <m/>
    <m/>
    <x v="0"/>
    <m/>
    <x v="25"/>
    <x v="0"/>
    <x v="0"/>
  </r>
  <r>
    <x v="68"/>
    <x v="68"/>
    <n v="2"/>
    <x v="154"/>
    <n v="4500514825"/>
    <x v="239"/>
    <x v="35"/>
    <s v="Reserva"/>
    <m/>
    <m/>
    <m/>
    <x v="0"/>
    <m/>
    <x v="25"/>
    <x v="0"/>
    <x v="0"/>
  </r>
  <r>
    <x v="39"/>
    <x v="39"/>
    <n v="1"/>
    <x v="109"/>
    <n v="4500514825"/>
    <x v="239"/>
    <x v="35"/>
    <s v="Reserva"/>
    <m/>
    <m/>
    <m/>
    <x v="0"/>
    <m/>
    <x v="25"/>
    <x v="0"/>
    <x v="0"/>
  </r>
  <r>
    <x v="0"/>
    <x v="0"/>
    <n v="2"/>
    <x v="73"/>
    <n v="4500514825"/>
    <x v="239"/>
    <x v="35"/>
    <s v="Reserva"/>
    <m/>
    <m/>
    <m/>
    <x v="0"/>
    <m/>
    <x v="25"/>
    <x v="0"/>
    <x v="0"/>
  </r>
  <r>
    <x v="72"/>
    <x v="72"/>
    <n v="1"/>
    <x v="235"/>
    <n v="4500514825"/>
    <x v="239"/>
    <x v="35"/>
    <s v="Reserva"/>
    <s v="MRPC18009202022"/>
    <m/>
    <m/>
    <x v="0"/>
    <m/>
    <x v="25"/>
    <x v="0"/>
    <x v="0"/>
  </r>
  <r>
    <x v="48"/>
    <x v="48"/>
    <n v="1"/>
    <x v="89"/>
    <n v="4500514825"/>
    <x v="239"/>
    <x v="35"/>
    <s v="Reserva"/>
    <m/>
    <m/>
    <m/>
    <x v="0"/>
    <m/>
    <x v="25"/>
    <x v="0"/>
    <x v="0"/>
  </r>
  <r>
    <x v="38"/>
    <x v="38"/>
    <n v="5"/>
    <x v="369"/>
    <n v="4500514825"/>
    <x v="239"/>
    <x v="35"/>
    <s v="Reserva"/>
    <m/>
    <m/>
    <m/>
    <x v="0"/>
    <m/>
    <x v="25"/>
    <x v="0"/>
    <x v="0"/>
  </r>
  <r>
    <x v="5"/>
    <x v="5"/>
    <n v="4"/>
    <x v="265"/>
    <n v="4500514825"/>
    <x v="239"/>
    <x v="35"/>
    <s v="Reserva"/>
    <m/>
    <m/>
    <m/>
    <x v="0"/>
    <m/>
    <x v="25"/>
    <x v="0"/>
    <x v="0"/>
  </r>
  <r>
    <x v="92"/>
    <x v="92"/>
    <n v="1"/>
    <x v="370"/>
    <n v="4500514825"/>
    <x v="239"/>
    <x v="35"/>
    <s v="Reserva"/>
    <m/>
    <m/>
    <m/>
    <x v="0"/>
    <m/>
    <x v="25"/>
    <x v="0"/>
    <x v="0"/>
  </r>
  <r>
    <x v="14"/>
    <x v="14"/>
    <n v="1"/>
    <x v="371"/>
    <n v="4500514825"/>
    <x v="239"/>
    <x v="35"/>
    <s v="Reserva"/>
    <m/>
    <m/>
    <m/>
    <x v="0"/>
    <m/>
    <x v="25"/>
    <x v="0"/>
    <x v="0"/>
  </r>
  <r>
    <x v="8"/>
    <x v="8"/>
    <n v="23"/>
    <x v="372"/>
    <n v="4500514825"/>
    <x v="239"/>
    <x v="35"/>
    <s v="Reserva"/>
    <m/>
    <m/>
    <m/>
    <x v="0"/>
    <m/>
    <x v="25"/>
    <x v="0"/>
    <x v="0"/>
  </r>
  <r>
    <x v="36"/>
    <x v="36"/>
    <n v="8"/>
    <x v="373"/>
    <n v="4500514825"/>
    <x v="239"/>
    <x v="35"/>
    <s v="Reserva"/>
    <m/>
    <m/>
    <m/>
    <x v="0"/>
    <m/>
    <x v="25"/>
    <x v="0"/>
    <x v="0"/>
  </r>
  <r>
    <x v="1"/>
    <x v="1"/>
    <n v="5"/>
    <x v="374"/>
    <n v="4500514825"/>
    <x v="239"/>
    <x v="35"/>
    <s v="Reserva"/>
    <m/>
    <m/>
    <m/>
    <x v="0"/>
    <m/>
    <x v="25"/>
    <x v="0"/>
    <x v="0"/>
  </r>
  <r>
    <x v="12"/>
    <x v="12"/>
    <n v="1"/>
    <x v="36"/>
    <n v="4500514825"/>
    <x v="239"/>
    <x v="35"/>
    <s v="Reserva"/>
    <m/>
    <m/>
    <m/>
    <x v="0"/>
    <m/>
    <x v="25"/>
    <x v="0"/>
    <x v="0"/>
  </r>
  <r>
    <x v="52"/>
    <x v="52"/>
    <n v="5"/>
    <x v="375"/>
    <n v="4500514825"/>
    <x v="239"/>
    <x v="35"/>
    <s v="Reserva"/>
    <m/>
    <m/>
    <m/>
    <x v="0"/>
    <m/>
    <x v="25"/>
    <x v="0"/>
    <x v="0"/>
  </r>
  <r>
    <x v="28"/>
    <x v="28"/>
    <n v="1"/>
    <x v="35"/>
    <n v="4500514825"/>
    <x v="239"/>
    <x v="35"/>
    <s v="Reserva"/>
    <m/>
    <m/>
    <m/>
    <x v="0"/>
    <m/>
    <x v="25"/>
    <x v="0"/>
    <x v="0"/>
  </r>
  <r>
    <x v="50"/>
    <x v="50"/>
    <n v="1"/>
    <x v="93"/>
    <n v="4500514825"/>
    <x v="239"/>
    <x v="35"/>
    <s v="Reserva"/>
    <m/>
    <m/>
    <m/>
    <x v="0"/>
    <m/>
    <x v="25"/>
    <x v="0"/>
    <x v="0"/>
  </r>
  <r>
    <x v="46"/>
    <x v="46"/>
    <n v="4"/>
    <x v="317"/>
    <n v="4500514825"/>
    <x v="239"/>
    <x v="35"/>
    <s v="Reserva"/>
    <m/>
    <m/>
    <m/>
    <x v="0"/>
    <m/>
    <x v="25"/>
    <x v="0"/>
    <x v="0"/>
  </r>
  <r>
    <x v="27"/>
    <x v="27"/>
    <n v="1"/>
    <x v="352"/>
    <n v="4500514825"/>
    <x v="239"/>
    <x v="35"/>
    <s v="Reserva"/>
    <m/>
    <m/>
    <m/>
    <x v="0"/>
    <m/>
    <x v="25"/>
    <x v="0"/>
    <x v="0"/>
  </r>
  <r>
    <x v="40"/>
    <x v="40"/>
    <n v="3"/>
    <x v="376"/>
    <n v="4500514825"/>
    <x v="239"/>
    <x v="35"/>
    <s v="Reserva"/>
    <m/>
    <m/>
    <m/>
    <x v="0"/>
    <m/>
    <x v="25"/>
    <x v="0"/>
    <x v="0"/>
  </r>
  <r>
    <x v="38"/>
    <x v="38"/>
    <n v="1"/>
    <x v="377"/>
    <n v="4500514812"/>
    <x v="240"/>
    <x v="35"/>
    <s v="Reserva"/>
    <m/>
    <m/>
    <m/>
    <x v="0"/>
    <m/>
    <x v="10"/>
    <x v="0"/>
    <x v="0"/>
  </r>
  <r>
    <x v="68"/>
    <x v="68"/>
    <n v="2"/>
    <x v="154"/>
    <n v="4500514812"/>
    <x v="240"/>
    <x v="35"/>
    <s v="Reserva"/>
    <m/>
    <m/>
    <m/>
    <x v="0"/>
    <m/>
    <x v="10"/>
    <x v="0"/>
    <x v="0"/>
  </r>
  <r>
    <x v="30"/>
    <x v="30"/>
    <n v="51"/>
    <x v="378"/>
    <n v="4500514812"/>
    <x v="240"/>
    <x v="35"/>
    <s v="Reserva"/>
    <m/>
    <m/>
    <m/>
    <x v="0"/>
    <m/>
    <x v="10"/>
    <x v="0"/>
    <x v="0"/>
  </r>
  <r>
    <x v="60"/>
    <x v="60"/>
    <n v="1"/>
    <x v="129"/>
    <n v="4500514812"/>
    <x v="240"/>
    <x v="35"/>
    <s v="Reserva"/>
    <m/>
    <m/>
    <m/>
    <x v="0"/>
    <m/>
    <x v="10"/>
    <x v="0"/>
    <x v="0"/>
  </r>
  <r>
    <x v="0"/>
    <x v="0"/>
    <n v="2"/>
    <x v="73"/>
    <n v="4500514812"/>
    <x v="240"/>
    <x v="35"/>
    <s v="Reserva"/>
    <m/>
    <m/>
    <m/>
    <x v="0"/>
    <m/>
    <x v="10"/>
    <x v="0"/>
    <x v="0"/>
  </r>
  <r>
    <x v="41"/>
    <x v="41"/>
    <n v="7"/>
    <x v="379"/>
    <n v="4500514812"/>
    <x v="240"/>
    <x v="35"/>
    <s v="Reserva"/>
    <m/>
    <m/>
    <m/>
    <x v="0"/>
    <m/>
    <x v="10"/>
    <x v="0"/>
    <x v="0"/>
  </r>
  <r>
    <x v="15"/>
    <x v="15"/>
    <n v="2"/>
    <x v="380"/>
    <n v="4500514812"/>
    <x v="240"/>
    <x v="35"/>
    <s v="Reserva"/>
    <m/>
    <m/>
    <m/>
    <x v="0"/>
    <m/>
    <x v="10"/>
    <x v="0"/>
    <x v="0"/>
  </r>
  <r>
    <x v="5"/>
    <x v="5"/>
    <n v="32"/>
    <x v="381"/>
    <n v="4500514812"/>
    <x v="240"/>
    <x v="35"/>
    <s v="Reserva"/>
    <m/>
    <m/>
    <m/>
    <x v="0"/>
    <m/>
    <x v="10"/>
    <x v="0"/>
    <x v="0"/>
  </r>
  <r>
    <x v="13"/>
    <x v="13"/>
    <n v="4"/>
    <x v="382"/>
    <n v="4500514812"/>
    <x v="240"/>
    <x v="35"/>
    <s v="Reserva"/>
    <m/>
    <m/>
    <m/>
    <x v="0"/>
    <m/>
    <x v="10"/>
    <x v="0"/>
    <x v="0"/>
  </r>
  <r>
    <x v="14"/>
    <x v="14"/>
    <n v="2"/>
    <x v="383"/>
    <n v="4500514812"/>
    <x v="240"/>
    <x v="35"/>
    <s v="Reserva"/>
    <m/>
    <m/>
    <m/>
    <x v="0"/>
    <m/>
    <x v="10"/>
    <x v="0"/>
    <x v="0"/>
  </r>
  <r>
    <x v="49"/>
    <x v="49"/>
    <n v="21"/>
    <x v="384"/>
    <n v="4500514812"/>
    <x v="240"/>
    <x v="35"/>
    <s v="Reserva"/>
    <m/>
    <m/>
    <m/>
    <x v="0"/>
    <m/>
    <x v="10"/>
    <x v="0"/>
    <x v="0"/>
  </r>
  <r>
    <x v="8"/>
    <x v="8"/>
    <n v="4"/>
    <x v="385"/>
    <n v="4500514812"/>
    <x v="240"/>
    <x v="35"/>
    <s v="Reserva"/>
    <m/>
    <m/>
    <m/>
    <x v="0"/>
    <m/>
    <x v="10"/>
    <x v="0"/>
    <x v="0"/>
  </r>
  <r>
    <x v="43"/>
    <x v="43"/>
    <n v="6"/>
    <x v="67"/>
    <n v="4500514812"/>
    <x v="240"/>
    <x v="35"/>
    <s v="Reserva"/>
    <m/>
    <m/>
    <m/>
    <x v="0"/>
    <m/>
    <x v="10"/>
    <x v="0"/>
    <x v="0"/>
  </r>
  <r>
    <x v="17"/>
    <x v="17"/>
    <n v="2"/>
    <x v="131"/>
    <n v="4500514812"/>
    <x v="240"/>
    <x v="35"/>
    <s v="Reserva"/>
    <m/>
    <m/>
    <m/>
    <x v="0"/>
    <m/>
    <x v="10"/>
    <x v="0"/>
    <x v="0"/>
  </r>
  <r>
    <x v="16"/>
    <x v="16"/>
    <n v="1"/>
    <x v="12"/>
    <n v="4500514812"/>
    <x v="240"/>
    <x v="35"/>
    <s v="Reserva"/>
    <m/>
    <m/>
    <m/>
    <x v="0"/>
    <m/>
    <x v="10"/>
    <x v="0"/>
    <x v="0"/>
  </r>
  <r>
    <x v="55"/>
    <x v="55"/>
    <n v="10"/>
    <x v="295"/>
    <n v="4500514812"/>
    <x v="240"/>
    <x v="35"/>
    <s v="Reserva"/>
    <m/>
    <m/>
    <m/>
    <x v="0"/>
    <m/>
    <x v="10"/>
    <x v="0"/>
    <x v="0"/>
  </r>
  <r>
    <x v="1"/>
    <x v="1"/>
    <n v="224"/>
    <x v="386"/>
    <n v="4500514812"/>
    <x v="240"/>
    <x v="35"/>
    <s v="Reserva"/>
    <m/>
    <m/>
    <m/>
    <x v="0"/>
    <m/>
    <x v="10"/>
    <x v="0"/>
    <x v="0"/>
  </r>
  <r>
    <x v="12"/>
    <x v="12"/>
    <n v="9"/>
    <x v="387"/>
    <n v="4500514812"/>
    <x v="240"/>
    <x v="35"/>
    <s v="Reserva"/>
    <m/>
    <m/>
    <m/>
    <x v="0"/>
    <m/>
    <x v="10"/>
    <x v="0"/>
    <x v="0"/>
  </r>
  <r>
    <x v="53"/>
    <x v="53"/>
    <n v="51"/>
    <x v="388"/>
    <n v="4500514812"/>
    <x v="240"/>
    <x v="35"/>
    <s v="Reserva"/>
    <m/>
    <m/>
    <m/>
    <x v="0"/>
    <m/>
    <x v="10"/>
    <x v="0"/>
    <x v="0"/>
  </r>
  <r>
    <x v="28"/>
    <x v="28"/>
    <n v="6"/>
    <x v="389"/>
    <n v="4500514812"/>
    <x v="240"/>
    <x v="35"/>
    <s v="Reserva"/>
    <m/>
    <m/>
    <m/>
    <x v="0"/>
    <m/>
    <x v="10"/>
    <x v="0"/>
    <x v="0"/>
  </r>
  <r>
    <x v="27"/>
    <x v="27"/>
    <n v="57"/>
    <x v="390"/>
    <n v="4500514812"/>
    <x v="240"/>
    <x v="35"/>
    <s v="Reserva"/>
    <m/>
    <m/>
    <m/>
    <x v="0"/>
    <m/>
    <x v="10"/>
    <x v="0"/>
    <x v="0"/>
  </r>
  <r>
    <x v="40"/>
    <x v="40"/>
    <n v="2"/>
    <x v="391"/>
    <n v="4500514812"/>
    <x v="240"/>
    <x v="35"/>
    <s v="Reserva"/>
    <m/>
    <m/>
    <m/>
    <x v="0"/>
    <m/>
    <x v="10"/>
    <x v="0"/>
    <x v="0"/>
  </r>
  <r>
    <x v="26"/>
    <x v="26"/>
    <n v="47"/>
    <x v="392"/>
    <n v="4500514812"/>
    <x v="240"/>
    <x v="35"/>
    <s v="Reserva"/>
    <m/>
    <m/>
    <m/>
    <x v="0"/>
    <m/>
    <x v="10"/>
    <x v="0"/>
    <x v="0"/>
  </r>
  <r>
    <x v="69"/>
    <x v="69"/>
    <n v="2"/>
    <x v="155"/>
    <n v="4500514812"/>
    <x v="240"/>
    <x v="35"/>
    <s v="Reserva"/>
    <m/>
    <m/>
    <m/>
    <x v="0"/>
    <m/>
    <x v="10"/>
    <x v="0"/>
    <x v="0"/>
  </r>
  <r>
    <x v="30"/>
    <x v="30"/>
    <n v="16"/>
    <x v="393"/>
    <n v="4500514807"/>
    <x v="241"/>
    <x v="35"/>
    <s v="Reserva"/>
    <m/>
    <m/>
    <m/>
    <x v="0"/>
    <m/>
    <x v="15"/>
    <x v="0"/>
    <x v="0"/>
  </r>
  <r>
    <x v="8"/>
    <x v="8"/>
    <n v="5"/>
    <x v="64"/>
    <n v="4500514807"/>
    <x v="241"/>
    <x v="35"/>
    <s v="Reserva"/>
    <m/>
    <m/>
    <m/>
    <x v="0"/>
    <m/>
    <x v="15"/>
    <x v="0"/>
    <x v="0"/>
  </r>
  <r>
    <x v="36"/>
    <x v="36"/>
    <n v="11"/>
    <x v="394"/>
    <n v="4500514807"/>
    <x v="241"/>
    <x v="35"/>
    <s v="Reserva"/>
    <m/>
    <m/>
    <m/>
    <x v="0"/>
    <m/>
    <x v="15"/>
    <x v="0"/>
    <x v="0"/>
  </r>
  <r>
    <x v="1"/>
    <x v="1"/>
    <n v="35"/>
    <x v="395"/>
    <n v="4500514807"/>
    <x v="241"/>
    <x v="35"/>
    <s v="Reserva"/>
    <m/>
    <m/>
    <m/>
    <x v="0"/>
    <m/>
    <x v="15"/>
    <x v="0"/>
    <x v="0"/>
  </r>
  <r>
    <x v="28"/>
    <x v="28"/>
    <n v="1"/>
    <x v="35"/>
    <n v="4500514807"/>
    <x v="241"/>
    <x v="35"/>
    <s v="Reserva"/>
    <m/>
    <m/>
    <m/>
    <x v="0"/>
    <m/>
    <x v="15"/>
    <x v="0"/>
    <x v="0"/>
  </r>
  <r>
    <x v="27"/>
    <x v="27"/>
    <n v="17"/>
    <x v="396"/>
    <n v="4500514807"/>
    <x v="241"/>
    <x v="35"/>
    <s v="Reserva"/>
    <m/>
    <m/>
    <m/>
    <x v="0"/>
    <m/>
    <x v="15"/>
    <x v="0"/>
    <x v="0"/>
  </r>
  <r>
    <x v="40"/>
    <x v="40"/>
    <n v="17"/>
    <x v="397"/>
    <n v="4500514807"/>
    <x v="241"/>
    <x v="35"/>
    <s v="Reserva"/>
    <m/>
    <m/>
    <m/>
    <x v="0"/>
    <m/>
    <x v="15"/>
    <x v="0"/>
    <x v="0"/>
  </r>
  <r>
    <x v="0"/>
    <x v="0"/>
    <n v="2"/>
    <x v="73"/>
    <n v="4500514561"/>
    <x v="242"/>
    <x v="35"/>
    <s v="Reserva"/>
    <m/>
    <m/>
    <m/>
    <x v="0"/>
    <m/>
    <x v="26"/>
    <x v="0"/>
    <x v="0"/>
  </r>
  <r>
    <x v="42"/>
    <x v="42"/>
    <n v="2"/>
    <x v="398"/>
    <n v="4500514497"/>
    <x v="243"/>
    <x v="35"/>
    <s v="Reserva"/>
    <m/>
    <m/>
    <m/>
    <x v="0"/>
    <s v="Pedido Parcial # 1"/>
    <x v="9"/>
    <x v="0"/>
    <x v="0"/>
  </r>
  <r>
    <x v="49"/>
    <x v="49"/>
    <n v="14"/>
    <x v="399"/>
    <n v="4500514497"/>
    <x v="243"/>
    <x v="35"/>
    <s v="Reserva"/>
    <m/>
    <m/>
    <m/>
    <x v="0"/>
    <s v="Pedido Parcial # 1"/>
    <x v="9"/>
    <x v="0"/>
    <x v="0"/>
  </r>
  <r>
    <x v="8"/>
    <x v="8"/>
    <n v="8"/>
    <x v="400"/>
    <n v="4500514497"/>
    <x v="243"/>
    <x v="35"/>
    <s v="Reserva"/>
    <m/>
    <m/>
    <m/>
    <x v="0"/>
    <s v="Pedido Parcial # 1"/>
    <x v="9"/>
    <x v="0"/>
    <x v="0"/>
  </r>
  <r>
    <x v="17"/>
    <x v="17"/>
    <n v="1"/>
    <x v="13"/>
    <n v="4500514497"/>
    <x v="243"/>
    <x v="35"/>
    <s v="Reserva"/>
    <m/>
    <m/>
    <m/>
    <x v="0"/>
    <s v="Pedido Parcial # 1"/>
    <x v="9"/>
    <x v="0"/>
    <x v="0"/>
  </r>
  <r>
    <x v="16"/>
    <x v="16"/>
    <n v="8"/>
    <x v="401"/>
    <n v="4500514497"/>
    <x v="243"/>
    <x v="35"/>
    <s v="Reserva"/>
    <m/>
    <m/>
    <m/>
    <x v="0"/>
    <s v="Pedido Parcial # 1"/>
    <x v="9"/>
    <x v="0"/>
    <x v="0"/>
  </r>
  <r>
    <x v="55"/>
    <x v="55"/>
    <n v="1"/>
    <x v="237"/>
    <n v="4500514497"/>
    <x v="243"/>
    <x v="35"/>
    <s v="Reserva"/>
    <m/>
    <m/>
    <m/>
    <x v="0"/>
    <s v="Pedido Parcial # 1"/>
    <x v="9"/>
    <x v="0"/>
    <x v="0"/>
  </r>
  <r>
    <x v="1"/>
    <x v="1"/>
    <n v="3"/>
    <x v="402"/>
    <n v="4500514497"/>
    <x v="243"/>
    <x v="35"/>
    <s v="Reserva"/>
    <m/>
    <m/>
    <m/>
    <x v="0"/>
    <s v="Pedido Parcial # 1"/>
    <x v="9"/>
    <x v="0"/>
    <x v="0"/>
  </r>
  <r>
    <x v="35"/>
    <x v="35"/>
    <n v="4"/>
    <x v="403"/>
    <n v="4500514497"/>
    <x v="243"/>
    <x v="35"/>
    <s v="Reserva"/>
    <m/>
    <m/>
    <m/>
    <x v="0"/>
    <s v="Pedido Parcial # 1"/>
    <x v="9"/>
    <x v="0"/>
    <x v="0"/>
  </r>
  <r>
    <x v="34"/>
    <x v="34"/>
    <n v="4"/>
    <x v="404"/>
    <n v="4500514497"/>
    <x v="243"/>
    <x v="35"/>
    <s v="Reserva"/>
    <m/>
    <m/>
    <m/>
    <x v="0"/>
    <s v="Pedido Parcial # 1"/>
    <x v="9"/>
    <x v="0"/>
    <x v="0"/>
  </r>
  <r>
    <x v="27"/>
    <x v="27"/>
    <n v="1"/>
    <x v="352"/>
    <n v="4500514497"/>
    <x v="243"/>
    <x v="35"/>
    <s v="Reserva"/>
    <m/>
    <m/>
    <m/>
    <x v="0"/>
    <s v="Pedido Parcial # 1"/>
    <x v="9"/>
    <x v="0"/>
    <x v="0"/>
  </r>
  <r>
    <x v="12"/>
    <x v="12"/>
    <n v="1"/>
    <x v="0"/>
    <m/>
    <x v="244"/>
    <x v="40"/>
    <s v="Devolución"/>
    <m/>
    <m/>
    <m/>
    <x v="0"/>
    <m/>
    <x v="52"/>
    <x v="0"/>
    <x v="0"/>
  </r>
  <r>
    <x v="5"/>
    <x v="5"/>
    <n v="2"/>
    <x v="0"/>
    <m/>
    <x v="244"/>
    <x v="40"/>
    <s v="Devolución"/>
    <m/>
    <m/>
    <m/>
    <x v="0"/>
    <m/>
    <x v="52"/>
    <x v="0"/>
    <x v="0"/>
  </r>
  <r>
    <x v="48"/>
    <x v="48"/>
    <n v="1"/>
    <x v="0"/>
    <m/>
    <x v="244"/>
    <x v="40"/>
    <s v="Devolución"/>
    <m/>
    <m/>
    <m/>
    <x v="0"/>
    <m/>
    <x v="52"/>
    <x v="0"/>
    <x v="0"/>
  </r>
  <r>
    <x v="1"/>
    <x v="1"/>
    <n v="2"/>
    <x v="0"/>
    <m/>
    <x v="245"/>
    <x v="40"/>
    <s v="Devolución"/>
    <m/>
    <m/>
    <m/>
    <x v="0"/>
    <m/>
    <x v="53"/>
    <x v="0"/>
    <x v="0"/>
  </r>
  <r>
    <x v="19"/>
    <x v="19"/>
    <n v="1"/>
    <x v="0"/>
    <m/>
    <x v="246"/>
    <x v="40"/>
    <s v="Devolución"/>
    <m/>
    <m/>
    <m/>
    <x v="0"/>
    <m/>
    <x v="54"/>
    <x v="0"/>
    <x v="0"/>
  </r>
  <r>
    <x v="1"/>
    <x v="1"/>
    <n v="1"/>
    <x v="0"/>
    <m/>
    <x v="246"/>
    <x v="40"/>
    <s v="Devolución"/>
    <m/>
    <m/>
    <m/>
    <x v="0"/>
    <m/>
    <x v="54"/>
    <x v="0"/>
    <x v="0"/>
  </r>
  <r>
    <x v="27"/>
    <x v="27"/>
    <n v="1"/>
    <x v="0"/>
    <m/>
    <x v="247"/>
    <x v="40"/>
    <s v="Devolución"/>
    <m/>
    <m/>
    <m/>
    <x v="0"/>
    <m/>
    <x v="55"/>
    <x v="0"/>
    <x v="0"/>
  </r>
  <r>
    <x v="6"/>
    <x v="6"/>
    <n v="1"/>
    <x v="0"/>
    <m/>
    <x v="247"/>
    <x v="40"/>
    <s v="Devolución"/>
    <m/>
    <m/>
    <m/>
    <x v="0"/>
    <m/>
    <x v="55"/>
    <x v="0"/>
    <x v="0"/>
  </r>
  <r>
    <x v="19"/>
    <x v="19"/>
    <n v="3"/>
    <x v="0"/>
    <m/>
    <x v="247"/>
    <x v="40"/>
    <s v="Devolución"/>
    <m/>
    <m/>
    <m/>
    <x v="0"/>
    <m/>
    <x v="55"/>
    <x v="0"/>
    <x v="0"/>
  </r>
  <r>
    <x v="78"/>
    <x v="78"/>
    <n v="1"/>
    <x v="0"/>
    <m/>
    <x v="247"/>
    <x v="40"/>
    <s v="Devolución"/>
    <m/>
    <m/>
    <m/>
    <x v="0"/>
    <m/>
    <x v="55"/>
    <x v="0"/>
    <x v="0"/>
  </r>
  <r>
    <x v="22"/>
    <x v="22"/>
    <n v="1"/>
    <x v="0"/>
    <m/>
    <x v="247"/>
    <x v="40"/>
    <s v="Devolución"/>
    <m/>
    <m/>
    <m/>
    <x v="0"/>
    <m/>
    <x v="55"/>
    <x v="0"/>
    <x v="0"/>
  </r>
  <r>
    <x v="28"/>
    <x v="28"/>
    <n v="1"/>
    <x v="0"/>
    <m/>
    <x v="247"/>
    <x v="40"/>
    <s v="Devolución"/>
    <m/>
    <m/>
    <m/>
    <x v="0"/>
    <m/>
    <x v="55"/>
    <x v="0"/>
    <x v="0"/>
  </r>
  <r>
    <x v="5"/>
    <x v="5"/>
    <n v="1"/>
    <x v="0"/>
    <m/>
    <x v="247"/>
    <x v="40"/>
    <s v="Devolución"/>
    <m/>
    <m/>
    <m/>
    <x v="0"/>
    <m/>
    <x v="55"/>
    <x v="0"/>
    <x v="0"/>
  </r>
  <r>
    <x v="14"/>
    <x v="14"/>
    <n v="1"/>
    <x v="0"/>
    <m/>
    <x v="247"/>
    <x v="40"/>
    <s v="Devolución"/>
    <m/>
    <m/>
    <m/>
    <x v="0"/>
    <m/>
    <x v="55"/>
    <x v="0"/>
    <x v="0"/>
  </r>
  <r>
    <x v="1"/>
    <x v="1"/>
    <n v="4"/>
    <x v="0"/>
    <m/>
    <x v="247"/>
    <x v="40"/>
    <s v="Devolución"/>
    <m/>
    <m/>
    <m/>
    <x v="0"/>
    <m/>
    <x v="55"/>
    <x v="0"/>
    <x v="0"/>
  </r>
  <r>
    <x v="26"/>
    <x v="26"/>
    <n v="1"/>
    <x v="0"/>
    <m/>
    <x v="247"/>
    <x v="40"/>
    <s v="Devolución"/>
    <m/>
    <m/>
    <m/>
    <x v="0"/>
    <m/>
    <x v="55"/>
    <x v="0"/>
    <x v="0"/>
  </r>
  <r>
    <x v="18"/>
    <x v="18"/>
    <n v="1"/>
    <x v="0"/>
    <m/>
    <x v="248"/>
    <x v="40"/>
    <s v="Devolución"/>
    <m/>
    <m/>
    <m/>
    <x v="0"/>
    <m/>
    <x v="56"/>
    <x v="0"/>
    <x v="0"/>
  </r>
  <r>
    <x v="19"/>
    <x v="19"/>
    <n v="1"/>
    <x v="0"/>
    <m/>
    <x v="249"/>
    <x v="40"/>
    <s v="Devolución"/>
    <m/>
    <m/>
    <m/>
    <x v="0"/>
    <m/>
    <x v="57"/>
    <x v="0"/>
    <x v="0"/>
  </r>
  <r>
    <x v="1"/>
    <x v="1"/>
    <n v="3"/>
    <x v="0"/>
    <m/>
    <x v="249"/>
    <x v="40"/>
    <s v="Devolución"/>
    <m/>
    <m/>
    <m/>
    <x v="0"/>
    <m/>
    <x v="57"/>
    <x v="0"/>
    <x v="0"/>
  </r>
  <r>
    <x v="19"/>
    <x v="19"/>
    <n v="1"/>
    <x v="0"/>
    <m/>
    <x v="250"/>
    <x v="40"/>
    <s v="Devolución"/>
    <m/>
    <m/>
    <m/>
    <x v="0"/>
    <m/>
    <x v="58"/>
    <x v="0"/>
    <x v="0"/>
  </r>
  <r>
    <x v="1"/>
    <x v="1"/>
    <n v="3"/>
    <x v="0"/>
    <m/>
    <x v="250"/>
    <x v="40"/>
    <s v="Devolución"/>
    <m/>
    <m/>
    <m/>
    <x v="0"/>
    <m/>
    <x v="58"/>
    <x v="0"/>
    <x v="0"/>
  </r>
  <r>
    <x v="1"/>
    <x v="1"/>
    <n v="3"/>
    <x v="0"/>
    <m/>
    <x v="251"/>
    <x v="40"/>
    <s v="Devolución"/>
    <m/>
    <m/>
    <m/>
    <x v="0"/>
    <m/>
    <x v="56"/>
    <x v="0"/>
    <x v="0"/>
  </r>
  <r>
    <x v="19"/>
    <x v="19"/>
    <n v="1"/>
    <x v="0"/>
    <m/>
    <x v="251"/>
    <x v="40"/>
    <s v="Devolución"/>
    <m/>
    <m/>
    <m/>
    <x v="0"/>
    <m/>
    <x v="56"/>
    <x v="0"/>
    <x v="0"/>
  </r>
  <r>
    <x v="1"/>
    <x v="1"/>
    <n v="1"/>
    <x v="0"/>
    <m/>
    <x v="252"/>
    <x v="40"/>
    <s v="Devolución"/>
    <m/>
    <m/>
    <m/>
    <x v="0"/>
    <m/>
    <x v="59"/>
    <x v="0"/>
    <x v="0"/>
  </r>
  <r>
    <x v="19"/>
    <x v="19"/>
    <n v="3"/>
    <x v="0"/>
    <m/>
    <x v="252"/>
    <x v="40"/>
    <s v="Devolución"/>
    <m/>
    <m/>
    <m/>
    <x v="0"/>
    <m/>
    <x v="59"/>
    <x v="0"/>
    <x v="0"/>
  </r>
  <r>
    <x v="40"/>
    <x v="40"/>
    <n v="1"/>
    <x v="85"/>
    <n v="4500513985"/>
    <x v="253"/>
    <x v="41"/>
    <s v="Reserva"/>
    <m/>
    <m/>
    <m/>
    <x v="0"/>
    <m/>
    <x v="60"/>
    <x v="0"/>
    <x v="0"/>
  </r>
  <r>
    <x v="27"/>
    <x v="27"/>
    <n v="1"/>
    <x v="352"/>
    <n v="4500513985"/>
    <x v="253"/>
    <x v="41"/>
    <s v="Reserva"/>
    <m/>
    <m/>
    <m/>
    <x v="0"/>
    <m/>
    <x v="60"/>
    <x v="0"/>
    <x v="0"/>
  </r>
  <r>
    <x v="53"/>
    <x v="53"/>
    <n v="1"/>
    <x v="405"/>
    <n v="4500513985"/>
    <x v="253"/>
    <x v="41"/>
    <s v="Reserva"/>
    <m/>
    <m/>
    <m/>
    <x v="0"/>
    <m/>
    <x v="60"/>
    <x v="0"/>
    <x v="0"/>
  </r>
  <r>
    <x v="1"/>
    <x v="1"/>
    <n v="4"/>
    <x v="304"/>
    <n v="4500513985"/>
    <x v="253"/>
    <x v="41"/>
    <s v="Reserva"/>
    <m/>
    <m/>
    <m/>
    <x v="0"/>
    <m/>
    <x v="60"/>
    <x v="0"/>
    <x v="0"/>
  </r>
  <r>
    <x v="0"/>
    <x v="0"/>
    <n v="3"/>
    <x v="275"/>
    <n v="4500513985"/>
    <x v="253"/>
    <x v="41"/>
    <s v="Reserva"/>
    <m/>
    <m/>
    <m/>
    <x v="0"/>
    <m/>
    <x v="60"/>
    <x v="0"/>
    <x v="0"/>
  </r>
  <r>
    <x v="30"/>
    <x v="30"/>
    <n v="1"/>
    <x v="231"/>
    <n v="4500513985"/>
    <x v="253"/>
    <x v="41"/>
    <s v="Reserva"/>
    <m/>
    <m/>
    <m/>
    <x v="0"/>
    <m/>
    <x v="60"/>
    <x v="0"/>
    <x v="0"/>
  </r>
  <r>
    <x v="5"/>
    <x v="5"/>
    <n v="5"/>
    <x v="406"/>
    <n v="4500513986"/>
    <x v="254"/>
    <x v="41"/>
    <s v="Reserva"/>
    <m/>
    <m/>
    <m/>
    <x v="0"/>
    <m/>
    <x v="50"/>
    <x v="0"/>
    <x v="0"/>
  </r>
  <r>
    <x v="12"/>
    <x v="12"/>
    <n v="2"/>
    <x v="407"/>
    <n v="4500513986"/>
    <x v="254"/>
    <x v="41"/>
    <s v="Reserva"/>
    <m/>
    <m/>
    <m/>
    <x v="0"/>
    <m/>
    <x v="50"/>
    <x v="0"/>
    <x v="0"/>
  </r>
  <r>
    <x v="0"/>
    <x v="0"/>
    <n v="34"/>
    <x v="408"/>
    <n v="4500513986"/>
    <x v="254"/>
    <x v="41"/>
    <s v="Reserva"/>
    <m/>
    <m/>
    <m/>
    <x v="0"/>
    <m/>
    <x v="50"/>
    <x v="0"/>
    <x v="0"/>
  </r>
  <r>
    <x v="28"/>
    <x v="28"/>
    <n v="17"/>
    <x v="409"/>
    <n v="4500513986"/>
    <x v="254"/>
    <x v="41"/>
    <s v="Reserva"/>
    <m/>
    <m/>
    <m/>
    <x v="0"/>
    <m/>
    <x v="50"/>
    <x v="0"/>
    <x v="0"/>
  </r>
  <r>
    <x v="1"/>
    <x v="1"/>
    <n v="17"/>
    <x v="410"/>
    <n v="4500513986"/>
    <x v="254"/>
    <x v="41"/>
    <s v="Reserva"/>
    <m/>
    <m/>
    <m/>
    <x v="0"/>
    <m/>
    <x v="50"/>
    <x v="0"/>
    <x v="0"/>
  </r>
  <r>
    <x v="30"/>
    <x v="30"/>
    <n v="1"/>
    <x v="231"/>
    <n v="4500513987"/>
    <x v="255"/>
    <x v="41"/>
    <s v="Reserva"/>
    <m/>
    <m/>
    <m/>
    <x v="0"/>
    <s v="Pedido Completo"/>
    <x v="1"/>
    <x v="0"/>
    <x v="0"/>
  </r>
  <r>
    <x v="1"/>
    <x v="1"/>
    <n v="4"/>
    <x v="304"/>
    <n v="4500513987"/>
    <x v="255"/>
    <x v="41"/>
    <s v="Reserva"/>
    <m/>
    <m/>
    <m/>
    <x v="0"/>
    <s v="Pedido Completo"/>
    <x v="1"/>
    <x v="0"/>
    <x v="0"/>
  </r>
  <r>
    <x v="53"/>
    <x v="53"/>
    <n v="1"/>
    <x v="405"/>
    <n v="4500513987"/>
    <x v="255"/>
    <x v="41"/>
    <s v="Reserva"/>
    <m/>
    <m/>
    <m/>
    <x v="0"/>
    <s v="Pedido Completo"/>
    <x v="1"/>
    <x v="0"/>
    <x v="0"/>
  </r>
  <r>
    <x v="27"/>
    <x v="27"/>
    <n v="1"/>
    <x v="352"/>
    <n v="4500513987"/>
    <x v="255"/>
    <x v="41"/>
    <s v="Reserva"/>
    <m/>
    <m/>
    <m/>
    <x v="0"/>
    <s v="Pedido Completo"/>
    <x v="1"/>
    <x v="0"/>
    <x v="0"/>
  </r>
  <r>
    <x v="26"/>
    <x v="26"/>
    <n v="1"/>
    <x v="101"/>
    <n v="4500513987"/>
    <x v="255"/>
    <x v="41"/>
    <s v="Reserva"/>
    <m/>
    <m/>
    <m/>
    <x v="0"/>
    <s v="Pedido Completo"/>
    <x v="1"/>
    <x v="0"/>
    <x v="0"/>
  </r>
  <r>
    <x v="78"/>
    <x v="78"/>
    <n v="1"/>
    <x v="257"/>
    <n v="874127"/>
    <x v="256"/>
    <x v="41"/>
    <s v="Venta"/>
    <m/>
    <m/>
    <m/>
    <x v="0"/>
    <m/>
    <x v="50"/>
    <x v="1"/>
    <x v="118"/>
  </r>
  <r>
    <x v="22"/>
    <x v="22"/>
    <n v="1"/>
    <x v="79"/>
    <n v="874127"/>
    <x v="256"/>
    <x v="41"/>
    <s v="Venta"/>
    <m/>
    <m/>
    <m/>
    <x v="0"/>
    <m/>
    <x v="50"/>
    <x v="1"/>
    <x v="118"/>
  </r>
  <r>
    <x v="23"/>
    <x v="23"/>
    <n v="1"/>
    <x v="78"/>
    <n v="874127"/>
    <x v="256"/>
    <x v="41"/>
    <s v="Venta"/>
    <m/>
    <m/>
    <m/>
    <x v="0"/>
    <m/>
    <x v="50"/>
    <x v="1"/>
    <x v="118"/>
  </r>
  <r>
    <x v="78"/>
    <x v="78"/>
    <n v="1"/>
    <x v="257"/>
    <n v="874128"/>
    <x v="257"/>
    <x v="41"/>
    <s v="Venta"/>
    <m/>
    <m/>
    <m/>
    <x v="0"/>
    <s v="Pedido Completo"/>
    <x v="1"/>
    <x v="1"/>
    <x v="119"/>
  </r>
  <r>
    <x v="22"/>
    <x v="22"/>
    <n v="1"/>
    <x v="79"/>
    <n v="874128"/>
    <x v="257"/>
    <x v="41"/>
    <s v="Venta"/>
    <m/>
    <m/>
    <m/>
    <x v="0"/>
    <s v="Pedido Completo"/>
    <x v="1"/>
    <x v="1"/>
    <x v="120"/>
  </r>
  <r>
    <x v="23"/>
    <x v="23"/>
    <n v="1"/>
    <x v="78"/>
    <n v="874128"/>
    <x v="257"/>
    <x v="41"/>
    <s v="Venta"/>
    <m/>
    <m/>
    <m/>
    <x v="0"/>
    <s v="Pedido Completo"/>
    <x v="1"/>
    <x v="1"/>
    <x v="120"/>
  </r>
  <r>
    <x v="22"/>
    <x v="22"/>
    <n v="1"/>
    <x v="79"/>
    <n v="874129"/>
    <x v="258"/>
    <x v="41"/>
    <s v="Venta"/>
    <m/>
    <m/>
    <m/>
    <x v="0"/>
    <m/>
    <x v="61"/>
    <x v="1"/>
    <x v="120"/>
  </r>
  <r>
    <x v="23"/>
    <x v="23"/>
    <n v="1"/>
    <x v="78"/>
    <n v="874129"/>
    <x v="258"/>
    <x v="41"/>
    <s v="Venta"/>
    <m/>
    <m/>
    <m/>
    <x v="0"/>
    <m/>
    <x v="61"/>
    <x v="1"/>
    <x v="120"/>
  </r>
  <r>
    <x v="22"/>
    <x v="22"/>
    <n v="1"/>
    <x v="79"/>
    <n v="874130"/>
    <x v="259"/>
    <x v="41"/>
    <s v="Venta"/>
    <m/>
    <m/>
    <m/>
    <x v="0"/>
    <m/>
    <x v="62"/>
    <x v="1"/>
    <x v="121"/>
  </r>
  <r>
    <x v="23"/>
    <x v="23"/>
    <n v="1"/>
    <x v="78"/>
    <n v="874130"/>
    <x v="259"/>
    <x v="41"/>
    <s v="Venta"/>
    <m/>
    <m/>
    <m/>
    <x v="0"/>
    <m/>
    <x v="62"/>
    <x v="1"/>
    <x v="121"/>
  </r>
  <r>
    <x v="93"/>
    <x v="93"/>
    <n v="2"/>
    <x v="411"/>
    <n v="874134"/>
    <x v="260"/>
    <x v="41"/>
    <s v="Venta"/>
    <m/>
    <m/>
    <m/>
    <x v="0"/>
    <m/>
    <x v="48"/>
    <x v="1"/>
    <x v="122"/>
  </r>
  <r>
    <x v="73"/>
    <x v="73"/>
    <n v="1"/>
    <x v="300"/>
    <n v="4500513990"/>
    <x v="261"/>
    <x v="41"/>
    <s v="Reserva"/>
    <m/>
    <m/>
    <m/>
    <x v="0"/>
    <m/>
    <x v="61"/>
    <x v="0"/>
    <x v="0"/>
  </r>
  <r>
    <x v="35"/>
    <x v="35"/>
    <n v="1"/>
    <x v="47"/>
    <n v="4500513990"/>
    <x v="261"/>
    <x v="41"/>
    <s v="Reserva"/>
    <m/>
    <m/>
    <m/>
    <x v="0"/>
    <m/>
    <x v="61"/>
    <x v="0"/>
    <x v="0"/>
  </r>
  <r>
    <x v="53"/>
    <x v="53"/>
    <n v="1"/>
    <x v="405"/>
    <n v="4500513990"/>
    <x v="261"/>
    <x v="41"/>
    <s v="Reserva"/>
    <m/>
    <m/>
    <m/>
    <x v="0"/>
    <m/>
    <x v="61"/>
    <x v="0"/>
    <x v="0"/>
  </r>
  <r>
    <x v="1"/>
    <x v="1"/>
    <n v="4"/>
    <x v="304"/>
    <n v="4500513990"/>
    <x v="261"/>
    <x v="41"/>
    <s v="Reserva"/>
    <m/>
    <m/>
    <m/>
    <x v="0"/>
    <m/>
    <x v="61"/>
    <x v="0"/>
    <x v="0"/>
  </r>
  <r>
    <x v="74"/>
    <x v="74"/>
    <n v="1"/>
    <x v="299"/>
    <n v="4500513990"/>
    <x v="261"/>
    <x v="41"/>
    <s v="Reserva"/>
    <m/>
    <m/>
    <m/>
    <x v="0"/>
    <m/>
    <x v="61"/>
    <x v="0"/>
    <x v="0"/>
  </r>
  <r>
    <x v="73"/>
    <x v="73"/>
    <n v="1"/>
    <x v="300"/>
    <n v="4500513994"/>
    <x v="262"/>
    <x v="41"/>
    <s v="Reserva"/>
    <m/>
    <m/>
    <m/>
    <x v="0"/>
    <m/>
    <x v="62"/>
    <x v="0"/>
    <x v="0"/>
  </r>
  <r>
    <x v="35"/>
    <x v="35"/>
    <n v="1"/>
    <x v="47"/>
    <n v="4500513994"/>
    <x v="262"/>
    <x v="41"/>
    <s v="Reserva"/>
    <m/>
    <m/>
    <m/>
    <x v="0"/>
    <m/>
    <x v="62"/>
    <x v="0"/>
    <x v="0"/>
  </r>
  <r>
    <x v="53"/>
    <x v="53"/>
    <n v="1"/>
    <x v="405"/>
    <n v="4500513994"/>
    <x v="262"/>
    <x v="41"/>
    <s v="Reserva"/>
    <m/>
    <m/>
    <m/>
    <x v="0"/>
    <m/>
    <x v="62"/>
    <x v="0"/>
    <x v="0"/>
  </r>
  <r>
    <x v="1"/>
    <x v="1"/>
    <n v="4"/>
    <x v="304"/>
    <n v="4500513994"/>
    <x v="262"/>
    <x v="41"/>
    <s v="Reserva"/>
    <m/>
    <m/>
    <m/>
    <x v="0"/>
    <m/>
    <x v="62"/>
    <x v="0"/>
    <x v="0"/>
  </r>
  <r>
    <x v="94"/>
    <x v="94"/>
    <n v="1"/>
    <x v="412"/>
    <n v="4500513994"/>
    <x v="262"/>
    <x v="41"/>
    <s v="Reserva"/>
    <m/>
    <m/>
    <m/>
    <x v="0"/>
    <m/>
    <x v="62"/>
    <x v="0"/>
    <x v="0"/>
  </r>
  <r>
    <x v="0"/>
    <x v="0"/>
    <n v="3"/>
    <x v="275"/>
    <n v="4500513994"/>
    <x v="262"/>
    <x v="41"/>
    <s v="Reserva"/>
    <m/>
    <m/>
    <m/>
    <x v="0"/>
    <m/>
    <x v="62"/>
    <x v="0"/>
    <x v="0"/>
  </r>
  <r>
    <x v="7"/>
    <x v="7"/>
    <n v="12"/>
    <x v="306"/>
    <n v="873923"/>
    <x v="263"/>
    <x v="42"/>
    <s v="Venta"/>
    <m/>
    <m/>
    <m/>
    <x v="0"/>
    <m/>
    <x v="26"/>
    <x v="1"/>
    <x v="123"/>
  </r>
  <r>
    <x v="30"/>
    <x v="30"/>
    <n v="1"/>
    <x v="0"/>
    <n v="4500512963"/>
    <x v="264"/>
    <x v="43"/>
    <s v="Reserva"/>
    <m/>
    <m/>
    <m/>
    <x v="0"/>
    <m/>
    <x v="26"/>
    <x v="0"/>
    <x v="0"/>
  </r>
  <r>
    <x v="1"/>
    <x v="1"/>
    <n v="4"/>
    <x v="0"/>
    <n v="4500512963"/>
    <x v="264"/>
    <x v="43"/>
    <s v="Reserva"/>
    <m/>
    <m/>
    <m/>
    <x v="0"/>
    <m/>
    <x v="26"/>
    <x v="0"/>
    <x v="0"/>
  </r>
  <r>
    <x v="53"/>
    <x v="53"/>
    <n v="1"/>
    <x v="0"/>
    <n v="4500512963"/>
    <x v="264"/>
    <x v="43"/>
    <s v="Reserva"/>
    <m/>
    <m/>
    <m/>
    <x v="0"/>
    <m/>
    <x v="26"/>
    <x v="0"/>
    <x v="0"/>
  </r>
  <r>
    <x v="27"/>
    <x v="27"/>
    <n v="1"/>
    <x v="0"/>
    <n v="4500512963"/>
    <x v="264"/>
    <x v="43"/>
    <s v="Reserva"/>
    <m/>
    <m/>
    <m/>
    <x v="0"/>
    <m/>
    <x v="26"/>
    <x v="0"/>
    <x v="0"/>
  </r>
  <r>
    <x v="26"/>
    <x v="26"/>
    <n v="1"/>
    <x v="0"/>
    <n v="4500512963"/>
    <x v="264"/>
    <x v="43"/>
    <s v="Reserva"/>
    <m/>
    <m/>
    <m/>
    <x v="0"/>
    <m/>
    <x v="26"/>
    <x v="0"/>
    <x v="0"/>
  </r>
  <r>
    <x v="24"/>
    <x v="24"/>
    <n v="18"/>
    <x v="0"/>
    <n v="873978"/>
    <x v="265"/>
    <x v="43"/>
    <s v="Venta"/>
    <m/>
    <m/>
    <m/>
    <x v="0"/>
    <m/>
    <x v="60"/>
    <x v="0"/>
    <x v="0"/>
  </r>
  <r>
    <x v="0"/>
    <x v="0"/>
    <n v="2"/>
    <x v="0"/>
    <n v="4500513321"/>
    <x v="266"/>
    <x v="43"/>
    <s v="Reserva"/>
    <m/>
    <m/>
    <m/>
    <x v="0"/>
    <m/>
    <x v="57"/>
    <x v="0"/>
    <x v="0"/>
  </r>
  <r>
    <x v="30"/>
    <x v="30"/>
    <n v="18"/>
    <x v="0"/>
    <n v="4500512975"/>
    <x v="267"/>
    <x v="44"/>
    <s v="Reserva"/>
    <m/>
    <m/>
    <m/>
    <x v="0"/>
    <m/>
    <x v="60"/>
    <x v="0"/>
    <x v="0"/>
  </r>
  <r>
    <x v="41"/>
    <x v="41"/>
    <n v="1"/>
    <x v="0"/>
    <n v="4500512975"/>
    <x v="267"/>
    <x v="44"/>
    <s v="Reserva"/>
    <m/>
    <m/>
    <m/>
    <x v="0"/>
    <m/>
    <x v="60"/>
    <x v="0"/>
    <x v="0"/>
  </r>
  <r>
    <x v="5"/>
    <x v="5"/>
    <n v="6"/>
    <x v="0"/>
    <n v="4500512975"/>
    <x v="267"/>
    <x v="44"/>
    <s v="Reserva"/>
    <m/>
    <m/>
    <m/>
    <x v="0"/>
    <m/>
    <x v="60"/>
    <x v="0"/>
    <x v="0"/>
  </r>
  <r>
    <x v="14"/>
    <x v="14"/>
    <n v="1"/>
    <x v="0"/>
    <n v="4500512975"/>
    <x v="267"/>
    <x v="44"/>
    <s v="Reserva"/>
    <m/>
    <m/>
    <m/>
    <x v="0"/>
    <m/>
    <x v="60"/>
    <x v="0"/>
    <x v="0"/>
  </r>
  <r>
    <x v="1"/>
    <x v="1"/>
    <n v="81"/>
    <x v="0"/>
    <n v="4500512975"/>
    <x v="267"/>
    <x v="44"/>
    <s v="Reserva"/>
    <m/>
    <m/>
    <m/>
    <x v="0"/>
    <m/>
    <x v="60"/>
    <x v="0"/>
    <x v="0"/>
  </r>
  <r>
    <x v="12"/>
    <x v="12"/>
    <n v="3"/>
    <x v="0"/>
    <n v="4500512975"/>
    <x v="267"/>
    <x v="44"/>
    <s v="Reserva"/>
    <m/>
    <m/>
    <m/>
    <x v="0"/>
    <m/>
    <x v="60"/>
    <x v="0"/>
    <x v="0"/>
  </r>
  <r>
    <x v="53"/>
    <x v="53"/>
    <n v="18"/>
    <x v="0"/>
    <n v="4500512975"/>
    <x v="267"/>
    <x v="44"/>
    <s v="Reserva"/>
    <m/>
    <m/>
    <m/>
    <x v="0"/>
    <m/>
    <x v="60"/>
    <x v="0"/>
    <x v="0"/>
  </r>
  <r>
    <x v="28"/>
    <x v="28"/>
    <n v="3"/>
    <x v="0"/>
    <n v="4500512975"/>
    <x v="267"/>
    <x v="44"/>
    <s v="Reserva"/>
    <m/>
    <m/>
    <m/>
    <x v="0"/>
    <m/>
    <x v="60"/>
    <x v="0"/>
    <x v="0"/>
  </r>
  <r>
    <x v="35"/>
    <x v="35"/>
    <n v="1"/>
    <x v="0"/>
    <n v="4500512975"/>
    <x v="267"/>
    <x v="44"/>
    <s v="Reserva"/>
    <m/>
    <m/>
    <m/>
    <x v="0"/>
    <m/>
    <x v="60"/>
    <x v="0"/>
    <x v="0"/>
  </r>
  <r>
    <x v="80"/>
    <x v="80"/>
    <n v="2"/>
    <x v="0"/>
    <n v="4500512975"/>
    <x v="267"/>
    <x v="44"/>
    <s v="Reserva"/>
    <m/>
    <m/>
    <m/>
    <x v="0"/>
    <m/>
    <x v="60"/>
    <x v="0"/>
    <x v="0"/>
  </r>
  <r>
    <x v="27"/>
    <x v="27"/>
    <n v="21"/>
    <x v="0"/>
    <n v="4500512975"/>
    <x v="267"/>
    <x v="44"/>
    <s v="Reserva"/>
    <m/>
    <m/>
    <m/>
    <x v="0"/>
    <m/>
    <x v="60"/>
    <x v="0"/>
    <x v="0"/>
  </r>
  <r>
    <x v="26"/>
    <x v="26"/>
    <n v="20"/>
    <x v="0"/>
    <n v="4500512975"/>
    <x v="267"/>
    <x v="44"/>
    <s v="Reserva"/>
    <m/>
    <m/>
    <m/>
    <x v="0"/>
    <m/>
    <x v="60"/>
    <x v="0"/>
    <x v="0"/>
  </r>
  <r>
    <x v="50"/>
    <x v="50"/>
    <n v="1"/>
    <x v="0"/>
    <n v="4500512973"/>
    <x v="268"/>
    <x v="44"/>
    <s v="Reserva"/>
    <m/>
    <m/>
    <m/>
    <x v="0"/>
    <m/>
    <x v="52"/>
    <x v="0"/>
    <x v="0"/>
  </r>
  <r>
    <x v="12"/>
    <x v="12"/>
    <n v="1"/>
    <x v="0"/>
    <n v="4500512973"/>
    <x v="268"/>
    <x v="44"/>
    <s v="Reserva"/>
    <m/>
    <m/>
    <m/>
    <x v="0"/>
    <m/>
    <x v="52"/>
    <x v="0"/>
    <x v="0"/>
  </r>
  <r>
    <x v="95"/>
    <x v="95"/>
    <n v="1"/>
    <x v="0"/>
    <n v="4500512973"/>
    <x v="268"/>
    <x v="44"/>
    <s v="Reserva"/>
    <m/>
    <m/>
    <m/>
    <x v="0"/>
    <m/>
    <x v="52"/>
    <x v="0"/>
    <x v="0"/>
  </r>
  <r>
    <x v="29"/>
    <x v="29"/>
    <n v="1"/>
    <x v="0"/>
    <n v="4500512973"/>
    <x v="268"/>
    <x v="44"/>
    <s v="Reserva"/>
    <m/>
    <m/>
    <m/>
    <x v="0"/>
    <m/>
    <x v="52"/>
    <x v="0"/>
    <x v="0"/>
  </r>
  <r>
    <x v="14"/>
    <x v="14"/>
    <n v="1"/>
    <x v="0"/>
    <n v="4500512973"/>
    <x v="268"/>
    <x v="44"/>
    <s v="Reserva"/>
    <m/>
    <m/>
    <m/>
    <x v="0"/>
    <m/>
    <x v="52"/>
    <x v="0"/>
    <x v="0"/>
  </r>
  <r>
    <x v="5"/>
    <x v="5"/>
    <n v="4"/>
    <x v="0"/>
    <n v="4500512973"/>
    <x v="268"/>
    <x v="44"/>
    <s v="Reserva"/>
    <m/>
    <m/>
    <m/>
    <x v="0"/>
    <m/>
    <x v="52"/>
    <x v="0"/>
    <x v="0"/>
  </r>
  <r>
    <x v="48"/>
    <x v="48"/>
    <n v="1"/>
    <x v="0"/>
    <n v="4500512973"/>
    <x v="268"/>
    <x v="44"/>
    <s v="Reserva"/>
    <m/>
    <m/>
    <m/>
    <x v="0"/>
    <m/>
    <x v="52"/>
    <x v="0"/>
    <x v="0"/>
  </r>
  <r>
    <x v="54"/>
    <x v="54"/>
    <n v="1"/>
    <x v="0"/>
    <n v="4500512973"/>
    <x v="268"/>
    <x v="44"/>
    <s v="Reserva"/>
    <m/>
    <m/>
    <m/>
    <x v="0"/>
    <m/>
    <x v="52"/>
    <x v="0"/>
    <x v="0"/>
  </r>
  <r>
    <x v="0"/>
    <x v="0"/>
    <n v="4"/>
    <x v="0"/>
    <n v="4500512971"/>
    <x v="269"/>
    <x v="44"/>
    <s v="Reserva"/>
    <m/>
    <m/>
    <m/>
    <x v="0"/>
    <m/>
    <x v="58"/>
    <x v="0"/>
    <x v="0"/>
  </r>
  <r>
    <x v="0"/>
    <x v="0"/>
    <n v="2"/>
    <x v="0"/>
    <n v="4500512969"/>
    <x v="270"/>
    <x v="44"/>
    <s v="Reserva"/>
    <m/>
    <m/>
    <m/>
    <x v="0"/>
    <m/>
    <x v="56"/>
    <x v="0"/>
    <x v="0"/>
  </r>
  <r>
    <x v="23"/>
    <x v="23"/>
    <n v="18"/>
    <x v="0"/>
    <n v="873923"/>
    <x v="271"/>
    <x v="44"/>
    <s v="Venta"/>
    <m/>
    <m/>
    <m/>
    <x v="0"/>
    <m/>
    <x v="60"/>
    <x v="0"/>
    <x v="0"/>
  </r>
  <r>
    <x v="6"/>
    <x v="6"/>
    <n v="150"/>
    <x v="0"/>
    <n v="873923"/>
    <x v="271"/>
    <x v="44"/>
    <s v="Venta"/>
    <m/>
    <s v="G-011-01-44548"/>
    <m/>
    <x v="0"/>
    <m/>
    <x v="60"/>
    <x v="0"/>
    <x v="0"/>
  </r>
  <r>
    <x v="19"/>
    <x v="19"/>
    <n v="200"/>
    <x v="0"/>
    <n v="873923"/>
    <x v="271"/>
    <x v="44"/>
    <s v="Venta"/>
    <m/>
    <m/>
    <m/>
    <x v="0"/>
    <m/>
    <x v="60"/>
    <x v="0"/>
    <x v="0"/>
  </r>
  <r>
    <x v="20"/>
    <x v="20"/>
    <n v="5"/>
    <x v="0"/>
    <n v="873923"/>
    <x v="271"/>
    <x v="44"/>
    <s v="Venta"/>
    <m/>
    <m/>
    <m/>
    <x v="0"/>
    <m/>
    <x v="60"/>
    <x v="0"/>
    <x v="0"/>
  </r>
  <r>
    <x v="18"/>
    <x v="18"/>
    <n v="200"/>
    <x v="0"/>
    <n v="873923"/>
    <x v="271"/>
    <x v="44"/>
    <s v="Venta"/>
    <m/>
    <m/>
    <m/>
    <x v="0"/>
    <m/>
    <x v="60"/>
    <x v="0"/>
    <x v="0"/>
  </r>
  <r>
    <x v="22"/>
    <x v="22"/>
    <n v="21"/>
    <x v="0"/>
    <n v="873923"/>
    <x v="271"/>
    <x v="44"/>
    <s v="Venta"/>
    <m/>
    <m/>
    <m/>
    <x v="0"/>
    <m/>
    <x v="60"/>
    <x v="0"/>
    <x v="0"/>
  </r>
  <r>
    <x v="78"/>
    <x v="78"/>
    <n v="21"/>
    <x v="0"/>
    <n v="873923"/>
    <x v="271"/>
    <x v="44"/>
    <s v="Venta"/>
    <m/>
    <m/>
    <m/>
    <x v="0"/>
    <m/>
    <x v="60"/>
    <x v="0"/>
    <x v="0"/>
  </r>
  <r>
    <x v="23"/>
    <x v="23"/>
    <n v="1"/>
    <x v="0"/>
    <n v="873923"/>
    <x v="271"/>
    <x v="44"/>
    <s v="Venta"/>
    <m/>
    <m/>
    <m/>
    <x v="0"/>
    <m/>
    <x v="52"/>
    <x v="0"/>
    <x v="0"/>
  </r>
  <r>
    <x v="22"/>
    <x v="22"/>
    <n v="1"/>
    <x v="0"/>
    <n v="873923"/>
    <x v="271"/>
    <x v="44"/>
    <s v="Venta"/>
    <m/>
    <m/>
    <m/>
    <x v="0"/>
    <m/>
    <x v="26"/>
    <x v="0"/>
    <x v="0"/>
  </r>
  <r>
    <x v="78"/>
    <x v="78"/>
    <n v="1"/>
    <x v="0"/>
    <n v="873923"/>
    <x v="271"/>
    <x v="44"/>
    <s v="Venta"/>
    <m/>
    <m/>
    <m/>
    <x v="0"/>
    <m/>
    <x v="26"/>
    <x v="0"/>
    <x v="0"/>
  </r>
  <r>
    <x v="23"/>
    <x v="23"/>
    <n v="1"/>
    <x v="0"/>
    <n v="873923"/>
    <x v="271"/>
    <x v="44"/>
    <s v="Venta"/>
    <m/>
    <m/>
    <m/>
    <x v="0"/>
    <m/>
    <x v="26"/>
    <x v="0"/>
    <x v="0"/>
  </r>
  <r>
    <x v="64"/>
    <x v="64"/>
    <n v="1"/>
    <x v="209"/>
    <n v="873692"/>
    <x v="272"/>
    <x v="45"/>
    <s v="Venta"/>
    <m/>
    <m/>
    <m/>
    <x v="0"/>
    <m/>
    <x v="63"/>
    <x v="1"/>
    <x v="124"/>
  </r>
  <r>
    <x v="71"/>
    <x v="71"/>
    <n v="1"/>
    <x v="208"/>
    <n v="873692"/>
    <x v="272"/>
    <x v="45"/>
    <s v="Venta"/>
    <m/>
    <m/>
    <m/>
    <x v="0"/>
    <m/>
    <x v="63"/>
    <x v="1"/>
    <x v="124"/>
  </r>
  <r>
    <x v="23"/>
    <x v="23"/>
    <n v="1"/>
    <x v="413"/>
    <n v="873692"/>
    <x v="272"/>
    <x v="45"/>
    <s v="Venta"/>
    <m/>
    <m/>
    <m/>
    <x v="0"/>
    <m/>
    <x v="63"/>
    <x v="1"/>
    <x v="124"/>
  </r>
  <r>
    <x v="78"/>
    <x v="78"/>
    <n v="1"/>
    <x v="257"/>
    <n v="873692"/>
    <x v="272"/>
    <x v="45"/>
    <s v="Venta"/>
    <m/>
    <m/>
    <m/>
    <x v="0"/>
    <m/>
    <x v="63"/>
    <x v="1"/>
    <x v="124"/>
  </r>
  <r>
    <x v="22"/>
    <x v="22"/>
    <n v="1"/>
    <x v="79"/>
    <n v="873692"/>
    <x v="272"/>
    <x v="45"/>
    <s v="Venta"/>
    <m/>
    <m/>
    <m/>
    <x v="0"/>
    <m/>
    <x v="63"/>
    <x v="1"/>
    <x v="124"/>
  </r>
  <r>
    <x v="2"/>
    <x v="2"/>
    <n v="50"/>
    <x v="81"/>
    <n v="873714"/>
    <x v="273"/>
    <x v="45"/>
    <s v="Venta"/>
    <m/>
    <s v="G-011-01-44548"/>
    <d v="2025-06-30T00:00:00"/>
    <x v="1"/>
    <m/>
    <x v="64"/>
    <x v="1"/>
    <x v="125"/>
  </r>
  <r>
    <x v="24"/>
    <x v="24"/>
    <n v="12"/>
    <x v="288"/>
    <n v="873714"/>
    <x v="273"/>
    <x v="45"/>
    <s v="Venta"/>
    <m/>
    <m/>
    <m/>
    <x v="0"/>
    <m/>
    <x v="48"/>
    <x v="1"/>
    <x v="125"/>
  </r>
  <r>
    <x v="78"/>
    <x v="78"/>
    <n v="1"/>
    <x v="257"/>
    <n v="873665"/>
    <x v="274"/>
    <x v="45"/>
    <s v="Venta"/>
    <m/>
    <m/>
    <m/>
    <x v="0"/>
    <m/>
    <x v="64"/>
    <x v="1"/>
    <x v="126"/>
  </r>
  <r>
    <x v="22"/>
    <x v="22"/>
    <n v="1"/>
    <x v="79"/>
    <n v="873665"/>
    <x v="274"/>
    <x v="45"/>
    <s v="Venta"/>
    <m/>
    <m/>
    <m/>
    <x v="0"/>
    <m/>
    <x v="64"/>
    <x v="1"/>
    <x v="126"/>
  </r>
  <r>
    <x v="23"/>
    <x v="23"/>
    <n v="1"/>
    <x v="413"/>
    <n v="873665"/>
    <x v="274"/>
    <x v="45"/>
    <s v="Venta"/>
    <m/>
    <m/>
    <m/>
    <x v="0"/>
    <m/>
    <x v="64"/>
    <x v="1"/>
    <x v="126"/>
  </r>
  <r>
    <x v="20"/>
    <x v="20"/>
    <n v="2"/>
    <x v="197"/>
    <n v="873690"/>
    <x v="275"/>
    <x v="45"/>
    <s v="Venta"/>
    <m/>
    <m/>
    <m/>
    <x v="0"/>
    <m/>
    <x v="55"/>
    <x v="1"/>
    <x v="127"/>
  </r>
  <r>
    <x v="6"/>
    <x v="6"/>
    <n v="50"/>
    <x v="204"/>
    <n v="873690"/>
    <x v="275"/>
    <x v="45"/>
    <s v="Venta"/>
    <m/>
    <m/>
    <m/>
    <x v="0"/>
    <m/>
    <x v="55"/>
    <x v="1"/>
    <x v="127"/>
  </r>
  <r>
    <x v="78"/>
    <x v="78"/>
    <n v="2"/>
    <x v="341"/>
    <n v="873690"/>
    <x v="275"/>
    <x v="45"/>
    <s v="Venta"/>
    <m/>
    <m/>
    <m/>
    <x v="0"/>
    <m/>
    <x v="55"/>
    <x v="1"/>
    <x v="127"/>
  </r>
  <r>
    <x v="22"/>
    <x v="22"/>
    <n v="2"/>
    <x v="115"/>
    <n v="873690"/>
    <x v="275"/>
    <x v="45"/>
    <s v="Venta"/>
    <m/>
    <m/>
    <m/>
    <x v="0"/>
    <m/>
    <x v="55"/>
    <x v="1"/>
    <x v="127"/>
  </r>
  <r>
    <x v="23"/>
    <x v="23"/>
    <n v="1"/>
    <x v="413"/>
    <n v="873690"/>
    <x v="275"/>
    <x v="45"/>
    <s v="Venta"/>
    <m/>
    <m/>
    <m/>
    <x v="0"/>
    <m/>
    <x v="55"/>
    <x v="1"/>
    <x v="127"/>
  </r>
  <r>
    <x v="78"/>
    <x v="78"/>
    <n v="1"/>
    <x v="257"/>
    <n v="873688"/>
    <x v="276"/>
    <x v="45"/>
    <s v="Venta"/>
    <m/>
    <m/>
    <m/>
    <x v="0"/>
    <m/>
    <x v="54"/>
    <x v="1"/>
    <x v="128"/>
  </r>
  <r>
    <x v="22"/>
    <x v="22"/>
    <n v="1"/>
    <x v="79"/>
    <n v="873688"/>
    <x v="276"/>
    <x v="45"/>
    <s v="Venta"/>
    <m/>
    <m/>
    <m/>
    <x v="0"/>
    <m/>
    <x v="54"/>
    <x v="1"/>
    <x v="128"/>
  </r>
  <r>
    <x v="23"/>
    <x v="23"/>
    <n v="1"/>
    <x v="413"/>
    <n v="873688"/>
    <x v="276"/>
    <x v="45"/>
    <s v="Venta"/>
    <m/>
    <m/>
    <m/>
    <x v="0"/>
    <m/>
    <x v="54"/>
    <x v="1"/>
    <x v="128"/>
  </r>
  <r>
    <x v="78"/>
    <x v="78"/>
    <n v="1"/>
    <x v="257"/>
    <n v="873686"/>
    <x v="277"/>
    <x v="45"/>
    <s v="Venta"/>
    <m/>
    <m/>
    <m/>
    <x v="0"/>
    <m/>
    <x v="57"/>
    <x v="1"/>
    <x v="129"/>
  </r>
  <r>
    <x v="22"/>
    <x v="22"/>
    <n v="1"/>
    <x v="79"/>
    <n v="873686"/>
    <x v="277"/>
    <x v="45"/>
    <s v="Venta"/>
    <m/>
    <m/>
    <m/>
    <x v="0"/>
    <m/>
    <x v="57"/>
    <x v="1"/>
    <x v="129"/>
  </r>
  <r>
    <x v="23"/>
    <x v="23"/>
    <n v="1"/>
    <x v="413"/>
    <n v="873686"/>
    <x v="277"/>
    <x v="45"/>
    <s v="Venta"/>
    <m/>
    <m/>
    <m/>
    <x v="0"/>
    <m/>
    <x v="57"/>
    <x v="1"/>
    <x v="129"/>
  </r>
  <r>
    <x v="78"/>
    <x v="78"/>
    <n v="1"/>
    <x v="257"/>
    <n v="873684"/>
    <x v="278"/>
    <x v="45"/>
    <s v="Venta"/>
    <m/>
    <m/>
    <m/>
    <x v="0"/>
    <m/>
    <x v="58"/>
    <x v="1"/>
    <x v="130"/>
  </r>
  <r>
    <x v="22"/>
    <x v="22"/>
    <n v="1"/>
    <x v="79"/>
    <n v="873684"/>
    <x v="278"/>
    <x v="45"/>
    <s v="Venta"/>
    <m/>
    <m/>
    <m/>
    <x v="0"/>
    <m/>
    <x v="58"/>
    <x v="1"/>
    <x v="130"/>
  </r>
  <r>
    <x v="23"/>
    <x v="23"/>
    <n v="1"/>
    <x v="413"/>
    <n v="873684"/>
    <x v="278"/>
    <x v="45"/>
    <s v="Venta"/>
    <m/>
    <m/>
    <m/>
    <x v="0"/>
    <m/>
    <x v="58"/>
    <x v="1"/>
    <x v="130"/>
  </r>
  <r>
    <x v="78"/>
    <x v="78"/>
    <n v="1"/>
    <x v="257"/>
    <n v="873683"/>
    <x v="279"/>
    <x v="45"/>
    <s v="Venta"/>
    <m/>
    <m/>
    <m/>
    <x v="0"/>
    <m/>
    <x v="56"/>
    <x v="1"/>
    <x v="131"/>
  </r>
  <r>
    <x v="22"/>
    <x v="22"/>
    <n v="1"/>
    <x v="79"/>
    <n v="873683"/>
    <x v="279"/>
    <x v="45"/>
    <s v="Venta"/>
    <m/>
    <m/>
    <m/>
    <x v="0"/>
    <m/>
    <x v="56"/>
    <x v="1"/>
    <x v="131"/>
  </r>
  <r>
    <x v="23"/>
    <x v="23"/>
    <n v="1"/>
    <x v="413"/>
    <n v="873683"/>
    <x v="279"/>
    <x v="45"/>
    <s v="Venta"/>
    <m/>
    <m/>
    <m/>
    <x v="0"/>
    <m/>
    <x v="56"/>
    <x v="1"/>
    <x v="131"/>
  </r>
  <r>
    <x v="24"/>
    <x v="24"/>
    <n v="6"/>
    <x v="29"/>
    <n v="873664"/>
    <x v="280"/>
    <x v="45"/>
    <s v="Venta"/>
    <m/>
    <m/>
    <m/>
    <x v="0"/>
    <m/>
    <x v="59"/>
    <x v="1"/>
    <x v="132"/>
  </r>
  <r>
    <x v="19"/>
    <x v="19"/>
    <n v="100"/>
    <x v="83"/>
    <n v="873664"/>
    <x v="280"/>
    <x v="45"/>
    <s v="Venta"/>
    <m/>
    <m/>
    <m/>
    <x v="0"/>
    <m/>
    <x v="59"/>
    <x v="1"/>
    <x v="132"/>
  </r>
  <r>
    <x v="18"/>
    <x v="18"/>
    <n v="100"/>
    <x v="82"/>
    <n v="873664"/>
    <x v="280"/>
    <x v="45"/>
    <s v="Venta"/>
    <m/>
    <m/>
    <m/>
    <x v="0"/>
    <m/>
    <x v="59"/>
    <x v="1"/>
    <x v="132"/>
  </r>
  <r>
    <x v="78"/>
    <x v="78"/>
    <n v="1"/>
    <x v="257"/>
    <n v="873664"/>
    <x v="280"/>
    <x v="45"/>
    <s v="Venta"/>
    <m/>
    <m/>
    <m/>
    <x v="0"/>
    <m/>
    <x v="59"/>
    <x v="1"/>
    <x v="132"/>
  </r>
  <r>
    <x v="22"/>
    <x v="22"/>
    <n v="1"/>
    <x v="79"/>
    <n v="873664"/>
    <x v="280"/>
    <x v="45"/>
    <s v="Venta"/>
    <m/>
    <m/>
    <m/>
    <x v="0"/>
    <m/>
    <x v="59"/>
    <x v="1"/>
    <x v="131"/>
  </r>
  <r>
    <x v="23"/>
    <x v="23"/>
    <n v="1"/>
    <x v="413"/>
    <n v="873664"/>
    <x v="280"/>
    <x v="45"/>
    <s v="Venta"/>
    <m/>
    <m/>
    <m/>
    <x v="0"/>
    <m/>
    <x v="59"/>
    <x v="1"/>
    <x v="132"/>
  </r>
  <r>
    <x v="2"/>
    <x v="2"/>
    <n v="50"/>
    <x v="81"/>
    <n v="873664"/>
    <x v="280"/>
    <x v="45"/>
    <s v="Venta"/>
    <m/>
    <s v="G-011-01-44548"/>
    <d v="2025-06-30T00:00:00"/>
    <x v="1"/>
    <m/>
    <x v="59"/>
    <x v="1"/>
    <x v="132"/>
  </r>
  <r>
    <x v="24"/>
    <x v="24"/>
    <n v="6"/>
    <x v="29"/>
    <n v="4500512001"/>
    <x v="281"/>
    <x v="45"/>
    <s v="Reserva"/>
    <m/>
    <m/>
    <m/>
    <x v="0"/>
    <m/>
    <x v="64"/>
    <x v="0"/>
    <x v="0"/>
  </r>
  <r>
    <x v="24"/>
    <x v="24"/>
    <n v="6"/>
    <x v="29"/>
    <n v="873681"/>
    <x v="282"/>
    <x v="45"/>
    <s v="Venta"/>
    <m/>
    <m/>
    <m/>
    <x v="0"/>
    <m/>
    <x v="65"/>
    <x v="1"/>
    <x v="133"/>
  </r>
  <r>
    <x v="78"/>
    <x v="78"/>
    <n v="1"/>
    <x v="257"/>
    <n v="873681"/>
    <x v="282"/>
    <x v="45"/>
    <s v="Venta"/>
    <m/>
    <m/>
    <m/>
    <x v="0"/>
    <m/>
    <x v="65"/>
    <x v="1"/>
    <x v="133"/>
  </r>
  <r>
    <x v="22"/>
    <x v="22"/>
    <n v="1"/>
    <x v="79"/>
    <n v="873681"/>
    <x v="282"/>
    <x v="45"/>
    <s v="Venta"/>
    <m/>
    <m/>
    <m/>
    <x v="0"/>
    <m/>
    <x v="65"/>
    <x v="1"/>
    <x v="133"/>
  </r>
  <r>
    <x v="23"/>
    <x v="23"/>
    <n v="1"/>
    <x v="413"/>
    <n v="873681"/>
    <x v="282"/>
    <x v="45"/>
    <s v="Venta"/>
    <m/>
    <m/>
    <m/>
    <x v="0"/>
    <m/>
    <x v="65"/>
    <x v="1"/>
    <x v="133"/>
  </r>
  <r>
    <x v="1"/>
    <x v="1"/>
    <n v="4"/>
    <x v="414"/>
    <n v="4500512221"/>
    <x v="283"/>
    <x v="45"/>
    <s v="Reserva"/>
    <m/>
    <m/>
    <m/>
    <x v="0"/>
    <m/>
    <x v="63"/>
    <x v="0"/>
    <x v="0"/>
  </r>
  <r>
    <x v="53"/>
    <x v="53"/>
    <n v="1"/>
    <x v="405"/>
    <n v="4500512221"/>
    <x v="283"/>
    <x v="45"/>
    <s v="Reserva"/>
    <m/>
    <m/>
    <m/>
    <x v="0"/>
    <m/>
    <x v="63"/>
    <x v="0"/>
    <x v="0"/>
  </r>
  <r>
    <x v="27"/>
    <x v="27"/>
    <n v="1"/>
    <x v="415"/>
    <n v="4500512221"/>
    <x v="283"/>
    <x v="45"/>
    <s v="Reserva"/>
    <m/>
    <m/>
    <m/>
    <x v="0"/>
    <m/>
    <x v="63"/>
    <x v="0"/>
    <x v="0"/>
  </r>
  <r>
    <x v="40"/>
    <x v="40"/>
    <n v="1"/>
    <x v="85"/>
    <n v="4500512221"/>
    <x v="283"/>
    <x v="45"/>
    <s v="Reserva"/>
    <m/>
    <m/>
    <m/>
    <x v="0"/>
    <m/>
    <x v="63"/>
    <x v="0"/>
    <x v="0"/>
  </r>
  <r>
    <x v="26"/>
    <x v="26"/>
    <n v="1"/>
    <x v="101"/>
    <n v="4500512216"/>
    <x v="284"/>
    <x v="45"/>
    <s v="Reserva"/>
    <m/>
    <m/>
    <m/>
    <x v="0"/>
    <m/>
    <x v="54"/>
    <x v="0"/>
    <x v="0"/>
  </r>
  <r>
    <x v="27"/>
    <x v="27"/>
    <n v="1"/>
    <x v="415"/>
    <n v="4500512216"/>
    <x v="284"/>
    <x v="45"/>
    <s v="Reserva"/>
    <m/>
    <m/>
    <m/>
    <x v="0"/>
    <m/>
    <x v="54"/>
    <x v="0"/>
    <x v="0"/>
  </r>
  <r>
    <x v="53"/>
    <x v="53"/>
    <n v="1"/>
    <x v="405"/>
    <n v="4500512216"/>
    <x v="284"/>
    <x v="45"/>
    <s v="Reserva"/>
    <m/>
    <m/>
    <m/>
    <x v="0"/>
    <m/>
    <x v="54"/>
    <x v="0"/>
    <x v="0"/>
  </r>
  <r>
    <x v="1"/>
    <x v="1"/>
    <n v="4"/>
    <x v="414"/>
    <n v="4500512216"/>
    <x v="284"/>
    <x v="45"/>
    <s v="Reserva"/>
    <m/>
    <m/>
    <m/>
    <x v="0"/>
    <m/>
    <x v="54"/>
    <x v="0"/>
    <x v="0"/>
  </r>
  <r>
    <x v="30"/>
    <x v="30"/>
    <n v="1"/>
    <x v="231"/>
    <n v="4500512216"/>
    <x v="284"/>
    <x v="45"/>
    <s v="Reserva"/>
    <m/>
    <m/>
    <m/>
    <x v="0"/>
    <m/>
    <x v="54"/>
    <x v="0"/>
    <x v="0"/>
  </r>
  <r>
    <x v="27"/>
    <x v="27"/>
    <n v="1"/>
    <x v="415"/>
    <n v="4500512199"/>
    <x v="285"/>
    <x v="45"/>
    <s v="Reserva"/>
    <m/>
    <m/>
    <m/>
    <x v="0"/>
    <m/>
    <x v="58"/>
    <x v="0"/>
    <x v="0"/>
  </r>
  <r>
    <x v="53"/>
    <x v="53"/>
    <n v="1"/>
    <x v="405"/>
    <n v="4500512199"/>
    <x v="285"/>
    <x v="45"/>
    <s v="Reserva"/>
    <m/>
    <m/>
    <m/>
    <x v="0"/>
    <m/>
    <x v="58"/>
    <x v="0"/>
    <x v="0"/>
  </r>
  <r>
    <x v="1"/>
    <x v="1"/>
    <n v="4"/>
    <x v="414"/>
    <n v="4500512199"/>
    <x v="285"/>
    <x v="45"/>
    <s v="Reserva"/>
    <m/>
    <m/>
    <m/>
    <x v="0"/>
    <m/>
    <x v="58"/>
    <x v="0"/>
    <x v="0"/>
  </r>
  <r>
    <x v="55"/>
    <x v="55"/>
    <n v="1"/>
    <x v="237"/>
    <n v="4500512199"/>
    <x v="285"/>
    <x v="45"/>
    <s v="Reserva"/>
    <m/>
    <m/>
    <m/>
    <x v="0"/>
    <m/>
    <x v="58"/>
    <x v="0"/>
    <x v="0"/>
  </r>
  <r>
    <x v="30"/>
    <x v="30"/>
    <n v="1"/>
    <x v="231"/>
    <n v="4500512199"/>
    <x v="285"/>
    <x v="45"/>
    <s v="Reserva"/>
    <m/>
    <m/>
    <m/>
    <x v="0"/>
    <m/>
    <x v="58"/>
    <x v="0"/>
    <x v="0"/>
  </r>
  <r>
    <x v="53"/>
    <x v="53"/>
    <n v="1"/>
    <x v="405"/>
    <n v="4500512194"/>
    <x v="286"/>
    <x v="45"/>
    <s v="Reserva"/>
    <m/>
    <m/>
    <m/>
    <x v="0"/>
    <m/>
    <x v="65"/>
    <x v="0"/>
    <x v="0"/>
  </r>
  <r>
    <x v="55"/>
    <x v="55"/>
    <n v="1"/>
    <x v="237"/>
    <n v="4500512194"/>
    <x v="286"/>
    <x v="45"/>
    <s v="Reserva"/>
    <m/>
    <m/>
    <m/>
    <x v="0"/>
    <m/>
    <x v="65"/>
    <x v="0"/>
    <x v="0"/>
  </r>
  <r>
    <x v="30"/>
    <x v="30"/>
    <n v="1"/>
    <x v="231"/>
    <m/>
    <x v="287"/>
    <x v="45"/>
    <s v="Reserva"/>
    <m/>
    <m/>
    <m/>
    <x v="0"/>
    <m/>
    <x v="65"/>
    <x v="0"/>
    <x v="0"/>
  </r>
  <r>
    <x v="27"/>
    <x v="27"/>
    <n v="1"/>
    <x v="415"/>
    <n v="4500512194"/>
    <x v="286"/>
    <x v="45"/>
    <s v="Reserva"/>
    <m/>
    <m/>
    <m/>
    <x v="0"/>
    <m/>
    <x v="65"/>
    <x v="0"/>
    <x v="0"/>
  </r>
  <r>
    <x v="1"/>
    <x v="1"/>
    <n v="4"/>
    <x v="414"/>
    <n v="4500511997"/>
    <x v="288"/>
    <x v="45"/>
    <s v="Reserva"/>
    <m/>
    <m/>
    <m/>
    <x v="0"/>
    <m/>
    <x v="59"/>
    <x v="0"/>
    <x v="0"/>
  </r>
  <r>
    <x v="26"/>
    <x v="26"/>
    <n v="1"/>
    <x v="101"/>
    <n v="4500511997"/>
    <x v="288"/>
    <x v="45"/>
    <s v="Reserva"/>
    <m/>
    <m/>
    <m/>
    <x v="0"/>
    <m/>
    <x v="59"/>
    <x v="0"/>
    <x v="0"/>
  </r>
  <r>
    <x v="27"/>
    <x v="27"/>
    <n v="1"/>
    <x v="415"/>
    <n v="4500511997"/>
    <x v="288"/>
    <x v="45"/>
    <s v="Reserva"/>
    <m/>
    <m/>
    <m/>
    <x v="0"/>
    <m/>
    <x v="59"/>
    <x v="0"/>
    <x v="0"/>
  </r>
  <r>
    <x v="53"/>
    <x v="53"/>
    <n v="1"/>
    <x v="405"/>
    <n v="4500511997"/>
    <x v="288"/>
    <x v="45"/>
    <s v="Reserva"/>
    <m/>
    <m/>
    <m/>
    <x v="0"/>
    <m/>
    <x v="59"/>
    <x v="0"/>
    <x v="0"/>
  </r>
  <r>
    <x v="30"/>
    <x v="30"/>
    <n v="1"/>
    <x v="231"/>
    <n v="4500511997"/>
    <x v="288"/>
    <x v="45"/>
    <s v="Reserva"/>
    <m/>
    <m/>
    <m/>
    <x v="0"/>
    <m/>
    <x v="59"/>
    <x v="0"/>
    <x v="0"/>
  </r>
  <r>
    <x v="30"/>
    <x v="30"/>
    <n v="1"/>
    <x v="231"/>
    <n v="4500512218"/>
    <x v="289"/>
    <x v="45"/>
    <s v="Reserva"/>
    <m/>
    <m/>
    <m/>
    <x v="0"/>
    <m/>
    <x v="55"/>
    <x v="0"/>
    <x v="0"/>
  </r>
  <r>
    <x v="59"/>
    <x v="59"/>
    <n v="1"/>
    <x v="128"/>
    <n v="4500512218"/>
    <x v="289"/>
    <x v="45"/>
    <s v="Reserva"/>
    <m/>
    <m/>
    <m/>
    <x v="0"/>
    <m/>
    <x v="55"/>
    <x v="0"/>
    <x v="0"/>
  </r>
  <r>
    <x v="48"/>
    <x v="48"/>
    <n v="1"/>
    <x v="89"/>
    <n v="4500512218"/>
    <x v="289"/>
    <x v="45"/>
    <s v="Reserva"/>
    <m/>
    <m/>
    <m/>
    <x v="0"/>
    <m/>
    <x v="55"/>
    <x v="0"/>
    <x v="0"/>
  </r>
  <r>
    <x v="5"/>
    <x v="5"/>
    <n v="2"/>
    <x v="164"/>
    <n v="4500512218"/>
    <x v="289"/>
    <x v="45"/>
    <s v="Reserva"/>
    <m/>
    <m/>
    <m/>
    <x v="0"/>
    <m/>
    <x v="55"/>
    <x v="0"/>
    <x v="0"/>
  </r>
  <r>
    <x v="14"/>
    <x v="14"/>
    <n v="2"/>
    <x v="383"/>
    <n v="4500512218"/>
    <x v="289"/>
    <x v="45"/>
    <s v="Reserva"/>
    <m/>
    <m/>
    <m/>
    <x v="0"/>
    <m/>
    <x v="55"/>
    <x v="0"/>
    <x v="0"/>
  </r>
  <r>
    <x v="1"/>
    <x v="1"/>
    <n v="7"/>
    <x v="416"/>
    <n v="4500512218"/>
    <x v="289"/>
    <x v="45"/>
    <s v="Reserva"/>
    <m/>
    <m/>
    <m/>
    <x v="0"/>
    <m/>
    <x v="55"/>
    <x v="0"/>
    <x v="0"/>
  </r>
  <r>
    <x v="12"/>
    <x v="12"/>
    <n v="1"/>
    <x v="36"/>
    <n v="4500512218"/>
    <x v="289"/>
    <x v="45"/>
    <s v="Reserva"/>
    <m/>
    <m/>
    <m/>
    <x v="0"/>
    <m/>
    <x v="55"/>
    <x v="0"/>
    <x v="0"/>
  </r>
  <r>
    <x v="53"/>
    <x v="53"/>
    <n v="1"/>
    <x v="405"/>
    <n v="4500512218"/>
    <x v="289"/>
    <x v="45"/>
    <s v="Reserva"/>
    <m/>
    <m/>
    <m/>
    <x v="0"/>
    <m/>
    <x v="55"/>
    <x v="0"/>
    <x v="0"/>
  </r>
  <r>
    <x v="28"/>
    <x v="28"/>
    <n v="1"/>
    <x v="35"/>
    <n v="4500512218"/>
    <x v="289"/>
    <x v="45"/>
    <s v="Reserva"/>
    <m/>
    <m/>
    <m/>
    <x v="0"/>
    <m/>
    <x v="55"/>
    <x v="0"/>
    <x v="0"/>
  </r>
  <r>
    <x v="27"/>
    <x v="27"/>
    <n v="2"/>
    <x v="417"/>
    <n v="4500512218"/>
    <x v="289"/>
    <x v="45"/>
    <s v="Reserva"/>
    <m/>
    <m/>
    <m/>
    <x v="0"/>
    <m/>
    <x v="55"/>
    <x v="0"/>
    <x v="0"/>
  </r>
  <r>
    <x v="26"/>
    <x v="26"/>
    <n v="2"/>
    <x v="363"/>
    <n v="4500512218"/>
    <x v="289"/>
    <x v="45"/>
    <s v="Reserva"/>
    <m/>
    <m/>
    <m/>
    <x v="0"/>
    <m/>
    <x v="55"/>
    <x v="0"/>
    <x v="0"/>
  </r>
  <r>
    <x v="1"/>
    <x v="1"/>
    <n v="4"/>
    <x v="414"/>
    <n v="4500512001"/>
    <x v="281"/>
    <x v="45"/>
    <s v="Reserva"/>
    <m/>
    <m/>
    <m/>
    <x v="0"/>
    <m/>
    <x v="64"/>
    <x v="0"/>
    <x v="0"/>
  </r>
  <r>
    <x v="27"/>
    <x v="27"/>
    <n v="1"/>
    <x v="415"/>
    <n v="4500512001"/>
    <x v="281"/>
    <x v="45"/>
    <s v="Reserva"/>
    <m/>
    <m/>
    <m/>
    <x v="0"/>
    <m/>
    <x v="64"/>
    <x v="0"/>
    <x v="0"/>
  </r>
  <r>
    <x v="53"/>
    <x v="53"/>
    <n v="1"/>
    <x v="405"/>
    <n v="4500512001"/>
    <x v="281"/>
    <x v="45"/>
    <s v="Reserva"/>
    <m/>
    <m/>
    <m/>
    <x v="0"/>
    <m/>
    <x v="64"/>
    <x v="0"/>
    <x v="0"/>
  </r>
  <r>
    <x v="55"/>
    <x v="55"/>
    <n v="1"/>
    <x v="237"/>
    <n v="4500512001"/>
    <x v="281"/>
    <x v="45"/>
    <s v="Reserva"/>
    <m/>
    <m/>
    <m/>
    <x v="0"/>
    <m/>
    <x v="64"/>
    <x v="0"/>
    <x v="0"/>
  </r>
  <r>
    <x v="30"/>
    <x v="30"/>
    <n v="1"/>
    <x v="231"/>
    <n v="4500512001"/>
    <x v="281"/>
    <x v="45"/>
    <s v="Reserva"/>
    <m/>
    <m/>
    <m/>
    <x v="0"/>
    <m/>
    <x v="64"/>
    <x v="0"/>
    <x v="0"/>
  </r>
  <r>
    <x v="27"/>
    <x v="27"/>
    <n v="1"/>
    <x v="415"/>
    <n v="4500512195"/>
    <x v="290"/>
    <x v="45"/>
    <s v="Reserva"/>
    <m/>
    <m/>
    <m/>
    <x v="0"/>
    <m/>
    <x v="56"/>
    <x v="0"/>
    <x v="0"/>
  </r>
  <r>
    <x v="53"/>
    <x v="53"/>
    <n v="1"/>
    <x v="405"/>
    <n v="4500512195"/>
    <x v="290"/>
    <x v="45"/>
    <s v="Reserva"/>
    <m/>
    <m/>
    <m/>
    <x v="0"/>
    <m/>
    <x v="56"/>
    <x v="0"/>
    <x v="0"/>
  </r>
  <r>
    <x v="1"/>
    <x v="1"/>
    <n v="4"/>
    <x v="414"/>
    <n v="4500512195"/>
    <x v="290"/>
    <x v="46"/>
    <s v="Reserva"/>
    <m/>
    <m/>
    <m/>
    <x v="0"/>
    <m/>
    <x v="56"/>
    <x v="0"/>
    <x v="0"/>
  </r>
  <r>
    <x v="55"/>
    <x v="55"/>
    <n v="1"/>
    <x v="237"/>
    <n v="4500512195"/>
    <x v="290"/>
    <x v="45"/>
    <s v="Reserva"/>
    <m/>
    <m/>
    <m/>
    <x v="0"/>
    <m/>
    <x v="56"/>
    <x v="0"/>
    <x v="0"/>
  </r>
  <r>
    <x v="30"/>
    <x v="30"/>
    <n v="1"/>
    <x v="231"/>
    <n v="4500512195"/>
    <x v="290"/>
    <x v="45"/>
    <s v="Reserva"/>
    <m/>
    <m/>
    <m/>
    <x v="0"/>
    <m/>
    <x v="56"/>
    <x v="0"/>
    <x v="0"/>
  </r>
  <r>
    <x v="26"/>
    <x v="26"/>
    <n v="1"/>
    <x v="101"/>
    <n v="4500512202"/>
    <x v="291"/>
    <x v="45"/>
    <s v="Reserva"/>
    <m/>
    <m/>
    <m/>
    <x v="0"/>
    <m/>
    <x v="57"/>
    <x v="0"/>
    <x v="0"/>
  </r>
  <r>
    <x v="27"/>
    <x v="27"/>
    <n v="1"/>
    <x v="415"/>
    <n v="4500512202"/>
    <x v="291"/>
    <x v="45"/>
    <s v="Reserva"/>
    <m/>
    <m/>
    <m/>
    <x v="0"/>
    <m/>
    <x v="57"/>
    <x v="0"/>
    <x v="0"/>
  </r>
  <r>
    <x v="53"/>
    <x v="53"/>
    <n v="1"/>
    <x v="405"/>
    <n v="4500512202"/>
    <x v="291"/>
    <x v="45"/>
    <s v="Reserva"/>
    <m/>
    <m/>
    <m/>
    <x v="0"/>
    <m/>
    <x v="57"/>
    <x v="0"/>
    <x v="0"/>
  </r>
  <r>
    <x v="1"/>
    <x v="1"/>
    <n v="4"/>
    <x v="414"/>
    <n v="4500512202"/>
    <x v="291"/>
    <x v="45"/>
    <s v="Reserva"/>
    <m/>
    <m/>
    <m/>
    <x v="0"/>
    <m/>
    <x v="57"/>
    <x v="0"/>
    <x v="0"/>
  </r>
  <r>
    <x v="30"/>
    <x v="30"/>
    <n v="1"/>
    <x v="231"/>
    <n v="4500512202"/>
    <x v="291"/>
    <x v="45"/>
    <s v="Reserva"/>
    <m/>
    <m/>
    <m/>
    <x v="0"/>
    <m/>
    <x v="57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89">
  <r>
    <x v="0"/>
    <x v="0"/>
    <x v="0"/>
    <m/>
    <n v="256"/>
    <d v="2026-03-18T00:00:00"/>
    <m/>
    <x v="0"/>
    <x v="0"/>
    <x v="0"/>
  </r>
  <r>
    <x v="1"/>
    <x v="1"/>
    <x v="0"/>
    <m/>
    <n v="256"/>
    <d v="2026-03-18T00:00:00"/>
    <m/>
    <x v="0"/>
    <x v="0"/>
    <x v="0"/>
  </r>
  <r>
    <x v="2"/>
    <x v="2"/>
    <x v="0"/>
    <m/>
    <n v="256"/>
    <d v="2026-03-18T00:00:00"/>
    <m/>
    <x v="0"/>
    <x v="0"/>
    <x v="0"/>
  </r>
  <r>
    <x v="3"/>
    <x v="3"/>
    <x v="1"/>
    <m/>
    <n v="256"/>
    <d v="2026-03-18T00:00:00"/>
    <m/>
    <x v="0"/>
    <x v="0"/>
    <x v="0"/>
  </r>
  <r>
    <x v="4"/>
    <x v="4"/>
    <x v="2"/>
    <m/>
    <n v="256"/>
    <d v="2026-03-18T00:00:00"/>
    <m/>
    <x v="0"/>
    <x v="0"/>
    <x v="0"/>
  </r>
  <r>
    <x v="5"/>
    <x v="5"/>
    <x v="3"/>
    <m/>
    <n v="256"/>
    <d v="2026-03-18T00:00:00"/>
    <m/>
    <x v="0"/>
    <x v="0"/>
    <x v="0"/>
  </r>
  <r>
    <x v="6"/>
    <x v="6"/>
    <x v="4"/>
    <m/>
    <n v="256"/>
    <d v="2026-03-18T00:00:00"/>
    <m/>
    <x v="0"/>
    <x v="0"/>
    <x v="0"/>
  </r>
  <r>
    <x v="7"/>
    <x v="7"/>
    <x v="5"/>
    <m/>
    <n v="256"/>
    <d v="2026-03-18T00:00:00"/>
    <m/>
    <x v="0"/>
    <x v="0"/>
    <x v="0"/>
  </r>
  <r>
    <x v="8"/>
    <x v="8"/>
    <x v="3"/>
    <m/>
    <n v="256"/>
    <d v="2026-03-18T00:00:00"/>
    <m/>
    <x v="0"/>
    <x v="0"/>
    <x v="0"/>
  </r>
  <r>
    <x v="9"/>
    <x v="9"/>
    <x v="3"/>
    <m/>
    <n v="256"/>
    <d v="2026-03-18T00:00:00"/>
    <m/>
    <x v="0"/>
    <x v="0"/>
    <x v="0"/>
  </r>
  <r>
    <x v="10"/>
    <x v="10"/>
    <x v="3"/>
    <m/>
    <n v="256"/>
    <d v="2026-03-18T00:00:00"/>
    <m/>
    <x v="0"/>
    <x v="0"/>
    <x v="0"/>
  </r>
  <r>
    <x v="11"/>
    <x v="11"/>
    <x v="3"/>
    <m/>
    <n v="256"/>
    <d v="2026-03-18T00:00:00"/>
    <m/>
    <x v="0"/>
    <x v="0"/>
    <x v="0"/>
  </r>
  <r>
    <x v="12"/>
    <x v="12"/>
    <x v="3"/>
    <m/>
    <n v="256"/>
    <d v="2026-03-18T00:00:00"/>
    <m/>
    <x v="0"/>
    <x v="0"/>
    <x v="0"/>
  </r>
  <r>
    <x v="13"/>
    <x v="13"/>
    <x v="3"/>
    <m/>
    <n v="256"/>
    <d v="2026-03-18T00:00:00"/>
    <m/>
    <x v="0"/>
    <x v="0"/>
    <x v="0"/>
  </r>
  <r>
    <x v="14"/>
    <x v="14"/>
    <x v="3"/>
    <m/>
    <n v="256"/>
    <d v="2026-03-18T00:00:00"/>
    <m/>
    <x v="0"/>
    <x v="0"/>
    <x v="0"/>
  </r>
  <r>
    <x v="15"/>
    <x v="15"/>
    <x v="6"/>
    <m/>
    <n v="441"/>
    <d v="2026-03-18T00:00:00"/>
    <m/>
    <x v="1"/>
    <x v="0"/>
    <x v="1"/>
  </r>
  <r>
    <x v="16"/>
    <x v="16"/>
    <x v="6"/>
    <m/>
    <n v="441"/>
    <d v="2026-03-18T00:00:00"/>
    <m/>
    <x v="1"/>
    <x v="0"/>
    <x v="1"/>
  </r>
  <r>
    <x v="17"/>
    <x v="17"/>
    <x v="6"/>
    <m/>
    <n v="441"/>
    <d v="2026-03-18T00:00:00"/>
    <m/>
    <x v="1"/>
    <x v="0"/>
    <x v="1"/>
  </r>
  <r>
    <x v="3"/>
    <x v="3"/>
    <x v="2"/>
    <m/>
    <n v="431"/>
    <d v="2026-03-19T00:00:00"/>
    <m/>
    <x v="2"/>
    <x v="0"/>
    <x v="2"/>
  </r>
  <r>
    <x v="5"/>
    <x v="5"/>
    <x v="6"/>
    <m/>
    <n v="431"/>
    <d v="2026-03-19T00:00:00"/>
    <m/>
    <x v="2"/>
    <x v="0"/>
    <x v="2"/>
  </r>
  <r>
    <x v="7"/>
    <x v="7"/>
    <x v="2"/>
    <m/>
    <n v="431"/>
    <d v="2026-03-19T00:00:00"/>
    <m/>
    <x v="2"/>
    <x v="0"/>
    <x v="2"/>
  </r>
  <r>
    <x v="18"/>
    <x v="18"/>
    <x v="7"/>
    <m/>
    <n v="463"/>
    <d v="2026-03-19T00:00:00"/>
    <m/>
    <x v="3"/>
    <x v="0"/>
    <x v="3"/>
  </r>
  <r>
    <x v="0"/>
    <x v="0"/>
    <x v="0"/>
    <m/>
    <n v="457"/>
    <d v="2026-03-19T00:00:00"/>
    <m/>
    <x v="4"/>
    <x v="0"/>
    <x v="3"/>
  </r>
  <r>
    <x v="3"/>
    <x v="3"/>
    <x v="8"/>
    <m/>
    <n v="457"/>
    <d v="2026-03-19T00:00:00"/>
    <m/>
    <x v="4"/>
    <x v="0"/>
    <x v="3"/>
  </r>
  <r>
    <x v="4"/>
    <x v="4"/>
    <x v="2"/>
    <m/>
    <n v="457"/>
    <d v="2026-03-19T00:00:00"/>
    <m/>
    <x v="4"/>
    <x v="0"/>
    <x v="3"/>
  </r>
  <r>
    <x v="5"/>
    <x v="5"/>
    <x v="6"/>
    <m/>
    <n v="457"/>
    <d v="2026-03-19T00:00:00"/>
    <m/>
    <x v="4"/>
    <x v="0"/>
    <x v="3"/>
  </r>
  <r>
    <x v="9"/>
    <x v="9"/>
    <x v="6"/>
    <m/>
    <n v="457"/>
    <d v="2026-03-19T00:00:00"/>
    <m/>
    <x v="4"/>
    <x v="0"/>
    <x v="3"/>
  </r>
  <r>
    <x v="14"/>
    <x v="14"/>
    <x v="6"/>
    <m/>
    <n v="457"/>
    <d v="2026-03-19T00:00:00"/>
    <m/>
    <x v="4"/>
    <x v="0"/>
    <x v="3"/>
  </r>
  <r>
    <x v="10"/>
    <x v="10"/>
    <x v="6"/>
    <m/>
    <n v="457"/>
    <d v="2026-03-19T00:00:00"/>
    <m/>
    <x v="4"/>
    <x v="0"/>
    <x v="3"/>
  </r>
  <r>
    <x v="12"/>
    <x v="12"/>
    <x v="6"/>
    <m/>
    <n v="457"/>
    <d v="2026-03-19T00:00:00"/>
    <m/>
    <x v="4"/>
    <x v="0"/>
    <x v="3"/>
  </r>
  <r>
    <x v="11"/>
    <x v="11"/>
    <x v="6"/>
    <m/>
    <n v="457"/>
    <d v="2026-03-19T00:00:00"/>
    <m/>
    <x v="4"/>
    <x v="0"/>
    <x v="3"/>
  </r>
  <r>
    <x v="1"/>
    <x v="1"/>
    <x v="0"/>
    <m/>
    <n v="457"/>
    <d v="2026-03-19T00:00:00"/>
    <m/>
    <x v="4"/>
    <x v="0"/>
    <x v="3"/>
  </r>
  <r>
    <x v="2"/>
    <x v="2"/>
    <x v="0"/>
    <m/>
    <n v="457"/>
    <d v="2026-03-19T00:00:00"/>
    <m/>
    <x v="4"/>
    <x v="0"/>
    <x v="3"/>
  </r>
  <r>
    <x v="19"/>
    <x v="19"/>
    <x v="2"/>
    <m/>
    <n v="457"/>
    <d v="2026-03-19T00:00:00"/>
    <m/>
    <x v="4"/>
    <x v="0"/>
    <x v="3"/>
  </r>
  <r>
    <x v="6"/>
    <x v="6"/>
    <x v="2"/>
    <m/>
    <n v="457"/>
    <d v="2026-03-19T00:00:00"/>
    <m/>
    <x v="4"/>
    <x v="0"/>
    <x v="3"/>
  </r>
  <r>
    <x v="20"/>
    <x v="20"/>
    <x v="8"/>
    <m/>
    <n v="460"/>
    <d v="2026-03-19T00:00:00"/>
    <m/>
    <x v="5"/>
    <x v="0"/>
    <x v="4"/>
  </r>
  <r>
    <x v="21"/>
    <x v="21"/>
    <x v="8"/>
    <m/>
    <n v="460"/>
    <d v="2026-03-19T00:00:00"/>
    <m/>
    <x v="5"/>
    <x v="0"/>
    <x v="4"/>
  </r>
  <r>
    <x v="22"/>
    <x v="22"/>
    <x v="6"/>
    <m/>
    <n v="460"/>
    <d v="2026-03-19T00:00:00"/>
    <m/>
    <x v="5"/>
    <x v="0"/>
    <x v="4"/>
  </r>
  <r>
    <x v="19"/>
    <x v="19"/>
    <x v="6"/>
    <m/>
    <n v="460"/>
    <d v="2026-03-19T00:00:00"/>
    <m/>
    <x v="5"/>
    <x v="0"/>
    <x v="4"/>
  </r>
  <r>
    <x v="23"/>
    <x v="23"/>
    <x v="9"/>
    <m/>
    <n v="460"/>
    <d v="2026-03-19T00:00:00"/>
    <m/>
    <x v="5"/>
    <x v="0"/>
    <x v="4"/>
  </r>
  <r>
    <x v="24"/>
    <x v="24"/>
    <x v="5"/>
    <m/>
    <n v="430"/>
    <d v="2026-03-19T00:00:00"/>
    <m/>
    <x v="2"/>
    <x v="0"/>
    <x v="2"/>
  </r>
  <r>
    <x v="25"/>
    <x v="25"/>
    <x v="10"/>
    <m/>
    <n v="458"/>
    <d v="2026-03-19T00:00:00"/>
    <m/>
    <x v="6"/>
    <x v="0"/>
    <x v="5"/>
  </r>
  <r>
    <x v="6"/>
    <x v="6"/>
    <x v="8"/>
    <m/>
    <n v="458"/>
    <d v="2026-03-19T00:00:00"/>
    <m/>
    <x v="6"/>
    <x v="0"/>
    <x v="5"/>
  </r>
  <r>
    <x v="13"/>
    <x v="13"/>
    <x v="6"/>
    <m/>
    <n v="260"/>
    <d v="2026-03-19T00:00:00"/>
    <m/>
    <x v="7"/>
    <x v="0"/>
    <x v="6"/>
  </r>
  <r>
    <x v="26"/>
    <x v="26"/>
    <x v="8"/>
    <m/>
    <n v="456"/>
    <d v="2026-03-19T00:00:00"/>
    <m/>
    <x v="3"/>
    <x v="0"/>
    <x v="3"/>
  </r>
  <r>
    <x v="27"/>
    <x v="27"/>
    <x v="6"/>
    <m/>
    <n v="455"/>
    <d v="2026-03-19T00:00:00"/>
    <m/>
    <x v="1"/>
    <x v="0"/>
    <x v="1"/>
  </r>
  <r>
    <x v="28"/>
    <x v="28"/>
    <x v="3"/>
    <m/>
    <n v="505"/>
    <d v="2026-03-19T00:00:00"/>
    <m/>
    <x v="8"/>
    <x v="0"/>
    <x v="7"/>
  </r>
  <r>
    <x v="9"/>
    <x v="9"/>
    <x v="1"/>
    <m/>
    <n v="505"/>
    <d v="2026-03-19T00:00:00"/>
    <m/>
    <x v="8"/>
    <x v="0"/>
    <x v="7"/>
  </r>
  <r>
    <x v="29"/>
    <x v="29"/>
    <x v="1"/>
    <m/>
    <n v="505"/>
    <d v="2026-03-19T00:00:00"/>
    <m/>
    <x v="8"/>
    <x v="0"/>
    <x v="7"/>
  </r>
  <r>
    <x v="30"/>
    <x v="30"/>
    <x v="8"/>
    <m/>
    <n v="505"/>
    <d v="2026-03-19T00:00:00"/>
    <m/>
    <x v="8"/>
    <x v="0"/>
    <x v="7"/>
  </r>
  <r>
    <x v="31"/>
    <x v="31"/>
    <x v="11"/>
    <m/>
    <n v="505"/>
    <d v="2026-03-19T00:00:00"/>
    <m/>
    <x v="8"/>
    <x v="0"/>
    <x v="7"/>
  </r>
  <r>
    <x v="10"/>
    <x v="10"/>
    <x v="3"/>
    <m/>
    <n v="505"/>
    <d v="2026-03-19T00:00:00"/>
    <m/>
    <x v="8"/>
    <x v="0"/>
    <x v="7"/>
  </r>
  <r>
    <x v="11"/>
    <x v="11"/>
    <x v="3"/>
    <m/>
    <n v="505"/>
    <d v="2026-03-19T00:00:00"/>
    <m/>
    <x v="8"/>
    <x v="0"/>
    <x v="7"/>
  </r>
  <r>
    <x v="32"/>
    <x v="32"/>
    <x v="3"/>
    <m/>
    <n v="505"/>
    <d v="2026-03-19T00:00:00"/>
    <m/>
    <x v="8"/>
    <x v="0"/>
    <x v="7"/>
  </r>
  <r>
    <x v="33"/>
    <x v="33"/>
    <x v="6"/>
    <m/>
    <n v="454"/>
    <d v="2026-03-18T00:00:00"/>
    <m/>
    <x v="5"/>
    <x v="0"/>
    <x v="6"/>
  </r>
  <r>
    <x v="19"/>
    <x v="19"/>
    <x v="6"/>
    <m/>
    <n v="446"/>
    <d v="2026-03-18T00:00:00"/>
    <m/>
    <x v="9"/>
    <x v="0"/>
    <x v="0"/>
  </r>
  <r>
    <x v="4"/>
    <x v="4"/>
    <x v="6"/>
    <m/>
    <n v="432"/>
    <d v="2026-03-18T00:00:00"/>
    <m/>
    <x v="2"/>
    <x v="0"/>
    <x v="2"/>
  </r>
  <r>
    <x v="5"/>
    <x v="5"/>
    <x v="6"/>
    <m/>
    <n v="432"/>
    <d v="2026-03-18T00:00:00"/>
    <m/>
    <x v="2"/>
    <x v="0"/>
    <x v="2"/>
  </r>
  <r>
    <x v="10"/>
    <x v="10"/>
    <x v="6"/>
    <m/>
    <n v="432"/>
    <d v="2026-03-18T00:00:00"/>
    <m/>
    <x v="2"/>
    <x v="0"/>
    <x v="2"/>
  </r>
  <r>
    <x v="11"/>
    <x v="11"/>
    <x v="6"/>
    <m/>
    <n v="432"/>
    <d v="2026-03-18T00:00:00"/>
    <m/>
    <x v="2"/>
    <x v="0"/>
    <x v="2"/>
  </r>
  <r>
    <x v="12"/>
    <x v="12"/>
    <x v="6"/>
    <m/>
    <n v="432"/>
    <d v="2026-03-18T00:00:00"/>
    <m/>
    <x v="2"/>
    <x v="0"/>
    <x v="2"/>
  </r>
  <r>
    <x v="6"/>
    <x v="6"/>
    <x v="6"/>
    <m/>
    <n v="432"/>
    <d v="2026-03-18T00:00:00"/>
    <m/>
    <x v="2"/>
    <x v="0"/>
    <x v="2"/>
  </r>
  <r>
    <x v="5"/>
    <x v="5"/>
    <x v="5"/>
    <m/>
    <n v="432"/>
    <d v="2026-03-18T00:00:00"/>
    <m/>
    <x v="2"/>
    <x v="0"/>
    <x v="2"/>
  </r>
  <r>
    <x v="8"/>
    <x v="8"/>
    <x v="5"/>
    <m/>
    <n v="432"/>
    <d v="2026-03-18T00:00:00"/>
    <m/>
    <x v="2"/>
    <x v="0"/>
    <x v="2"/>
  </r>
  <r>
    <x v="7"/>
    <x v="7"/>
    <x v="12"/>
    <m/>
    <n v="432"/>
    <d v="2026-03-18T00:00:00"/>
    <m/>
    <x v="2"/>
    <x v="0"/>
    <x v="2"/>
  </r>
  <r>
    <x v="29"/>
    <x v="29"/>
    <x v="5"/>
    <m/>
    <n v="432"/>
    <d v="2026-03-18T00:00:00"/>
    <m/>
    <x v="2"/>
    <x v="0"/>
    <x v="2"/>
  </r>
  <r>
    <x v="0"/>
    <x v="0"/>
    <x v="13"/>
    <m/>
    <n v="449"/>
    <d v="2026-03-18T00:00:00"/>
    <m/>
    <x v="4"/>
    <x v="0"/>
    <x v="3"/>
  </r>
  <r>
    <x v="2"/>
    <x v="2"/>
    <x v="0"/>
    <m/>
    <n v="449"/>
    <d v="2026-03-18T00:00:00"/>
    <m/>
    <x v="4"/>
    <x v="0"/>
    <x v="3"/>
  </r>
  <r>
    <x v="1"/>
    <x v="1"/>
    <x v="0"/>
    <m/>
    <n v="449"/>
    <d v="2026-03-18T00:00:00"/>
    <m/>
    <x v="4"/>
    <x v="0"/>
    <x v="3"/>
  </r>
  <r>
    <x v="5"/>
    <x v="5"/>
    <x v="2"/>
    <m/>
    <n v="449"/>
    <d v="2026-03-18T00:00:00"/>
    <m/>
    <x v="4"/>
    <x v="0"/>
    <x v="3"/>
  </r>
  <r>
    <x v="9"/>
    <x v="9"/>
    <x v="2"/>
    <m/>
    <n v="449"/>
    <d v="2026-03-18T00:00:00"/>
    <m/>
    <x v="4"/>
    <x v="0"/>
    <x v="3"/>
  </r>
  <r>
    <x v="11"/>
    <x v="11"/>
    <x v="2"/>
    <m/>
    <n v="449"/>
    <d v="2026-03-18T00:00:00"/>
    <m/>
    <x v="4"/>
    <x v="0"/>
    <x v="3"/>
  </r>
  <r>
    <x v="12"/>
    <x v="12"/>
    <x v="2"/>
    <m/>
    <n v="449"/>
    <d v="2026-03-18T00:00:00"/>
    <m/>
    <x v="4"/>
    <x v="0"/>
    <x v="3"/>
  </r>
  <r>
    <x v="8"/>
    <x v="8"/>
    <x v="2"/>
    <m/>
    <n v="449"/>
    <d v="2026-03-18T00:00:00"/>
    <m/>
    <x v="4"/>
    <x v="0"/>
    <x v="3"/>
  </r>
  <r>
    <x v="14"/>
    <x v="14"/>
    <x v="2"/>
    <m/>
    <n v="449"/>
    <d v="2026-03-18T00:00:00"/>
    <m/>
    <x v="4"/>
    <x v="0"/>
    <x v="3"/>
  </r>
  <r>
    <x v="24"/>
    <x v="24"/>
    <x v="11"/>
    <m/>
    <n v="449"/>
    <d v="2026-03-18T00:00:00"/>
    <m/>
    <x v="4"/>
    <x v="0"/>
    <x v="3"/>
  </r>
  <r>
    <x v="10"/>
    <x v="10"/>
    <x v="6"/>
    <m/>
    <n v="453"/>
    <d v="2026-03-18T00:00:00"/>
    <m/>
    <x v="4"/>
    <x v="0"/>
    <x v="3"/>
  </r>
  <r>
    <x v="34"/>
    <x v="34"/>
    <x v="6"/>
    <m/>
    <n v="438"/>
    <d v="2026-03-17T00:00:00"/>
    <m/>
    <x v="8"/>
    <x v="0"/>
    <x v="8"/>
  </r>
  <r>
    <x v="35"/>
    <x v="35"/>
    <x v="10"/>
    <m/>
    <n v="438"/>
    <d v="2026-03-17T00:00:00"/>
    <m/>
    <x v="8"/>
    <x v="0"/>
    <x v="8"/>
  </r>
  <r>
    <x v="3"/>
    <x v="3"/>
    <x v="14"/>
    <m/>
    <n v="438"/>
    <d v="2026-03-17T00:00:00"/>
    <m/>
    <x v="8"/>
    <x v="0"/>
    <x v="8"/>
  </r>
  <r>
    <x v="4"/>
    <x v="4"/>
    <x v="6"/>
    <m/>
    <n v="438"/>
    <d v="2026-03-17T00:00:00"/>
    <m/>
    <x v="8"/>
    <x v="0"/>
    <x v="8"/>
  </r>
  <r>
    <x v="5"/>
    <x v="5"/>
    <x v="15"/>
    <m/>
    <n v="438"/>
    <d v="2026-03-17T00:00:00"/>
    <m/>
    <x v="8"/>
    <x v="0"/>
    <x v="8"/>
  </r>
  <r>
    <x v="8"/>
    <x v="8"/>
    <x v="16"/>
    <m/>
    <n v="438"/>
    <d v="2026-03-17T00:00:00"/>
    <m/>
    <x v="8"/>
    <x v="0"/>
    <x v="8"/>
  </r>
  <r>
    <x v="7"/>
    <x v="7"/>
    <x v="17"/>
    <m/>
    <n v="438"/>
    <d v="2026-03-17T00:00:00"/>
    <m/>
    <x v="8"/>
    <x v="0"/>
    <x v="8"/>
  </r>
  <r>
    <x v="10"/>
    <x v="10"/>
    <x v="15"/>
    <m/>
    <n v="438"/>
    <d v="2026-03-17T00:00:00"/>
    <m/>
    <x v="8"/>
    <x v="0"/>
    <x v="8"/>
  </r>
  <r>
    <x v="29"/>
    <x v="29"/>
    <x v="6"/>
    <m/>
    <n v="438"/>
    <d v="2026-03-17T00:00:00"/>
    <m/>
    <x v="8"/>
    <x v="0"/>
    <x v="8"/>
  </r>
  <r>
    <x v="0"/>
    <x v="0"/>
    <x v="18"/>
    <m/>
    <n v="438"/>
    <d v="2026-03-17T00:00:00"/>
    <m/>
    <x v="8"/>
    <x v="0"/>
    <x v="8"/>
  </r>
  <r>
    <x v="15"/>
    <x v="15"/>
    <x v="1"/>
    <m/>
    <n v="438"/>
    <d v="2026-03-17T00:00:00"/>
    <m/>
    <x v="8"/>
    <x v="0"/>
    <x v="8"/>
  </r>
  <r>
    <x v="1"/>
    <x v="1"/>
    <x v="19"/>
    <m/>
    <n v="438"/>
    <d v="2026-03-17T00:00:00"/>
    <m/>
    <x v="8"/>
    <x v="0"/>
    <x v="8"/>
  </r>
  <r>
    <x v="2"/>
    <x v="2"/>
    <x v="19"/>
    <m/>
    <n v="438"/>
    <d v="2026-03-17T00:00:00"/>
    <m/>
    <x v="8"/>
    <x v="0"/>
    <x v="8"/>
  </r>
  <r>
    <x v="24"/>
    <x v="24"/>
    <x v="20"/>
    <m/>
    <n v="438"/>
    <d v="2026-03-17T00:00:00"/>
    <m/>
    <x v="8"/>
    <x v="0"/>
    <x v="8"/>
  </r>
  <r>
    <x v="32"/>
    <x v="32"/>
    <x v="15"/>
    <m/>
    <n v="438"/>
    <d v="2026-03-17T00:00:00"/>
    <m/>
    <x v="8"/>
    <x v="0"/>
    <x v="8"/>
  </r>
  <r>
    <x v="11"/>
    <x v="11"/>
    <x v="15"/>
    <m/>
    <n v="438"/>
    <d v="2026-03-17T00:00:00"/>
    <m/>
    <x v="8"/>
    <x v="0"/>
    <x v="8"/>
  </r>
  <r>
    <x v="0"/>
    <x v="0"/>
    <x v="13"/>
    <m/>
    <n v="434"/>
    <d v="2026-03-17T00:00:00"/>
    <m/>
    <x v="10"/>
    <x v="0"/>
    <x v="3"/>
  </r>
  <r>
    <x v="22"/>
    <x v="22"/>
    <x v="6"/>
    <m/>
    <n v="434"/>
    <d v="2026-03-17T00:00:00"/>
    <m/>
    <x v="10"/>
    <x v="0"/>
    <x v="3"/>
  </r>
  <r>
    <x v="19"/>
    <x v="19"/>
    <x v="2"/>
    <m/>
    <n v="434"/>
    <d v="2026-03-17T00:00:00"/>
    <m/>
    <x v="10"/>
    <x v="0"/>
    <x v="3"/>
  </r>
  <r>
    <x v="18"/>
    <x v="18"/>
    <x v="21"/>
    <m/>
    <n v="410"/>
    <d v="2026-03-17T00:00:00"/>
    <m/>
    <x v="3"/>
    <x v="0"/>
    <x v="3"/>
  </r>
  <r>
    <x v="2"/>
    <x v="2"/>
    <x v="0"/>
    <m/>
    <n v="410"/>
    <d v="2026-03-17T00:00:00"/>
    <m/>
    <x v="3"/>
    <x v="0"/>
    <x v="3"/>
  </r>
  <r>
    <x v="1"/>
    <x v="1"/>
    <x v="0"/>
    <m/>
    <n v="410"/>
    <d v="2026-03-17T00:00:00"/>
    <m/>
    <x v="3"/>
    <x v="0"/>
    <x v="3"/>
  </r>
  <r>
    <x v="36"/>
    <x v="36"/>
    <x v="10"/>
    <m/>
    <n v="410"/>
    <d v="2026-03-17T00:00:00"/>
    <m/>
    <x v="3"/>
    <x v="0"/>
    <x v="3"/>
  </r>
  <r>
    <x v="37"/>
    <x v="37"/>
    <x v="1"/>
    <m/>
    <n v="410"/>
    <d v="2026-03-17T00:00:00"/>
    <m/>
    <x v="3"/>
    <x v="0"/>
    <x v="3"/>
  </r>
  <r>
    <x v="6"/>
    <x v="6"/>
    <x v="8"/>
    <m/>
    <n v="255"/>
    <d v="2026-03-17T00:00:00"/>
    <m/>
    <x v="0"/>
    <x v="0"/>
    <x v="0"/>
  </r>
  <r>
    <x v="38"/>
    <x v="38"/>
    <x v="2"/>
    <m/>
    <n v="255"/>
    <d v="2026-03-17T00:00:00"/>
    <m/>
    <x v="0"/>
    <x v="0"/>
    <x v="0"/>
  </r>
  <r>
    <x v="39"/>
    <x v="39"/>
    <x v="2"/>
    <m/>
    <n v="255"/>
    <d v="2026-03-17T00:00:00"/>
    <m/>
    <x v="0"/>
    <x v="0"/>
    <x v="0"/>
  </r>
  <r>
    <x v="24"/>
    <x v="24"/>
    <x v="22"/>
    <m/>
    <n v="427"/>
    <d v="2026-03-17T00:00:00"/>
    <m/>
    <x v="2"/>
    <x v="0"/>
    <x v="2"/>
  </r>
  <r>
    <x v="1"/>
    <x v="1"/>
    <x v="23"/>
    <m/>
    <n v="427"/>
    <d v="2026-03-17T00:00:00"/>
    <m/>
    <x v="2"/>
    <x v="0"/>
    <x v="2"/>
  </r>
  <r>
    <x v="19"/>
    <x v="19"/>
    <x v="6"/>
    <m/>
    <n v="427"/>
    <d v="2026-03-17T00:00:00"/>
    <m/>
    <x v="2"/>
    <x v="0"/>
    <x v="2"/>
  </r>
  <r>
    <x v="5"/>
    <x v="5"/>
    <x v="6"/>
    <m/>
    <n v="423"/>
    <d v="2026-03-17T00:00:00"/>
    <m/>
    <x v="7"/>
    <x v="0"/>
    <x v="9"/>
  </r>
  <r>
    <x v="9"/>
    <x v="9"/>
    <x v="6"/>
    <m/>
    <n v="423"/>
    <d v="2026-03-17T00:00:00"/>
    <m/>
    <x v="7"/>
    <x v="0"/>
    <x v="9"/>
  </r>
  <r>
    <x v="7"/>
    <x v="7"/>
    <x v="8"/>
    <m/>
    <n v="423"/>
    <d v="2026-03-17T00:00:00"/>
    <m/>
    <x v="7"/>
    <x v="0"/>
    <x v="9"/>
  </r>
  <r>
    <x v="10"/>
    <x v="10"/>
    <x v="6"/>
    <m/>
    <n v="423"/>
    <d v="2026-03-17T00:00:00"/>
    <m/>
    <x v="7"/>
    <x v="0"/>
    <x v="9"/>
  </r>
  <r>
    <x v="8"/>
    <x v="8"/>
    <x v="6"/>
    <m/>
    <n v="423"/>
    <d v="2026-03-17T00:00:00"/>
    <m/>
    <x v="7"/>
    <x v="0"/>
    <x v="9"/>
  </r>
  <r>
    <x v="6"/>
    <x v="6"/>
    <x v="1"/>
    <m/>
    <n v="423"/>
    <d v="2026-03-17T00:00:00"/>
    <m/>
    <x v="7"/>
    <x v="0"/>
    <x v="9"/>
  </r>
  <r>
    <x v="24"/>
    <x v="24"/>
    <x v="3"/>
    <m/>
    <n v="423"/>
    <d v="2026-03-17T00:00:00"/>
    <m/>
    <x v="7"/>
    <x v="0"/>
    <x v="9"/>
  </r>
  <r>
    <x v="14"/>
    <x v="14"/>
    <x v="6"/>
    <m/>
    <n v="423"/>
    <d v="2026-03-17T00:00:00"/>
    <m/>
    <x v="7"/>
    <x v="0"/>
    <x v="9"/>
  </r>
  <r>
    <x v="11"/>
    <x v="11"/>
    <x v="6"/>
    <m/>
    <n v="423"/>
    <d v="2026-03-17T00:00:00"/>
    <m/>
    <x v="7"/>
    <x v="0"/>
    <x v="9"/>
  </r>
  <r>
    <x v="12"/>
    <x v="12"/>
    <x v="6"/>
    <m/>
    <n v="423"/>
    <d v="2026-03-17T00:00:00"/>
    <m/>
    <x v="7"/>
    <x v="0"/>
    <x v="9"/>
  </r>
  <r>
    <x v="1"/>
    <x v="1"/>
    <x v="3"/>
    <m/>
    <n v="423"/>
    <d v="2026-03-17T00:00:00"/>
    <m/>
    <x v="7"/>
    <x v="0"/>
    <x v="9"/>
  </r>
  <r>
    <x v="13"/>
    <x v="13"/>
    <x v="6"/>
    <m/>
    <n v="423"/>
    <d v="2026-03-17T00:00:00"/>
    <m/>
    <x v="7"/>
    <x v="0"/>
    <x v="9"/>
  </r>
  <r>
    <x v="23"/>
    <x v="23"/>
    <x v="13"/>
    <m/>
    <n v="429"/>
    <d v="2026-03-17T00:00:00"/>
    <m/>
    <x v="1"/>
    <x v="0"/>
    <x v="1"/>
  </r>
  <r>
    <x v="1"/>
    <x v="1"/>
    <x v="13"/>
    <m/>
    <n v="429"/>
    <d v="2026-03-17T00:00:00"/>
    <m/>
    <x v="1"/>
    <x v="0"/>
    <x v="1"/>
  </r>
  <r>
    <x v="2"/>
    <x v="2"/>
    <x v="13"/>
    <m/>
    <n v="429"/>
    <d v="2026-03-17T00:00:00"/>
    <m/>
    <x v="1"/>
    <x v="0"/>
    <x v="1"/>
  </r>
  <r>
    <x v="25"/>
    <x v="25"/>
    <x v="1"/>
    <m/>
    <n v="429"/>
    <d v="2026-03-17T00:00:00"/>
    <m/>
    <x v="1"/>
    <x v="0"/>
    <x v="1"/>
  </r>
  <r>
    <x v="40"/>
    <x v="40"/>
    <x v="8"/>
    <m/>
    <n v="429"/>
    <d v="2026-03-17T00:00:00"/>
    <m/>
    <x v="1"/>
    <x v="0"/>
    <x v="1"/>
  </r>
  <r>
    <x v="16"/>
    <x v="16"/>
    <x v="6"/>
    <m/>
    <n v="429"/>
    <d v="2026-03-17T00:00:00"/>
    <m/>
    <x v="1"/>
    <x v="0"/>
    <x v="1"/>
  </r>
  <r>
    <x v="20"/>
    <x v="20"/>
    <x v="1"/>
    <m/>
    <n v="429"/>
    <d v="2026-03-17T00:00:00"/>
    <m/>
    <x v="1"/>
    <x v="0"/>
    <x v="1"/>
  </r>
  <r>
    <x v="0"/>
    <x v="0"/>
    <x v="0"/>
    <m/>
    <n v="254"/>
    <d v="2026-03-16T00:00:00"/>
    <m/>
    <x v="0"/>
    <x v="0"/>
    <x v="0"/>
  </r>
  <r>
    <x v="1"/>
    <x v="1"/>
    <x v="0"/>
    <m/>
    <n v="254"/>
    <d v="2026-03-16T00:00:00"/>
    <m/>
    <x v="0"/>
    <x v="0"/>
    <x v="0"/>
  </r>
  <r>
    <x v="2"/>
    <x v="2"/>
    <x v="0"/>
    <m/>
    <n v="254"/>
    <d v="2026-03-16T00:00:00"/>
    <m/>
    <x v="0"/>
    <x v="0"/>
    <x v="0"/>
  </r>
  <r>
    <x v="3"/>
    <x v="3"/>
    <x v="1"/>
    <m/>
    <n v="254"/>
    <d v="2026-03-16T00:00:00"/>
    <m/>
    <x v="0"/>
    <x v="0"/>
    <x v="0"/>
  </r>
  <r>
    <x v="4"/>
    <x v="4"/>
    <x v="2"/>
    <m/>
    <n v="254"/>
    <d v="2026-03-16T00:00:00"/>
    <m/>
    <x v="0"/>
    <x v="0"/>
    <x v="0"/>
  </r>
  <r>
    <x v="29"/>
    <x v="29"/>
    <x v="10"/>
    <m/>
    <n v="254"/>
    <d v="2026-03-16T00:00:00"/>
    <m/>
    <x v="0"/>
    <x v="0"/>
    <x v="0"/>
  </r>
  <r>
    <x v="7"/>
    <x v="7"/>
    <x v="10"/>
    <m/>
    <n v="254"/>
    <d v="2026-03-16T00:00:00"/>
    <m/>
    <x v="0"/>
    <x v="0"/>
    <x v="0"/>
  </r>
  <r>
    <x v="25"/>
    <x v="25"/>
    <x v="6"/>
    <m/>
    <n v="254"/>
    <d v="2026-03-16T00:00:00"/>
    <m/>
    <x v="0"/>
    <x v="0"/>
    <x v="0"/>
  </r>
  <r>
    <x v="41"/>
    <x v="41"/>
    <x v="6"/>
    <m/>
    <n v="254"/>
    <d v="2026-03-16T00:00:00"/>
    <m/>
    <x v="0"/>
    <x v="0"/>
    <x v="0"/>
  </r>
  <r>
    <x v="36"/>
    <x v="36"/>
    <x v="6"/>
    <m/>
    <n v="425"/>
    <d v="2026-03-16T00:00:00"/>
    <m/>
    <x v="4"/>
    <x v="0"/>
    <x v="3"/>
  </r>
  <r>
    <x v="24"/>
    <x v="24"/>
    <x v="11"/>
    <m/>
    <n v="426"/>
    <d v="2026-03-16T00:00:00"/>
    <m/>
    <x v="4"/>
    <x v="0"/>
    <x v="3"/>
  </r>
  <r>
    <x v="8"/>
    <x v="8"/>
    <x v="1"/>
    <m/>
    <n v="426"/>
    <d v="2026-03-16T00:00:00"/>
    <m/>
    <x v="4"/>
    <x v="0"/>
    <x v="3"/>
  </r>
  <r>
    <x v="13"/>
    <x v="13"/>
    <x v="2"/>
    <m/>
    <n v="426"/>
    <d v="2026-03-16T00:00:00"/>
    <m/>
    <x v="4"/>
    <x v="0"/>
    <x v="3"/>
  </r>
  <r>
    <x v="14"/>
    <x v="14"/>
    <x v="1"/>
    <m/>
    <n v="426"/>
    <d v="2026-03-16T00:00:00"/>
    <m/>
    <x v="4"/>
    <x v="0"/>
    <x v="3"/>
  </r>
  <r>
    <x v="7"/>
    <x v="7"/>
    <x v="8"/>
    <m/>
    <n v="426"/>
    <d v="2026-03-16T00:00:00"/>
    <m/>
    <x v="4"/>
    <x v="0"/>
    <x v="3"/>
  </r>
  <r>
    <x v="0"/>
    <x v="0"/>
    <x v="24"/>
    <m/>
    <n v="424"/>
    <d v="2026-03-16T00:00:00"/>
    <m/>
    <x v="11"/>
    <x v="0"/>
    <x v="10"/>
  </r>
  <r>
    <x v="18"/>
    <x v="18"/>
    <x v="10"/>
    <m/>
    <n v="421"/>
    <d v="2026-03-16T00:00:00"/>
    <m/>
    <x v="4"/>
    <x v="0"/>
    <x v="3"/>
  </r>
  <r>
    <x v="42"/>
    <x v="42"/>
    <x v="6"/>
    <m/>
    <n v="421"/>
    <d v="2026-03-16T00:00:00"/>
    <m/>
    <x v="4"/>
    <x v="0"/>
    <x v="3"/>
  </r>
  <r>
    <x v="43"/>
    <x v="43"/>
    <x v="6"/>
    <m/>
    <n v="421"/>
    <d v="2026-03-16T00:00:00"/>
    <m/>
    <x v="4"/>
    <x v="0"/>
    <x v="3"/>
  </r>
  <r>
    <x v="5"/>
    <x v="5"/>
    <x v="2"/>
    <m/>
    <n v="421"/>
    <d v="2026-03-16T00:00:00"/>
    <m/>
    <x v="4"/>
    <x v="0"/>
    <x v="3"/>
  </r>
  <r>
    <x v="7"/>
    <x v="7"/>
    <x v="8"/>
    <m/>
    <n v="421"/>
    <d v="2026-03-16T00:00:00"/>
    <m/>
    <x v="4"/>
    <x v="0"/>
    <x v="3"/>
  </r>
  <r>
    <x v="11"/>
    <x v="11"/>
    <x v="2"/>
    <m/>
    <n v="421"/>
    <d v="2026-03-16T00:00:00"/>
    <m/>
    <x v="4"/>
    <x v="0"/>
    <x v="3"/>
  </r>
  <r>
    <x v="12"/>
    <x v="12"/>
    <x v="2"/>
    <m/>
    <n v="421"/>
    <d v="2026-03-16T00:00:00"/>
    <m/>
    <x v="4"/>
    <x v="0"/>
    <x v="3"/>
  </r>
  <r>
    <x v="6"/>
    <x v="6"/>
    <x v="2"/>
    <m/>
    <n v="421"/>
    <d v="2026-03-16T00:00:00"/>
    <m/>
    <x v="4"/>
    <x v="0"/>
    <x v="3"/>
  </r>
  <r>
    <x v="1"/>
    <x v="1"/>
    <x v="0"/>
    <m/>
    <n v="421"/>
    <d v="2026-03-16T00:00:00"/>
    <m/>
    <x v="4"/>
    <x v="0"/>
    <x v="3"/>
  </r>
  <r>
    <x v="2"/>
    <x v="2"/>
    <x v="0"/>
    <m/>
    <n v="421"/>
    <d v="2026-03-16T00:00:00"/>
    <m/>
    <x v="4"/>
    <x v="0"/>
    <x v="3"/>
  </r>
  <r>
    <x v="10"/>
    <x v="10"/>
    <x v="2"/>
    <m/>
    <n v="421"/>
    <d v="2026-03-16T00:00:00"/>
    <m/>
    <x v="4"/>
    <x v="0"/>
    <x v="3"/>
  </r>
  <r>
    <x v="44"/>
    <x v="44"/>
    <x v="6"/>
    <m/>
    <n v="502"/>
    <d v="2026-03-17T00:00:00"/>
    <m/>
    <x v="8"/>
    <x v="0"/>
    <x v="11"/>
  </r>
  <r>
    <x v="45"/>
    <x v="45"/>
    <x v="2"/>
    <m/>
    <n v="504"/>
    <d v="2026-03-17T00:00:00"/>
    <m/>
    <x v="8"/>
    <x v="0"/>
    <x v="11"/>
  </r>
  <r>
    <x v="37"/>
    <x v="37"/>
    <x v="2"/>
    <m/>
    <n v="503"/>
    <d v="2026-03-17T00:00:00"/>
    <m/>
    <x v="8"/>
    <x v="0"/>
    <x v="7"/>
  </r>
  <r>
    <x v="33"/>
    <x v="33"/>
    <x v="6"/>
    <m/>
    <n v="437"/>
    <d v="2026-03-17T00:00:00"/>
    <m/>
    <x v="10"/>
    <x v="0"/>
    <x v="3"/>
  </r>
  <r>
    <x v="9"/>
    <x v="9"/>
    <x v="1"/>
    <m/>
    <n v="428"/>
    <d v="2026-03-16T00:00:00"/>
    <m/>
    <x v="4"/>
    <x v="0"/>
    <x v="3"/>
  </r>
  <r>
    <x v="41"/>
    <x v="41"/>
    <x v="2"/>
    <m/>
    <n v="428"/>
    <d v="2026-03-16T00:00:00"/>
    <m/>
    <x v="4"/>
    <x v="0"/>
    <x v="3"/>
  </r>
  <r>
    <x v="6"/>
    <x v="6"/>
    <x v="25"/>
    <m/>
    <n v="422"/>
    <d v="2026-03-16T00:00:00"/>
    <m/>
    <x v="6"/>
    <x v="0"/>
    <x v="5"/>
  </r>
  <r>
    <x v="10"/>
    <x v="10"/>
    <x v="26"/>
    <m/>
    <n v="422"/>
    <d v="2026-03-16T00:00:00"/>
    <m/>
    <x v="6"/>
    <x v="0"/>
    <x v="5"/>
  </r>
  <r>
    <x v="11"/>
    <x v="11"/>
    <x v="26"/>
    <m/>
    <n v="422"/>
    <d v="2026-03-16T00:00:00"/>
    <m/>
    <x v="6"/>
    <x v="0"/>
    <x v="5"/>
  </r>
  <r>
    <x v="12"/>
    <x v="12"/>
    <x v="26"/>
    <m/>
    <n v="422"/>
    <d v="2026-03-16T00:00:00"/>
    <m/>
    <x v="6"/>
    <x v="0"/>
    <x v="5"/>
  </r>
  <r>
    <x v="41"/>
    <x v="41"/>
    <x v="1"/>
    <m/>
    <n v="422"/>
    <d v="2026-03-16T00:00:00"/>
    <m/>
    <x v="6"/>
    <x v="0"/>
    <x v="5"/>
  </r>
  <r>
    <x v="19"/>
    <x v="19"/>
    <x v="6"/>
    <m/>
    <n v="387"/>
    <d v="2026-03-16T00:00:00"/>
    <m/>
    <x v="2"/>
    <x v="0"/>
    <x v="2"/>
  </r>
  <r>
    <x v="5"/>
    <x v="5"/>
    <x v="27"/>
    <m/>
    <n v="339"/>
    <d v="2026-03-13T00:00:00"/>
    <m/>
    <x v="2"/>
    <x v="0"/>
    <x v="2"/>
  </r>
  <r>
    <x v="8"/>
    <x v="8"/>
    <x v="27"/>
    <m/>
    <n v="339"/>
    <d v="2026-03-13T00:00:00"/>
    <m/>
    <x v="2"/>
    <x v="0"/>
    <x v="2"/>
  </r>
  <r>
    <x v="7"/>
    <x v="7"/>
    <x v="15"/>
    <m/>
    <n v="339"/>
    <d v="2026-03-13T00:00:00"/>
    <m/>
    <x v="2"/>
    <x v="0"/>
    <x v="2"/>
  </r>
  <r>
    <x v="29"/>
    <x v="29"/>
    <x v="27"/>
    <m/>
    <n v="339"/>
    <d v="2026-03-13T00:00:00"/>
    <m/>
    <x v="2"/>
    <x v="0"/>
    <x v="2"/>
  </r>
  <r>
    <x v="0"/>
    <x v="0"/>
    <x v="13"/>
    <m/>
    <n v="417"/>
    <d v="2026-03-13T00:00:00"/>
    <m/>
    <x v="4"/>
    <x v="0"/>
    <x v="3"/>
  </r>
  <r>
    <x v="28"/>
    <x v="28"/>
    <x v="6"/>
    <m/>
    <n v="417"/>
    <d v="2026-03-13T00:00:00"/>
    <m/>
    <x v="4"/>
    <x v="0"/>
    <x v="3"/>
  </r>
  <r>
    <x v="10"/>
    <x v="10"/>
    <x v="6"/>
    <m/>
    <n v="417"/>
    <d v="2026-03-13T00:00:00"/>
    <m/>
    <x v="4"/>
    <x v="0"/>
    <x v="3"/>
  </r>
  <r>
    <x v="11"/>
    <x v="11"/>
    <x v="6"/>
    <m/>
    <n v="417"/>
    <d v="2026-03-13T00:00:00"/>
    <m/>
    <x v="4"/>
    <x v="0"/>
    <x v="3"/>
  </r>
  <r>
    <x v="12"/>
    <x v="12"/>
    <x v="6"/>
    <m/>
    <n v="417"/>
    <d v="2026-03-13T00:00:00"/>
    <m/>
    <x v="4"/>
    <x v="0"/>
    <x v="3"/>
  </r>
  <r>
    <x v="7"/>
    <x v="7"/>
    <x v="6"/>
    <m/>
    <n v="417"/>
    <d v="2026-03-13T00:00:00"/>
    <m/>
    <x v="4"/>
    <x v="0"/>
    <x v="3"/>
  </r>
  <r>
    <x v="6"/>
    <x v="6"/>
    <x v="6"/>
    <m/>
    <n v="417"/>
    <d v="2026-03-13T00:00:00"/>
    <m/>
    <x v="4"/>
    <x v="0"/>
    <x v="3"/>
  </r>
  <r>
    <x v="36"/>
    <x v="36"/>
    <x v="6"/>
    <m/>
    <n v="417"/>
    <d v="2026-03-13T00:00:00"/>
    <m/>
    <x v="4"/>
    <x v="0"/>
    <x v="3"/>
  </r>
  <r>
    <x v="3"/>
    <x v="3"/>
    <x v="8"/>
    <m/>
    <n v="417"/>
    <d v="2026-03-13T00:00:00"/>
    <m/>
    <x v="4"/>
    <x v="0"/>
    <x v="3"/>
  </r>
  <r>
    <x v="4"/>
    <x v="4"/>
    <x v="2"/>
    <m/>
    <n v="417"/>
    <d v="2026-03-13T00:00:00"/>
    <m/>
    <x v="4"/>
    <x v="0"/>
    <x v="3"/>
  </r>
  <r>
    <x v="10"/>
    <x v="10"/>
    <x v="28"/>
    <m/>
    <n v="418"/>
    <d v="2026-03-13T00:00:00"/>
    <m/>
    <x v="6"/>
    <x v="0"/>
    <x v="5"/>
  </r>
  <r>
    <x v="11"/>
    <x v="11"/>
    <x v="28"/>
    <m/>
    <n v="418"/>
    <d v="2026-03-13T00:00:00"/>
    <m/>
    <x v="6"/>
    <x v="0"/>
    <x v="5"/>
  </r>
  <r>
    <x v="12"/>
    <x v="12"/>
    <x v="28"/>
    <m/>
    <n v="418"/>
    <d v="2026-03-13T00:00:00"/>
    <m/>
    <x v="6"/>
    <x v="0"/>
    <x v="5"/>
  </r>
  <r>
    <x v="41"/>
    <x v="41"/>
    <x v="1"/>
    <m/>
    <n v="418"/>
    <d v="2026-03-13T00:00:00"/>
    <m/>
    <x v="6"/>
    <x v="0"/>
    <x v="5"/>
  </r>
  <r>
    <x v="19"/>
    <x v="19"/>
    <x v="2"/>
    <m/>
    <n v="418"/>
    <d v="2026-03-13T00:00:00"/>
    <m/>
    <x v="6"/>
    <x v="0"/>
    <x v="5"/>
  </r>
  <r>
    <x v="22"/>
    <x v="22"/>
    <x v="6"/>
    <m/>
    <n v="418"/>
    <d v="2026-03-13T00:00:00"/>
    <m/>
    <x v="6"/>
    <x v="0"/>
    <x v="5"/>
  </r>
  <r>
    <x v="41"/>
    <x v="41"/>
    <x v="6"/>
    <m/>
    <n v="253"/>
    <d v="2026-03-13T00:00:00"/>
    <m/>
    <x v="0"/>
    <x v="0"/>
    <x v="0"/>
  </r>
  <r>
    <x v="5"/>
    <x v="5"/>
    <x v="3"/>
    <m/>
    <n v="253"/>
    <d v="2026-03-13T00:00:00"/>
    <m/>
    <x v="0"/>
    <x v="0"/>
    <x v="0"/>
  </r>
  <r>
    <x v="10"/>
    <x v="10"/>
    <x v="1"/>
    <m/>
    <n v="253"/>
    <d v="2026-03-13T00:00:00"/>
    <m/>
    <x v="0"/>
    <x v="0"/>
    <x v="0"/>
  </r>
  <r>
    <x v="11"/>
    <x v="11"/>
    <x v="8"/>
    <m/>
    <n v="253"/>
    <d v="2026-03-13T00:00:00"/>
    <m/>
    <x v="0"/>
    <x v="0"/>
    <x v="0"/>
  </r>
  <r>
    <x v="12"/>
    <x v="12"/>
    <x v="8"/>
    <m/>
    <n v="253"/>
    <d v="2026-03-13T00:00:00"/>
    <m/>
    <x v="0"/>
    <x v="0"/>
    <x v="0"/>
  </r>
  <r>
    <x v="14"/>
    <x v="14"/>
    <x v="8"/>
    <m/>
    <n v="253"/>
    <d v="2026-03-13T00:00:00"/>
    <m/>
    <x v="0"/>
    <x v="0"/>
    <x v="0"/>
  </r>
  <r>
    <x v="13"/>
    <x v="13"/>
    <x v="8"/>
    <m/>
    <n v="253"/>
    <d v="2026-03-13T00:00:00"/>
    <m/>
    <x v="0"/>
    <x v="0"/>
    <x v="0"/>
  </r>
  <r>
    <x v="3"/>
    <x v="3"/>
    <x v="2"/>
    <m/>
    <n v="253"/>
    <d v="2026-03-13T00:00:00"/>
    <m/>
    <x v="0"/>
    <x v="0"/>
    <x v="0"/>
  </r>
  <r>
    <x v="3"/>
    <x v="3"/>
    <x v="1"/>
    <m/>
    <n v="252"/>
    <d v="2026-03-13T00:00:00"/>
    <m/>
    <x v="1"/>
    <x v="0"/>
    <x v="12"/>
  </r>
  <r>
    <x v="43"/>
    <x v="43"/>
    <x v="1"/>
    <m/>
    <n v="413"/>
    <d v="2026-03-12T00:00:00"/>
    <m/>
    <x v="5"/>
    <x v="0"/>
    <x v="13"/>
  </r>
  <r>
    <x v="20"/>
    <x v="20"/>
    <x v="8"/>
    <m/>
    <n v="249"/>
    <d v="2026-03-12T00:00:00"/>
    <m/>
    <x v="0"/>
    <x v="0"/>
    <x v="0"/>
  </r>
  <r>
    <x v="21"/>
    <x v="21"/>
    <x v="2"/>
    <m/>
    <n v="249"/>
    <d v="2026-03-12T00:00:00"/>
    <m/>
    <x v="0"/>
    <x v="0"/>
    <x v="0"/>
  </r>
  <r>
    <x v="27"/>
    <x v="27"/>
    <x v="2"/>
    <m/>
    <n v="249"/>
    <d v="2026-03-12T00:00:00"/>
    <m/>
    <x v="0"/>
    <x v="0"/>
    <x v="0"/>
  </r>
  <r>
    <x v="36"/>
    <x v="36"/>
    <x v="1"/>
    <m/>
    <n v="414"/>
    <d v="2026-03-12T00:00:00"/>
    <m/>
    <x v="12"/>
    <x v="0"/>
    <x v="3"/>
  </r>
  <r>
    <x v="5"/>
    <x v="5"/>
    <x v="6"/>
    <m/>
    <n v="415"/>
    <d v="2026-03-12T00:00:00"/>
    <m/>
    <x v="13"/>
    <x v="0"/>
    <x v="12"/>
  </r>
  <r>
    <x v="6"/>
    <x v="6"/>
    <x v="6"/>
    <m/>
    <n v="415"/>
    <d v="2026-03-12T00:00:00"/>
    <m/>
    <x v="13"/>
    <x v="0"/>
    <x v="12"/>
  </r>
  <r>
    <x v="10"/>
    <x v="10"/>
    <x v="6"/>
    <m/>
    <n v="415"/>
    <d v="2026-03-12T00:00:00"/>
    <m/>
    <x v="13"/>
    <x v="0"/>
    <x v="12"/>
  </r>
  <r>
    <x v="11"/>
    <x v="11"/>
    <x v="6"/>
    <m/>
    <n v="415"/>
    <d v="2026-03-12T00:00:00"/>
    <m/>
    <x v="13"/>
    <x v="0"/>
    <x v="12"/>
  </r>
  <r>
    <x v="12"/>
    <x v="12"/>
    <x v="6"/>
    <m/>
    <n v="415"/>
    <d v="2026-03-12T00:00:00"/>
    <m/>
    <x v="13"/>
    <x v="0"/>
    <x v="12"/>
  </r>
  <r>
    <x v="7"/>
    <x v="7"/>
    <x v="2"/>
    <m/>
    <n v="415"/>
    <d v="2026-03-12T00:00:00"/>
    <m/>
    <x v="13"/>
    <x v="0"/>
    <x v="12"/>
  </r>
  <r>
    <x v="29"/>
    <x v="29"/>
    <x v="2"/>
    <m/>
    <n v="415"/>
    <d v="2026-03-12T00:00:00"/>
    <m/>
    <x v="13"/>
    <x v="0"/>
    <x v="12"/>
  </r>
  <r>
    <x v="36"/>
    <x v="36"/>
    <x v="2"/>
    <m/>
    <n v="416"/>
    <d v="2026-03-12T00:00:00"/>
    <m/>
    <x v="7"/>
    <x v="0"/>
    <x v="13"/>
  </r>
  <r>
    <x v="28"/>
    <x v="28"/>
    <x v="6"/>
    <m/>
    <n v="416"/>
    <d v="2026-03-12T00:00:00"/>
    <m/>
    <x v="7"/>
    <x v="0"/>
    <x v="13"/>
  </r>
  <r>
    <x v="10"/>
    <x v="10"/>
    <x v="6"/>
    <m/>
    <n v="416"/>
    <d v="2026-03-12T00:00:00"/>
    <m/>
    <x v="7"/>
    <x v="0"/>
    <x v="13"/>
  </r>
  <r>
    <x v="11"/>
    <x v="11"/>
    <x v="6"/>
    <m/>
    <n v="416"/>
    <d v="2026-03-12T00:00:00"/>
    <m/>
    <x v="7"/>
    <x v="0"/>
    <x v="13"/>
  </r>
  <r>
    <x v="7"/>
    <x v="7"/>
    <x v="6"/>
    <m/>
    <n v="416"/>
    <d v="2026-03-12T00:00:00"/>
    <m/>
    <x v="7"/>
    <x v="0"/>
    <x v="13"/>
  </r>
  <r>
    <x v="12"/>
    <x v="12"/>
    <x v="6"/>
    <m/>
    <n v="416"/>
    <d v="2026-03-12T00:00:00"/>
    <m/>
    <x v="7"/>
    <x v="0"/>
    <x v="13"/>
  </r>
  <r>
    <x v="18"/>
    <x v="18"/>
    <x v="29"/>
    <m/>
    <n v="250"/>
    <d v="2026-03-12T00:00:00"/>
    <m/>
    <x v="4"/>
    <x v="0"/>
    <x v="3"/>
  </r>
  <r>
    <x v="2"/>
    <x v="2"/>
    <x v="0"/>
    <m/>
    <n v="250"/>
    <d v="2026-03-12T00:00:00"/>
    <m/>
    <x v="4"/>
    <x v="0"/>
    <x v="3"/>
  </r>
  <r>
    <x v="1"/>
    <x v="1"/>
    <x v="0"/>
    <m/>
    <n v="250"/>
    <d v="2026-03-12T00:00:00"/>
    <m/>
    <x v="4"/>
    <x v="0"/>
    <x v="3"/>
  </r>
  <r>
    <x v="43"/>
    <x v="43"/>
    <x v="6"/>
    <m/>
    <n v="250"/>
    <d v="2026-03-12T00:00:00"/>
    <m/>
    <x v="4"/>
    <x v="0"/>
    <x v="3"/>
  </r>
  <r>
    <x v="3"/>
    <x v="3"/>
    <x v="6"/>
    <m/>
    <n v="251"/>
    <d v="2026-03-12T00:00:00"/>
    <m/>
    <x v="1"/>
    <x v="0"/>
    <x v="12"/>
  </r>
  <r>
    <x v="7"/>
    <x v="7"/>
    <x v="6"/>
    <m/>
    <n v="251"/>
    <d v="2026-03-12T00:00:00"/>
    <m/>
    <x v="1"/>
    <x v="0"/>
    <x v="12"/>
  </r>
  <r>
    <x v="29"/>
    <x v="29"/>
    <x v="6"/>
    <m/>
    <n v="251"/>
    <d v="2026-03-12T00:00:00"/>
    <m/>
    <x v="1"/>
    <x v="0"/>
    <x v="12"/>
  </r>
  <r>
    <x v="46"/>
    <x v="46"/>
    <x v="3"/>
    <m/>
    <n v="369"/>
    <d v="2026-03-11T00:00:00"/>
    <m/>
    <x v="2"/>
    <x v="0"/>
    <x v="14"/>
  </r>
  <r>
    <x v="8"/>
    <x v="8"/>
    <x v="3"/>
    <m/>
    <n v="369"/>
    <d v="2026-03-11T00:00:00"/>
    <m/>
    <x v="2"/>
    <x v="0"/>
    <x v="14"/>
  </r>
  <r>
    <x v="7"/>
    <x v="7"/>
    <x v="11"/>
    <m/>
    <n v="369"/>
    <d v="2026-03-11T00:00:00"/>
    <m/>
    <x v="2"/>
    <x v="0"/>
    <x v="14"/>
  </r>
  <r>
    <x v="29"/>
    <x v="29"/>
    <x v="3"/>
    <m/>
    <n v="369"/>
    <d v="2026-03-11T00:00:00"/>
    <m/>
    <x v="2"/>
    <x v="0"/>
    <x v="14"/>
  </r>
  <r>
    <x v="21"/>
    <x v="21"/>
    <x v="2"/>
    <m/>
    <n v="369"/>
    <d v="2026-03-11T00:00:00"/>
    <m/>
    <x v="2"/>
    <x v="0"/>
    <x v="14"/>
  </r>
  <r>
    <x v="47"/>
    <x v="47"/>
    <x v="30"/>
    <m/>
    <n v="409"/>
    <d v="2026-03-11T00:00:00"/>
    <m/>
    <x v="5"/>
    <x v="0"/>
    <x v="15"/>
  </r>
  <r>
    <x v="41"/>
    <x v="41"/>
    <x v="6"/>
    <m/>
    <n v="409"/>
    <d v="2026-03-11T00:00:00"/>
    <m/>
    <x v="5"/>
    <x v="0"/>
    <x v="15"/>
  </r>
  <r>
    <x v="19"/>
    <x v="19"/>
    <x v="6"/>
    <m/>
    <n v="409"/>
    <d v="2026-03-11T00:00:00"/>
    <m/>
    <x v="5"/>
    <x v="0"/>
    <x v="15"/>
  </r>
  <r>
    <x v="24"/>
    <x v="24"/>
    <x v="6"/>
    <m/>
    <n v="412"/>
    <d v="2026-03-11T00:00:00"/>
    <m/>
    <x v="14"/>
    <x v="0"/>
    <x v="16"/>
  </r>
  <r>
    <x v="7"/>
    <x v="7"/>
    <x v="2"/>
    <m/>
    <n v="412"/>
    <d v="2026-03-11T00:00:00"/>
    <m/>
    <x v="14"/>
    <x v="0"/>
    <x v="16"/>
  </r>
  <r>
    <x v="41"/>
    <x v="41"/>
    <x v="2"/>
    <m/>
    <n v="362"/>
    <d v="2026-03-11T00:00:00"/>
    <m/>
    <x v="6"/>
    <x v="0"/>
    <x v="13"/>
  </r>
  <r>
    <x v="5"/>
    <x v="5"/>
    <x v="6"/>
    <m/>
    <n v="378"/>
    <d v="2026-03-11T00:00:00"/>
    <m/>
    <x v="7"/>
    <x v="0"/>
    <x v="17"/>
  </r>
  <r>
    <x v="9"/>
    <x v="9"/>
    <x v="6"/>
    <m/>
    <n v="378"/>
    <d v="2026-03-11T00:00:00"/>
    <m/>
    <x v="7"/>
    <x v="0"/>
    <x v="17"/>
  </r>
  <r>
    <x v="7"/>
    <x v="7"/>
    <x v="8"/>
    <m/>
    <n v="378"/>
    <d v="2026-03-11T00:00:00"/>
    <m/>
    <x v="7"/>
    <x v="0"/>
    <x v="17"/>
  </r>
  <r>
    <x v="10"/>
    <x v="10"/>
    <x v="6"/>
    <m/>
    <n v="378"/>
    <d v="2026-03-11T00:00:00"/>
    <m/>
    <x v="7"/>
    <x v="0"/>
    <x v="17"/>
  </r>
  <r>
    <x v="8"/>
    <x v="8"/>
    <x v="6"/>
    <m/>
    <n v="378"/>
    <d v="2026-03-11T00:00:00"/>
    <m/>
    <x v="7"/>
    <x v="0"/>
    <x v="17"/>
  </r>
  <r>
    <x v="24"/>
    <x v="24"/>
    <x v="3"/>
    <m/>
    <n v="378"/>
    <d v="2026-03-11T00:00:00"/>
    <m/>
    <x v="7"/>
    <x v="0"/>
    <x v="17"/>
  </r>
  <r>
    <x v="14"/>
    <x v="14"/>
    <x v="6"/>
    <m/>
    <n v="378"/>
    <d v="2026-03-11T00:00:00"/>
    <m/>
    <x v="7"/>
    <x v="0"/>
    <x v="17"/>
  </r>
  <r>
    <x v="11"/>
    <x v="11"/>
    <x v="6"/>
    <m/>
    <n v="378"/>
    <d v="2026-03-11T00:00:00"/>
    <m/>
    <x v="7"/>
    <x v="0"/>
    <x v="17"/>
  </r>
  <r>
    <x v="32"/>
    <x v="32"/>
    <x v="6"/>
    <m/>
    <n v="378"/>
    <d v="2026-03-11T00:00:00"/>
    <m/>
    <x v="7"/>
    <x v="0"/>
    <x v="17"/>
  </r>
  <r>
    <x v="1"/>
    <x v="1"/>
    <x v="3"/>
    <m/>
    <n v="378"/>
    <d v="2026-03-11T00:00:00"/>
    <m/>
    <x v="7"/>
    <x v="0"/>
    <x v="17"/>
  </r>
  <r>
    <x v="13"/>
    <x v="13"/>
    <x v="6"/>
    <m/>
    <n v="378"/>
    <d v="2026-03-11T00:00:00"/>
    <m/>
    <x v="7"/>
    <x v="0"/>
    <x v="17"/>
  </r>
  <r>
    <x v="6"/>
    <x v="6"/>
    <x v="8"/>
    <m/>
    <n v="378"/>
    <d v="2026-03-11T00:00:00"/>
    <m/>
    <x v="7"/>
    <x v="0"/>
    <x v="17"/>
  </r>
  <r>
    <x v="0"/>
    <x v="0"/>
    <x v="23"/>
    <m/>
    <n v="371"/>
    <d v="2026-03-11T00:00:00"/>
    <m/>
    <x v="2"/>
    <x v="0"/>
    <x v="2"/>
  </r>
  <r>
    <x v="24"/>
    <x v="24"/>
    <x v="31"/>
    <m/>
    <n v="371"/>
    <d v="2026-03-11T00:00:00"/>
    <m/>
    <x v="2"/>
    <x v="0"/>
    <x v="2"/>
  </r>
  <r>
    <x v="1"/>
    <x v="1"/>
    <x v="32"/>
    <m/>
    <n v="371"/>
    <d v="2026-03-11T00:00:00"/>
    <m/>
    <x v="2"/>
    <x v="0"/>
    <x v="2"/>
  </r>
  <r>
    <x v="2"/>
    <x v="2"/>
    <x v="32"/>
    <m/>
    <n v="371"/>
    <d v="2026-03-11T00:00:00"/>
    <m/>
    <x v="2"/>
    <x v="0"/>
    <x v="2"/>
  </r>
  <r>
    <x v="3"/>
    <x v="3"/>
    <x v="1"/>
    <m/>
    <n v="371"/>
    <d v="2026-03-11T00:00:00"/>
    <m/>
    <x v="2"/>
    <x v="0"/>
    <x v="2"/>
  </r>
  <r>
    <x v="4"/>
    <x v="4"/>
    <x v="6"/>
    <m/>
    <n v="371"/>
    <d v="2026-03-11T00:00:00"/>
    <m/>
    <x v="2"/>
    <x v="0"/>
    <x v="2"/>
  </r>
  <r>
    <x v="0"/>
    <x v="0"/>
    <x v="0"/>
    <m/>
    <n v="248"/>
    <d v="2026-03-11T00:00:00"/>
    <m/>
    <x v="0"/>
    <x v="0"/>
    <x v="0"/>
  </r>
  <r>
    <x v="1"/>
    <x v="1"/>
    <x v="0"/>
    <m/>
    <n v="248"/>
    <d v="2026-03-11T00:00:00"/>
    <m/>
    <x v="0"/>
    <x v="0"/>
    <x v="0"/>
  </r>
  <r>
    <x v="2"/>
    <x v="2"/>
    <x v="0"/>
    <m/>
    <n v="248"/>
    <d v="2026-03-11T00:00:00"/>
    <m/>
    <x v="0"/>
    <x v="0"/>
    <x v="0"/>
  </r>
  <r>
    <x v="35"/>
    <x v="35"/>
    <x v="3"/>
    <m/>
    <n v="411"/>
    <d v="2026-03-11T00:00:00"/>
    <m/>
    <x v="15"/>
    <x v="0"/>
    <x v="10"/>
  </r>
  <r>
    <x v="4"/>
    <x v="4"/>
    <x v="8"/>
    <m/>
    <n v="411"/>
    <d v="2026-03-11T00:00:00"/>
    <m/>
    <x v="15"/>
    <x v="0"/>
    <x v="10"/>
  </r>
  <r>
    <x v="19"/>
    <x v="19"/>
    <x v="1"/>
    <m/>
    <n v="247"/>
    <d v="2026-03-10T00:00:00"/>
    <m/>
    <x v="16"/>
    <x v="0"/>
    <x v="0"/>
  </r>
  <r>
    <x v="35"/>
    <x v="35"/>
    <x v="8"/>
    <m/>
    <n v="408"/>
    <d v="2026-03-10T00:00:00"/>
    <m/>
    <x v="3"/>
    <x v="0"/>
    <x v="18"/>
  </r>
  <r>
    <x v="48"/>
    <x v="48"/>
    <x v="6"/>
    <m/>
    <n v="408"/>
    <d v="2026-03-10T00:00:00"/>
    <m/>
    <x v="3"/>
    <x v="0"/>
    <x v="18"/>
  </r>
  <r>
    <x v="19"/>
    <x v="19"/>
    <x v="2"/>
    <m/>
    <n v="408"/>
    <d v="2026-03-10T00:00:00"/>
    <m/>
    <x v="3"/>
    <x v="0"/>
    <x v="18"/>
  </r>
  <r>
    <x v="26"/>
    <x v="26"/>
    <x v="8"/>
    <m/>
    <n v="407"/>
    <d v="2026-03-10T00:00:00"/>
    <m/>
    <x v="4"/>
    <x v="0"/>
    <x v="3"/>
  </r>
  <r>
    <x v="18"/>
    <x v="18"/>
    <x v="33"/>
    <m/>
    <n v="407"/>
    <d v="2026-03-10T00:00:00"/>
    <m/>
    <x v="4"/>
    <x v="0"/>
    <x v="3"/>
  </r>
  <r>
    <x v="42"/>
    <x v="42"/>
    <x v="6"/>
    <m/>
    <n v="407"/>
    <d v="2026-03-10T00:00:00"/>
    <m/>
    <x v="4"/>
    <x v="0"/>
    <x v="3"/>
  </r>
  <r>
    <x v="26"/>
    <x v="26"/>
    <x v="2"/>
    <m/>
    <n v="406"/>
    <d v="2026-03-10T00:00:00"/>
    <m/>
    <x v="6"/>
    <x v="0"/>
    <x v="13"/>
  </r>
  <r>
    <x v="49"/>
    <x v="49"/>
    <x v="2"/>
    <m/>
    <n v="406"/>
    <d v="2026-03-10T00:00:00"/>
    <m/>
    <x v="6"/>
    <x v="0"/>
    <x v="13"/>
  </r>
  <r>
    <x v="43"/>
    <x v="43"/>
    <x v="1"/>
    <m/>
    <n v="406"/>
    <d v="2026-03-10T00:00:00"/>
    <m/>
    <x v="6"/>
    <x v="0"/>
    <x v="13"/>
  </r>
  <r>
    <x v="28"/>
    <x v="28"/>
    <x v="6"/>
    <m/>
    <n v="406"/>
    <d v="2026-03-10T00:00:00"/>
    <m/>
    <x v="6"/>
    <x v="0"/>
    <x v="13"/>
  </r>
  <r>
    <x v="10"/>
    <x v="10"/>
    <x v="6"/>
    <m/>
    <n v="406"/>
    <d v="2026-03-10T00:00:00"/>
    <m/>
    <x v="6"/>
    <x v="0"/>
    <x v="13"/>
  </r>
  <r>
    <x v="6"/>
    <x v="6"/>
    <x v="6"/>
    <m/>
    <n v="406"/>
    <d v="2026-03-10T00:00:00"/>
    <m/>
    <x v="6"/>
    <x v="0"/>
    <x v="13"/>
  </r>
  <r>
    <x v="32"/>
    <x v="32"/>
    <x v="6"/>
    <m/>
    <n v="406"/>
    <d v="2026-03-10T00:00:00"/>
    <m/>
    <x v="6"/>
    <x v="0"/>
    <x v="13"/>
  </r>
  <r>
    <x v="41"/>
    <x v="41"/>
    <x v="6"/>
    <m/>
    <n v="406"/>
    <d v="2026-03-10T00:00:00"/>
    <m/>
    <x v="6"/>
    <x v="0"/>
    <x v="13"/>
  </r>
  <r>
    <x v="22"/>
    <x v="22"/>
    <x v="6"/>
    <m/>
    <n v="406"/>
    <d v="2026-03-10T00:00:00"/>
    <m/>
    <x v="6"/>
    <x v="0"/>
    <x v="13"/>
  </r>
  <r>
    <x v="19"/>
    <x v="19"/>
    <x v="6"/>
    <m/>
    <n v="406"/>
    <d v="2026-03-10T00:00:00"/>
    <m/>
    <x v="6"/>
    <x v="0"/>
    <x v="13"/>
  </r>
  <r>
    <x v="42"/>
    <x v="42"/>
    <x v="2"/>
    <m/>
    <n v="406"/>
    <d v="2026-03-10T00:00:00"/>
    <m/>
    <x v="6"/>
    <x v="0"/>
    <x v="13"/>
  </r>
  <r>
    <x v="11"/>
    <x v="11"/>
    <x v="6"/>
    <m/>
    <n v="406"/>
    <d v="2026-03-10T00:00:00"/>
    <m/>
    <x v="6"/>
    <x v="0"/>
    <x v="13"/>
  </r>
  <r>
    <x v="24"/>
    <x v="24"/>
    <x v="0"/>
    <m/>
    <n v="370"/>
    <d v="2026-03-09T00:00:00"/>
    <m/>
    <x v="2"/>
    <x v="0"/>
    <x v="14"/>
  </r>
  <r>
    <x v="1"/>
    <x v="1"/>
    <x v="0"/>
    <m/>
    <n v="370"/>
    <d v="2026-03-09T00:00:00"/>
    <m/>
    <x v="2"/>
    <x v="0"/>
    <x v="14"/>
  </r>
  <r>
    <x v="46"/>
    <x v="46"/>
    <x v="3"/>
    <m/>
    <n v="370"/>
    <d v="2026-03-09T00:00:00"/>
    <m/>
    <x v="2"/>
    <x v="0"/>
    <x v="14"/>
  </r>
  <r>
    <x v="8"/>
    <x v="8"/>
    <x v="3"/>
    <m/>
    <n v="370"/>
    <d v="2026-03-09T00:00:00"/>
    <m/>
    <x v="2"/>
    <x v="0"/>
    <x v="14"/>
  </r>
  <r>
    <x v="7"/>
    <x v="7"/>
    <x v="11"/>
    <m/>
    <n v="370"/>
    <d v="2026-03-09T00:00:00"/>
    <m/>
    <x v="2"/>
    <x v="0"/>
    <x v="14"/>
  </r>
  <r>
    <x v="29"/>
    <x v="29"/>
    <x v="3"/>
    <m/>
    <n v="370"/>
    <d v="2026-03-09T00:00:00"/>
    <m/>
    <x v="2"/>
    <x v="0"/>
    <x v="14"/>
  </r>
  <r>
    <x v="42"/>
    <x v="42"/>
    <x v="2"/>
    <m/>
    <n v="403"/>
    <d v="2026-03-09T00:00:00"/>
    <m/>
    <x v="4"/>
    <x v="0"/>
    <x v="3"/>
  </r>
  <r>
    <x v="50"/>
    <x v="50"/>
    <x v="2"/>
    <m/>
    <n v="403"/>
    <d v="2026-03-09T00:00:00"/>
    <m/>
    <x v="4"/>
    <x v="0"/>
    <x v="3"/>
  </r>
  <r>
    <x v="49"/>
    <x v="49"/>
    <x v="8"/>
    <m/>
    <n v="403"/>
    <d v="2026-03-09T00:00:00"/>
    <m/>
    <x v="4"/>
    <x v="0"/>
    <x v="3"/>
  </r>
  <r>
    <x v="26"/>
    <x v="26"/>
    <x v="8"/>
    <m/>
    <n v="403"/>
    <d v="2026-03-09T00:00:00"/>
    <m/>
    <x v="4"/>
    <x v="0"/>
    <x v="3"/>
  </r>
  <r>
    <x v="4"/>
    <x v="4"/>
    <x v="2"/>
    <m/>
    <n v="403"/>
    <d v="2026-03-09T00:00:00"/>
    <m/>
    <x v="4"/>
    <x v="0"/>
    <x v="3"/>
  </r>
  <r>
    <x v="3"/>
    <x v="3"/>
    <x v="8"/>
    <m/>
    <n v="403"/>
    <d v="2026-03-09T00:00:00"/>
    <m/>
    <x v="4"/>
    <x v="0"/>
    <x v="3"/>
  </r>
  <r>
    <x v="36"/>
    <x v="36"/>
    <x v="10"/>
    <m/>
    <n v="403"/>
    <d v="2026-03-09T00:00:00"/>
    <m/>
    <x v="4"/>
    <x v="0"/>
    <x v="3"/>
  </r>
  <r>
    <x v="45"/>
    <x v="45"/>
    <x v="6"/>
    <m/>
    <n v="402"/>
    <d v="2026-03-09T00:00:00"/>
    <m/>
    <x v="4"/>
    <x v="0"/>
    <x v="3"/>
  </r>
  <r>
    <x v="1"/>
    <x v="1"/>
    <x v="0"/>
    <m/>
    <n v="402"/>
    <d v="2026-03-09T00:00:00"/>
    <m/>
    <x v="4"/>
    <x v="0"/>
    <x v="3"/>
  </r>
  <r>
    <x v="2"/>
    <x v="2"/>
    <x v="0"/>
    <m/>
    <n v="402"/>
    <d v="2026-03-09T00:00:00"/>
    <m/>
    <x v="4"/>
    <x v="0"/>
    <x v="3"/>
  </r>
  <r>
    <x v="0"/>
    <x v="0"/>
    <x v="10"/>
    <m/>
    <n v="402"/>
    <d v="2026-03-09T00:00:00"/>
    <m/>
    <x v="4"/>
    <x v="0"/>
    <x v="3"/>
  </r>
  <r>
    <x v="0"/>
    <x v="0"/>
    <x v="0"/>
    <m/>
    <n v="246"/>
    <d v="2026-03-09T00:00:00"/>
    <m/>
    <x v="0"/>
    <x v="0"/>
    <x v="0"/>
  </r>
  <r>
    <x v="1"/>
    <x v="1"/>
    <x v="0"/>
    <m/>
    <n v="246"/>
    <d v="2026-03-09T00:00:00"/>
    <m/>
    <x v="0"/>
    <x v="0"/>
    <x v="0"/>
  </r>
  <r>
    <x v="2"/>
    <x v="2"/>
    <x v="0"/>
    <m/>
    <n v="246"/>
    <d v="2026-03-09T00:00:00"/>
    <m/>
    <x v="0"/>
    <x v="0"/>
    <x v="0"/>
  </r>
  <r>
    <x v="17"/>
    <x v="17"/>
    <x v="6"/>
    <m/>
    <n v="246"/>
    <d v="2026-03-09T00:00:00"/>
    <m/>
    <x v="0"/>
    <x v="0"/>
    <x v="0"/>
  </r>
  <r>
    <x v="34"/>
    <x v="34"/>
    <x v="6"/>
    <m/>
    <n v="246"/>
    <d v="2026-03-09T00:00:00"/>
    <m/>
    <x v="0"/>
    <x v="0"/>
    <x v="0"/>
  </r>
  <r>
    <x v="20"/>
    <x v="20"/>
    <x v="2"/>
    <m/>
    <n v="246"/>
    <d v="2026-03-09T00:00:00"/>
    <m/>
    <x v="0"/>
    <x v="0"/>
    <x v="0"/>
  </r>
  <r>
    <x v="3"/>
    <x v="3"/>
    <x v="1"/>
    <m/>
    <n v="246"/>
    <d v="2026-03-09T00:00:00"/>
    <m/>
    <x v="0"/>
    <x v="0"/>
    <x v="0"/>
  </r>
  <r>
    <x v="4"/>
    <x v="4"/>
    <x v="2"/>
    <m/>
    <n v="246"/>
    <d v="2026-03-09T00:00:00"/>
    <m/>
    <x v="0"/>
    <x v="0"/>
    <x v="0"/>
  </r>
  <r>
    <x v="25"/>
    <x v="25"/>
    <x v="2"/>
    <m/>
    <n v="244"/>
    <d v="2026-03-06T00:00:00"/>
    <m/>
    <x v="0"/>
    <x v="0"/>
    <x v="0"/>
  </r>
  <r>
    <x v="5"/>
    <x v="5"/>
    <x v="1"/>
    <m/>
    <n v="244"/>
    <d v="2026-03-06T00:00:00"/>
    <m/>
    <x v="0"/>
    <x v="0"/>
    <x v="0"/>
  </r>
  <r>
    <x v="10"/>
    <x v="10"/>
    <x v="1"/>
    <m/>
    <n v="244"/>
    <d v="2026-03-06T00:00:00"/>
    <m/>
    <x v="0"/>
    <x v="0"/>
    <x v="0"/>
  </r>
  <r>
    <x v="11"/>
    <x v="11"/>
    <x v="1"/>
    <m/>
    <n v="244"/>
    <d v="2026-03-06T00:00:00"/>
    <m/>
    <x v="0"/>
    <x v="0"/>
    <x v="0"/>
  </r>
  <r>
    <x v="32"/>
    <x v="32"/>
    <x v="1"/>
    <m/>
    <n v="244"/>
    <d v="2026-03-06T00:00:00"/>
    <m/>
    <x v="0"/>
    <x v="0"/>
    <x v="0"/>
  </r>
  <r>
    <x v="41"/>
    <x v="41"/>
    <x v="6"/>
    <m/>
    <n v="244"/>
    <d v="2026-03-06T00:00:00"/>
    <m/>
    <x v="0"/>
    <x v="0"/>
    <x v="0"/>
  </r>
  <r>
    <x v="22"/>
    <x v="22"/>
    <x v="2"/>
    <m/>
    <n v="395"/>
    <d v="2026-03-06T00:00:00"/>
    <m/>
    <x v="4"/>
    <x v="0"/>
    <x v="3"/>
  </r>
  <r>
    <x v="19"/>
    <x v="19"/>
    <x v="2"/>
    <m/>
    <n v="395"/>
    <d v="2026-03-06T00:00:00"/>
    <m/>
    <x v="4"/>
    <x v="0"/>
    <x v="3"/>
  </r>
  <r>
    <x v="29"/>
    <x v="29"/>
    <x v="3"/>
    <m/>
    <n v="388"/>
    <d v="2026-03-06T00:00:00"/>
    <m/>
    <x v="2"/>
    <x v="0"/>
    <x v="14"/>
  </r>
  <r>
    <x v="7"/>
    <x v="7"/>
    <x v="3"/>
    <m/>
    <n v="388"/>
    <d v="2026-03-06T00:00:00"/>
    <m/>
    <x v="2"/>
    <x v="0"/>
    <x v="14"/>
  </r>
  <r>
    <x v="51"/>
    <x v="51"/>
    <x v="6"/>
    <m/>
    <n v="388"/>
    <d v="2026-03-06T00:00:00"/>
    <m/>
    <x v="2"/>
    <x v="0"/>
    <x v="14"/>
  </r>
  <r>
    <x v="20"/>
    <x v="20"/>
    <x v="2"/>
    <m/>
    <n v="388"/>
    <d v="2026-03-06T00:00:00"/>
    <m/>
    <x v="2"/>
    <x v="0"/>
    <x v="14"/>
  </r>
  <r>
    <x v="46"/>
    <x v="46"/>
    <x v="8"/>
    <m/>
    <n v="923"/>
    <d v="2026-03-06T00:00:00"/>
    <m/>
    <x v="2"/>
    <x v="0"/>
    <x v="13"/>
  </r>
  <r>
    <x v="28"/>
    <x v="28"/>
    <x v="8"/>
    <m/>
    <n v="923"/>
    <d v="2026-03-06T00:00:00"/>
    <m/>
    <x v="2"/>
    <x v="0"/>
    <x v="13"/>
  </r>
  <r>
    <x v="8"/>
    <x v="8"/>
    <x v="4"/>
    <m/>
    <n v="923"/>
    <d v="2026-03-06T00:00:00"/>
    <m/>
    <x v="2"/>
    <x v="0"/>
    <x v="13"/>
  </r>
  <r>
    <x v="6"/>
    <x v="6"/>
    <x v="34"/>
    <m/>
    <n v="923"/>
    <d v="2026-03-06T00:00:00"/>
    <m/>
    <x v="2"/>
    <x v="0"/>
    <x v="13"/>
  </r>
  <r>
    <x v="10"/>
    <x v="10"/>
    <x v="4"/>
    <m/>
    <n v="923"/>
    <d v="2026-03-06T00:00:00"/>
    <m/>
    <x v="2"/>
    <x v="0"/>
    <x v="13"/>
  </r>
  <r>
    <x v="11"/>
    <x v="11"/>
    <x v="4"/>
    <m/>
    <n v="923"/>
    <d v="2026-03-06T00:00:00"/>
    <m/>
    <x v="2"/>
    <x v="0"/>
    <x v="13"/>
  </r>
  <r>
    <x v="12"/>
    <x v="12"/>
    <x v="4"/>
    <m/>
    <n v="923"/>
    <d v="2026-03-06T00:00:00"/>
    <m/>
    <x v="2"/>
    <x v="0"/>
    <x v="13"/>
  </r>
  <r>
    <x v="41"/>
    <x v="41"/>
    <x v="2"/>
    <m/>
    <n v="923"/>
    <d v="2026-03-06T00:00:00"/>
    <m/>
    <x v="2"/>
    <x v="0"/>
    <x v="13"/>
  </r>
  <r>
    <x v="51"/>
    <x v="51"/>
    <x v="6"/>
    <m/>
    <n v="923"/>
    <d v="2026-03-06T00:00:00"/>
    <m/>
    <x v="2"/>
    <x v="0"/>
    <x v="13"/>
  </r>
  <r>
    <x v="21"/>
    <x v="21"/>
    <x v="2"/>
    <m/>
    <n v="923"/>
    <d v="2026-03-06T00:00:00"/>
    <m/>
    <x v="2"/>
    <x v="0"/>
    <x v="13"/>
  </r>
  <r>
    <x v="36"/>
    <x v="36"/>
    <x v="3"/>
    <m/>
    <n v="923"/>
    <d v="2026-03-06T00:00:00"/>
    <m/>
    <x v="2"/>
    <x v="0"/>
    <x v="13"/>
  </r>
  <r>
    <x v="52"/>
    <x v="52"/>
    <x v="6"/>
    <m/>
    <n v="923"/>
    <d v="2026-03-06T00:00:00"/>
    <m/>
    <x v="2"/>
    <x v="0"/>
    <x v="13"/>
  </r>
  <r>
    <x v="53"/>
    <x v="53"/>
    <x v="8"/>
    <m/>
    <n v="398"/>
    <d v="2026-03-06T00:00:00"/>
    <m/>
    <x v="8"/>
    <x v="0"/>
    <x v="11"/>
  </r>
  <r>
    <x v="54"/>
    <x v="54"/>
    <x v="6"/>
    <m/>
    <n v="399"/>
    <d v="2026-03-06T00:00:00"/>
    <m/>
    <x v="8"/>
    <x v="0"/>
    <x v="11"/>
  </r>
  <r>
    <x v="55"/>
    <x v="55"/>
    <x v="10"/>
    <m/>
    <n v="399"/>
    <d v="2026-03-06T00:00:00"/>
    <m/>
    <x v="8"/>
    <x v="0"/>
    <x v="11"/>
  </r>
  <r>
    <x v="56"/>
    <x v="56"/>
    <x v="6"/>
    <m/>
    <n v="399"/>
    <d v="2026-03-06T00:00:00"/>
    <m/>
    <x v="8"/>
    <x v="0"/>
    <x v="11"/>
  </r>
  <r>
    <x v="42"/>
    <x v="42"/>
    <x v="6"/>
    <m/>
    <n v="397"/>
    <d v="2026-03-06T00:00:00"/>
    <m/>
    <x v="8"/>
    <x v="0"/>
    <x v="11"/>
  </r>
  <r>
    <x v="43"/>
    <x v="43"/>
    <x v="6"/>
    <m/>
    <n v="397"/>
    <d v="2026-03-06T00:00:00"/>
    <m/>
    <x v="8"/>
    <x v="0"/>
    <x v="11"/>
  </r>
  <r>
    <x v="45"/>
    <x v="45"/>
    <x v="2"/>
    <m/>
    <n v="397"/>
    <d v="2026-03-06T00:00:00"/>
    <m/>
    <x v="8"/>
    <x v="0"/>
    <x v="11"/>
  </r>
  <r>
    <x v="6"/>
    <x v="6"/>
    <x v="1"/>
    <m/>
    <n v="392"/>
    <d v="2026-03-05T00:00:00"/>
    <m/>
    <x v="14"/>
    <x v="0"/>
    <x v="19"/>
  </r>
  <r>
    <x v="57"/>
    <x v="57"/>
    <x v="6"/>
    <m/>
    <n v="393"/>
    <d v="2026-03-05T00:00:00"/>
    <m/>
    <x v="14"/>
    <x v="0"/>
    <x v="18"/>
  </r>
  <r>
    <x v="0"/>
    <x v="0"/>
    <x v="2"/>
    <m/>
    <n v="393"/>
    <d v="2026-03-05T00:00:00"/>
    <m/>
    <x v="14"/>
    <x v="0"/>
    <x v="18"/>
  </r>
  <r>
    <x v="42"/>
    <x v="42"/>
    <x v="6"/>
    <m/>
    <n v="394"/>
    <d v="2026-03-05T00:00:00"/>
    <m/>
    <x v="8"/>
    <x v="0"/>
    <x v="11"/>
  </r>
  <r>
    <x v="58"/>
    <x v="58"/>
    <x v="6"/>
    <m/>
    <n v="394"/>
    <d v="2026-03-05T00:00:00"/>
    <m/>
    <x v="8"/>
    <x v="0"/>
    <x v="11"/>
  </r>
  <r>
    <x v="36"/>
    <x v="36"/>
    <x v="11"/>
    <m/>
    <n v="394"/>
    <d v="2026-03-05T00:00:00"/>
    <m/>
    <x v="8"/>
    <x v="0"/>
    <x v="11"/>
  </r>
  <r>
    <x v="43"/>
    <x v="43"/>
    <x v="6"/>
    <m/>
    <n v="394"/>
    <d v="2026-03-05T00:00:00"/>
    <m/>
    <x v="8"/>
    <x v="0"/>
    <x v="11"/>
  </r>
  <r>
    <x v="6"/>
    <x v="6"/>
    <x v="2"/>
    <m/>
    <n v="394"/>
    <d v="2026-03-05T00:00:00"/>
    <m/>
    <x v="8"/>
    <x v="0"/>
    <x v="11"/>
  </r>
  <r>
    <x v="28"/>
    <x v="28"/>
    <x v="2"/>
    <m/>
    <n v="394"/>
    <d v="2026-03-05T00:00:00"/>
    <m/>
    <x v="8"/>
    <x v="0"/>
    <x v="11"/>
  </r>
  <r>
    <x v="10"/>
    <x v="10"/>
    <x v="2"/>
    <m/>
    <n v="394"/>
    <d v="2026-03-05T00:00:00"/>
    <m/>
    <x v="8"/>
    <x v="0"/>
    <x v="11"/>
  </r>
  <r>
    <x v="18"/>
    <x v="18"/>
    <x v="35"/>
    <m/>
    <n v="394"/>
    <d v="2026-03-05T00:00:00"/>
    <m/>
    <x v="8"/>
    <x v="0"/>
    <x v="11"/>
  </r>
  <r>
    <x v="11"/>
    <x v="11"/>
    <x v="2"/>
    <m/>
    <n v="394"/>
    <d v="2026-03-05T00:00:00"/>
    <m/>
    <x v="8"/>
    <x v="0"/>
    <x v="11"/>
  </r>
  <r>
    <x v="12"/>
    <x v="12"/>
    <x v="2"/>
    <m/>
    <n v="394"/>
    <d v="2026-03-05T00:00:00"/>
    <m/>
    <x v="8"/>
    <x v="0"/>
    <x v="11"/>
  </r>
  <r>
    <x v="1"/>
    <x v="1"/>
    <x v="24"/>
    <m/>
    <n v="394"/>
    <d v="2026-03-05T00:00:00"/>
    <m/>
    <x v="8"/>
    <x v="0"/>
    <x v="11"/>
  </r>
  <r>
    <x v="2"/>
    <x v="2"/>
    <x v="24"/>
    <m/>
    <n v="394"/>
    <d v="2026-03-05T00:00:00"/>
    <m/>
    <x v="8"/>
    <x v="0"/>
    <x v="11"/>
  </r>
  <r>
    <x v="45"/>
    <x v="45"/>
    <x v="6"/>
    <m/>
    <n v="377"/>
    <d v="2026-03-04T00:00:00"/>
    <m/>
    <x v="1"/>
    <x v="0"/>
    <x v="20"/>
  </r>
  <r>
    <x v="18"/>
    <x v="18"/>
    <x v="36"/>
    <m/>
    <n v="385"/>
    <d v="2026-03-05T00:00:00"/>
    <m/>
    <x v="1"/>
    <x v="0"/>
    <x v="20"/>
  </r>
  <r>
    <x v="36"/>
    <x v="36"/>
    <x v="6"/>
    <m/>
    <n v="385"/>
    <d v="2026-03-05T00:00:00"/>
    <m/>
    <x v="1"/>
    <x v="0"/>
    <x v="20"/>
  </r>
  <r>
    <x v="2"/>
    <x v="2"/>
    <x v="36"/>
    <m/>
    <n v="385"/>
    <d v="2026-03-05T00:00:00"/>
    <m/>
    <x v="1"/>
    <x v="0"/>
    <x v="20"/>
  </r>
  <r>
    <x v="1"/>
    <x v="1"/>
    <x v="36"/>
    <m/>
    <n v="385"/>
    <d v="2026-03-05T00:00:00"/>
    <m/>
    <x v="1"/>
    <x v="0"/>
    <x v="20"/>
  </r>
  <r>
    <x v="18"/>
    <x v="18"/>
    <x v="29"/>
    <m/>
    <n v="386"/>
    <d v="2026-03-05T00:00:00"/>
    <m/>
    <x v="4"/>
    <x v="0"/>
    <x v="3"/>
  </r>
  <r>
    <x v="42"/>
    <x v="42"/>
    <x v="6"/>
    <m/>
    <n v="386"/>
    <d v="2026-03-05T00:00:00"/>
    <m/>
    <x v="4"/>
    <x v="0"/>
    <x v="3"/>
  </r>
  <r>
    <x v="2"/>
    <x v="2"/>
    <x v="0"/>
    <m/>
    <n v="386"/>
    <d v="2026-03-05T00:00:00"/>
    <m/>
    <x v="4"/>
    <x v="0"/>
    <x v="3"/>
  </r>
  <r>
    <x v="5"/>
    <x v="5"/>
    <x v="2"/>
    <m/>
    <n v="379"/>
    <d v="2026-03-05T00:00:00"/>
    <m/>
    <x v="7"/>
    <x v="0"/>
    <x v="21"/>
  </r>
  <r>
    <x v="9"/>
    <x v="9"/>
    <x v="2"/>
    <m/>
    <n v="379"/>
    <d v="2026-03-05T00:00:00"/>
    <m/>
    <x v="7"/>
    <x v="0"/>
    <x v="21"/>
  </r>
  <r>
    <x v="7"/>
    <x v="7"/>
    <x v="4"/>
    <m/>
    <n v="379"/>
    <d v="2026-03-05T00:00:00"/>
    <m/>
    <x v="7"/>
    <x v="0"/>
    <x v="21"/>
  </r>
  <r>
    <x v="10"/>
    <x v="10"/>
    <x v="2"/>
    <m/>
    <n v="379"/>
    <d v="2026-03-05T00:00:00"/>
    <m/>
    <x v="7"/>
    <x v="0"/>
    <x v="21"/>
  </r>
  <r>
    <x v="8"/>
    <x v="8"/>
    <x v="2"/>
    <m/>
    <n v="379"/>
    <d v="2026-03-05T00:00:00"/>
    <m/>
    <x v="7"/>
    <x v="0"/>
    <x v="21"/>
  </r>
  <r>
    <x v="5"/>
    <x v="5"/>
    <x v="2"/>
    <m/>
    <n v="379"/>
    <d v="2026-03-05T00:00:00"/>
    <m/>
    <x v="7"/>
    <x v="0"/>
    <x v="21"/>
  </r>
  <r>
    <x v="9"/>
    <x v="9"/>
    <x v="2"/>
    <m/>
    <n v="379"/>
    <d v="2026-03-05T00:00:00"/>
    <m/>
    <x v="7"/>
    <x v="0"/>
    <x v="21"/>
  </r>
  <r>
    <x v="7"/>
    <x v="7"/>
    <x v="4"/>
    <m/>
    <n v="379"/>
    <d v="2026-03-05T00:00:00"/>
    <m/>
    <x v="7"/>
    <x v="0"/>
    <x v="21"/>
  </r>
  <r>
    <x v="10"/>
    <x v="10"/>
    <x v="2"/>
    <m/>
    <n v="379"/>
    <d v="2026-03-05T00:00:00"/>
    <m/>
    <x v="7"/>
    <x v="0"/>
    <x v="21"/>
  </r>
  <r>
    <x v="8"/>
    <x v="8"/>
    <x v="2"/>
    <m/>
    <n v="379"/>
    <d v="2026-03-05T00:00:00"/>
    <m/>
    <x v="7"/>
    <x v="0"/>
    <x v="21"/>
  </r>
  <r>
    <x v="24"/>
    <x v="24"/>
    <x v="37"/>
    <m/>
    <n v="379"/>
    <d v="2026-03-05T00:00:00"/>
    <m/>
    <x v="7"/>
    <x v="0"/>
    <x v="21"/>
  </r>
  <r>
    <x v="14"/>
    <x v="14"/>
    <x v="8"/>
    <m/>
    <n v="379"/>
    <d v="2026-03-05T00:00:00"/>
    <m/>
    <x v="7"/>
    <x v="0"/>
    <x v="21"/>
  </r>
  <r>
    <x v="11"/>
    <x v="11"/>
    <x v="8"/>
    <m/>
    <n v="379"/>
    <d v="2026-03-05T00:00:00"/>
    <m/>
    <x v="7"/>
    <x v="0"/>
    <x v="21"/>
  </r>
  <r>
    <x v="32"/>
    <x v="32"/>
    <x v="8"/>
    <m/>
    <n v="379"/>
    <d v="2026-03-05T00:00:00"/>
    <m/>
    <x v="7"/>
    <x v="0"/>
    <x v="21"/>
  </r>
  <r>
    <x v="1"/>
    <x v="1"/>
    <x v="37"/>
    <m/>
    <n v="379"/>
    <d v="2026-03-05T00:00:00"/>
    <m/>
    <x v="7"/>
    <x v="0"/>
    <x v="21"/>
  </r>
  <r>
    <x v="13"/>
    <x v="13"/>
    <x v="8"/>
    <m/>
    <n v="379"/>
    <d v="2026-03-05T00:00:00"/>
    <m/>
    <x v="7"/>
    <x v="0"/>
    <x v="21"/>
  </r>
  <r>
    <x v="41"/>
    <x v="41"/>
    <x v="2"/>
    <m/>
    <n v="379"/>
    <d v="2026-03-05T00:00:00"/>
    <m/>
    <x v="7"/>
    <x v="0"/>
    <x v="21"/>
  </r>
  <r>
    <x v="28"/>
    <x v="28"/>
    <x v="6"/>
    <m/>
    <n v="382"/>
    <d v="2026-03-05T00:00:00"/>
    <m/>
    <x v="3"/>
    <x v="0"/>
    <x v="19"/>
  </r>
  <r>
    <x v="7"/>
    <x v="7"/>
    <x v="8"/>
    <m/>
    <n v="382"/>
    <d v="2026-03-05T00:00:00"/>
    <m/>
    <x v="3"/>
    <x v="0"/>
    <x v="19"/>
  </r>
  <r>
    <x v="9"/>
    <x v="9"/>
    <x v="6"/>
    <m/>
    <n v="382"/>
    <d v="2026-03-05T00:00:00"/>
    <m/>
    <x v="3"/>
    <x v="0"/>
    <x v="19"/>
  </r>
  <r>
    <x v="10"/>
    <x v="10"/>
    <x v="6"/>
    <m/>
    <n v="382"/>
    <d v="2026-03-05T00:00:00"/>
    <m/>
    <x v="3"/>
    <x v="0"/>
    <x v="19"/>
  </r>
  <r>
    <x v="24"/>
    <x v="24"/>
    <x v="8"/>
    <m/>
    <n v="382"/>
    <d v="2026-03-05T00:00:00"/>
    <m/>
    <x v="3"/>
    <x v="0"/>
    <x v="19"/>
  </r>
  <r>
    <x v="14"/>
    <x v="14"/>
    <x v="6"/>
    <m/>
    <n v="382"/>
    <d v="2026-03-05T00:00:00"/>
    <m/>
    <x v="3"/>
    <x v="0"/>
    <x v="19"/>
  </r>
  <r>
    <x v="13"/>
    <x v="13"/>
    <x v="6"/>
    <m/>
    <n v="382"/>
    <d v="2026-03-05T00:00:00"/>
    <m/>
    <x v="3"/>
    <x v="0"/>
    <x v="19"/>
  </r>
  <r>
    <x v="11"/>
    <x v="11"/>
    <x v="6"/>
    <m/>
    <n v="382"/>
    <d v="2026-03-05T00:00:00"/>
    <m/>
    <x v="3"/>
    <x v="0"/>
    <x v="19"/>
  </r>
  <r>
    <x v="32"/>
    <x v="32"/>
    <x v="6"/>
    <m/>
    <n v="382"/>
    <d v="2026-03-05T00:00:00"/>
    <m/>
    <x v="3"/>
    <x v="0"/>
    <x v="19"/>
  </r>
  <r>
    <x v="1"/>
    <x v="1"/>
    <x v="8"/>
    <m/>
    <n v="382"/>
    <d v="2026-03-05T00:00:00"/>
    <m/>
    <x v="3"/>
    <x v="0"/>
    <x v="19"/>
  </r>
  <r>
    <x v="2"/>
    <x v="2"/>
    <x v="8"/>
    <m/>
    <n v="382"/>
    <d v="2026-03-05T00:00:00"/>
    <m/>
    <x v="3"/>
    <x v="0"/>
    <x v="19"/>
  </r>
  <r>
    <x v="6"/>
    <x v="6"/>
    <x v="6"/>
    <m/>
    <n v="382"/>
    <d v="2026-03-05T00:00:00"/>
    <m/>
    <x v="3"/>
    <x v="0"/>
    <x v="19"/>
  </r>
  <r>
    <x v="41"/>
    <x v="41"/>
    <x v="6"/>
    <m/>
    <n v="382"/>
    <d v="2026-03-05T00:00:00"/>
    <m/>
    <x v="3"/>
    <x v="0"/>
    <x v="19"/>
  </r>
  <r>
    <x v="59"/>
    <x v="59"/>
    <x v="6"/>
    <m/>
    <n v="991"/>
    <d v="2026-03-05T00:00:00"/>
    <m/>
    <x v="14"/>
    <x v="0"/>
    <x v="18"/>
  </r>
  <r>
    <x v="60"/>
    <x v="60"/>
    <x v="6"/>
    <m/>
    <n v="991"/>
    <d v="2026-03-05T00:00:00"/>
    <m/>
    <x v="14"/>
    <x v="0"/>
    <x v="18"/>
  </r>
  <r>
    <x v="3"/>
    <x v="3"/>
    <x v="1"/>
    <m/>
    <n v="991"/>
    <d v="2026-03-05T00:00:00"/>
    <m/>
    <x v="14"/>
    <x v="0"/>
    <x v="18"/>
  </r>
  <r>
    <x v="61"/>
    <x v="61"/>
    <x v="6"/>
    <m/>
    <n v="991"/>
    <d v="2026-03-05T00:00:00"/>
    <m/>
    <x v="14"/>
    <x v="0"/>
    <x v="18"/>
  </r>
  <r>
    <x v="35"/>
    <x v="35"/>
    <x v="2"/>
    <m/>
    <n v="991"/>
    <d v="2026-03-05T00:00:00"/>
    <m/>
    <x v="14"/>
    <x v="0"/>
    <x v="18"/>
  </r>
  <r>
    <x v="4"/>
    <x v="4"/>
    <x v="6"/>
    <m/>
    <n v="991"/>
    <d v="2026-03-05T00:00:00"/>
    <m/>
    <x v="14"/>
    <x v="0"/>
    <x v="18"/>
  </r>
  <r>
    <x v="60"/>
    <x v="60"/>
    <x v="6"/>
    <m/>
    <n v="991"/>
    <d v="2026-03-05T00:00:00"/>
    <m/>
    <x v="14"/>
    <x v="0"/>
    <x v="18"/>
  </r>
  <r>
    <x v="54"/>
    <x v="54"/>
    <x v="6"/>
    <m/>
    <n v="991"/>
    <d v="2026-03-05T00:00:00"/>
    <m/>
    <x v="14"/>
    <x v="0"/>
    <x v="18"/>
  </r>
  <r>
    <x v="1"/>
    <x v="1"/>
    <x v="1"/>
    <m/>
    <n v="991"/>
    <d v="2026-03-05T00:00:00"/>
    <m/>
    <x v="14"/>
    <x v="0"/>
    <x v="18"/>
  </r>
  <r>
    <x v="0"/>
    <x v="0"/>
    <x v="1"/>
    <m/>
    <n v="991"/>
    <d v="2026-03-05T00:00:00"/>
    <m/>
    <x v="14"/>
    <x v="0"/>
    <x v="18"/>
  </r>
  <r>
    <x v="13"/>
    <x v="13"/>
    <x v="6"/>
    <m/>
    <n v="991"/>
    <d v="2026-03-05T00:00:00"/>
    <m/>
    <x v="14"/>
    <x v="0"/>
    <x v="18"/>
  </r>
  <r>
    <x v="2"/>
    <x v="2"/>
    <x v="1"/>
    <m/>
    <n v="991"/>
    <d v="2026-03-05T00:00:00"/>
    <m/>
    <x v="14"/>
    <x v="0"/>
    <x v="18"/>
  </r>
  <r>
    <x v="19"/>
    <x v="19"/>
    <x v="6"/>
    <m/>
    <n v="389"/>
    <d v="2026-03-05T00:00:00"/>
    <m/>
    <x v="9"/>
    <x v="0"/>
    <x v="22"/>
  </r>
  <r>
    <x v="43"/>
    <x v="43"/>
    <x v="6"/>
    <m/>
    <n v="383"/>
    <d v="2026-03-04T00:00:00"/>
    <m/>
    <x v="4"/>
    <x v="0"/>
    <x v="3"/>
  </r>
  <r>
    <x v="3"/>
    <x v="3"/>
    <x v="6"/>
    <m/>
    <n v="380"/>
    <d v="2026-03-04T00:00:00"/>
    <m/>
    <x v="5"/>
    <x v="0"/>
    <x v="23"/>
  </r>
  <r>
    <x v="7"/>
    <x v="7"/>
    <x v="6"/>
    <m/>
    <n v="380"/>
    <d v="2026-03-04T00:00:00"/>
    <m/>
    <x v="5"/>
    <x v="0"/>
    <x v="23"/>
  </r>
  <r>
    <x v="41"/>
    <x v="41"/>
    <x v="6"/>
    <m/>
    <n v="380"/>
    <d v="2026-03-04T00:00:00"/>
    <m/>
    <x v="5"/>
    <x v="0"/>
    <x v="23"/>
  </r>
  <r>
    <x v="22"/>
    <x v="22"/>
    <x v="6"/>
    <m/>
    <n v="372"/>
    <d v="2026-03-05T00:00:00"/>
    <m/>
    <x v="9"/>
    <x v="0"/>
    <x v="22"/>
  </r>
  <r>
    <x v="27"/>
    <x v="27"/>
    <x v="6"/>
    <m/>
    <n v="384"/>
    <d v="2026-03-04T00:00:00"/>
    <m/>
    <x v="17"/>
    <x v="0"/>
    <x v="0"/>
  </r>
  <r>
    <x v="51"/>
    <x v="51"/>
    <x v="6"/>
    <m/>
    <n v="340"/>
    <d v="2026-03-03T00:00:00"/>
    <m/>
    <x v="2"/>
    <x v="0"/>
    <x v="14"/>
  </r>
  <r>
    <x v="20"/>
    <x v="20"/>
    <x v="3"/>
    <m/>
    <n v="340"/>
    <d v="2026-03-03T00:00:00"/>
    <m/>
    <x v="2"/>
    <x v="0"/>
    <x v="14"/>
  </r>
  <r>
    <x v="21"/>
    <x v="21"/>
    <x v="6"/>
    <m/>
    <n v="340"/>
    <d v="2026-03-03T00:00:00"/>
    <m/>
    <x v="2"/>
    <x v="0"/>
    <x v="14"/>
  </r>
  <r>
    <x v="24"/>
    <x v="24"/>
    <x v="0"/>
    <m/>
    <n v="340"/>
    <d v="2026-03-03T00:00:00"/>
    <m/>
    <x v="2"/>
    <x v="0"/>
    <x v="14"/>
  </r>
  <r>
    <x v="1"/>
    <x v="1"/>
    <x v="0"/>
    <m/>
    <n v="340"/>
    <d v="2026-03-03T00:00:00"/>
    <m/>
    <x v="2"/>
    <x v="0"/>
    <x v="14"/>
  </r>
  <r>
    <x v="46"/>
    <x v="46"/>
    <x v="3"/>
    <m/>
    <n v="340"/>
    <d v="2026-03-03T00:00:00"/>
    <m/>
    <x v="2"/>
    <x v="0"/>
    <x v="14"/>
  </r>
  <r>
    <x v="8"/>
    <x v="8"/>
    <x v="3"/>
    <m/>
    <n v="340"/>
    <d v="2026-03-03T00:00:00"/>
    <m/>
    <x v="2"/>
    <x v="0"/>
    <x v="14"/>
  </r>
  <r>
    <x v="7"/>
    <x v="7"/>
    <x v="3"/>
    <m/>
    <n v="340"/>
    <d v="2026-03-03T00:00:00"/>
    <m/>
    <x v="2"/>
    <x v="0"/>
    <x v="14"/>
  </r>
  <r>
    <x v="1"/>
    <x v="1"/>
    <x v="0"/>
    <m/>
    <n v="374"/>
    <d v="2026-03-03T00:00:00"/>
    <m/>
    <x v="4"/>
    <x v="0"/>
    <x v="3"/>
  </r>
  <r>
    <x v="17"/>
    <x v="17"/>
    <x v="6"/>
    <m/>
    <n v="242"/>
    <d v="2026-03-04T00:00:00"/>
    <m/>
    <x v="0"/>
    <x v="0"/>
    <x v="0"/>
  </r>
  <r>
    <x v="34"/>
    <x v="34"/>
    <x v="6"/>
    <m/>
    <n v="242"/>
    <d v="2026-03-04T00:00:00"/>
    <m/>
    <x v="0"/>
    <x v="0"/>
    <x v="0"/>
  </r>
  <r>
    <x v="25"/>
    <x v="25"/>
    <x v="6"/>
    <m/>
    <n v="242"/>
    <d v="2026-03-04T00:00:00"/>
    <m/>
    <x v="0"/>
    <x v="0"/>
    <x v="0"/>
  </r>
  <r>
    <x v="23"/>
    <x v="23"/>
    <x v="13"/>
    <m/>
    <n v="242"/>
    <d v="2026-03-04T00:00:00"/>
    <m/>
    <x v="0"/>
    <x v="0"/>
    <x v="0"/>
  </r>
  <r>
    <x v="0"/>
    <x v="0"/>
    <x v="13"/>
    <m/>
    <n v="242"/>
    <d v="2026-03-04T00:00:00"/>
    <m/>
    <x v="0"/>
    <x v="0"/>
    <x v="0"/>
  </r>
  <r>
    <x v="1"/>
    <x v="1"/>
    <x v="0"/>
    <m/>
    <n v="242"/>
    <d v="2026-03-04T00:00:00"/>
    <m/>
    <x v="0"/>
    <x v="0"/>
    <x v="0"/>
  </r>
  <r>
    <x v="2"/>
    <x v="2"/>
    <x v="0"/>
    <m/>
    <n v="242"/>
    <d v="2026-03-04T00:00:00"/>
    <m/>
    <x v="0"/>
    <x v="0"/>
    <x v="0"/>
  </r>
  <r>
    <x v="3"/>
    <x v="3"/>
    <x v="2"/>
    <m/>
    <n v="242"/>
    <d v="2026-03-04T00:00:00"/>
    <m/>
    <x v="0"/>
    <x v="0"/>
    <x v="0"/>
  </r>
  <r>
    <x v="34"/>
    <x v="34"/>
    <x v="6"/>
    <m/>
    <n v="243"/>
    <d v="2026-03-05T00:00:00"/>
    <m/>
    <x v="0"/>
    <x v="0"/>
    <x v="0"/>
  </r>
  <r>
    <x v="27"/>
    <x v="27"/>
    <x v="6"/>
    <m/>
    <n v="243"/>
    <d v="2026-03-05T00:00:00"/>
    <m/>
    <x v="0"/>
    <x v="0"/>
    <x v="0"/>
  </r>
  <r>
    <x v="23"/>
    <x v="23"/>
    <x v="13"/>
    <m/>
    <n v="243"/>
    <d v="2026-03-05T00:00:00"/>
    <m/>
    <x v="0"/>
    <x v="0"/>
    <x v="0"/>
  </r>
  <r>
    <x v="1"/>
    <x v="1"/>
    <x v="13"/>
    <m/>
    <n v="243"/>
    <d v="2026-03-05T00:00:00"/>
    <m/>
    <x v="0"/>
    <x v="0"/>
    <x v="0"/>
  </r>
  <r>
    <x v="2"/>
    <x v="2"/>
    <x v="13"/>
    <m/>
    <n v="243"/>
    <d v="2026-03-05T00:00:00"/>
    <m/>
    <x v="0"/>
    <x v="0"/>
    <x v="0"/>
  </r>
  <r>
    <x v="62"/>
    <x v="62"/>
    <x v="6"/>
    <m/>
    <n v="368"/>
    <d v="2026-03-03T00:00:00"/>
    <m/>
    <x v="1"/>
    <x v="0"/>
    <x v="20"/>
  </r>
  <r>
    <x v="13"/>
    <x v="13"/>
    <x v="6"/>
    <m/>
    <n v="368"/>
    <d v="2026-03-03T00:00:00"/>
    <m/>
    <x v="1"/>
    <x v="0"/>
    <x v="20"/>
  </r>
  <r>
    <x v="61"/>
    <x v="61"/>
    <x v="6"/>
    <m/>
    <n v="368"/>
    <d v="2026-03-03T00:00:00"/>
    <m/>
    <x v="1"/>
    <x v="0"/>
    <x v="20"/>
  </r>
  <r>
    <x v="3"/>
    <x v="3"/>
    <x v="8"/>
    <m/>
    <n v="368"/>
    <d v="2026-03-03T00:00:00"/>
    <m/>
    <x v="1"/>
    <x v="0"/>
    <x v="20"/>
  </r>
  <r>
    <x v="50"/>
    <x v="50"/>
    <x v="6"/>
    <m/>
    <n v="368"/>
    <d v="2026-03-03T00:00:00"/>
    <m/>
    <x v="1"/>
    <x v="0"/>
    <x v="20"/>
  </r>
  <r>
    <x v="42"/>
    <x v="42"/>
    <x v="6"/>
    <m/>
    <n v="368"/>
    <d v="2026-03-03T00:00:00"/>
    <m/>
    <x v="1"/>
    <x v="0"/>
    <x v="20"/>
  </r>
  <r>
    <x v="35"/>
    <x v="35"/>
    <x v="6"/>
    <m/>
    <n v="368"/>
    <d v="2026-03-03T00:00:00"/>
    <m/>
    <x v="1"/>
    <x v="0"/>
    <x v="20"/>
  </r>
  <r>
    <x v="63"/>
    <x v="63"/>
    <x v="1"/>
    <m/>
    <n v="368"/>
    <d v="2026-03-03T00:00:00"/>
    <m/>
    <x v="1"/>
    <x v="0"/>
    <x v="20"/>
  </r>
  <r>
    <x v="14"/>
    <x v="14"/>
    <x v="6"/>
    <m/>
    <n v="368"/>
    <d v="2026-03-03T00:00:00"/>
    <m/>
    <x v="1"/>
    <x v="0"/>
    <x v="20"/>
  </r>
  <r>
    <x v="15"/>
    <x v="15"/>
    <x v="2"/>
    <m/>
    <n v="368"/>
    <d v="2026-03-03T00:00:00"/>
    <m/>
    <x v="1"/>
    <x v="0"/>
    <x v="20"/>
  </r>
  <r>
    <x v="20"/>
    <x v="20"/>
    <x v="6"/>
    <m/>
    <n v="368"/>
    <d v="2026-03-03T00:00:00"/>
    <m/>
    <x v="1"/>
    <x v="0"/>
    <x v="20"/>
  </r>
  <r>
    <x v="35"/>
    <x v="35"/>
    <x v="8"/>
    <m/>
    <n v="375"/>
    <d v="2026-03-03T00:00:00"/>
    <m/>
    <x v="11"/>
    <x v="0"/>
    <x v="10"/>
  </r>
  <r>
    <x v="4"/>
    <x v="4"/>
    <x v="8"/>
    <m/>
    <n v="375"/>
    <d v="2026-03-03T00:00:00"/>
    <m/>
    <x v="11"/>
    <x v="0"/>
    <x v="10"/>
  </r>
  <r>
    <x v="24"/>
    <x v="24"/>
    <x v="13"/>
    <m/>
    <n v="375"/>
    <d v="2026-03-03T00:00:00"/>
    <m/>
    <x v="11"/>
    <x v="0"/>
    <x v="10"/>
  </r>
  <r>
    <x v="20"/>
    <x v="20"/>
    <x v="2"/>
    <m/>
    <n v="361"/>
    <d v="2026-03-02T00:00:00"/>
    <m/>
    <x v="6"/>
    <x v="0"/>
    <x v="4"/>
  </r>
  <r>
    <x v="46"/>
    <x v="46"/>
    <x v="6"/>
    <m/>
    <n v="361"/>
    <d v="2026-03-02T00:00:00"/>
    <m/>
    <x v="6"/>
    <x v="0"/>
    <x v="4"/>
  </r>
  <r>
    <x v="8"/>
    <x v="8"/>
    <x v="6"/>
    <m/>
    <n v="361"/>
    <d v="2026-03-02T00:00:00"/>
    <m/>
    <x v="6"/>
    <x v="0"/>
    <x v="4"/>
  </r>
  <r>
    <x v="19"/>
    <x v="19"/>
    <x v="6"/>
    <m/>
    <n v="361"/>
    <d v="2026-03-02T00:00:00"/>
    <m/>
    <x v="6"/>
    <x v="0"/>
    <x v="4"/>
  </r>
  <r>
    <x v="20"/>
    <x v="20"/>
    <x v="2"/>
    <m/>
    <n v="363"/>
    <d v="2026-03-02T00:00:00"/>
    <m/>
    <x v="9"/>
    <x v="0"/>
    <x v="24"/>
  </r>
  <r>
    <x v="19"/>
    <x v="19"/>
    <x v="6"/>
    <m/>
    <n v="363"/>
    <d v="2026-03-02T00:00:00"/>
    <m/>
    <x v="9"/>
    <x v="0"/>
    <x v="24"/>
  </r>
  <r>
    <x v="46"/>
    <x v="46"/>
    <x v="6"/>
    <m/>
    <n v="365"/>
    <d v="2026-03-02T00:00:00"/>
    <m/>
    <x v="14"/>
    <x v="0"/>
    <x v="25"/>
  </r>
  <r>
    <x v="6"/>
    <x v="6"/>
    <x v="8"/>
    <m/>
    <n v="365"/>
    <d v="2026-03-02T00:00:00"/>
    <m/>
    <x v="14"/>
    <x v="0"/>
    <x v="25"/>
  </r>
  <r>
    <x v="9"/>
    <x v="9"/>
    <x v="6"/>
    <m/>
    <n v="365"/>
    <d v="2026-03-02T00:00:00"/>
    <m/>
    <x v="14"/>
    <x v="0"/>
    <x v="25"/>
  </r>
  <r>
    <x v="7"/>
    <x v="7"/>
    <x v="8"/>
    <m/>
    <n v="365"/>
    <d v="2026-03-02T00:00:00"/>
    <m/>
    <x v="14"/>
    <x v="0"/>
    <x v="25"/>
  </r>
  <r>
    <x v="64"/>
    <x v="64"/>
    <x v="6"/>
    <m/>
    <n v="365"/>
    <d v="2026-03-02T00:00:00"/>
    <m/>
    <x v="14"/>
    <x v="0"/>
    <x v="25"/>
  </r>
  <r>
    <x v="65"/>
    <x v="65"/>
    <x v="6"/>
    <m/>
    <n v="365"/>
    <d v="2026-03-02T00:00:00"/>
    <m/>
    <x v="14"/>
    <x v="0"/>
    <x v="25"/>
  </r>
  <r>
    <x v="24"/>
    <x v="24"/>
    <x v="8"/>
    <m/>
    <n v="365"/>
    <d v="2026-03-02T00:00:00"/>
    <m/>
    <x v="14"/>
    <x v="0"/>
    <x v="25"/>
  </r>
  <r>
    <x v="14"/>
    <x v="14"/>
    <x v="6"/>
    <m/>
    <n v="365"/>
    <d v="2026-03-02T00:00:00"/>
    <m/>
    <x v="14"/>
    <x v="0"/>
    <x v="25"/>
  </r>
  <r>
    <x v="13"/>
    <x v="13"/>
    <x v="6"/>
    <m/>
    <n v="365"/>
    <d v="2026-03-02T00:00:00"/>
    <m/>
    <x v="14"/>
    <x v="0"/>
    <x v="25"/>
  </r>
  <r>
    <x v="11"/>
    <x v="11"/>
    <x v="6"/>
    <m/>
    <n v="365"/>
    <d v="2026-03-02T00:00:00"/>
    <m/>
    <x v="14"/>
    <x v="0"/>
    <x v="25"/>
  </r>
  <r>
    <x v="1"/>
    <x v="1"/>
    <x v="1"/>
    <m/>
    <n v="365"/>
    <d v="2026-03-02T00:00:00"/>
    <m/>
    <x v="14"/>
    <x v="0"/>
    <x v="25"/>
  </r>
  <r>
    <x v="2"/>
    <x v="2"/>
    <x v="1"/>
    <m/>
    <n v="365"/>
    <d v="2026-03-02T00:00:00"/>
    <m/>
    <x v="14"/>
    <x v="0"/>
    <x v="25"/>
  </r>
  <r>
    <x v="19"/>
    <x v="19"/>
    <x v="2"/>
    <m/>
    <n v="239"/>
    <d v="2026-03-02T00:00:00"/>
    <m/>
    <x v="4"/>
    <x v="0"/>
    <x v="3"/>
  </r>
  <r>
    <x v="22"/>
    <x v="22"/>
    <x v="2"/>
    <m/>
    <n v="239"/>
    <d v="2026-03-02T00:00:00"/>
    <m/>
    <x v="4"/>
    <x v="0"/>
    <x v="3"/>
  </r>
  <r>
    <x v="42"/>
    <x v="42"/>
    <x v="2"/>
    <m/>
    <n v="364"/>
    <d v="2026-03-02T00:00:00"/>
    <m/>
    <x v="4"/>
    <x v="0"/>
    <x v="3"/>
  </r>
  <r>
    <x v="43"/>
    <x v="43"/>
    <x v="6"/>
    <m/>
    <n v="364"/>
    <d v="2026-03-02T00:00:00"/>
    <m/>
    <x v="4"/>
    <x v="0"/>
    <x v="3"/>
  </r>
  <r>
    <x v="26"/>
    <x v="26"/>
    <x v="8"/>
    <m/>
    <n v="364"/>
    <d v="2026-03-02T00:00:00"/>
    <m/>
    <x v="4"/>
    <x v="0"/>
    <x v="3"/>
  </r>
  <r>
    <x v="27"/>
    <x v="27"/>
    <x v="6"/>
    <m/>
    <n v="241"/>
    <d v="2026-03-03T00:00:00"/>
    <m/>
    <x v="0"/>
    <x v="0"/>
    <x v="0"/>
  </r>
  <r>
    <x v="0"/>
    <x v="0"/>
    <x v="0"/>
    <m/>
    <n v="367"/>
    <d v="2026-03-02T00:00:00"/>
    <m/>
    <x v="17"/>
    <x v="0"/>
    <x v="0"/>
  </r>
  <r>
    <x v="27"/>
    <x v="27"/>
    <x v="6"/>
    <m/>
    <n v="367"/>
    <d v="2026-03-02T00:00:00"/>
    <m/>
    <x v="17"/>
    <x v="0"/>
    <x v="0"/>
  </r>
  <r>
    <x v="1"/>
    <x v="1"/>
    <x v="0"/>
    <m/>
    <n v="238"/>
    <d v="2026-03-02T00:00:00"/>
    <m/>
    <x v="0"/>
    <x v="0"/>
    <x v="0"/>
  </r>
  <r>
    <x v="2"/>
    <x v="2"/>
    <x v="0"/>
    <m/>
    <n v="238"/>
    <d v="2026-03-02T00:00:00"/>
    <m/>
    <x v="0"/>
    <x v="0"/>
    <x v="0"/>
  </r>
  <r>
    <x v="4"/>
    <x v="4"/>
    <x v="2"/>
    <m/>
    <n v="238"/>
    <d v="2026-03-02T00:00:00"/>
    <m/>
    <x v="0"/>
    <x v="0"/>
    <x v="0"/>
  </r>
  <r>
    <x v="3"/>
    <x v="3"/>
    <x v="1"/>
    <m/>
    <n v="238"/>
    <d v="2026-03-02T00:00:00"/>
    <m/>
    <x v="0"/>
    <x v="0"/>
    <x v="0"/>
  </r>
  <r>
    <x v="18"/>
    <x v="18"/>
    <x v="7"/>
    <m/>
    <n v="975"/>
    <d v="2026-12-17T00:00:00"/>
    <m/>
    <x v="4"/>
    <x v="0"/>
    <x v="3"/>
  </r>
  <r>
    <x v="66"/>
    <x v="66"/>
    <x v="38"/>
    <m/>
    <n v="350"/>
    <d v="2026-02-27T00:00:00"/>
    <m/>
    <x v="8"/>
    <x v="0"/>
    <x v="7"/>
  </r>
  <r>
    <x v="67"/>
    <x v="67"/>
    <x v="6"/>
    <m/>
    <n v="350"/>
    <d v="2026-02-27T00:00:00"/>
    <m/>
    <x v="8"/>
    <x v="0"/>
    <x v="7"/>
  </r>
  <r>
    <x v="53"/>
    <x v="53"/>
    <x v="3"/>
    <m/>
    <n v="350"/>
    <d v="2026-02-27T00:00:00"/>
    <m/>
    <x v="8"/>
    <x v="0"/>
    <x v="7"/>
  </r>
  <r>
    <x v="68"/>
    <x v="68"/>
    <x v="3"/>
    <m/>
    <n v="350"/>
    <d v="2026-02-27T00:00:00"/>
    <m/>
    <x v="8"/>
    <x v="0"/>
    <x v="7"/>
  </r>
  <r>
    <x v="31"/>
    <x v="31"/>
    <x v="34"/>
    <m/>
    <n v="350"/>
    <d v="2026-02-27T00:00:00"/>
    <m/>
    <x v="8"/>
    <x v="0"/>
    <x v="7"/>
  </r>
  <r>
    <x v="30"/>
    <x v="30"/>
    <x v="2"/>
    <m/>
    <n v="350"/>
    <d v="2026-02-27T00:00:00"/>
    <m/>
    <x v="8"/>
    <x v="0"/>
    <x v="7"/>
  </r>
  <r>
    <x v="15"/>
    <x v="15"/>
    <x v="8"/>
    <m/>
    <n v="350"/>
    <d v="2026-02-27T00:00:00"/>
    <m/>
    <x v="8"/>
    <x v="0"/>
    <x v="7"/>
  </r>
  <r>
    <x v="1"/>
    <x v="1"/>
    <x v="39"/>
    <m/>
    <n v="350"/>
    <d v="2026-02-27T00:00:00"/>
    <m/>
    <x v="8"/>
    <x v="0"/>
    <x v="7"/>
  </r>
  <r>
    <x v="2"/>
    <x v="2"/>
    <x v="39"/>
    <m/>
    <n v="350"/>
    <d v="2026-02-27T00:00:00"/>
    <m/>
    <x v="8"/>
    <x v="0"/>
    <x v="7"/>
  </r>
  <r>
    <x v="69"/>
    <x v="69"/>
    <x v="10"/>
    <m/>
    <n v="350"/>
    <d v="2026-02-27T00:00:00"/>
    <m/>
    <x v="8"/>
    <x v="0"/>
    <x v="7"/>
  </r>
  <r>
    <x v="10"/>
    <x v="10"/>
    <x v="8"/>
    <m/>
    <n v="350"/>
    <d v="2026-02-27T00:00:00"/>
    <m/>
    <x v="8"/>
    <x v="0"/>
    <x v="7"/>
  </r>
  <r>
    <x v="32"/>
    <x v="32"/>
    <x v="10"/>
    <m/>
    <n v="350"/>
    <d v="2026-02-27T00:00:00"/>
    <m/>
    <x v="8"/>
    <x v="0"/>
    <x v="7"/>
  </r>
  <r>
    <x v="11"/>
    <x v="11"/>
    <x v="10"/>
    <m/>
    <n v="350"/>
    <d v="2026-02-27T00:00:00"/>
    <m/>
    <x v="8"/>
    <x v="0"/>
    <x v="7"/>
  </r>
  <r>
    <x v="7"/>
    <x v="7"/>
    <x v="40"/>
    <m/>
    <n v="350"/>
    <d v="2026-02-27T00:00:00"/>
    <m/>
    <x v="8"/>
    <x v="0"/>
    <x v="7"/>
  </r>
  <r>
    <x v="29"/>
    <x v="29"/>
    <x v="2"/>
    <m/>
    <n v="350"/>
    <d v="2026-02-27T00:00:00"/>
    <m/>
    <x v="8"/>
    <x v="0"/>
    <x v="7"/>
  </r>
  <r>
    <x v="44"/>
    <x v="44"/>
    <x v="6"/>
    <m/>
    <n v="350"/>
    <d v="2026-02-27T00:00:00"/>
    <m/>
    <x v="8"/>
    <x v="0"/>
    <x v="7"/>
  </r>
  <r>
    <x v="6"/>
    <x v="6"/>
    <x v="11"/>
    <m/>
    <n v="350"/>
    <d v="2026-02-27T00:00:00"/>
    <m/>
    <x v="8"/>
    <x v="0"/>
    <x v="7"/>
  </r>
  <r>
    <x v="24"/>
    <x v="24"/>
    <x v="27"/>
    <m/>
    <n v="350"/>
    <d v="2026-02-27T00:00:00"/>
    <m/>
    <x v="8"/>
    <x v="0"/>
    <x v="7"/>
  </r>
  <r>
    <x v="13"/>
    <x v="13"/>
    <x v="14"/>
    <m/>
    <n v="350"/>
    <d v="2026-02-27T00:00:00"/>
    <m/>
    <x v="8"/>
    <x v="0"/>
    <x v="7"/>
  </r>
  <r>
    <x v="14"/>
    <x v="14"/>
    <x v="3"/>
    <m/>
    <n v="350"/>
    <d v="2026-02-27T00:00:00"/>
    <m/>
    <x v="8"/>
    <x v="0"/>
    <x v="7"/>
  </r>
  <r>
    <x v="38"/>
    <x v="38"/>
    <x v="2"/>
    <m/>
    <n v="350"/>
    <d v="2026-02-27T00:00:00"/>
    <m/>
    <x v="8"/>
    <x v="0"/>
    <x v="7"/>
  </r>
  <r>
    <x v="39"/>
    <x v="39"/>
    <x v="2"/>
    <m/>
    <n v="350"/>
    <d v="2026-02-27T00:00:00"/>
    <m/>
    <x v="8"/>
    <x v="0"/>
    <x v="7"/>
  </r>
  <r>
    <x v="33"/>
    <x v="33"/>
    <x v="2"/>
    <m/>
    <n v="350"/>
    <d v="2026-02-27T00:00:00"/>
    <m/>
    <x v="8"/>
    <x v="0"/>
    <x v="7"/>
  </r>
  <r>
    <x v="70"/>
    <x v="70"/>
    <x v="6"/>
    <m/>
    <n v="350"/>
    <d v="2026-02-27T00:00:00"/>
    <m/>
    <x v="8"/>
    <x v="0"/>
    <x v="7"/>
  </r>
  <r>
    <x v="9"/>
    <x v="9"/>
    <x v="2"/>
    <m/>
    <n v="350"/>
    <d v="2026-02-27T00:00:00"/>
    <m/>
    <x v="8"/>
    <x v="0"/>
    <x v="7"/>
  </r>
  <r>
    <x v="8"/>
    <x v="8"/>
    <x v="2"/>
    <m/>
    <n v="350"/>
    <d v="2026-02-27T00:00:00"/>
    <m/>
    <x v="8"/>
    <x v="0"/>
    <x v="7"/>
  </r>
  <r>
    <x v="6"/>
    <x v="6"/>
    <x v="2"/>
    <m/>
    <n v="233"/>
    <d v="2026-02-26T00:00:00"/>
    <m/>
    <x v="5"/>
    <x v="0"/>
    <x v="26"/>
  </r>
  <r>
    <x v="12"/>
    <x v="12"/>
    <x v="6"/>
    <m/>
    <n v="236"/>
    <d v="2026-02-27T00:00:00"/>
    <m/>
    <x v="4"/>
    <x v="0"/>
    <x v="3"/>
  </r>
  <r>
    <x v="11"/>
    <x v="11"/>
    <x v="6"/>
    <m/>
    <n v="236"/>
    <d v="2026-02-27T00:00:00"/>
    <m/>
    <x v="4"/>
    <x v="0"/>
    <x v="3"/>
  </r>
  <r>
    <x v="43"/>
    <x v="43"/>
    <x v="6"/>
    <m/>
    <n v="236"/>
    <d v="2026-02-27T00:00:00"/>
    <m/>
    <x v="4"/>
    <x v="0"/>
    <x v="3"/>
  </r>
  <r>
    <x v="18"/>
    <x v="18"/>
    <x v="33"/>
    <m/>
    <n v="353"/>
    <d v="2026-02-27T00:00:00"/>
    <m/>
    <x v="4"/>
    <x v="0"/>
    <x v="3"/>
  </r>
  <r>
    <x v="43"/>
    <x v="43"/>
    <x v="41"/>
    <m/>
    <n v="357"/>
    <d v="2026-02-27T00:00:00"/>
    <m/>
    <x v="8"/>
    <x v="0"/>
    <x v="27"/>
  </r>
  <r>
    <x v="36"/>
    <x v="36"/>
    <x v="11"/>
    <m/>
    <n v="357"/>
    <d v="2026-02-27T00:00:00"/>
    <m/>
    <x v="8"/>
    <x v="0"/>
    <x v="27"/>
  </r>
  <r>
    <x v="29"/>
    <x v="29"/>
    <x v="11"/>
    <m/>
    <n v="357"/>
    <d v="2026-02-27T00:00:00"/>
    <m/>
    <x v="8"/>
    <x v="0"/>
    <x v="27"/>
  </r>
  <r>
    <x v="7"/>
    <x v="7"/>
    <x v="11"/>
    <m/>
    <n v="357"/>
    <d v="2026-02-27T00:00:00"/>
    <m/>
    <x v="8"/>
    <x v="0"/>
    <x v="27"/>
  </r>
  <r>
    <x v="6"/>
    <x v="6"/>
    <x v="3"/>
    <m/>
    <n v="357"/>
    <d v="2026-02-27T00:00:00"/>
    <m/>
    <x v="8"/>
    <x v="0"/>
    <x v="27"/>
  </r>
  <r>
    <x v="31"/>
    <x v="31"/>
    <x v="2"/>
    <m/>
    <n v="358"/>
    <d v="2026-02-27T00:00:00"/>
    <m/>
    <x v="8"/>
    <x v="0"/>
    <x v="11"/>
  </r>
  <r>
    <x v="53"/>
    <x v="53"/>
    <x v="6"/>
    <m/>
    <n v="358"/>
    <d v="2026-02-27T00:00:00"/>
    <m/>
    <x v="8"/>
    <x v="0"/>
    <x v="11"/>
  </r>
  <r>
    <x v="42"/>
    <x v="42"/>
    <x v="6"/>
    <m/>
    <n v="359"/>
    <d v="2026-02-27T00:00:00"/>
    <m/>
    <x v="18"/>
    <x v="0"/>
    <x v="3"/>
  </r>
  <r>
    <x v="13"/>
    <x v="13"/>
    <x v="1"/>
    <m/>
    <n v="360"/>
    <d v="2026-02-28T00:00:00"/>
    <m/>
    <x v="1"/>
    <x v="0"/>
    <x v="20"/>
  </r>
  <r>
    <x v="26"/>
    <x v="26"/>
    <x v="6"/>
    <m/>
    <n v="360"/>
    <d v="2026-02-28T00:00:00"/>
    <m/>
    <x v="1"/>
    <x v="0"/>
    <x v="20"/>
  </r>
  <r>
    <x v="39"/>
    <x v="39"/>
    <x v="2"/>
    <m/>
    <n v="360"/>
    <d v="2026-02-28T00:00:00"/>
    <m/>
    <x v="1"/>
    <x v="0"/>
    <x v="20"/>
  </r>
  <r>
    <x v="38"/>
    <x v="38"/>
    <x v="2"/>
    <m/>
    <n v="360"/>
    <d v="2026-02-28T00:00:00"/>
    <m/>
    <x v="1"/>
    <x v="0"/>
    <x v="20"/>
  </r>
  <r>
    <x v="6"/>
    <x v="6"/>
    <x v="2"/>
    <m/>
    <n v="360"/>
    <d v="2026-02-28T00:00:00"/>
    <m/>
    <x v="1"/>
    <x v="0"/>
    <x v="20"/>
  </r>
  <r>
    <x v="7"/>
    <x v="7"/>
    <x v="2"/>
    <m/>
    <n v="360"/>
    <d v="2026-02-28T00:00:00"/>
    <m/>
    <x v="1"/>
    <x v="0"/>
    <x v="20"/>
  </r>
  <r>
    <x v="28"/>
    <x v="28"/>
    <x v="2"/>
    <m/>
    <n v="360"/>
    <d v="2026-02-28T00:00:00"/>
    <m/>
    <x v="1"/>
    <x v="0"/>
    <x v="20"/>
  </r>
  <r>
    <x v="36"/>
    <x v="36"/>
    <x v="10"/>
    <m/>
    <n v="360"/>
    <d v="2026-02-28T00:00:00"/>
    <m/>
    <x v="1"/>
    <x v="0"/>
    <x v="20"/>
  </r>
  <r>
    <x v="58"/>
    <x v="58"/>
    <x v="6"/>
    <m/>
    <n v="360"/>
    <d v="2026-02-28T00:00:00"/>
    <m/>
    <x v="1"/>
    <x v="0"/>
    <x v="20"/>
  </r>
  <r>
    <x v="43"/>
    <x v="43"/>
    <x v="6"/>
    <m/>
    <n v="360"/>
    <d v="2026-02-28T00:00:00"/>
    <m/>
    <x v="1"/>
    <x v="0"/>
    <x v="20"/>
  </r>
  <r>
    <x v="71"/>
    <x v="71"/>
    <x v="6"/>
    <m/>
    <n v="360"/>
    <d v="2026-02-28T00:00:00"/>
    <m/>
    <x v="1"/>
    <x v="0"/>
    <x v="20"/>
  </r>
  <r>
    <x v="14"/>
    <x v="14"/>
    <x v="1"/>
    <m/>
    <n v="360"/>
    <d v="2026-02-28T00:00:00"/>
    <m/>
    <x v="1"/>
    <x v="0"/>
    <x v="20"/>
  </r>
  <r>
    <x v="1"/>
    <x v="1"/>
    <x v="28"/>
    <m/>
    <n v="360"/>
    <d v="2026-02-28T00:00:00"/>
    <m/>
    <x v="1"/>
    <x v="0"/>
    <x v="20"/>
  </r>
  <r>
    <x v="2"/>
    <x v="2"/>
    <x v="28"/>
    <m/>
    <n v="360"/>
    <d v="2026-02-28T00:00:00"/>
    <m/>
    <x v="1"/>
    <x v="0"/>
    <x v="20"/>
  </r>
  <r>
    <x v="18"/>
    <x v="18"/>
    <x v="28"/>
    <m/>
    <n v="360"/>
    <d v="2026-02-28T00:00:00"/>
    <m/>
    <x v="1"/>
    <x v="0"/>
    <x v="20"/>
  </r>
  <r>
    <x v="12"/>
    <x v="12"/>
    <x v="2"/>
    <m/>
    <n v="360"/>
    <d v="2026-02-28T00:00:00"/>
    <m/>
    <x v="1"/>
    <x v="0"/>
    <x v="20"/>
  </r>
  <r>
    <x v="11"/>
    <x v="11"/>
    <x v="2"/>
    <m/>
    <n v="360"/>
    <d v="2026-02-28T00:00:00"/>
    <m/>
    <x v="1"/>
    <x v="0"/>
    <x v="20"/>
  </r>
  <r>
    <x v="24"/>
    <x v="24"/>
    <x v="8"/>
    <m/>
    <n v="360"/>
    <d v="2026-02-28T00:00:00"/>
    <m/>
    <x v="1"/>
    <x v="0"/>
    <x v="20"/>
  </r>
  <r>
    <x v="41"/>
    <x v="41"/>
    <x v="6"/>
    <m/>
    <n v="360"/>
    <d v="2026-02-28T00:00:00"/>
    <m/>
    <x v="1"/>
    <x v="0"/>
    <x v="20"/>
  </r>
  <r>
    <x v="47"/>
    <x v="47"/>
    <x v="2"/>
    <m/>
    <n v="354"/>
    <d v="2026-02-27T00:00:00"/>
    <m/>
    <x v="16"/>
    <x v="0"/>
    <x v="28"/>
  </r>
  <r>
    <x v="47"/>
    <x v="47"/>
    <x v="2"/>
    <m/>
    <n v="352"/>
    <d v="2026-02-27T00:00:00"/>
    <m/>
    <x v="2"/>
    <x v="0"/>
    <x v="13"/>
  </r>
  <r>
    <x v="18"/>
    <x v="18"/>
    <x v="42"/>
    <m/>
    <n v="341"/>
    <d v="2026-02-26T00:00:00"/>
    <m/>
    <x v="2"/>
    <x v="0"/>
    <x v="13"/>
  </r>
  <r>
    <x v="2"/>
    <x v="2"/>
    <x v="43"/>
    <m/>
    <n v="341"/>
    <d v="2026-02-26T00:00:00"/>
    <m/>
    <x v="2"/>
    <x v="0"/>
    <x v="13"/>
  </r>
  <r>
    <x v="1"/>
    <x v="1"/>
    <x v="43"/>
    <m/>
    <n v="341"/>
    <d v="2026-02-26T00:00:00"/>
    <m/>
    <x v="2"/>
    <x v="0"/>
    <x v="13"/>
  </r>
  <r>
    <x v="36"/>
    <x v="36"/>
    <x v="3"/>
    <m/>
    <n v="341"/>
    <d v="2026-02-26T00:00:00"/>
    <m/>
    <x v="2"/>
    <x v="0"/>
    <x v="13"/>
  </r>
  <r>
    <x v="3"/>
    <x v="3"/>
    <x v="10"/>
    <m/>
    <n v="235"/>
    <d v="2026-02-26T00:00:00"/>
    <m/>
    <x v="0"/>
    <x v="0"/>
    <x v="0"/>
  </r>
  <r>
    <x v="4"/>
    <x v="4"/>
    <x v="2"/>
    <m/>
    <n v="235"/>
    <d v="2026-02-26T00:00:00"/>
    <m/>
    <x v="0"/>
    <x v="0"/>
    <x v="0"/>
  </r>
  <r>
    <x v="19"/>
    <x v="19"/>
    <x v="6"/>
    <m/>
    <n v="345"/>
    <d v="2026-02-26T00:00:00"/>
    <m/>
    <x v="9"/>
    <x v="0"/>
    <x v="4"/>
  </r>
  <r>
    <x v="22"/>
    <x v="22"/>
    <x v="6"/>
    <m/>
    <n v="231"/>
    <d v="2026-02-26T00:00:00"/>
    <m/>
    <x v="4"/>
    <x v="0"/>
    <x v="3"/>
  </r>
  <r>
    <x v="19"/>
    <x v="19"/>
    <x v="2"/>
    <m/>
    <n v="231"/>
    <d v="2026-02-26T00:00:00"/>
    <m/>
    <x v="4"/>
    <x v="0"/>
    <x v="3"/>
  </r>
  <r>
    <x v="43"/>
    <x v="43"/>
    <x v="2"/>
    <m/>
    <n v="231"/>
    <d v="2026-02-26T00:00:00"/>
    <m/>
    <x v="4"/>
    <x v="0"/>
    <x v="3"/>
  </r>
  <r>
    <x v="26"/>
    <x v="26"/>
    <x v="2"/>
    <m/>
    <n v="231"/>
    <d v="2026-02-26T00:00:00"/>
    <m/>
    <x v="4"/>
    <x v="0"/>
    <x v="3"/>
  </r>
  <r>
    <x v="10"/>
    <x v="10"/>
    <x v="40"/>
    <m/>
    <n v="342"/>
    <d v="2006-02-26T00:00:00"/>
    <m/>
    <x v="6"/>
    <x v="0"/>
    <x v="4"/>
  </r>
  <r>
    <x v="11"/>
    <x v="11"/>
    <x v="40"/>
    <m/>
    <n v="342"/>
    <d v="2006-02-26T00:00:00"/>
    <m/>
    <x v="6"/>
    <x v="0"/>
    <x v="4"/>
  </r>
  <r>
    <x v="12"/>
    <x v="12"/>
    <x v="40"/>
    <m/>
    <n v="342"/>
    <d v="2006-02-26T00:00:00"/>
    <m/>
    <x v="6"/>
    <x v="0"/>
    <x v="4"/>
  </r>
  <r>
    <x v="6"/>
    <x v="6"/>
    <x v="10"/>
    <m/>
    <n v="342"/>
    <d v="2006-02-26T00:00:00"/>
    <m/>
    <x v="6"/>
    <x v="0"/>
    <x v="4"/>
  </r>
  <r>
    <x v="8"/>
    <x v="8"/>
    <x v="10"/>
    <m/>
    <n v="342"/>
    <d v="2006-02-26T00:00:00"/>
    <m/>
    <x v="6"/>
    <x v="0"/>
    <x v="4"/>
  </r>
  <r>
    <x v="20"/>
    <x v="20"/>
    <x v="2"/>
    <m/>
    <n v="342"/>
    <d v="2006-02-26T00:00:00"/>
    <m/>
    <x v="6"/>
    <x v="0"/>
    <x v="4"/>
  </r>
  <r>
    <x v="46"/>
    <x v="46"/>
    <x v="6"/>
    <m/>
    <n v="342"/>
    <d v="2006-02-26T00:00:00"/>
    <m/>
    <x v="6"/>
    <x v="0"/>
    <x v="4"/>
  </r>
  <r>
    <x v="35"/>
    <x v="35"/>
    <x v="6"/>
    <m/>
    <n v="342"/>
    <d v="2006-02-26T00:00:00"/>
    <m/>
    <x v="6"/>
    <x v="0"/>
    <x v="4"/>
  </r>
  <r>
    <x v="15"/>
    <x v="15"/>
    <x v="6"/>
    <m/>
    <n v="343"/>
    <d v="2026-02-26T00:00:00"/>
    <m/>
    <x v="19"/>
    <x v="0"/>
    <x v="3"/>
  </r>
  <r>
    <x v="35"/>
    <x v="35"/>
    <x v="6"/>
    <m/>
    <n v="344"/>
    <d v="2026-02-26T00:00:00"/>
    <m/>
    <x v="13"/>
    <x v="0"/>
    <x v="29"/>
  </r>
  <r>
    <x v="0"/>
    <x v="0"/>
    <x v="24"/>
    <m/>
    <n v="347"/>
    <d v="2026-02-26T00:00:00"/>
    <m/>
    <x v="11"/>
    <x v="0"/>
    <x v="10"/>
  </r>
  <r>
    <x v="15"/>
    <x v="15"/>
    <x v="6"/>
    <m/>
    <n v="346"/>
    <d v="2026-02-26T00:00:00"/>
    <m/>
    <x v="13"/>
    <x v="0"/>
    <x v="30"/>
  </r>
  <r>
    <x v="1"/>
    <x v="1"/>
    <x v="0"/>
    <m/>
    <n v="232"/>
    <d v="2026-02-26T00:00:00"/>
    <m/>
    <x v="4"/>
    <x v="0"/>
    <x v="3"/>
  </r>
  <r>
    <x v="2"/>
    <x v="2"/>
    <x v="0"/>
    <m/>
    <n v="232"/>
    <d v="2026-02-26T00:00:00"/>
    <m/>
    <x v="4"/>
    <x v="0"/>
    <x v="3"/>
  </r>
  <r>
    <x v="46"/>
    <x v="46"/>
    <x v="6"/>
    <m/>
    <n v="313"/>
    <d v="2026-02-25T00:00:00"/>
    <m/>
    <x v="7"/>
    <x v="0"/>
    <x v="31"/>
  </r>
  <r>
    <x v="9"/>
    <x v="9"/>
    <x v="6"/>
    <m/>
    <n v="313"/>
    <d v="2026-02-25T00:00:00"/>
    <m/>
    <x v="7"/>
    <x v="0"/>
    <x v="31"/>
  </r>
  <r>
    <x v="7"/>
    <x v="7"/>
    <x v="8"/>
    <m/>
    <n v="313"/>
    <d v="2026-02-25T00:00:00"/>
    <m/>
    <x v="7"/>
    <x v="0"/>
    <x v="31"/>
  </r>
  <r>
    <x v="10"/>
    <x v="10"/>
    <x v="6"/>
    <m/>
    <n v="313"/>
    <d v="2026-02-25T00:00:00"/>
    <m/>
    <x v="7"/>
    <x v="0"/>
    <x v="31"/>
  </r>
  <r>
    <x v="8"/>
    <x v="8"/>
    <x v="6"/>
    <m/>
    <n v="313"/>
    <d v="2026-02-25T00:00:00"/>
    <m/>
    <x v="7"/>
    <x v="0"/>
    <x v="31"/>
  </r>
  <r>
    <x v="6"/>
    <x v="6"/>
    <x v="8"/>
    <m/>
    <n v="313"/>
    <d v="2026-02-25T00:00:00"/>
    <m/>
    <x v="7"/>
    <x v="0"/>
    <x v="31"/>
  </r>
  <r>
    <x v="24"/>
    <x v="24"/>
    <x v="6"/>
    <m/>
    <n v="313"/>
    <d v="2026-02-25T00:00:00"/>
    <m/>
    <x v="7"/>
    <x v="0"/>
    <x v="31"/>
  </r>
  <r>
    <x v="14"/>
    <x v="14"/>
    <x v="6"/>
    <m/>
    <n v="313"/>
    <d v="2026-02-25T00:00:00"/>
    <m/>
    <x v="7"/>
    <x v="0"/>
    <x v="31"/>
  </r>
  <r>
    <x v="11"/>
    <x v="11"/>
    <x v="6"/>
    <m/>
    <n v="313"/>
    <d v="2026-02-25T00:00:00"/>
    <m/>
    <x v="7"/>
    <x v="0"/>
    <x v="31"/>
  </r>
  <r>
    <x v="32"/>
    <x v="32"/>
    <x v="6"/>
    <m/>
    <n v="313"/>
    <d v="2026-02-25T00:00:00"/>
    <m/>
    <x v="7"/>
    <x v="0"/>
    <x v="31"/>
  </r>
  <r>
    <x v="1"/>
    <x v="1"/>
    <x v="6"/>
    <m/>
    <n v="313"/>
    <d v="2026-02-25T00:00:00"/>
    <m/>
    <x v="7"/>
    <x v="0"/>
    <x v="31"/>
  </r>
  <r>
    <x v="13"/>
    <x v="13"/>
    <x v="6"/>
    <m/>
    <n v="313"/>
    <d v="2026-02-25T00:00:00"/>
    <m/>
    <x v="7"/>
    <x v="0"/>
    <x v="31"/>
  </r>
  <r>
    <x v="24"/>
    <x v="24"/>
    <x v="0"/>
    <m/>
    <n v="328"/>
    <d v="2026-02-25T00:00:00"/>
    <m/>
    <x v="6"/>
    <x v="0"/>
    <x v="4"/>
  </r>
  <r>
    <x v="8"/>
    <x v="8"/>
    <x v="41"/>
    <m/>
    <n v="328"/>
    <d v="2026-02-25T00:00:00"/>
    <m/>
    <x v="6"/>
    <x v="0"/>
    <x v="4"/>
  </r>
  <r>
    <x v="6"/>
    <x v="6"/>
    <x v="41"/>
    <m/>
    <n v="328"/>
    <d v="2026-02-25T00:00:00"/>
    <m/>
    <x v="6"/>
    <x v="0"/>
    <x v="4"/>
  </r>
  <r>
    <x v="7"/>
    <x v="7"/>
    <x v="13"/>
    <m/>
    <n v="328"/>
    <d v="2026-02-25T00:00:00"/>
    <m/>
    <x v="6"/>
    <x v="0"/>
    <x v="4"/>
  </r>
  <r>
    <x v="18"/>
    <x v="18"/>
    <x v="33"/>
    <m/>
    <n v="230"/>
    <d v="2026-02-25T00:00:00"/>
    <m/>
    <x v="4"/>
    <x v="0"/>
    <x v="3"/>
  </r>
  <r>
    <x v="2"/>
    <x v="2"/>
    <x v="0"/>
    <m/>
    <n v="230"/>
    <d v="2026-02-25T00:00:00"/>
    <m/>
    <x v="4"/>
    <x v="0"/>
    <x v="3"/>
  </r>
  <r>
    <x v="43"/>
    <x v="43"/>
    <x v="6"/>
    <m/>
    <n v="230"/>
    <d v="2026-02-25T00:00:00"/>
    <m/>
    <x v="4"/>
    <x v="0"/>
    <x v="3"/>
  </r>
  <r>
    <x v="36"/>
    <x v="36"/>
    <x v="3"/>
    <m/>
    <n v="230"/>
    <d v="2026-02-25T00:00:00"/>
    <m/>
    <x v="4"/>
    <x v="0"/>
    <x v="3"/>
  </r>
  <r>
    <x v="28"/>
    <x v="28"/>
    <x v="6"/>
    <m/>
    <n v="230"/>
    <d v="2026-02-25T00:00:00"/>
    <m/>
    <x v="4"/>
    <x v="0"/>
    <x v="3"/>
  </r>
  <r>
    <x v="10"/>
    <x v="10"/>
    <x v="6"/>
    <m/>
    <n v="230"/>
    <d v="2026-02-25T00:00:00"/>
    <m/>
    <x v="4"/>
    <x v="0"/>
    <x v="3"/>
  </r>
  <r>
    <x v="11"/>
    <x v="11"/>
    <x v="6"/>
    <m/>
    <n v="230"/>
    <d v="2026-02-25T00:00:00"/>
    <m/>
    <x v="4"/>
    <x v="0"/>
    <x v="3"/>
  </r>
  <r>
    <x v="12"/>
    <x v="12"/>
    <x v="6"/>
    <m/>
    <n v="230"/>
    <d v="2026-02-25T00:00:00"/>
    <m/>
    <x v="4"/>
    <x v="0"/>
    <x v="3"/>
  </r>
  <r>
    <x v="26"/>
    <x v="26"/>
    <x v="2"/>
    <m/>
    <n v="230"/>
    <d v="2026-02-25T00:00:00"/>
    <m/>
    <x v="4"/>
    <x v="0"/>
    <x v="3"/>
  </r>
  <r>
    <x v="7"/>
    <x v="7"/>
    <x v="8"/>
    <m/>
    <n v="230"/>
    <d v="2026-02-25T00:00:00"/>
    <m/>
    <x v="4"/>
    <x v="0"/>
    <x v="3"/>
  </r>
  <r>
    <x v="24"/>
    <x v="24"/>
    <x v="6"/>
    <m/>
    <n v="230"/>
    <d v="2026-02-25T00:00:00"/>
    <m/>
    <x v="4"/>
    <x v="0"/>
    <x v="3"/>
  </r>
  <r>
    <x v="69"/>
    <x v="69"/>
    <x v="6"/>
    <m/>
    <n v="334"/>
    <d v="2026-02-25T00:00:00"/>
    <m/>
    <x v="8"/>
    <x v="0"/>
    <x v="32"/>
  </r>
  <r>
    <x v="24"/>
    <x v="24"/>
    <x v="2"/>
    <m/>
    <n v="334"/>
    <d v="2026-02-25T00:00:00"/>
    <m/>
    <x v="8"/>
    <x v="0"/>
    <x v="32"/>
  </r>
  <r>
    <x v="9"/>
    <x v="9"/>
    <x v="6"/>
    <m/>
    <n v="334"/>
    <d v="2026-02-25T00:00:00"/>
    <m/>
    <x v="8"/>
    <x v="0"/>
    <x v="32"/>
  </r>
  <r>
    <x v="14"/>
    <x v="14"/>
    <x v="6"/>
    <m/>
    <n v="334"/>
    <d v="2026-02-25T00:00:00"/>
    <m/>
    <x v="8"/>
    <x v="0"/>
    <x v="32"/>
  </r>
  <r>
    <x v="7"/>
    <x v="7"/>
    <x v="8"/>
    <m/>
    <n v="334"/>
    <d v="2026-02-25T00:00:00"/>
    <m/>
    <x v="8"/>
    <x v="0"/>
    <x v="32"/>
  </r>
  <r>
    <x v="11"/>
    <x v="11"/>
    <x v="6"/>
    <m/>
    <n v="334"/>
    <d v="2026-02-25T00:00:00"/>
    <m/>
    <x v="8"/>
    <x v="0"/>
    <x v="32"/>
  </r>
  <r>
    <x v="10"/>
    <x v="10"/>
    <x v="6"/>
    <m/>
    <n v="334"/>
    <d v="2026-02-25T00:00:00"/>
    <m/>
    <x v="8"/>
    <x v="0"/>
    <x v="32"/>
  </r>
  <r>
    <x v="8"/>
    <x v="8"/>
    <x v="6"/>
    <m/>
    <n v="334"/>
    <d v="2026-02-25T00:00:00"/>
    <m/>
    <x v="8"/>
    <x v="0"/>
    <x v="32"/>
  </r>
  <r>
    <x v="12"/>
    <x v="12"/>
    <x v="6"/>
    <m/>
    <n v="334"/>
    <d v="2026-02-25T00:00:00"/>
    <m/>
    <x v="8"/>
    <x v="0"/>
    <x v="32"/>
  </r>
  <r>
    <x v="1"/>
    <x v="1"/>
    <x v="2"/>
    <m/>
    <n v="334"/>
    <d v="2026-02-25T00:00:00"/>
    <m/>
    <x v="8"/>
    <x v="0"/>
    <x v="32"/>
  </r>
  <r>
    <x v="2"/>
    <x v="2"/>
    <x v="2"/>
    <m/>
    <n v="334"/>
    <d v="2026-02-25T00:00:00"/>
    <m/>
    <x v="8"/>
    <x v="0"/>
    <x v="32"/>
  </r>
  <r>
    <x v="13"/>
    <x v="13"/>
    <x v="6"/>
    <m/>
    <n v="334"/>
    <d v="2026-02-25T00:00:00"/>
    <m/>
    <x v="8"/>
    <x v="0"/>
    <x v="32"/>
  </r>
  <r>
    <x v="5"/>
    <x v="5"/>
    <x v="6"/>
    <m/>
    <n v="333"/>
    <d v="2026-02-25T00:00:00"/>
    <m/>
    <x v="8"/>
    <x v="0"/>
    <x v="33"/>
  </r>
  <r>
    <x v="24"/>
    <x v="24"/>
    <x v="2"/>
    <m/>
    <n v="333"/>
    <d v="2026-02-25T00:00:00"/>
    <m/>
    <x v="8"/>
    <x v="0"/>
    <x v="33"/>
  </r>
  <r>
    <x v="9"/>
    <x v="9"/>
    <x v="6"/>
    <m/>
    <n v="333"/>
    <d v="2026-02-25T00:00:00"/>
    <m/>
    <x v="8"/>
    <x v="0"/>
    <x v="33"/>
  </r>
  <r>
    <x v="14"/>
    <x v="14"/>
    <x v="6"/>
    <m/>
    <n v="333"/>
    <d v="2026-02-25T00:00:00"/>
    <m/>
    <x v="8"/>
    <x v="0"/>
    <x v="33"/>
  </r>
  <r>
    <x v="7"/>
    <x v="7"/>
    <x v="8"/>
    <m/>
    <n v="333"/>
    <d v="2026-02-25T00:00:00"/>
    <m/>
    <x v="8"/>
    <x v="0"/>
    <x v="33"/>
  </r>
  <r>
    <x v="11"/>
    <x v="11"/>
    <x v="6"/>
    <m/>
    <n v="333"/>
    <d v="2026-02-25T00:00:00"/>
    <m/>
    <x v="8"/>
    <x v="0"/>
    <x v="33"/>
  </r>
  <r>
    <x v="10"/>
    <x v="10"/>
    <x v="6"/>
    <m/>
    <n v="333"/>
    <d v="2026-02-25T00:00:00"/>
    <m/>
    <x v="8"/>
    <x v="0"/>
    <x v="33"/>
  </r>
  <r>
    <x v="8"/>
    <x v="8"/>
    <x v="6"/>
    <m/>
    <n v="333"/>
    <d v="2026-02-25T00:00:00"/>
    <m/>
    <x v="8"/>
    <x v="0"/>
    <x v="33"/>
  </r>
  <r>
    <x v="32"/>
    <x v="32"/>
    <x v="6"/>
    <m/>
    <n v="333"/>
    <d v="2026-02-25T00:00:00"/>
    <m/>
    <x v="8"/>
    <x v="0"/>
    <x v="33"/>
  </r>
  <r>
    <x v="1"/>
    <x v="1"/>
    <x v="2"/>
    <m/>
    <n v="333"/>
    <d v="2026-02-25T00:00:00"/>
    <m/>
    <x v="8"/>
    <x v="0"/>
    <x v="33"/>
  </r>
  <r>
    <x v="2"/>
    <x v="2"/>
    <x v="2"/>
    <m/>
    <n v="333"/>
    <d v="2026-02-25T00:00:00"/>
    <m/>
    <x v="8"/>
    <x v="0"/>
    <x v="33"/>
  </r>
  <r>
    <x v="13"/>
    <x v="13"/>
    <x v="6"/>
    <m/>
    <n v="333"/>
    <d v="2026-02-25T00:00:00"/>
    <m/>
    <x v="8"/>
    <x v="0"/>
    <x v="33"/>
  </r>
  <r>
    <x v="5"/>
    <x v="5"/>
    <x v="6"/>
    <m/>
    <n v="332"/>
    <d v="2026-02-25T00:00:00"/>
    <m/>
    <x v="8"/>
    <x v="0"/>
    <x v="34"/>
  </r>
  <r>
    <x v="24"/>
    <x v="24"/>
    <x v="1"/>
    <m/>
    <n v="332"/>
    <d v="2026-02-25T00:00:00"/>
    <m/>
    <x v="8"/>
    <x v="0"/>
    <x v="34"/>
  </r>
  <r>
    <x v="9"/>
    <x v="9"/>
    <x v="6"/>
    <m/>
    <n v="332"/>
    <d v="2026-02-25T00:00:00"/>
    <m/>
    <x v="8"/>
    <x v="0"/>
    <x v="34"/>
  </r>
  <r>
    <x v="14"/>
    <x v="14"/>
    <x v="6"/>
    <m/>
    <n v="332"/>
    <d v="2026-02-25T00:00:00"/>
    <m/>
    <x v="8"/>
    <x v="0"/>
    <x v="34"/>
  </r>
  <r>
    <x v="7"/>
    <x v="7"/>
    <x v="8"/>
    <m/>
    <n v="332"/>
    <d v="2026-02-25T00:00:00"/>
    <m/>
    <x v="8"/>
    <x v="0"/>
    <x v="34"/>
  </r>
  <r>
    <x v="11"/>
    <x v="11"/>
    <x v="6"/>
    <m/>
    <n v="332"/>
    <d v="2026-02-25T00:00:00"/>
    <m/>
    <x v="8"/>
    <x v="0"/>
    <x v="34"/>
  </r>
  <r>
    <x v="10"/>
    <x v="10"/>
    <x v="6"/>
    <m/>
    <n v="332"/>
    <d v="2026-02-25T00:00:00"/>
    <m/>
    <x v="8"/>
    <x v="0"/>
    <x v="34"/>
  </r>
  <r>
    <x v="8"/>
    <x v="8"/>
    <x v="6"/>
    <m/>
    <n v="332"/>
    <d v="2026-02-25T00:00:00"/>
    <m/>
    <x v="8"/>
    <x v="0"/>
    <x v="34"/>
  </r>
  <r>
    <x v="32"/>
    <x v="32"/>
    <x v="6"/>
    <m/>
    <n v="332"/>
    <d v="2026-02-25T00:00:00"/>
    <m/>
    <x v="8"/>
    <x v="0"/>
    <x v="34"/>
  </r>
  <r>
    <x v="1"/>
    <x v="1"/>
    <x v="1"/>
    <m/>
    <n v="332"/>
    <d v="2026-02-25T00:00:00"/>
    <m/>
    <x v="8"/>
    <x v="0"/>
    <x v="34"/>
  </r>
  <r>
    <x v="2"/>
    <x v="2"/>
    <x v="1"/>
    <m/>
    <n v="332"/>
    <d v="2026-02-25T00:00:00"/>
    <m/>
    <x v="8"/>
    <x v="0"/>
    <x v="34"/>
  </r>
  <r>
    <x v="13"/>
    <x v="13"/>
    <x v="6"/>
    <m/>
    <n v="332"/>
    <d v="2026-02-25T00:00:00"/>
    <m/>
    <x v="8"/>
    <x v="0"/>
    <x v="34"/>
  </r>
  <r>
    <x v="14"/>
    <x v="14"/>
    <x v="6"/>
    <m/>
    <n v="983"/>
    <d v="2026-02-25T00:00:00"/>
    <m/>
    <x v="14"/>
    <x v="0"/>
    <x v="18"/>
  </r>
  <r>
    <x v="72"/>
    <x v="72"/>
    <x v="6"/>
    <m/>
    <n v="331"/>
    <d v="2026-02-25T00:00:00"/>
    <m/>
    <x v="8"/>
    <x v="0"/>
    <x v="35"/>
  </r>
  <r>
    <x v="24"/>
    <x v="24"/>
    <x v="2"/>
    <m/>
    <n v="331"/>
    <d v="2026-02-25T00:00:00"/>
    <m/>
    <x v="8"/>
    <x v="0"/>
    <x v="35"/>
  </r>
  <r>
    <x v="9"/>
    <x v="9"/>
    <x v="6"/>
    <m/>
    <n v="331"/>
    <d v="2026-02-25T00:00:00"/>
    <m/>
    <x v="8"/>
    <x v="0"/>
    <x v="35"/>
  </r>
  <r>
    <x v="14"/>
    <x v="14"/>
    <x v="6"/>
    <m/>
    <n v="331"/>
    <d v="2026-02-25T00:00:00"/>
    <m/>
    <x v="8"/>
    <x v="0"/>
    <x v="35"/>
  </r>
  <r>
    <x v="7"/>
    <x v="7"/>
    <x v="8"/>
    <m/>
    <n v="331"/>
    <d v="2026-02-25T00:00:00"/>
    <m/>
    <x v="8"/>
    <x v="0"/>
    <x v="35"/>
  </r>
  <r>
    <x v="11"/>
    <x v="11"/>
    <x v="6"/>
    <m/>
    <n v="331"/>
    <d v="2026-02-25T00:00:00"/>
    <m/>
    <x v="8"/>
    <x v="0"/>
    <x v="35"/>
  </r>
  <r>
    <x v="10"/>
    <x v="10"/>
    <x v="6"/>
    <m/>
    <n v="331"/>
    <d v="2026-02-25T00:00:00"/>
    <m/>
    <x v="8"/>
    <x v="0"/>
    <x v="35"/>
  </r>
  <r>
    <x v="8"/>
    <x v="8"/>
    <x v="6"/>
    <m/>
    <n v="331"/>
    <d v="2026-02-25T00:00:00"/>
    <m/>
    <x v="8"/>
    <x v="0"/>
    <x v="35"/>
  </r>
  <r>
    <x v="12"/>
    <x v="12"/>
    <x v="6"/>
    <m/>
    <n v="331"/>
    <d v="2026-02-25T00:00:00"/>
    <m/>
    <x v="8"/>
    <x v="0"/>
    <x v="35"/>
  </r>
  <r>
    <x v="1"/>
    <x v="1"/>
    <x v="2"/>
    <m/>
    <n v="331"/>
    <d v="2026-02-25T00:00:00"/>
    <m/>
    <x v="8"/>
    <x v="0"/>
    <x v="35"/>
  </r>
  <r>
    <x v="2"/>
    <x v="2"/>
    <x v="2"/>
    <m/>
    <n v="331"/>
    <d v="2026-02-25T00:00:00"/>
    <m/>
    <x v="8"/>
    <x v="0"/>
    <x v="35"/>
  </r>
  <r>
    <x v="13"/>
    <x v="13"/>
    <x v="6"/>
    <m/>
    <n v="331"/>
    <d v="2026-02-25T00:00:00"/>
    <m/>
    <x v="8"/>
    <x v="0"/>
    <x v="35"/>
  </r>
  <r>
    <x v="43"/>
    <x v="43"/>
    <x v="6"/>
    <m/>
    <n v="336"/>
    <d v="2026-02-25T00:00:00"/>
    <m/>
    <x v="8"/>
    <x v="0"/>
    <x v="36"/>
  </r>
  <r>
    <x v="28"/>
    <x v="28"/>
    <x v="6"/>
    <m/>
    <n v="335"/>
    <d v="2026-02-25T00:00:00"/>
    <m/>
    <x v="8"/>
    <x v="0"/>
    <x v="37"/>
  </r>
  <r>
    <x v="24"/>
    <x v="24"/>
    <x v="1"/>
    <m/>
    <n v="335"/>
    <d v="2026-02-25T00:00:00"/>
    <m/>
    <x v="8"/>
    <x v="0"/>
    <x v="37"/>
  </r>
  <r>
    <x v="9"/>
    <x v="9"/>
    <x v="6"/>
    <m/>
    <n v="335"/>
    <d v="2026-02-25T00:00:00"/>
    <m/>
    <x v="8"/>
    <x v="0"/>
    <x v="37"/>
  </r>
  <r>
    <x v="14"/>
    <x v="14"/>
    <x v="6"/>
    <m/>
    <n v="335"/>
    <d v="2026-02-25T00:00:00"/>
    <m/>
    <x v="8"/>
    <x v="0"/>
    <x v="37"/>
  </r>
  <r>
    <x v="7"/>
    <x v="7"/>
    <x v="8"/>
    <m/>
    <n v="335"/>
    <d v="2026-02-25T00:00:00"/>
    <m/>
    <x v="8"/>
    <x v="0"/>
    <x v="37"/>
  </r>
  <r>
    <x v="11"/>
    <x v="11"/>
    <x v="6"/>
    <m/>
    <n v="335"/>
    <d v="2026-02-25T00:00:00"/>
    <m/>
    <x v="8"/>
    <x v="0"/>
    <x v="37"/>
  </r>
  <r>
    <x v="10"/>
    <x v="10"/>
    <x v="6"/>
    <m/>
    <n v="335"/>
    <d v="2026-02-25T00:00:00"/>
    <m/>
    <x v="8"/>
    <x v="0"/>
    <x v="37"/>
  </r>
  <r>
    <x v="8"/>
    <x v="8"/>
    <x v="6"/>
    <m/>
    <n v="335"/>
    <d v="2026-02-25T00:00:00"/>
    <m/>
    <x v="8"/>
    <x v="0"/>
    <x v="37"/>
  </r>
  <r>
    <x v="12"/>
    <x v="12"/>
    <x v="6"/>
    <m/>
    <n v="335"/>
    <d v="2026-02-25T00:00:00"/>
    <m/>
    <x v="8"/>
    <x v="0"/>
    <x v="37"/>
  </r>
  <r>
    <x v="1"/>
    <x v="1"/>
    <x v="1"/>
    <m/>
    <n v="335"/>
    <d v="2026-02-25T00:00:00"/>
    <m/>
    <x v="8"/>
    <x v="0"/>
    <x v="37"/>
  </r>
  <r>
    <x v="2"/>
    <x v="2"/>
    <x v="1"/>
    <m/>
    <n v="335"/>
    <d v="2026-02-25T00:00:00"/>
    <m/>
    <x v="8"/>
    <x v="0"/>
    <x v="37"/>
  </r>
  <r>
    <x v="13"/>
    <x v="13"/>
    <x v="6"/>
    <m/>
    <n v="335"/>
    <d v="2026-02-25T00:00:00"/>
    <m/>
    <x v="8"/>
    <x v="0"/>
    <x v="37"/>
  </r>
  <r>
    <x v="6"/>
    <x v="6"/>
    <x v="6"/>
    <m/>
    <n v="335"/>
    <d v="2026-02-25T00:00:00"/>
    <m/>
    <x v="8"/>
    <x v="0"/>
    <x v="37"/>
  </r>
  <r>
    <x v="9"/>
    <x v="9"/>
    <x v="6"/>
    <m/>
    <n v="997"/>
    <d v="2026-02-20T00:00:00"/>
    <m/>
    <x v="6"/>
    <x v="0"/>
    <x v="38"/>
  </r>
  <r>
    <x v="24"/>
    <x v="24"/>
    <x v="3"/>
    <m/>
    <n v="997"/>
    <d v="2026-02-20T00:00:00"/>
    <m/>
    <x v="6"/>
    <x v="0"/>
    <x v="38"/>
  </r>
  <r>
    <x v="7"/>
    <x v="7"/>
    <x v="8"/>
    <m/>
    <n v="997"/>
    <d v="2026-02-20T00:00:00"/>
    <m/>
    <x v="6"/>
    <x v="0"/>
    <x v="38"/>
  </r>
  <r>
    <x v="8"/>
    <x v="8"/>
    <x v="6"/>
    <m/>
    <n v="997"/>
    <d v="2026-02-20T00:00:00"/>
    <m/>
    <x v="6"/>
    <x v="0"/>
    <x v="38"/>
  </r>
  <r>
    <x v="9"/>
    <x v="9"/>
    <x v="6"/>
    <m/>
    <n v="993"/>
    <d v="2026-02-20T00:00:00"/>
    <m/>
    <x v="6"/>
    <x v="0"/>
    <x v="39"/>
  </r>
  <r>
    <x v="24"/>
    <x v="24"/>
    <x v="3"/>
    <m/>
    <n v="993"/>
    <d v="2026-02-20T00:00:00"/>
    <m/>
    <x v="6"/>
    <x v="0"/>
    <x v="39"/>
  </r>
  <r>
    <x v="7"/>
    <x v="7"/>
    <x v="8"/>
    <m/>
    <n v="993"/>
    <d v="2026-02-20T00:00:00"/>
    <m/>
    <x v="6"/>
    <x v="0"/>
    <x v="39"/>
  </r>
  <r>
    <x v="8"/>
    <x v="8"/>
    <x v="6"/>
    <m/>
    <n v="993"/>
    <d v="2026-02-20T00:00:00"/>
    <m/>
    <x v="6"/>
    <x v="0"/>
    <x v="39"/>
  </r>
  <r>
    <x v="18"/>
    <x v="18"/>
    <x v="29"/>
    <m/>
    <n v="318"/>
    <d v="2026-02-24T00:00:00"/>
    <m/>
    <x v="4"/>
    <x v="0"/>
    <x v="3"/>
  </r>
  <r>
    <x v="42"/>
    <x v="42"/>
    <x v="6"/>
    <m/>
    <n v="318"/>
    <d v="2026-02-24T00:00:00"/>
    <m/>
    <x v="4"/>
    <x v="0"/>
    <x v="3"/>
  </r>
  <r>
    <x v="26"/>
    <x v="26"/>
    <x v="6"/>
    <m/>
    <n v="318"/>
    <d v="2026-02-24T00:00:00"/>
    <m/>
    <x v="4"/>
    <x v="0"/>
    <x v="3"/>
  </r>
  <r>
    <x v="43"/>
    <x v="43"/>
    <x v="2"/>
    <m/>
    <n v="318"/>
    <d v="2026-02-24T00:00:00"/>
    <m/>
    <x v="4"/>
    <x v="0"/>
    <x v="3"/>
  </r>
  <r>
    <x v="36"/>
    <x v="36"/>
    <x v="8"/>
    <m/>
    <n v="318"/>
    <d v="2026-02-24T00:00:00"/>
    <m/>
    <x v="4"/>
    <x v="0"/>
    <x v="3"/>
  </r>
  <r>
    <x v="0"/>
    <x v="0"/>
    <x v="0"/>
    <m/>
    <n v="227"/>
    <d v="2026-02-24T00:00:00"/>
    <m/>
    <x v="0"/>
    <x v="0"/>
    <x v="0"/>
  </r>
  <r>
    <x v="1"/>
    <x v="1"/>
    <x v="0"/>
    <m/>
    <n v="227"/>
    <d v="2026-02-24T00:00:00"/>
    <m/>
    <x v="0"/>
    <x v="0"/>
    <x v="0"/>
  </r>
  <r>
    <x v="2"/>
    <x v="2"/>
    <x v="0"/>
    <m/>
    <n v="227"/>
    <d v="2026-02-24T00:00:00"/>
    <m/>
    <x v="0"/>
    <x v="0"/>
    <x v="0"/>
  </r>
  <r>
    <x v="18"/>
    <x v="18"/>
    <x v="26"/>
    <m/>
    <n v="317"/>
    <d v="2026-02-24T00:00:00"/>
    <m/>
    <x v="1"/>
    <x v="0"/>
    <x v="20"/>
  </r>
  <r>
    <x v="36"/>
    <x v="36"/>
    <x v="1"/>
    <m/>
    <n v="317"/>
    <d v="2026-02-24T00:00:00"/>
    <m/>
    <x v="1"/>
    <x v="0"/>
    <x v="20"/>
  </r>
  <r>
    <x v="2"/>
    <x v="2"/>
    <x v="26"/>
    <m/>
    <n v="317"/>
    <d v="2026-02-24T00:00:00"/>
    <m/>
    <x v="1"/>
    <x v="0"/>
    <x v="20"/>
  </r>
  <r>
    <x v="1"/>
    <x v="1"/>
    <x v="26"/>
    <m/>
    <n v="317"/>
    <d v="2026-02-24T00:00:00"/>
    <m/>
    <x v="1"/>
    <x v="0"/>
    <x v="20"/>
  </r>
  <r>
    <x v="35"/>
    <x v="35"/>
    <x v="6"/>
    <m/>
    <n v="326"/>
    <d v="2026-02-24T00:00:00"/>
    <m/>
    <x v="13"/>
    <x v="0"/>
    <x v="30"/>
  </r>
  <r>
    <x v="62"/>
    <x v="62"/>
    <x v="6"/>
    <m/>
    <n v="321"/>
    <d v="2026-02-24T00:00:00"/>
    <m/>
    <x v="13"/>
    <x v="0"/>
    <x v="30"/>
  </r>
  <r>
    <x v="73"/>
    <x v="73"/>
    <x v="6"/>
    <m/>
    <n v="320"/>
    <d v="2026-02-24T00:00:00"/>
    <m/>
    <x v="13"/>
    <x v="0"/>
    <x v="30"/>
  </r>
  <r>
    <x v="61"/>
    <x v="61"/>
    <x v="6"/>
    <m/>
    <n v="320"/>
    <d v="2026-02-24T00:00:00"/>
    <m/>
    <x v="13"/>
    <x v="0"/>
    <x v="30"/>
  </r>
  <r>
    <x v="3"/>
    <x v="3"/>
    <x v="2"/>
    <m/>
    <n v="320"/>
    <d v="2026-02-24T00:00:00"/>
    <m/>
    <x v="13"/>
    <x v="0"/>
    <x v="30"/>
  </r>
  <r>
    <x v="20"/>
    <x v="20"/>
    <x v="6"/>
    <m/>
    <n v="320"/>
    <d v="2026-02-24T00:00:00"/>
    <m/>
    <x v="13"/>
    <x v="0"/>
    <x v="30"/>
  </r>
  <r>
    <x v="21"/>
    <x v="21"/>
    <x v="6"/>
    <m/>
    <n v="320"/>
    <d v="2026-02-24T00:00:00"/>
    <m/>
    <x v="13"/>
    <x v="0"/>
    <x v="30"/>
  </r>
  <r>
    <x v="14"/>
    <x v="14"/>
    <x v="6"/>
    <m/>
    <n v="320"/>
    <d v="2026-02-24T00:00:00"/>
    <m/>
    <x v="13"/>
    <x v="0"/>
    <x v="30"/>
  </r>
  <r>
    <x v="13"/>
    <x v="13"/>
    <x v="6"/>
    <m/>
    <n v="320"/>
    <d v="2026-02-24T00:00:00"/>
    <m/>
    <x v="13"/>
    <x v="0"/>
    <x v="30"/>
  </r>
  <r>
    <x v="10"/>
    <x v="10"/>
    <x v="44"/>
    <m/>
    <n v="224"/>
    <d v="2026-02-24T00:00:00"/>
    <m/>
    <x v="6"/>
    <x v="0"/>
    <x v="4"/>
  </r>
  <r>
    <x v="11"/>
    <x v="11"/>
    <x v="44"/>
    <m/>
    <n v="224"/>
    <d v="2026-02-24T00:00:00"/>
    <m/>
    <x v="6"/>
    <x v="0"/>
    <x v="4"/>
  </r>
  <r>
    <x v="32"/>
    <x v="32"/>
    <x v="44"/>
    <m/>
    <n v="224"/>
    <d v="2026-02-24T00:00:00"/>
    <m/>
    <x v="6"/>
    <x v="0"/>
    <x v="4"/>
  </r>
  <r>
    <x v="41"/>
    <x v="41"/>
    <x v="1"/>
    <m/>
    <n v="224"/>
    <d v="2026-02-24T00:00:00"/>
    <m/>
    <x v="6"/>
    <x v="0"/>
    <x v="4"/>
  </r>
  <r>
    <x v="7"/>
    <x v="7"/>
    <x v="3"/>
    <m/>
    <n v="224"/>
    <d v="2026-02-24T00:00:00"/>
    <m/>
    <x v="6"/>
    <x v="0"/>
    <x v="4"/>
  </r>
  <r>
    <x v="22"/>
    <x v="22"/>
    <x v="6"/>
    <m/>
    <n v="319"/>
    <d v="2026-02-24T00:00:00"/>
    <m/>
    <x v="9"/>
    <x v="0"/>
    <x v="4"/>
  </r>
  <r>
    <x v="19"/>
    <x v="19"/>
    <x v="6"/>
    <m/>
    <n v="319"/>
    <d v="2026-02-24T00:00:00"/>
    <m/>
    <x v="9"/>
    <x v="0"/>
    <x v="4"/>
  </r>
  <r>
    <x v="45"/>
    <x v="45"/>
    <x v="6"/>
    <m/>
    <n v="327"/>
    <d v="2026-02-24T00:00:00"/>
    <m/>
    <x v="15"/>
    <x v="0"/>
    <x v="10"/>
  </r>
  <r>
    <x v="45"/>
    <x v="45"/>
    <x v="2"/>
    <m/>
    <n v="325"/>
    <d v="2026-02-24T00:00:00"/>
    <m/>
    <x v="15"/>
    <x v="0"/>
    <x v="10"/>
  </r>
  <r>
    <x v="45"/>
    <x v="45"/>
    <x v="6"/>
    <m/>
    <n v="316"/>
    <d v="2026-02-23T00:00:00"/>
    <m/>
    <x v="15"/>
    <x v="0"/>
    <x v="10"/>
  </r>
  <r>
    <x v="0"/>
    <x v="0"/>
    <x v="13"/>
    <m/>
    <n v="322"/>
    <d v="2026-02-20T00:00:00"/>
    <m/>
    <x v="15"/>
    <x v="0"/>
    <x v="10"/>
  </r>
  <r>
    <x v="0"/>
    <x v="0"/>
    <x v="13"/>
    <m/>
    <n v="223"/>
    <d v="2026-02-19T00:00:00"/>
    <m/>
    <x v="0"/>
    <x v="0"/>
    <x v="0"/>
  </r>
  <r>
    <x v="1"/>
    <x v="1"/>
    <x v="13"/>
    <m/>
    <n v="223"/>
    <d v="2026-02-19T00:00:00"/>
    <m/>
    <x v="0"/>
    <x v="0"/>
    <x v="0"/>
  </r>
  <r>
    <x v="2"/>
    <x v="2"/>
    <x v="13"/>
    <m/>
    <n v="223"/>
    <d v="2026-02-19T00:00:00"/>
    <m/>
    <x v="0"/>
    <x v="0"/>
    <x v="0"/>
  </r>
  <r>
    <x v="5"/>
    <x v="5"/>
    <x v="3"/>
    <m/>
    <n v="223"/>
    <d v="2026-02-19T00:00:00"/>
    <m/>
    <x v="0"/>
    <x v="0"/>
    <x v="0"/>
  </r>
  <r>
    <x v="9"/>
    <x v="9"/>
    <x v="3"/>
    <m/>
    <n v="223"/>
    <d v="2026-02-19T00:00:00"/>
    <m/>
    <x v="0"/>
    <x v="0"/>
    <x v="0"/>
  </r>
  <r>
    <x v="7"/>
    <x v="7"/>
    <x v="5"/>
    <m/>
    <n v="223"/>
    <d v="2026-02-19T00:00:00"/>
    <m/>
    <x v="0"/>
    <x v="0"/>
    <x v="0"/>
  </r>
  <r>
    <x v="8"/>
    <x v="8"/>
    <x v="3"/>
    <m/>
    <n v="223"/>
    <d v="2026-02-19T00:00:00"/>
    <m/>
    <x v="0"/>
    <x v="0"/>
    <x v="0"/>
  </r>
  <r>
    <x v="10"/>
    <x v="10"/>
    <x v="3"/>
    <m/>
    <n v="223"/>
    <d v="2026-02-19T00:00:00"/>
    <m/>
    <x v="0"/>
    <x v="0"/>
    <x v="0"/>
  </r>
  <r>
    <x v="11"/>
    <x v="11"/>
    <x v="3"/>
    <m/>
    <n v="223"/>
    <d v="2026-02-19T00:00:00"/>
    <m/>
    <x v="0"/>
    <x v="0"/>
    <x v="0"/>
  </r>
  <r>
    <x v="12"/>
    <x v="12"/>
    <x v="3"/>
    <m/>
    <n v="223"/>
    <d v="2026-02-19T00:00:00"/>
    <m/>
    <x v="0"/>
    <x v="0"/>
    <x v="0"/>
  </r>
  <r>
    <x v="13"/>
    <x v="13"/>
    <x v="3"/>
    <m/>
    <n v="223"/>
    <d v="2026-02-19T00:00:00"/>
    <m/>
    <x v="0"/>
    <x v="0"/>
    <x v="0"/>
  </r>
  <r>
    <x v="14"/>
    <x v="14"/>
    <x v="3"/>
    <m/>
    <n v="223"/>
    <d v="2026-02-19T00:00:00"/>
    <m/>
    <x v="0"/>
    <x v="0"/>
    <x v="0"/>
  </r>
  <r>
    <x v="6"/>
    <x v="6"/>
    <x v="11"/>
    <m/>
    <n v="223"/>
    <d v="2026-02-19T00:00:00"/>
    <m/>
    <x v="0"/>
    <x v="0"/>
    <x v="0"/>
  </r>
  <r>
    <x v="41"/>
    <x v="41"/>
    <x v="6"/>
    <m/>
    <n v="223"/>
    <d v="2026-02-19T00:00:00"/>
    <m/>
    <x v="0"/>
    <x v="0"/>
    <x v="0"/>
  </r>
  <r>
    <x v="35"/>
    <x v="35"/>
    <x v="6"/>
    <m/>
    <n v="221"/>
    <d v="2026-02-18T00:00:00"/>
    <m/>
    <x v="0"/>
    <x v="0"/>
    <x v="40"/>
  </r>
  <r>
    <x v="74"/>
    <x v="74"/>
    <x v="2"/>
    <m/>
    <n v="221"/>
    <d v="2026-02-18T00:00:00"/>
    <m/>
    <x v="0"/>
    <x v="0"/>
    <x v="40"/>
  </r>
  <r>
    <x v="62"/>
    <x v="62"/>
    <x v="6"/>
    <m/>
    <n v="221"/>
    <d v="2026-02-18T00:00:00"/>
    <m/>
    <x v="0"/>
    <x v="0"/>
    <x v="40"/>
  </r>
  <r>
    <x v="4"/>
    <x v="4"/>
    <x v="6"/>
    <m/>
    <n v="221"/>
    <d v="2026-02-18T00:00:00"/>
    <m/>
    <x v="0"/>
    <x v="0"/>
    <x v="40"/>
  </r>
  <r>
    <x v="3"/>
    <x v="3"/>
    <x v="14"/>
    <m/>
    <n v="221"/>
    <d v="2026-02-18T00:00:00"/>
    <m/>
    <x v="0"/>
    <x v="0"/>
    <x v="40"/>
  </r>
  <r>
    <x v="61"/>
    <x v="61"/>
    <x v="6"/>
    <m/>
    <n v="221"/>
    <d v="2026-02-18T00:00:00"/>
    <m/>
    <x v="0"/>
    <x v="0"/>
    <x v="40"/>
  </r>
  <r>
    <x v="14"/>
    <x v="14"/>
    <x v="6"/>
    <m/>
    <n v="221"/>
    <d v="2026-02-18T00:00:00"/>
    <m/>
    <x v="0"/>
    <x v="0"/>
    <x v="40"/>
  </r>
  <r>
    <x v="13"/>
    <x v="13"/>
    <x v="6"/>
    <m/>
    <n v="221"/>
    <d v="2026-02-18T00:00:00"/>
    <m/>
    <x v="0"/>
    <x v="0"/>
    <x v="40"/>
  </r>
  <r>
    <x v="0"/>
    <x v="0"/>
    <x v="14"/>
    <m/>
    <n v="987"/>
    <d v="2026-02-19T00:00:00"/>
    <m/>
    <x v="1"/>
    <x v="0"/>
    <x v="40"/>
  </r>
  <r>
    <x v="1"/>
    <x v="1"/>
    <x v="14"/>
    <m/>
    <n v="987"/>
    <d v="2026-02-19T00:00:00"/>
    <m/>
    <x v="1"/>
    <x v="0"/>
    <x v="40"/>
  </r>
  <r>
    <x v="2"/>
    <x v="2"/>
    <x v="14"/>
    <m/>
    <n v="987"/>
    <d v="2026-02-19T00:00:00"/>
    <m/>
    <x v="1"/>
    <x v="0"/>
    <x v="40"/>
  </r>
  <r>
    <x v="3"/>
    <x v="3"/>
    <x v="6"/>
    <m/>
    <n v="987"/>
    <d v="2026-02-19T00:00:00"/>
    <m/>
    <x v="1"/>
    <x v="0"/>
    <x v="40"/>
  </r>
  <r>
    <x v="15"/>
    <x v="15"/>
    <x v="1"/>
    <m/>
    <n v="987"/>
    <d v="2026-02-19T00:00:00"/>
    <m/>
    <x v="1"/>
    <x v="0"/>
    <x v="40"/>
  </r>
  <r>
    <x v="36"/>
    <x v="36"/>
    <x v="2"/>
    <m/>
    <n v="988"/>
    <d v="2026-02-19T00:00:00"/>
    <m/>
    <x v="4"/>
    <x v="0"/>
    <x v="3"/>
  </r>
  <r>
    <x v="15"/>
    <x v="15"/>
    <x v="3"/>
    <m/>
    <n v="988"/>
    <d v="2026-02-19T00:00:00"/>
    <m/>
    <x v="4"/>
    <x v="0"/>
    <x v="3"/>
  </r>
  <r>
    <x v="45"/>
    <x v="45"/>
    <x v="6"/>
    <m/>
    <n v="988"/>
    <d v="2026-02-19T00:00:00"/>
    <m/>
    <x v="4"/>
    <x v="0"/>
    <x v="3"/>
  </r>
  <r>
    <x v="2"/>
    <x v="2"/>
    <x v="0"/>
    <m/>
    <n v="988"/>
    <d v="2026-02-19T00:00:00"/>
    <m/>
    <x v="4"/>
    <x v="0"/>
    <x v="3"/>
  </r>
  <r>
    <x v="1"/>
    <x v="1"/>
    <x v="0"/>
    <m/>
    <n v="988"/>
    <d v="2026-02-19T00:00:00"/>
    <m/>
    <x v="4"/>
    <x v="0"/>
    <x v="3"/>
  </r>
  <r>
    <x v="66"/>
    <x v="66"/>
    <x v="45"/>
    <m/>
    <n v="303"/>
    <d v="2026-02-20T00:00:00"/>
    <m/>
    <x v="20"/>
    <x v="0"/>
    <x v="11"/>
  </r>
  <r>
    <x v="59"/>
    <x v="59"/>
    <x v="6"/>
    <m/>
    <n v="995"/>
    <d v="2026-02-20T00:00:00"/>
    <m/>
    <x v="14"/>
    <x v="0"/>
    <x v="41"/>
  </r>
  <r>
    <x v="60"/>
    <x v="60"/>
    <x v="6"/>
    <m/>
    <n v="995"/>
    <d v="2026-02-20T00:00:00"/>
    <m/>
    <x v="14"/>
    <x v="0"/>
    <x v="41"/>
  </r>
  <r>
    <x v="3"/>
    <x v="3"/>
    <x v="1"/>
    <m/>
    <n v="995"/>
    <d v="2026-02-20T00:00:00"/>
    <m/>
    <x v="14"/>
    <x v="0"/>
    <x v="41"/>
  </r>
  <r>
    <x v="61"/>
    <x v="61"/>
    <x v="6"/>
    <m/>
    <n v="995"/>
    <d v="2026-02-20T00:00:00"/>
    <m/>
    <x v="14"/>
    <x v="0"/>
    <x v="41"/>
  </r>
  <r>
    <x v="35"/>
    <x v="35"/>
    <x v="2"/>
    <m/>
    <n v="995"/>
    <d v="2026-02-20T00:00:00"/>
    <m/>
    <x v="14"/>
    <x v="0"/>
    <x v="41"/>
  </r>
  <r>
    <x v="4"/>
    <x v="4"/>
    <x v="6"/>
    <m/>
    <n v="995"/>
    <d v="2026-02-20T00:00:00"/>
    <m/>
    <x v="14"/>
    <x v="0"/>
    <x v="41"/>
  </r>
  <r>
    <x v="60"/>
    <x v="60"/>
    <x v="6"/>
    <m/>
    <n v="995"/>
    <d v="2026-02-20T00:00:00"/>
    <m/>
    <x v="14"/>
    <x v="0"/>
    <x v="41"/>
  </r>
  <r>
    <x v="62"/>
    <x v="62"/>
    <x v="6"/>
    <m/>
    <n v="995"/>
    <d v="2026-02-20T00:00:00"/>
    <m/>
    <x v="14"/>
    <x v="0"/>
    <x v="41"/>
  </r>
  <r>
    <x v="0"/>
    <x v="0"/>
    <x v="1"/>
    <m/>
    <n v="995"/>
    <d v="2026-02-20T00:00:00"/>
    <m/>
    <x v="14"/>
    <x v="0"/>
    <x v="41"/>
  </r>
  <r>
    <x v="14"/>
    <x v="14"/>
    <x v="6"/>
    <m/>
    <n v="995"/>
    <d v="2026-02-20T00:00:00"/>
    <m/>
    <x v="14"/>
    <x v="0"/>
    <x v="41"/>
  </r>
  <r>
    <x v="13"/>
    <x v="13"/>
    <x v="6"/>
    <m/>
    <n v="995"/>
    <d v="2026-02-20T00:00:00"/>
    <m/>
    <x v="14"/>
    <x v="0"/>
    <x v="41"/>
  </r>
  <r>
    <x v="1"/>
    <x v="1"/>
    <x v="1"/>
    <m/>
    <n v="995"/>
    <d v="2026-02-20T00:00:00"/>
    <m/>
    <x v="14"/>
    <x v="0"/>
    <x v="41"/>
  </r>
  <r>
    <x v="2"/>
    <x v="2"/>
    <x v="1"/>
    <m/>
    <n v="995"/>
    <d v="2026-02-20T00:00:00"/>
    <m/>
    <x v="14"/>
    <x v="0"/>
    <x v="41"/>
  </r>
  <r>
    <x v="41"/>
    <x v="41"/>
    <x v="6"/>
    <m/>
    <n v="995"/>
    <d v="2026-02-20T00:00:00"/>
    <m/>
    <x v="14"/>
    <x v="0"/>
    <x v="41"/>
  </r>
  <r>
    <x v="5"/>
    <x v="5"/>
    <x v="6"/>
    <m/>
    <n v="225"/>
    <d v="2026-02-20T00:00:00"/>
    <m/>
    <x v="5"/>
    <x v="0"/>
    <x v="42"/>
  </r>
  <r>
    <x v="9"/>
    <x v="9"/>
    <x v="6"/>
    <m/>
    <n v="225"/>
    <d v="2026-02-20T00:00:00"/>
    <m/>
    <x v="5"/>
    <x v="0"/>
    <x v="42"/>
  </r>
  <r>
    <x v="7"/>
    <x v="7"/>
    <x v="8"/>
    <m/>
    <n v="225"/>
    <d v="2026-02-20T00:00:00"/>
    <m/>
    <x v="5"/>
    <x v="0"/>
    <x v="42"/>
  </r>
  <r>
    <x v="10"/>
    <x v="10"/>
    <x v="6"/>
    <m/>
    <n v="225"/>
    <d v="2026-02-20T00:00:00"/>
    <m/>
    <x v="5"/>
    <x v="0"/>
    <x v="42"/>
  </r>
  <r>
    <x v="8"/>
    <x v="8"/>
    <x v="6"/>
    <m/>
    <n v="225"/>
    <d v="2026-02-20T00:00:00"/>
    <m/>
    <x v="5"/>
    <x v="0"/>
    <x v="42"/>
  </r>
  <r>
    <x v="24"/>
    <x v="24"/>
    <x v="3"/>
    <m/>
    <n v="225"/>
    <d v="2026-02-20T00:00:00"/>
    <m/>
    <x v="5"/>
    <x v="0"/>
    <x v="42"/>
  </r>
  <r>
    <x v="14"/>
    <x v="14"/>
    <x v="6"/>
    <m/>
    <n v="225"/>
    <d v="2026-02-20T00:00:00"/>
    <m/>
    <x v="5"/>
    <x v="0"/>
    <x v="42"/>
  </r>
  <r>
    <x v="11"/>
    <x v="11"/>
    <x v="6"/>
    <m/>
    <n v="225"/>
    <d v="2026-02-20T00:00:00"/>
    <m/>
    <x v="5"/>
    <x v="0"/>
    <x v="42"/>
  </r>
  <r>
    <x v="1"/>
    <x v="1"/>
    <x v="3"/>
    <m/>
    <n v="225"/>
    <d v="2026-02-20T00:00:00"/>
    <m/>
    <x v="5"/>
    <x v="0"/>
    <x v="42"/>
  </r>
  <r>
    <x v="32"/>
    <x v="32"/>
    <x v="6"/>
    <m/>
    <n v="225"/>
    <d v="2026-02-20T00:00:00"/>
    <m/>
    <x v="5"/>
    <x v="0"/>
    <x v="42"/>
  </r>
  <r>
    <x v="13"/>
    <x v="13"/>
    <x v="6"/>
    <m/>
    <n v="225"/>
    <d v="2026-02-20T00:00:00"/>
    <m/>
    <x v="5"/>
    <x v="0"/>
    <x v="42"/>
  </r>
  <r>
    <x v="41"/>
    <x v="41"/>
    <x v="6"/>
    <m/>
    <n v="225"/>
    <d v="2026-02-20T00:00:00"/>
    <m/>
    <x v="5"/>
    <x v="0"/>
    <x v="42"/>
  </r>
  <r>
    <x v="46"/>
    <x v="46"/>
    <x v="10"/>
    <m/>
    <n v="922"/>
    <d v="2026-02-20T00:00:00"/>
    <m/>
    <x v="2"/>
    <x v="0"/>
    <x v="13"/>
  </r>
  <r>
    <x v="8"/>
    <x v="8"/>
    <x v="10"/>
    <m/>
    <n v="922"/>
    <d v="2026-02-20T00:00:00"/>
    <m/>
    <x v="2"/>
    <x v="0"/>
    <x v="13"/>
  </r>
  <r>
    <x v="10"/>
    <x v="10"/>
    <x v="10"/>
    <m/>
    <n v="922"/>
    <d v="2026-02-20T00:00:00"/>
    <m/>
    <x v="2"/>
    <x v="0"/>
    <x v="13"/>
  </r>
  <r>
    <x v="11"/>
    <x v="11"/>
    <x v="10"/>
    <m/>
    <n v="922"/>
    <d v="2026-02-20T00:00:00"/>
    <m/>
    <x v="2"/>
    <x v="0"/>
    <x v="13"/>
  </r>
  <r>
    <x v="32"/>
    <x v="32"/>
    <x v="10"/>
    <m/>
    <n v="922"/>
    <d v="2026-02-20T00:00:00"/>
    <m/>
    <x v="2"/>
    <x v="0"/>
    <x v="13"/>
  </r>
  <r>
    <x v="41"/>
    <x v="41"/>
    <x v="6"/>
    <m/>
    <n v="922"/>
    <d v="2026-02-20T00:00:00"/>
    <m/>
    <x v="2"/>
    <x v="0"/>
    <x v="13"/>
  </r>
  <r>
    <x v="20"/>
    <x v="20"/>
    <x v="2"/>
    <m/>
    <n v="922"/>
    <d v="2026-02-20T00:00:00"/>
    <m/>
    <x v="2"/>
    <x v="0"/>
    <x v="13"/>
  </r>
  <r>
    <x v="42"/>
    <x v="42"/>
    <x v="6"/>
    <m/>
    <n v="301"/>
    <d v="2026-02-20T00:00:00"/>
    <m/>
    <x v="15"/>
    <x v="0"/>
    <x v="10"/>
  </r>
  <r>
    <x v="50"/>
    <x v="50"/>
    <x v="6"/>
    <m/>
    <n v="301"/>
    <d v="2026-02-20T00:00:00"/>
    <m/>
    <x v="15"/>
    <x v="0"/>
    <x v="10"/>
  </r>
  <r>
    <x v="52"/>
    <x v="52"/>
    <x v="6"/>
    <m/>
    <n v="301"/>
    <d v="2026-02-20T00:00:00"/>
    <m/>
    <x v="15"/>
    <x v="0"/>
    <x v="10"/>
  </r>
  <r>
    <x v="43"/>
    <x v="43"/>
    <x v="6"/>
    <m/>
    <n v="301"/>
    <d v="2026-02-20T00:00:00"/>
    <m/>
    <x v="15"/>
    <x v="0"/>
    <x v="10"/>
  </r>
  <r>
    <x v="0"/>
    <x v="0"/>
    <x v="0"/>
    <m/>
    <n v="226"/>
    <d v="2026-02-23T00:00:00"/>
    <m/>
    <x v="0"/>
    <x v="0"/>
    <x v="0"/>
  </r>
  <r>
    <x v="1"/>
    <x v="1"/>
    <x v="0"/>
    <m/>
    <n v="226"/>
    <d v="2026-02-23T00:00:00"/>
    <m/>
    <x v="0"/>
    <x v="0"/>
    <x v="0"/>
  </r>
  <r>
    <x v="2"/>
    <x v="2"/>
    <x v="0"/>
    <m/>
    <n v="226"/>
    <d v="2026-02-23T00:00:00"/>
    <m/>
    <x v="0"/>
    <x v="0"/>
    <x v="0"/>
  </r>
  <r>
    <x v="3"/>
    <x v="3"/>
    <x v="1"/>
    <m/>
    <n v="226"/>
    <d v="2026-02-23T00:00:00"/>
    <m/>
    <x v="0"/>
    <x v="0"/>
    <x v="0"/>
  </r>
  <r>
    <x v="4"/>
    <x v="4"/>
    <x v="2"/>
    <m/>
    <n v="226"/>
    <d v="2026-02-23T00:00:00"/>
    <m/>
    <x v="0"/>
    <x v="0"/>
    <x v="0"/>
  </r>
  <r>
    <x v="27"/>
    <x v="27"/>
    <x v="6"/>
    <m/>
    <n v="226"/>
    <d v="2026-02-23T00:00:00"/>
    <m/>
    <x v="0"/>
    <x v="0"/>
    <x v="0"/>
  </r>
  <r>
    <x v="1"/>
    <x v="1"/>
    <x v="13"/>
    <m/>
    <n v="315"/>
    <d v="2026-02-23T00:00:00"/>
    <m/>
    <x v="21"/>
    <x v="0"/>
    <x v="30"/>
  </r>
  <r>
    <x v="2"/>
    <x v="2"/>
    <x v="13"/>
    <m/>
    <n v="315"/>
    <d v="2026-02-23T00:00:00"/>
    <m/>
    <x v="21"/>
    <x v="0"/>
    <x v="30"/>
  </r>
  <r>
    <x v="6"/>
    <x v="6"/>
    <x v="6"/>
    <m/>
    <n v="314"/>
    <d v="2026-02-23T00:00:00"/>
    <m/>
    <x v="5"/>
    <x v="0"/>
    <x v="43"/>
  </r>
  <r>
    <x v="18"/>
    <x v="18"/>
    <x v="46"/>
    <m/>
    <n v="312"/>
    <d v="2026-02-23T00:00:00"/>
    <m/>
    <x v="4"/>
    <x v="0"/>
    <x v="3"/>
  </r>
  <r>
    <x v="36"/>
    <x v="36"/>
    <x v="8"/>
    <m/>
    <n v="312"/>
    <d v="2026-02-23T00:00:00"/>
    <m/>
    <x v="4"/>
    <x v="0"/>
    <x v="3"/>
  </r>
  <r>
    <x v="2"/>
    <x v="2"/>
    <x v="0"/>
    <m/>
    <n v="312"/>
    <d v="2026-02-23T00:00:00"/>
    <m/>
    <x v="4"/>
    <x v="0"/>
    <x v="3"/>
  </r>
  <r>
    <x v="19"/>
    <x v="19"/>
    <x v="2"/>
    <m/>
    <n v="312"/>
    <d v="2026-02-23T00:00:00"/>
    <m/>
    <x v="4"/>
    <x v="0"/>
    <x v="3"/>
  </r>
  <r>
    <x v="22"/>
    <x v="22"/>
    <x v="6"/>
    <m/>
    <n v="312"/>
    <d v="2026-02-23T00:00:00"/>
    <m/>
    <x v="4"/>
    <x v="0"/>
    <x v="3"/>
  </r>
  <r>
    <x v="19"/>
    <x v="19"/>
    <x v="6"/>
    <m/>
    <n v="310"/>
    <d v="2026-02-23T00:00:00"/>
    <m/>
    <x v="2"/>
    <x v="0"/>
    <x v="13"/>
  </r>
  <r>
    <x v="22"/>
    <x v="22"/>
    <x v="6"/>
    <m/>
    <n v="310"/>
    <d v="2026-02-23T00:00:00"/>
    <m/>
    <x v="2"/>
    <x v="0"/>
    <x v="13"/>
  </r>
  <r>
    <x v="23"/>
    <x v="23"/>
    <x v="47"/>
    <m/>
    <n v="311"/>
    <d v="2026-02-23T00:00:00"/>
    <m/>
    <x v="2"/>
    <x v="0"/>
    <x v="30"/>
  </r>
  <r>
    <x v="23"/>
    <x v="23"/>
    <x v="24"/>
    <m/>
    <n v="921"/>
    <d v="2026-02-17T00:00:00"/>
    <m/>
    <x v="2"/>
    <x v="0"/>
    <x v="14"/>
  </r>
  <r>
    <x v="1"/>
    <x v="1"/>
    <x v="24"/>
    <m/>
    <n v="921"/>
    <d v="2026-02-17T00:00:00"/>
    <m/>
    <x v="2"/>
    <x v="0"/>
    <x v="14"/>
  </r>
  <r>
    <x v="2"/>
    <x v="2"/>
    <x v="24"/>
    <m/>
    <n v="921"/>
    <d v="2026-02-17T00:00:00"/>
    <m/>
    <x v="2"/>
    <x v="0"/>
    <x v="14"/>
  </r>
  <r>
    <x v="20"/>
    <x v="20"/>
    <x v="8"/>
    <m/>
    <n v="921"/>
    <d v="2026-02-17T00:00:00"/>
    <m/>
    <x v="2"/>
    <x v="0"/>
    <x v="14"/>
  </r>
  <r>
    <x v="19"/>
    <x v="19"/>
    <x v="6"/>
    <m/>
    <n v="921"/>
    <d v="2026-02-17T00:00:00"/>
    <m/>
    <x v="2"/>
    <x v="0"/>
    <x v="14"/>
  </r>
  <r>
    <x v="22"/>
    <x v="22"/>
    <x v="6"/>
    <m/>
    <n v="921"/>
    <d v="2026-02-17T00:00:00"/>
    <m/>
    <x v="2"/>
    <x v="0"/>
    <x v="14"/>
  </r>
  <r>
    <x v="57"/>
    <x v="57"/>
    <x v="2"/>
    <m/>
    <n v="22"/>
    <d v="2026-02-17T00:00:00"/>
    <m/>
    <x v="0"/>
    <x v="0"/>
    <x v="40"/>
  </r>
  <r>
    <x v="59"/>
    <x v="59"/>
    <x v="2"/>
    <m/>
    <n v="22"/>
    <d v="2026-02-17T00:00:00"/>
    <m/>
    <x v="0"/>
    <x v="0"/>
    <x v="40"/>
  </r>
  <r>
    <x v="74"/>
    <x v="74"/>
    <x v="6"/>
    <m/>
    <n v="22"/>
    <d v="2026-02-17T00:00:00"/>
    <m/>
    <x v="0"/>
    <x v="0"/>
    <x v="40"/>
  </r>
  <r>
    <x v="35"/>
    <x v="35"/>
    <x v="2"/>
    <m/>
    <n v="22"/>
    <d v="2026-02-17T00:00:00"/>
    <m/>
    <x v="0"/>
    <x v="0"/>
    <x v="40"/>
  </r>
  <r>
    <x v="4"/>
    <x v="4"/>
    <x v="6"/>
    <m/>
    <n v="22"/>
    <d v="2026-02-17T00:00:00"/>
    <m/>
    <x v="0"/>
    <x v="0"/>
    <x v="40"/>
  </r>
  <r>
    <x v="0"/>
    <x v="0"/>
    <x v="11"/>
    <m/>
    <n v="22"/>
    <d v="2026-02-17T00:00:00"/>
    <m/>
    <x v="0"/>
    <x v="0"/>
    <x v="40"/>
  </r>
  <r>
    <x v="1"/>
    <x v="1"/>
    <x v="11"/>
    <m/>
    <n v="22"/>
    <d v="2026-02-17T00:00:00"/>
    <m/>
    <x v="0"/>
    <x v="0"/>
    <x v="40"/>
  </r>
  <r>
    <x v="2"/>
    <x v="2"/>
    <x v="11"/>
    <m/>
    <n v="22"/>
    <d v="2026-02-17T00:00:00"/>
    <m/>
    <x v="0"/>
    <x v="0"/>
    <x v="40"/>
  </r>
  <r>
    <x v="3"/>
    <x v="3"/>
    <x v="8"/>
    <m/>
    <n v="22"/>
    <d v="2026-02-17T00:00:00"/>
    <m/>
    <x v="0"/>
    <x v="0"/>
    <x v="40"/>
  </r>
  <r>
    <x v="5"/>
    <x v="5"/>
    <x v="6"/>
    <m/>
    <n v="974"/>
    <d v="2026-02-17T00:00:00"/>
    <m/>
    <x v="7"/>
    <x v="0"/>
    <x v="26"/>
  </r>
  <r>
    <x v="9"/>
    <x v="9"/>
    <x v="6"/>
    <m/>
    <n v="974"/>
    <d v="2026-02-17T00:00:00"/>
    <m/>
    <x v="7"/>
    <x v="0"/>
    <x v="26"/>
  </r>
  <r>
    <x v="7"/>
    <x v="7"/>
    <x v="8"/>
    <m/>
    <n v="974"/>
    <d v="2026-02-17T00:00:00"/>
    <m/>
    <x v="7"/>
    <x v="0"/>
    <x v="26"/>
  </r>
  <r>
    <x v="10"/>
    <x v="10"/>
    <x v="6"/>
    <m/>
    <n v="974"/>
    <d v="2026-02-17T00:00:00"/>
    <m/>
    <x v="7"/>
    <x v="0"/>
    <x v="26"/>
  </r>
  <r>
    <x v="8"/>
    <x v="8"/>
    <x v="6"/>
    <m/>
    <n v="974"/>
    <d v="2026-02-17T00:00:00"/>
    <m/>
    <x v="7"/>
    <x v="0"/>
    <x v="26"/>
  </r>
  <r>
    <x v="24"/>
    <x v="24"/>
    <x v="2"/>
    <m/>
    <n v="974"/>
    <d v="2026-02-17T00:00:00"/>
    <m/>
    <x v="7"/>
    <x v="0"/>
    <x v="26"/>
  </r>
  <r>
    <x v="14"/>
    <x v="14"/>
    <x v="6"/>
    <m/>
    <n v="974"/>
    <d v="2026-02-17T00:00:00"/>
    <m/>
    <x v="7"/>
    <x v="0"/>
    <x v="26"/>
  </r>
  <r>
    <x v="11"/>
    <x v="11"/>
    <x v="6"/>
    <m/>
    <n v="974"/>
    <d v="2026-02-17T00:00:00"/>
    <m/>
    <x v="7"/>
    <x v="0"/>
    <x v="26"/>
  </r>
  <r>
    <x v="32"/>
    <x v="32"/>
    <x v="6"/>
    <m/>
    <n v="974"/>
    <d v="2026-02-17T00:00:00"/>
    <m/>
    <x v="7"/>
    <x v="0"/>
    <x v="26"/>
  </r>
  <r>
    <x v="1"/>
    <x v="1"/>
    <x v="2"/>
    <m/>
    <n v="974"/>
    <d v="2026-02-17T00:00:00"/>
    <m/>
    <x v="7"/>
    <x v="0"/>
    <x v="26"/>
  </r>
  <r>
    <x v="13"/>
    <x v="13"/>
    <x v="6"/>
    <m/>
    <n v="974"/>
    <d v="2026-02-17T00:00:00"/>
    <m/>
    <x v="7"/>
    <x v="0"/>
    <x v="26"/>
  </r>
  <r>
    <x v="6"/>
    <x v="6"/>
    <x v="25"/>
    <m/>
    <n v="976"/>
    <d v="2026-02-18T00:00:00"/>
    <m/>
    <x v="6"/>
    <x v="0"/>
    <x v="4"/>
  </r>
  <r>
    <x v="6"/>
    <x v="6"/>
    <x v="11"/>
    <m/>
    <n v="977"/>
    <d v="2026-02-18T00:00:00"/>
    <m/>
    <x v="0"/>
    <x v="0"/>
    <x v="0"/>
  </r>
  <r>
    <x v="42"/>
    <x v="42"/>
    <x v="6"/>
    <m/>
    <n v="978"/>
    <d v="2026-02-18T00:00:00"/>
    <m/>
    <x v="4"/>
    <x v="0"/>
    <x v="3"/>
  </r>
  <r>
    <x v="26"/>
    <x v="26"/>
    <x v="6"/>
    <m/>
    <n v="978"/>
    <d v="2026-02-18T00:00:00"/>
    <m/>
    <x v="4"/>
    <x v="0"/>
    <x v="3"/>
  </r>
  <r>
    <x v="43"/>
    <x v="43"/>
    <x v="6"/>
    <m/>
    <n v="978"/>
    <d v="2026-02-18T00:00:00"/>
    <m/>
    <x v="4"/>
    <x v="0"/>
    <x v="3"/>
  </r>
  <r>
    <x v="19"/>
    <x v="19"/>
    <x v="2"/>
    <m/>
    <n v="978"/>
    <d v="2026-02-18T00:00:00"/>
    <m/>
    <x v="4"/>
    <x v="0"/>
    <x v="3"/>
  </r>
  <r>
    <x v="22"/>
    <x v="22"/>
    <x v="6"/>
    <m/>
    <n v="978"/>
    <d v="2026-02-18T00:00:00"/>
    <m/>
    <x v="4"/>
    <x v="0"/>
    <x v="3"/>
  </r>
  <r>
    <x v="45"/>
    <x v="45"/>
    <x v="6"/>
    <m/>
    <n v="978"/>
    <d v="2026-02-18T00:00:00"/>
    <m/>
    <x v="4"/>
    <x v="0"/>
    <x v="3"/>
  </r>
  <r>
    <x v="22"/>
    <x v="22"/>
    <x v="6"/>
    <m/>
    <n v="979"/>
    <d v="2026-02-18T00:00:00"/>
    <m/>
    <x v="16"/>
    <x v="0"/>
    <x v="30"/>
  </r>
  <r>
    <x v="19"/>
    <x v="19"/>
    <x v="6"/>
    <m/>
    <n v="979"/>
    <d v="2026-02-18T00:00:00"/>
    <m/>
    <x v="16"/>
    <x v="0"/>
    <x v="30"/>
  </r>
  <r>
    <x v="23"/>
    <x v="23"/>
    <x v="31"/>
    <m/>
    <n v="980"/>
    <d v="2026-02-18T00:00:00"/>
    <m/>
    <x v="2"/>
    <x v="0"/>
    <x v="13"/>
  </r>
  <r>
    <x v="1"/>
    <x v="1"/>
    <x v="31"/>
    <m/>
    <n v="980"/>
    <d v="2026-02-18T00:00:00"/>
    <m/>
    <x v="2"/>
    <x v="0"/>
    <x v="13"/>
  </r>
  <r>
    <x v="2"/>
    <x v="2"/>
    <x v="31"/>
    <m/>
    <n v="980"/>
    <d v="2026-02-18T00:00:00"/>
    <m/>
    <x v="2"/>
    <x v="0"/>
    <x v="13"/>
  </r>
  <r>
    <x v="25"/>
    <x v="25"/>
    <x v="48"/>
    <m/>
    <n v="980"/>
    <d v="2026-02-18T00:00:00"/>
    <m/>
    <x v="2"/>
    <x v="0"/>
    <x v="13"/>
  </r>
  <r>
    <x v="20"/>
    <x v="20"/>
    <x v="2"/>
    <m/>
    <n v="981"/>
    <d v="2026-02-18T00:00:00"/>
    <m/>
    <x v="13"/>
    <x v="0"/>
    <x v="30"/>
  </r>
  <r>
    <x v="21"/>
    <x v="21"/>
    <x v="2"/>
    <m/>
    <n v="981"/>
    <d v="2026-02-18T00:00:00"/>
    <m/>
    <x v="13"/>
    <x v="0"/>
    <x v="30"/>
  </r>
  <r>
    <x v="24"/>
    <x v="24"/>
    <x v="10"/>
    <m/>
    <n v="984"/>
    <d v="2026-02-18T00:00:00"/>
    <m/>
    <x v="14"/>
    <x v="0"/>
    <x v="44"/>
  </r>
  <r>
    <x v="23"/>
    <x v="23"/>
    <x v="0"/>
    <m/>
    <n v="985"/>
    <d v="2026-02-18T00:00:00"/>
    <m/>
    <x v="21"/>
    <x v="0"/>
    <x v="30"/>
  </r>
  <r>
    <x v="1"/>
    <x v="1"/>
    <x v="49"/>
    <m/>
    <n v="985"/>
    <d v="2026-02-18T00:00:00"/>
    <m/>
    <x v="21"/>
    <x v="0"/>
    <x v="30"/>
  </r>
  <r>
    <x v="2"/>
    <x v="2"/>
    <x v="50"/>
    <m/>
    <n v="985"/>
    <d v="2026-02-18T00:00:00"/>
    <m/>
    <x v="21"/>
    <x v="0"/>
    <x v="30"/>
  </r>
  <r>
    <x v="24"/>
    <x v="24"/>
    <x v="8"/>
    <m/>
    <n v="986"/>
    <d v="2026-02-18T00:00:00"/>
    <m/>
    <x v="7"/>
    <x v="0"/>
    <x v="45"/>
  </r>
  <r>
    <x v="1"/>
    <x v="1"/>
    <x v="8"/>
    <m/>
    <n v="986"/>
    <d v="2026-02-18T00:00:00"/>
    <m/>
    <x v="7"/>
    <x v="0"/>
    <x v="45"/>
  </r>
  <r>
    <x v="6"/>
    <x v="6"/>
    <x v="1"/>
    <m/>
    <n v="986"/>
    <d v="2026-02-18T00:00:00"/>
    <m/>
    <x v="7"/>
    <x v="0"/>
    <x v="45"/>
  </r>
  <r>
    <x v="29"/>
    <x v="29"/>
    <x v="6"/>
    <m/>
    <n v="986"/>
    <d v="2026-02-18T00:00:00"/>
    <m/>
    <x v="7"/>
    <x v="0"/>
    <x v="45"/>
  </r>
  <r>
    <x v="9"/>
    <x v="9"/>
    <x v="6"/>
    <m/>
    <n v="986"/>
    <d v="2026-02-18T00:00:00"/>
    <m/>
    <x v="7"/>
    <x v="0"/>
    <x v="45"/>
  </r>
  <r>
    <x v="46"/>
    <x v="46"/>
    <x v="6"/>
    <m/>
    <n v="986"/>
    <d v="2026-02-18T00:00:00"/>
    <m/>
    <x v="7"/>
    <x v="0"/>
    <x v="45"/>
  </r>
  <r>
    <x v="7"/>
    <x v="7"/>
    <x v="2"/>
    <m/>
    <n v="986"/>
    <d v="2026-02-18T00:00:00"/>
    <m/>
    <x v="7"/>
    <x v="0"/>
    <x v="45"/>
  </r>
  <r>
    <x v="64"/>
    <x v="64"/>
    <x v="6"/>
    <m/>
    <n v="986"/>
    <d v="2026-02-18T00:00:00"/>
    <m/>
    <x v="7"/>
    <x v="0"/>
    <x v="45"/>
  </r>
  <r>
    <x v="27"/>
    <x v="27"/>
    <x v="6"/>
    <m/>
    <n v="21"/>
    <d v="2026-02-16T00:00:00"/>
    <m/>
    <x v="0"/>
    <x v="0"/>
    <x v="40"/>
  </r>
  <r>
    <x v="0"/>
    <x v="0"/>
    <x v="0"/>
    <m/>
    <n v="20"/>
    <d v="2026-02-16T00:00:00"/>
    <m/>
    <x v="0"/>
    <x v="0"/>
    <x v="0"/>
  </r>
  <r>
    <x v="1"/>
    <x v="1"/>
    <x v="0"/>
    <m/>
    <n v="20"/>
    <d v="2026-02-16T00:00:00"/>
    <m/>
    <x v="0"/>
    <x v="0"/>
    <x v="0"/>
  </r>
  <r>
    <x v="2"/>
    <x v="2"/>
    <x v="0"/>
    <m/>
    <n v="20"/>
    <d v="2026-02-16T00:00:00"/>
    <m/>
    <x v="0"/>
    <x v="0"/>
    <x v="0"/>
  </r>
  <r>
    <x v="4"/>
    <x v="4"/>
    <x v="2"/>
    <m/>
    <n v="20"/>
    <d v="2026-02-16T00:00:00"/>
    <m/>
    <x v="0"/>
    <x v="0"/>
    <x v="0"/>
  </r>
  <r>
    <x v="3"/>
    <x v="3"/>
    <x v="2"/>
    <m/>
    <n v="20"/>
    <d v="2026-02-16T00:00:00"/>
    <m/>
    <x v="0"/>
    <x v="0"/>
    <x v="0"/>
  </r>
  <r>
    <x v="14"/>
    <x v="14"/>
    <x v="2"/>
    <m/>
    <n v="20"/>
    <d v="2026-02-16T00:00:00"/>
    <m/>
    <x v="0"/>
    <x v="0"/>
    <x v="0"/>
  </r>
  <r>
    <x v="5"/>
    <x v="5"/>
    <x v="4"/>
    <m/>
    <n v="964"/>
    <d v="2026-02-16T00:00:00"/>
    <m/>
    <x v="6"/>
    <x v="0"/>
    <x v="4"/>
  </r>
  <r>
    <x v="29"/>
    <x v="29"/>
    <x v="51"/>
    <m/>
    <n v="964"/>
    <d v="2026-02-16T00:00:00"/>
    <m/>
    <x v="6"/>
    <x v="0"/>
    <x v="4"/>
  </r>
  <r>
    <x v="8"/>
    <x v="8"/>
    <x v="4"/>
    <m/>
    <n v="964"/>
    <d v="2026-02-16T00:00:00"/>
    <m/>
    <x v="6"/>
    <x v="0"/>
    <x v="4"/>
  </r>
  <r>
    <x v="18"/>
    <x v="18"/>
    <x v="28"/>
    <m/>
    <n v="972"/>
    <d v="2026-02-16T00:00:00"/>
    <m/>
    <x v="4"/>
    <x v="0"/>
    <x v="3"/>
  </r>
  <r>
    <x v="2"/>
    <x v="2"/>
    <x v="0"/>
    <m/>
    <n v="972"/>
    <d v="2026-02-16T00:00:00"/>
    <m/>
    <x v="4"/>
    <x v="0"/>
    <x v="3"/>
  </r>
  <r>
    <x v="1"/>
    <x v="1"/>
    <x v="0"/>
    <m/>
    <n v="972"/>
    <d v="2026-02-16T00:00:00"/>
    <m/>
    <x v="4"/>
    <x v="0"/>
    <x v="3"/>
  </r>
  <r>
    <x v="43"/>
    <x v="43"/>
    <x v="6"/>
    <m/>
    <n v="972"/>
    <d v="2026-02-16T00:00:00"/>
    <m/>
    <x v="4"/>
    <x v="0"/>
    <x v="3"/>
  </r>
  <r>
    <x v="36"/>
    <x v="36"/>
    <x v="2"/>
    <m/>
    <n v="972"/>
    <d v="2026-02-16T00:00:00"/>
    <m/>
    <x v="4"/>
    <x v="0"/>
    <x v="3"/>
  </r>
  <r>
    <x v="23"/>
    <x v="23"/>
    <x v="13"/>
    <m/>
    <n v="973"/>
    <d v="2026-02-16T00:00:00"/>
    <m/>
    <x v="21"/>
    <x v="0"/>
    <x v="30"/>
  </r>
  <r>
    <x v="1"/>
    <x v="1"/>
    <x v="13"/>
    <m/>
    <n v="973"/>
    <d v="2026-02-16T00:00:00"/>
    <m/>
    <x v="21"/>
    <x v="0"/>
    <x v="30"/>
  </r>
  <r>
    <x v="2"/>
    <x v="2"/>
    <x v="13"/>
    <m/>
    <n v="973"/>
    <d v="2026-02-16T00:00:00"/>
    <m/>
    <x v="21"/>
    <x v="0"/>
    <x v="30"/>
  </r>
  <r>
    <x v="13"/>
    <x v="13"/>
    <x v="3"/>
    <m/>
    <n v="219"/>
    <d v="2026-02-13T00:00:00"/>
    <m/>
    <x v="0"/>
    <x v="0"/>
    <x v="0"/>
  </r>
  <r>
    <x v="75"/>
    <x v="75"/>
    <x v="6"/>
    <m/>
    <n v="966"/>
    <d v="2026-02-13T00:00:00"/>
    <m/>
    <x v="14"/>
    <x v="0"/>
    <x v="15"/>
  </r>
  <r>
    <x v="34"/>
    <x v="34"/>
    <x v="6"/>
    <m/>
    <n v="966"/>
    <d v="2026-02-13T00:00:00"/>
    <m/>
    <x v="14"/>
    <x v="0"/>
    <x v="15"/>
  </r>
  <r>
    <x v="3"/>
    <x v="3"/>
    <x v="1"/>
    <m/>
    <n v="966"/>
    <d v="2026-02-13T00:00:00"/>
    <m/>
    <x v="14"/>
    <x v="0"/>
    <x v="15"/>
  </r>
  <r>
    <x v="61"/>
    <x v="61"/>
    <x v="6"/>
    <m/>
    <n v="966"/>
    <d v="2026-02-13T00:00:00"/>
    <m/>
    <x v="14"/>
    <x v="0"/>
    <x v="15"/>
  </r>
  <r>
    <x v="35"/>
    <x v="35"/>
    <x v="1"/>
    <m/>
    <n v="966"/>
    <d v="2026-02-13T00:00:00"/>
    <m/>
    <x v="14"/>
    <x v="0"/>
    <x v="15"/>
  </r>
  <r>
    <x v="4"/>
    <x v="4"/>
    <x v="6"/>
    <m/>
    <n v="966"/>
    <d v="2026-02-13T00:00:00"/>
    <m/>
    <x v="14"/>
    <x v="0"/>
    <x v="15"/>
  </r>
  <r>
    <x v="60"/>
    <x v="60"/>
    <x v="6"/>
    <m/>
    <n v="966"/>
    <d v="2026-02-13T00:00:00"/>
    <m/>
    <x v="14"/>
    <x v="0"/>
    <x v="15"/>
  </r>
  <r>
    <x v="62"/>
    <x v="62"/>
    <x v="6"/>
    <m/>
    <n v="966"/>
    <d v="2026-02-13T00:00:00"/>
    <m/>
    <x v="14"/>
    <x v="0"/>
    <x v="15"/>
  </r>
  <r>
    <x v="0"/>
    <x v="0"/>
    <x v="1"/>
    <m/>
    <n v="966"/>
    <d v="2026-02-13T00:00:00"/>
    <m/>
    <x v="14"/>
    <x v="0"/>
    <x v="15"/>
  </r>
  <r>
    <x v="14"/>
    <x v="14"/>
    <x v="6"/>
    <m/>
    <n v="966"/>
    <d v="2026-02-13T00:00:00"/>
    <m/>
    <x v="14"/>
    <x v="0"/>
    <x v="15"/>
  </r>
  <r>
    <x v="13"/>
    <x v="13"/>
    <x v="6"/>
    <m/>
    <n v="966"/>
    <d v="2026-02-13T00:00:00"/>
    <m/>
    <x v="14"/>
    <x v="0"/>
    <x v="15"/>
  </r>
  <r>
    <x v="1"/>
    <x v="1"/>
    <x v="1"/>
    <m/>
    <n v="966"/>
    <d v="2026-02-13T00:00:00"/>
    <m/>
    <x v="14"/>
    <x v="0"/>
    <x v="15"/>
  </r>
  <r>
    <x v="2"/>
    <x v="2"/>
    <x v="6"/>
    <m/>
    <n v="966"/>
    <d v="2026-02-13T00:00:00"/>
    <m/>
    <x v="14"/>
    <x v="0"/>
    <x v="15"/>
  </r>
  <r>
    <x v="17"/>
    <x v="17"/>
    <x v="2"/>
    <m/>
    <n v="956"/>
    <d v="2026-02-12T00:00:00"/>
    <m/>
    <x v="13"/>
    <x v="0"/>
    <x v="30"/>
  </r>
  <r>
    <x v="20"/>
    <x v="20"/>
    <x v="6"/>
    <m/>
    <n v="956"/>
    <d v="2026-02-12T00:00:00"/>
    <m/>
    <x v="13"/>
    <x v="0"/>
    <x v="30"/>
  </r>
  <r>
    <x v="23"/>
    <x v="23"/>
    <x v="13"/>
    <m/>
    <n v="956"/>
    <d v="2026-02-12T00:00:00"/>
    <m/>
    <x v="13"/>
    <x v="0"/>
    <x v="30"/>
  </r>
  <r>
    <x v="1"/>
    <x v="1"/>
    <x v="13"/>
    <m/>
    <n v="956"/>
    <d v="2026-02-12T00:00:00"/>
    <m/>
    <x v="13"/>
    <x v="0"/>
    <x v="30"/>
  </r>
  <r>
    <x v="2"/>
    <x v="2"/>
    <x v="13"/>
    <m/>
    <n v="956"/>
    <d v="2026-02-12T00:00:00"/>
    <m/>
    <x v="13"/>
    <x v="0"/>
    <x v="30"/>
  </r>
  <r>
    <x v="10"/>
    <x v="10"/>
    <x v="6"/>
    <m/>
    <n v="956"/>
    <d v="2026-02-12T00:00:00"/>
    <m/>
    <x v="13"/>
    <x v="0"/>
    <x v="30"/>
  </r>
  <r>
    <x v="11"/>
    <x v="11"/>
    <x v="6"/>
    <m/>
    <n v="956"/>
    <d v="2026-02-12T00:00:00"/>
    <m/>
    <x v="13"/>
    <x v="0"/>
    <x v="30"/>
  </r>
  <r>
    <x v="12"/>
    <x v="12"/>
    <x v="6"/>
    <m/>
    <n v="956"/>
    <d v="2026-02-12T00:00:00"/>
    <m/>
    <x v="13"/>
    <x v="0"/>
    <x v="30"/>
  </r>
  <r>
    <x v="46"/>
    <x v="46"/>
    <x v="6"/>
    <m/>
    <n v="956"/>
    <d v="2026-02-12T00:00:00"/>
    <m/>
    <x v="13"/>
    <x v="0"/>
    <x v="30"/>
  </r>
  <r>
    <x v="45"/>
    <x v="45"/>
    <x v="6"/>
    <m/>
    <n v="957"/>
    <d v="2026-02-12T00:00:00"/>
    <m/>
    <x v="22"/>
    <x v="0"/>
    <x v="3"/>
  </r>
  <r>
    <x v="1"/>
    <x v="1"/>
    <x v="0"/>
    <m/>
    <n v="957"/>
    <d v="2026-02-12T00:00:00"/>
    <m/>
    <x v="22"/>
    <x v="0"/>
    <x v="3"/>
  </r>
  <r>
    <x v="20"/>
    <x v="20"/>
    <x v="2"/>
    <m/>
    <n v="958"/>
    <d v="2026-02-12T00:00:00"/>
    <m/>
    <x v="13"/>
    <x v="0"/>
    <x v="30"/>
  </r>
  <r>
    <x v="22"/>
    <x v="22"/>
    <x v="6"/>
    <m/>
    <n v="955"/>
    <d v="2026-02-12T00:00:00"/>
    <m/>
    <x v="6"/>
    <x v="0"/>
    <x v="4"/>
  </r>
  <r>
    <x v="19"/>
    <x v="19"/>
    <x v="6"/>
    <m/>
    <n v="955"/>
    <d v="2026-02-12T00:00:00"/>
    <m/>
    <x v="6"/>
    <x v="0"/>
    <x v="4"/>
  </r>
  <r>
    <x v="27"/>
    <x v="27"/>
    <x v="6"/>
    <m/>
    <n v="217"/>
    <d v="2026-02-12T00:00:00"/>
    <m/>
    <x v="0"/>
    <x v="0"/>
    <x v="0"/>
  </r>
  <r>
    <x v="0"/>
    <x v="0"/>
    <x v="0"/>
    <m/>
    <n v="882"/>
    <d v="2026-02-11T00:00:00"/>
    <m/>
    <x v="6"/>
    <x v="0"/>
    <x v="4"/>
  </r>
  <r>
    <x v="1"/>
    <x v="1"/>
    <x v="0"/>
    <m/>
    <n v="882"/>
    <d v="2026-02-11T00:00:00"/>
    <m/>
    <x v="6"/>
    <x v="0"/>
    <x v="4"/>
  </r>
  <r>
    <x v="2"/>
    <x v="2"/>
    <x v="0"/>
    <m/>
    <n v="882"/>
    <d v="2026-02-11T00:00:00"/>
    <m/>
    <x v="6"/>
    <x v="0"/>
    <x v="4"/>
  </r>
  <r>
    <x v="17"/>
    <x v="17"/>
    <x v="6"/>
    <m/>
    <n v="882"/>
    <d v="2026-02-11T00:00:00"/>
    <m/>
    <x v="6"/>
    <x v="0"/>
    <x v="4"/>
  </r>
  <r>
    <x v="20"/>
    <x v="20"/>
    <x v="6"/>
    <m/>
    <n v="882"/>
    <d v="2026-02-11T00:00:00"/>
    <m/>
    <x v="6"/>
    <x v="0"/>
    <x v="4"/>
  </r>
  <r>
    <x v="34"/>
    <x v="34"/>
    <x v="6"/>
    <m/>
    <n v="882"/>
    <d v="2026-02-11T00:00:00"/>
    <m/>
    <x v="6"/>
    <x v="0"/>
    <x v="4"/>
  </r>
  <r>
    <x v="35"/>
    <x v="35"/>
    <x v="6"/>
    <m/>
    <n v="882"/>
    <d v="2026-02-11T00:00:00"/>
    <m/>
    <x v="6"/>
    <x v="0"/>
    <x v="4"/>
  </r>
  <r>
    <x v="3"/>
    <x v="3"/>
    <x v="2"/>
    <m/>
    <n v="882"/>
    <d v="2026-02-11T00:00:00"/>
    <m/>
    <x v="6"/>
    <x v="0"/>
    <x v="4"/>
  </r>
  <r>
    <x v="4"/>
    <x v="4"/>
    <x v="6"/>
    <m/>
    <n v="882"/>
    <d v="2026-02-11T00:00:00"/>
    <m/>
    <x v="6"/>
    <x v="0"/>
    <x v="4"/>
  </r>
  <r>
    <x v="15"/>
    <x v="15"/>
    <x v="2"/>
    <m/>
    <n v="970"/>
    <d v="2026-02-13T00:00:00"/>
    <m/>
    <x v="2"/>
    <x v="0"/>
    <x v="30"/>
  </r>
  <r>
    <x v="5"/>
    <x v="5"/>
    <x v="3"/>
    <m/>
    <n v="218"/>
    <d v="2026-02-13T00:00:00"/>
    <m/>
    <x v="0"/>
    <x v="0"/>
    <x v="0"/>
  </r>
  <r>
    <x v="10"/>
    <x v="10"/>
    <x v="3"/>
    <m/>
    <n v="218"/>
    <d v="2026-02-13T00:00:00"/>
    <m/>
    <x v="0"/>
    <x v="0"/>
    <x v="0"/>
  </r>
  <r>
    <x v="11"/>
    <x v="11"/>
    <x v="3"/>
    <m/>
    <n v="218"/>
    <d v="2026-02-13T00:00:00"/>
    <m/>
    <x v="0"/>
    <x v="0"/>
    <x v="0"/>
  </r>
  <r>
    <x v="32"/>
    <x v="32"/>
    <x v="3"/>
    <m/>
    <n v="218"/>
    <d v="2026-02-13T00:00:00"/>
    <m/>
    <x v="0"/>
    <x v="0"/>
    <x v="0"/>
  </r>
  <r>
    <x v="41"/>
    <x v="41"/>
    <x v="2"/>
    <m/>
    <n v="218"/>
    <d v="2026-02-13T00:00:00"/>
    <m/>
    <x v="0"/>
    <x v="0"/>
    <x v="0"/>
  </r>
  <r>
    <x v="1"/>
    <x v="1"/>
    <x v="11"/>
    <m/>
    <n v="218"/>
    <d v="2026-02-13T00:00:00"/>
    <m/>
    <x v="0"/>
    <x v="0"/>
    <x v="0"/>
  </r>
  <r>
    <x v="15"/>
    <x v="15"/>
    <x v="2"/>
    <m/>
    <n v="971"/>
    <d v="2026-03-13T00:00:00"/>
    <m/>
    <x v="13"/>
    <x v="0"/>
    <x v="30"/>
  </r>
  <r>
    <x v="24"/>
    <x v="24"/>
    <x v="1"/>
    <m/>
    <n v="959"/>
    <d v="2026-02-13T00:00:00"/>
    <m/>
    <x v="7"/>
    <x v="0"/>
    <x v="46"/>
  </r>
  <r>
    <x v="6"/>
    <x v="6"/>
    <x v="2"/>
    <m/>
    <n v="959"/>
    <d v="2026-02-13T00:00:00"/>
    <m/>
    <x v="7"/>
    <x v="0"/>
    <x v="46"/>
  </r>
  <r>
    <x v="7"/>
    <x v="7"/>
    <x v="2"/>
    <m/>
    <n v="959"/>
    <d v="2026-02-13T00:00:00"/>
    <m/>
    <x v="7"/>
    <x v="0"/>
    <x v="46"/>
  </r>
  <r>
    <x v="1"/>
    <x v="1"/>
    <x v="1"/>
    <m/>
    <n v="959"/>
    <d v="2026-02-13T00:00:00"/>
    <m/>
    <x v="7"/>
    <x v="0"/>
    <x v="46"/>
  </r>
  <r>
    <x v="9"/>
    <x v="9"/>
    <x v="6"/>
    <m/>
    <n v="959"/>
    <d v="2026-02-13T00:00:00"/>
    <m/>
    <x v="7"/>
    <x v="0"/>
    <x v="46"/>
  </r>
  <r>
    <x v="6"/>
    <x v="6"/>
    <x v="5"/>
    <m/>
    <n v="962"/>
    <d v="2026-02-13T00:00:00"/>
    <m/>
    <x v="6"/>
    <x v="0"/>
    <x v="4"/>
  </r>
  <r>
    <x v="43"/>
    <x v="43"/>
    <x v="6"/>
    <m/>
    <n v="960"/>
    <d v="2026-02-12T00:00:00"/>
    <m/>
    <x v="11"/>
    <x v="0"/>
    <x v="10"/>
  </r>
  <r>
    <x v="36"/>
    <x v="36"/>
    <x v="6"/>
    <m/>
    <n v="960"/>
    <d v="2026-02-12T00:00:00"/>
    <m/>
    <x v="11"/>
    <x v="0"/>
    <x v="10"/>
  </r>
  <r>
    <x v="19"/>
    <x v="19"/>
    <x v="2"/>
    <m/>
    <n v="216"/>
    <d v="2026-02-11T00:00:00"/>
    <m/>
    <x v="0"/>
    <x v="0"/>
    <x v="0"/>
  </r>
  <r>
    <x v="22"/>
    <x v="22"/>
    <x v="6"/>
    <m/>
    <n v="216"/>
    <d v="2026-02-11T00:00:00"/>
    <m/>
    <x v="0"/>
    <x v="0"/>
    <x v="0"/>
  </r>
  <r>
    <x v="27"/>
    <x v="27"/>
    <x v="6"/>
    <m/>
    <n v="216"/>
    <d v="2026-02-11T00:00:00"/>
    <m/>
    <x v="0"/>
    <x v="0"/>
    <x v="0"/>
  </r>
  <r>
    <x v="1"/>
    <x v="1"/>
    <x v="0"/>
    <m/>
    <n v="216"/>
    <d v="2026-02-11T00:00:00"/>
    <m/>
    <x v="0"/>
    <x v="0"/>
    <x v="0"/>
  </r>
  <r>
    <x v="2"/>
    <x v="2"/>
    <x v="0"/>
    <m/>
    <n v="216"/>
    <d v="2026-02-11T00:00:00"/>
    <m/>
    <x v="0"/>
    <x v="0"/>
    <x v="0"/>
  </r>
  <r>
    <x v="0"/>
    <x v="0"/>
    <x v="0"/>
    <m/>
    <n v="216"/>
    <d v="2026-02-11T00:00:00"/>
    <m/>
    <x v="0"/>
    <x v="0"/>
    <x v="0"/>
  </r>
  <r>
    <x v="26"/>
    <x v="26"/>
    <x v="8"/>
    <m/>
    <n v="952"/>
    <d v="2026-02-11T00:00:00"/>
    <m/>
    <x v="4"/>
    <x v="0"/>
    <x v="10"/>
  </r>
  <r>
    <x v="23"/>
    <x v="23"/>
    <x v="13"/>
    <m/>
    <n v="953"/>
    <d v="2026-02-11T00:00:00"/>
    <m/>
    <x v="21"/>
    <x v="0"/>
    <x v="30"/>
  </r>
  <r>
    <x v="2"/>
    <x v="2"/>
    <x v="13"/>
    <m/>
    <n v="953"/>
    <d v="2026-02-11T00:00:00"/>
    <m/>
    <x v="21"/>
    <x v="0"/>
    <x v="30"/>
  </r>
  <r>
    <x v="1"/>
    <x v="1"/>
    <x v="13"/>
    <m/>
    <n v="953"/>
    <d v="2026-02-11T00:00:00"/>
    <m/>
    <x v="21"/>
    <x v="0"/>
    <x v="30"/>
  </r>
  <r>
    <x v="5"/>
    <x v="5"/>
    <x v="6"/>
    <m/>
    <n v="945"/>
    <d v="2026-02-10T00:00:00"/>
    <m/>
    <x v="7"/>
    <x v="0"/>
    <x v="43"/>
  </r>
  <r>
    <x v="9"/>
    <x v="9"/>
    <x v="6"/>
    <m/>
    <n v="945"/>
    <d v="2026-02-10T00:00:00"/>
    <m/>
    <x v="7"/>
    <x v="0"/>
    <x v="43"/>
  </r>
  <r>
    <x v="7"/>
    <x v="7"/>
    <x v="8"/>
    <m/>
    <n v="945"/>
    <d v="2026-02-10T00:00:00"/>
    <m/>
    <x v="7"/>
    <x v="0"/>
    <x v="43"/>
  </r>
  <r>
    <x v="10"/>
    <x v="10"/>
    <x v="6"/>
    <m/>
    <n v="945"/>
    <d v="2026-02-10T00:00:00"/>
    <m/>
    <x v="7"/>
    <x v="0"/>
    <x v="43"/>
  </r>
  <r>
    <x v="8"/>
    <x v="8"/>
    <x v="6"/>
    <m/>
    <n v="945"/>
    <d v="2026-02-10T00:00:00"/>
    <m/>
    <x v="7"/>
    <x v="0"/>
    <x v="43"/>
  </r>
  <r>
    <x v="24"/>
    <x v="24"/>
    <x v="14"/>
    <m/>
    <n v="945"/>
    <d v="2026-02-10T00:00:00"/>
    <m/>
    <x v="7"/>
    <x v="0"/>
    <x v="43"/>
  </r>
  <r>
    <x v="14"/>
    <x v="14"/>
    <x v="6"/>
    <m/>
    <n v="945"/>
    <d v="2026-02-10T00:00:00"/>
    <m/>
    <x v="7"/>
    <x v="0"/>
    <x v="43"/>
  </r>
  <r>
    <x v="11"/>
    <x v="11"/>
    <x v="6"/>
    <m/>
    <n v="945"/>
    <d v="2026-02-10T00:00:00"/>
    <m/>
    <x v="7"/>
    <x v="0"/>
    <x v="43"/>
  </r>
  <r>
    <x v="32"/>
    <x v="32"/>
    <x v="6"/>
    <m/>
    <n v="945"/>
    <d v="2026-02-10T00:00:00"/>
    <m/>
    <x v="7"/>
    <x v="0"/>
    <x v="43"/>
  </r>
  <r>
    <x v="1"/>
    <x v="1"/>
    <x v="14"/>
    <m/>
    <n v="945"/>
    <d v="2026-02-10T00:00:00"/>
    <m/>
    <x v="7"/>
    <x v="0"/>
    <x v="43"/>
  </r>
  <r>
    <x v="13"/>
    <x v="13"/>
    <x v="6"/>
    <m/>
    <n v="945"/>
    <d v="2026-02-10T00:00:00"/>
    <m/>
    <x v="7"/>
    <x v="0"/>
    <x v="43"/>
  </r>
  <r>
    <x v="19"/>
    <x v="19"/>
    <x v="6"/>
    <m/>
    <n v="946"/>
    <d v="2026-02-10T00:00:00"/>
    <m/>
    <x v="16"/>
    <x v="0"/>
    <x v="30"/>
  </r>
  <r>
    <x v="17"/>
    <x v="17"/>
    <x v="2"/>
    <m/>
    <n v="947"/>
    <d v="2026-02-10T00:00:00"/>
    <m/>
    <x v="13"/>
    <x v="0"/>
    <x v="30"/>
  </r>
  <r>
    <x v="20"/>
    <x v="20"/>
    <x v="8"/>
    <m/>
    <n v="947"/>
    <d v="2026-02-10T00:00:00"/>
    <m/>
    <x v="13"/>
    <x v="0"/>
    <x v="30"/>
  </r>
  <r>
    <x v="25"/>
    <x v="25"/>
    <x v="6"/>
    <m/>
    <n v="947"/>
    <d v="2026-02-10T00:00:00"/>
    <m/>
    <x v="13"/>
    <x v="0"/>
    <x v="30"/>
  </r>
  <r>
    <x v="27"/>
    <x v="27"/>
    <x v="6"/>
    <m/>
    <n v="215"/>
    <d v="2026-02-10T00:00:00"/>
    <m/>
    <x v="0"/>
    <x v="0"/>
    <x v="0"/>
  </r>
  <r>
    <x v="5"/>
    <x v="5"/>
    <x v="3"/>
    <m/>
    <n v="215"/>
    <d v="2026-02-10T00:00:00"/>
    <m/>
    <x v="0"/>
    <x v="0"/>
    <x v="0"/>
  </r>
  <r>
    <x v="8"/>
    <x v="8"/>
    <x v="3"/>
    <m/>
    <n v="215"/>
    <d v="2026-02-10T00:00:00"/>
    <m/>
    <x v="0"/>
    <x v="0"/>
    <x v="0"/>
  </r>
  <r>
    <x v="7"/>
    <x v="7"/>
    <x v="5"/>
    <m/>
    <n v="215"/>
    <d v="2026-02-10T00:00:00"/>
    <m/>
    <x v="0"/>
    <x v="0"/>
    <x v="0"/>
  </r>
  <r>
    <x v="9"/>
    <x v="9"/>
    <x v="3"/>
    <m/>
    <n v="215"/>
    <d v="2026-02-10T00:00:00"/>
    <m/>
    <x v="0"/>
    <x v="0"/>
    <x v="0"/>
  </r>
  <r>
    <x v="10"/>
    <x v="10"/>
    <x v="3"/>
    <m/>
    <n v="215"/>
    <d v="2026-02-10T00:00:00"/>
    <m/>
    <x v="0"/>
    <x v="0"/>
    <x v="0"/>
  </r>
  <r>
    <x v="11"/>
    <x v="11"/>
    <x v="3"/>
    <m/>
    <n v="215"/>
    <d v="2026-02-10T00:00:00"/>
    <m/>
    <x v="0"/>
    <x v="0"/>
    <x v="0"/>
  </r>
  <r>
    <x v="32"/>
    <x v="32"/>
    <x v="3"/>
    <m/>
    <n v="215"/>
    <d v="2026-02-10T00:00:00"/>
    <m/>
    <x v="0"/>
    <x v="0"/>
    <x v="0"/>
  </r>
  <r>
    <x v="13"/>
    <x v="13"/>
    <x v="3"/>
    <m/>
    <n v="215"/>
    <d v="2026-02-10T00:00:00"/>
    <m/>
    <x v="0"/>
    <x v="0"/>
    <x v="0"/>
  </r>
  <r>
    <x v="14"/>
    <x v="14"/>
    <x v="3"/>
    <m/>
    <n v="215"/>
    <d v="2026-02-10T00:00:00"/>
    <m/>
    <x v="0"/>
    <x v="0"/>
    <x v="0"/>
  </r>
  <r>
    <x v="41"/>
    <x v="41"/>
    <x v="6"/>
    <m/>
    <n v="215"/>
    <d v="2026-02-10T00:00:00"/>
    <m/>
    <x v="0"/>
    <x v="0"/>
    <x v="0"/>
  </r>
  <r>
    <x v="3"/>
    <x v="3"/>
    <x v="8"/>
    <m/>
    <n v="950"/>
    <d v="2026-02-10T00:00:00"/>
    <m/>
    <x v="10"/>
    <x v="0"/>
    <x v="0"/>
  </r>
  <r>
    <x v="4"/>
    <x v="4"/>
    <x v="2"/>
    <m/>
    <n v="950"/>
    <d v="2026-02-10T00:00:00"/>
    <m/>
    <x v="10"/>
    <x v="0"/>
    <x v="0"/>
  </r>
  <r>
    <x v="5"/>
    <x v="5"/>
    <x v="3"/>
    <m/>
    <n v="212"/>
    <d v="2026-02-05T00:00:00"/>
    <m/>
    <x v="0"/>
    <x v="0"/>
    <x v="0"/>
  </r>
  <r>
    <x v="8"/>
    <x v="8"/>
    <x v="3"/>
    <m/>
    <n v="212"/>
    <d v="2026-02-05T00:00:00"/>
    <m/>
    <x v="0"/>
    <x v="0"/>
    <x v="0"/>
  </r>
  <r>
    <x v="7"/>
    <x v="7"/>
    <x v="5"/>
    <m/>
    <n v="212"/>
    <d v="2026-02-05T00:00:00"/>
    <m/>
    <x v="0"/>
    <x v="0"/>
    <x v="0"/>
  </r>
  <r>
    <x v="6"/>
    <x v="6"/>
    <x v="3"/>
    <m/>
    <n v="212"/>
    <d v="2026-02-05T00:00:00"/>
    <m/>
    <x v="0"/>
    <x v="0"/>
    <x v="0"/>
  </r>
  <r>
    <x v="9"/>
    <x v="9"/>
    <x v="3"/>
    <m/>
    <n v="212"/>
    <d v="2026-02-05T00:00:00"/>
    <m/>
    <x v="0"/>
    <x v="0"/>
    <x v="0"/>
  </r>
  <r>
    <x v="11"/>
    <x v="11"/>
    <x v="3"/>
    <m/>
    <n v="212"/>
    <d v="2026-02-05T00:00:00"/>
    <m/>
    <x v="0"/>
    <x v="0"/>
    <x v="0"/>
  </r>
  <r>
    <x v="12"/>
    <x v="12"/>
    <x v="3"/>
    <m/>
    <n v="212"/>
    <d v="2026-02-05T00:00:00"/>
    <m/>
    <x v="0"/>
    <x v="0"/>
    <x v="0"/>
  </r>
  <r>
    <x v="13"/>
    <x v="13"/>
    <x v="3"/>
    <m/>
    <n v="212"/>
    <d v="2026-02-05T00:00:00"/>
    <m/>
    <x v="0"/>
    <x v="0"/>
    <x v="0"/>
  </r>
  <r>
    <x v="14"/>
    <x v="14"/>
    <x v="3"/>
    <m/>
    <n v="212"/>
    <d v="2026-02-05T00:00:00"/>
    <m/>
    <x v="0"/>
    <x v="0"/>
    <x v="0"/>
  </r>
  <r>
    <x v="10"/>
    <x v="10"/>
    <x v="3"/>
    <m/>
    <n v="212"/>
    <d v="2026-02-05T00:00:00"/>
    <m/>
    <x v="0"/>
    <x v="0"/>
    <x v="0"/>
  </r>
  <r>
    <x v="41"/>
    <x v="41"/>
    <x v="2"/>
    <m/>
    <n v="212"/>
    <d v="2026-02-05T00:00:00"/>
    <m/>
    <x v="0"/>
    <x v="0"/>
    <x v="0"/>
  </r>
  <r>
    <x v="27"/>
    <x v="27"/>
    <x v="2"/>
    <m/>
    <n v="943"/>
    <d v="2026-02-09T00:00:00"/>
    <m/>
    <x v="1"/>
    <x v="0"/>
    <x v="30"/>
  </r>
  <r>
    <x v="23"/>
    <x v="23"/>
    <x v="13"/>
    <m/>
    <n v="944"/>
    <d v="2026-02-09T00:00:00"/>
    <m/>
    <x v="21"/>
    <x v="0"/>
    <x v="30"/>
  </r>
  <r>
    <x v="2"/>
    <x v="2"/>
    <x v="13"/>
    <m/>
    <n v="944"/>
    <d v="2026-02-09T00:00:00"/>
    <m/>
    <x v="21"/>
    <x v="0"/>
    <x v="30"/>
  </r>
  <r>
    <x v="1"/>
    <x v="1"/>
    <x v="13"/>
    <m/>
    <n v="944"/>
    <d v="2026-02-09T00:00:00"/>
    <m/>
    <x v="21"/>
    <x v="0"/>
    <x v="30"/>
  </r>
  <r>
    <x v="0"/>
    <x v="0"/>
    <x v="0"/>
    <m/>
    <n v="214"/>
    <d v="2026-02-09T00:00:00"/>
    <m/>
    <x v="0"/>
    <x v="0"/>
    <x v="0"/>
  </r>
  <r>
    <x v="1"/>
    <x v="1"/>
    <x v="0"/>
    <m/>
    <n v="214"/>
    <d v="2026-02-09T00:00:00"/>
    <m/>
    <x v="0"/>
    <x v="0"/>
    <x v="0"/>
  </r>
  <r>
    <x v="2"/>
    <x v="2"/>
    <x v="0"/>
    <m/>
    <n v="214"/>
    <d v="2026-02-09T00:00:00"/>
    <m/>
    <x v="0"/>
    <x v="0"/>
    <x v="0"/>
  </r>
  <r>
    <x v="3"/>
    <x v="3"/>
    <x v="10"/>
    <m/>
    <n v="214"/>
    <d v="2026-02-09T00:00:00"/>
    <m/>
    <x v="0"/>
    <x v="0"/>
    <x v="0"/>
  </r>
  <r>
    <x v="27"/>
    <x v="27"/>
    <x v="10"/>
    <m/>
    <n v="214"/>
    <d v="2026-02-09T00:00:00"/>
    <m/>
    <x v="0"/>
    <x v="0"/>
    <x v="0"/>
  </r>
  <r>
    <x v="19"/>
    <x v="19"/>
    <x v="2"/>
    <m/>
    <n v="213"/>
    <d v="2026-02-06T00:00:00"/>
    <m/>
    <x v="0"/>
    <x v="0"/>
    <x v="0"/>
  </r>
  <r>
    <x v="22"/>
    <x v="22"/>
    <x v="6"/>
    <m/>
    <n v="213"/>
    <d v="2026-02-06T00:00:00"/>
    <m/>
    <x v="0"/>
    <x v="0"/>
    <x v="0"/>
  </r>
  <r>
    <x v="27"/>
    <x v="27"/>
    <x v="6"/>
    <m/>
    <n v="213"/>
    <d v="2026-02-06T00:00:00"/>
    <m/>
    <x v="0"/>
    <x v="0"/>
    <x v="0"/>
  </r>
  <r>
    <x v="25"/>
    <x v="25"/>
    <x v="2"/>
    <m/>
    <n v="937"/>
    <d v="2026-02-06T00:00:00"/>
    <m/>
    <x v="1"/>
    <x v="0"/>
    <x v="30"/>
  </r>
  <r>
    <x v="27"/>
    <x v="27"/>
    <x v="6"/>
    <m/>
    <n v="937"/>
    <d v="2026-02-06T00:00:00"/>
    <m/>
    <x v="1"/>
    <x v="0"/>
    <x v="30"/>
  </r>
  <r>
    <x v="5"/>
    <x v="5"/>
    <x v="6"/>
    <m/>
    <n v="938"/>
    <d v="2026-02-06T00:00:00"/>
    <m/>
    <x v="5"/>
    <x v="0"/>
    <x v="47"/>
  </r>
  <r>
    <x v="9"/>
    <x v="9"/>
    <x v="6"/>
    <m/>
    <n v="938"/>
    <d v="2026-02-06T00:00:00"/>
    <m/>
    <x v="5"/>
    <x v="1"/>
    <x v="47"/>
  </r>
  <r>
    <x v="7"/>
    <x v="7"/>
    <x v="8"/>
    <m/>
    <n v="938"/>
    <d v="2026-02-06T00:00:00"/>
    <m/>
    <x v="5"/>
    <x v="0"/>
    <x v="47"/>
  </r>
  <r>
    <x v="10"/>
    <x v="10"/>
    <x v="6"/>
    <m/>
    <n v="938"/>
    <d v="2026-02-06T00:00:00"/>
    <m/>
    <x v="5"/>
    <x v="0"/>
    <x v="47"/>
  </r>
  <r>
    <x v="8"/>
    <x v="8"/>
    <x v="6"/>
    <m/>
    <n v="938"/>
    <d v="2026-02-06T00:00:00"/>
    <m/>
    <x v="5"/>
    <x v="0"/>
    <x v="47"/>
  </r>
  <r>
    <x v="24"/>
    <x v="24"/>
    <x v="14"/>
    <m/>
    <n v="938"/>
    <d v="2026-02-06T00:00:00"/>
    <m/>
    <x v="5"/>
    <x v="0"/>
    <x v="47"/>
  </r>
  <r>
    <x v="14"/>
    <x v="14"/>
    <x v="6"/>
    <m/>
    <n v="938"/>
    <d v="2026-02-06T00:00:00"/>
    <m/>
    <x v="5"/>
    <x v="0"/>
    <x v="47"/>
  </r>
  <r>
    <x v="11"/>
    <x v="11"/>
    <x v="6"/>
    <m/>
    <n v="938"/>
    <d v="2026-02-06T00:00:00"/>
    <m/>
    <x v="5"/>
    <x v="0"/>
    <x v="47"/>
  </r>
  <r>
    <x v="32"/>
    <x v="32"/>
    <x v="6"/>
    <m/>
    <n v="938"/>
    <d v="2026-02-06T00:00:00"/>
    <m/>
    <x v="5"/>
    <x v="0"/>
    <x v="47"/>
  </r>
  <r>
    <x v="1"/>
    <x v="1"/>
    <x v="14"/>
    <m/>
    <n v="938"/>
    <d v="2026-02-06T00:00:00"/>
    <m/>
    <x v="5"/>
    <x v="0"/>
    <x v="47"/>
  </r>
  <r>
    <x v="13"/>
    <x v="13"/>
    <x v="6"/>
    <m/>
    <n v="938"/>
    <d v="2026-02-06T00:00:00"/>
    <m/>
    <x v="5"/>
    <x v="0"/>
    <x v="47"/>
  </r>
  <r>
    <x v="64"/>
    <x v="64"/>
    <x v="6"/>
    <m/>
    <n v="938"/>
    <d v="2026-02-06T00:00:00"/>
    <m/>
    <x v="5"/>
    <x v="0"/>
    <x v="47"/>
  </r>
  <r>
    <x v="6"/>
    <x v="6"/>
    <x v="6"/>
    <m/>
    <n v="938"/>
    <d v="2026-02-06T00:00:00"/>
    <m/>
    <x v="5"/>
    <x v="0"/>
    <x v="47"/>
  </r>
  <r>
    <x v="8"/>
    <x v="8"/>
    <x v="52"/>
    <m/>
    <n v="939"/>
    <d v="2026-02-06T00:00:00"/>
    <m/>
    <x v="6"/>
    <x v="0"/>
    <x v="4"/>
  </r>
  <r>
    <x v="24"/>
    <x v="24"/>
    <x v="0"/>
    <m/>
    <n v="939"/>
    <d v="2026-02-06T00:00:00"/>
    <m/>
    <x v="6"/>
    <x v="0"/>
    <x v="4"/>
  </r>
  <r>
    <x v="20"/>
    <x v="20"/>
    <x v="2"/>
    <m/>
    <n v="939"/>
    <d v="2026-02-06T00:00:00"/>
    <m/>
    <x v="6"/>
    <x v="0"/>
    <x v="4"/>
  </r>
  <r>
    <x v="1"/>
    <x v="1"/>
    <x v="0"/>
    <m/>
    <n v="939"/>
    <d v="2026-02-06T00:00:00"/>
    <m/>
    <x v="6"/>
    <x v="0"/>
    <x v="4"/>
  </r>
  <r>
    <x v="7"/>
    <x v="7"/>
    <x v="53"/>
    <m/>
    <n v="939"/>
    <d v="2026-02-06T00:00:00"/>
    <m/>
    <x v="6"/>
    <x v="0"/>
    <x v="4"/>
  </r>
  <r>
    <x v="46"/>
    <x v="46"/>
    <x v="3"/>
    <m/>
    <n v="940"/>
    <d v="2026-02-06T00:00:00"/>
    <m/>
    <x v="2"/>
    <x v="0"/>
    <x v="13"/>
  </r>
  <r>
    <x v="8"/>
    <x v="8"/>
    <x v="3"/>
    <m/>
    <n v="940"/>
    <d v="2026-02-06T00:00:00"/>
    <m/>
    <x v="2"/>
    <x v="0"/>
    <x v="13"/>
  </r>
  <r>
    <x v="10"/>
    <x v="10"/>
    <x v="3"/>
    <m/>
    <n v="940"/>
    <d v="2026-02-06T00:00:00"/>
    <m/>
    <x v="2"/>
    <x v="0"/>
    <x v="13"/>
  </r>
  <r>
    <x v="11"/>
    <x v="11"/>
    <x v="3"/>
    <m/>
    <n v="940"/>
    <d v="2026-02-06T00:00:00"/>
    <m/>
    <x v="2"/>
    <x v="0"/>
    <x v="13"/>
  </r>
  <r>
    <x v="12"/>
    <x v="12"/>
    <x v="3"/>
    <m/>
    <n v="940"/>
    <d v="2026-02-06T00:00:00"/>
    <m/>
    <x v="2"/>
    <x v="0"/>
    <x v="13"/>
  </r>
  <r>
    <x v="41"/>
    <x v="41"/>
    <x v="6"/>
    <m/>
    <n v="940"/>
    <d v="2026-02-06T00:00:00"/>
    <m/>
    <x v="2"/>
    <x v="0"/>
    <x v="13"/>
  </r>
  <r>
    <x v="1"/>
    <x v="1"/>
    <x v="13"/>
    <m/>
    <n v="924"/>
    <d v="2026-02-04T00:00:00"/>
    <m/>
    <x v="1"/>
    <x v="0"/>
    <x v="30"/>
  </r>
  <r>
    <x v="27"/>
    <x v="27"/>
    <x v="6"/>
    <m/>
    <n v="931"/>
    <d v="2026-01-04T00:00:00"/>
    <m/>
    <x v="13"/>
    <x v="0"/>
    <x v="30"/>
  </r>
  <r>
    <x v="75"/>
    <x v="75"/>
    <x v="6"/>
    <m/>
    <n v="932"/>
    <d v="2026-02-05T00:00:00"/>
    <m/>
    <x v="14"/>
    <x v="0"/>
    <x v="48"/>
  </r>
  <r>
    <x v="34"/>
    <x v="34"/>
    <x v="6"/>
    <m/>
    <n v="932"/>
    <d v="2026-02-05T00:00:00"/>
    <m/>
    <x v="14"/>
    <x v="0"/>
    <x v="48"/>
  </r>
  <r>
    <x v="3"/>
    <x v="3"/>
    <x v="1"/>
    <m/>
    <n v="932"/>
    <d v="2026-02-05T00:00:00"/>
    <m/>
    <x v="14"/>
    <x v="0"/>
    <x v="48"/>
  </r>
  <r>
    <x v="61"/>
    <x v="61"/>
    <x v="6"/>
    <m/>
    <n v="932"/>
    <d v="2026-02-05T00:00:00"/>
    <m/>
    <x v="14"/>
    <x v="0"/>
    <x v="48"/>
  </r>
  <r>
    <x v="35"/>
    <x v="35"/>
    <x v="2"/>
    <m/>
    <n v="932"/>
    <d v="2026-02-05T00:00:00"/>
    <m/>
    <x v="14"/>
    <x v="0"/>
    <x v="48"/>
  </r>
  <r>
    <x v="4"/>
    <x v="4"/>
    <x v="6"/>
    <m/>
    <n v="932"/>
    <d v="2026-02-05T00:00:00"/>
    <m/>
    <x v="14"/>
    <x v="0"/>
    <x v="48"/>
  </r>
  <r>
    <x v="60"/>
    <x v="60"/>
    <x v="6"/>
    <m/>
    <n v="932"/>
    <d v="2026-02-05T00:00:00"/>
    <m/>
    <x v="14"/>
    <x v="0"/>
    <x v="48"/>
  </r>
  <r>
    <x v="0"/>
    <x v="0"/>
    <x v="1"/>
    <m/>
    <n v="932"/>
    <d v="2026-02-05T00:00:00"/>
    <m/>
    <x v="14"/>
    <x v="0"/>
    <x v="48"/>
  </r>
  <r>
    <x v="14"/>
    <x v="14"/>
    <x v="6"/>
    <m/>
    <n v="932"/>
    <d v="2026-02-05T00:00:00"/>
    <m/>
    <x v="14"/>
    <x v="0"/>
    <x v="48"/>
  </r>
  <r>
    <x v="13"/>
    <x v="13"/>
    <x v="6"/>
    <m/>
    <n v="932"/>
    <d v="2026-02-05T00:00:00"/>
    <m/>
    <x v="14"/>
    <x v="0"/>
    <x v="48"/>
  </r>
  <r>
    <x v="1"/>
    <x v="1"/>
    <x v="1"/>
    <m/>
    <n v="932"/>
    <d v="2026-02-05T00:00:00"/>
    <m/>
    <x v="14"/>
    <x v="0"/>
    <x v="48"/>
  </r>
  <r>
    <x v="2"/>
    <x v="2"/>
    <x v="1"/>
    <m/>
    <n v="932"/>
    <d v="2026-02-05T00:00:00"/>
    <m/>
    <x v="14"/>
    <x v="0"/>
    <x v="48"/>
  </r>
  <r>
    <x v="62"/>
    <x v="62"/>
    <x v="6"/>
    <m/>
    <n v="932"/>
    <d v="2026-02-05T00:00:00"/>
    <m/>
    <x v="14"/>
    <x v="0"/>
    <x v="48"/>
  </r>
  <r>
    <x v="28"/>
    <x v="28"/>
    <x v="11"/>
    <m/>
    <n v="893"/>
    <d v="2026-01-27T00:00:00"/>
    <m/>
    <x v="23"/>
    <x v="0"/>
    <x v="10"/>
  </r>
  <r>
    <x v="9"/>
    <x v="9"/>
    <x v="54"/>
    <m/>
    <n v="893"/>
    <d v="2026-01-27T00:00:00"/>
    <m/>
    <x v="23"/>
    <x v="2"/>
    <x v="10"/>
  </r>
  <r>
    <x v="7"/>
    <x v="7"/>
    <x v="55"/>
    <m/>
    <n v="893"/>
    <d v="2026-01-27T00:00:00"/>
    <m/>
    <x v="23"/>
    <x v="0"/>
    <x v="10"/>
  </r>
  <r>
    <x v="10"/>
    <x v="10"/>
    <x v="17"/>
    <m/>
    <n v="893"/>
    <d v="2026-01-27T00:00:00"/>
    <m/>
    <x v="23"/>
    <x v="0"/>
    <x v="10"/>
  </r>
  <r>
    <x v="8"/>
    <x v="8"/>
    <x v="54"/>
    <m/>
    <n v="893"/>
    <d v="2026-01-27T00:00:00"/>
    <m/>
    <x v="23"/>
    <x v="0"/>
    <x v="10"/>
  </r>
  <r>
    <x v="46"/>
    <x v="46"/>
    <x v="2"/>
    <m/>
    <n v="893"/>
    <d v="2026-01-27T00:00:00"/>
    <m/>
    <x v="23"/>
    <x v="0"/>
    <x v="10"/>
  </r>
  <r>
    <x v="5"/>
    <x v="5"/>
    <x v="56"/>
    <m/>
    <n v="893"/>
    <d v="2026-01-27T00:00:00"/>
    <m/>
    <x v="23"/>
    <x v="0"/>
    <x v="10"/>
  </r>
  <r>
    <x v="29"/>
    <x v="29"/>
    <x v="10"/>
    <m/>
    <n v="893"/>
    <d v="2026-01-27T00:00:00"/>
    <m/>
    <x v="23"/>
    <x v="0"/>
    <x v="10"/>
  </r>
  <r>
    <x v="3"/>
    <x v="3"/>
    <x v="51"/>
    <m/>
    <n v="893"/>
    <d v="2026-01-27T00:00:00"/>
    <m/>
    <x v="23"/>
    <x v="0"/>
    <x v="10"/>
  </r>
  <r>
    <x v="4"/>
    <x v="4"/>
    <x v="41"/>
    <m/>
    <n v="893"/>
    <d v="2026-01-27T00:00:00"/>
    <m/>
    <x v="23"/>
    <x v="0"/>
    <x v="10"/>
  </r>
  <r>
    <x v="35"/>
    <x v="35"/>
    <x v="2"/>
    <m/>
    <n v="893"/>
    <d v="2026-01-27T00:00:00"/>
    <m/>
    <x v="23"/>
    <x v="0"/>
    <x v="10"/>
  </r>
  <r>
    <x v="76"/>
    <x v="76"/>
    <x v="14"/>
    <m/>
    <n v="893"/>
    <d v="2026-01-27T00:00:00"/>
    <m/>
    <x v="23"/>
    <x v="0"/>
    <x v="10"/>
  </r>
  <r>
    <x v="49"/>
    <x v="49"/>
    <x v="10"/>
    <m/>
    <n v="893"/>
    <d v="2026-01-27T00:00:00"/>
    <m/>
    <x v="23"/>
    <x v="0"/>
    <x v="10"/>
  </r>
  <r>
    <x v="42"/>
    <x v="42"/>
    <x v="8"/>
    <m/>
    <n v="893"/>
    <d v="2026-01-27T00:00:00"/>
    <m/>
    <x v="23"/>
    <x v="0"/>
    <x v="10"/>
  </r>
  <r>
    <x v="50"/>
    <x v="50"/>
    <x v="2"/>
    <m/>
    <n v="893"/>
    <d v="2026-01-27T00:00:00"/>
    <m/>
    <x v="23"/>
    <x v="0"/>
    <x v="10"/>
  </r>
  <r>
    <x v="52"/>
    <x v="52"/>
    <x v="6"/>
    <m/>
    <n v="893"/>
    <d v="2026-01-27T00:00:00"/>
    <m/>
    <x v="23"/>
    <x v="0"/>
    <x v="10"/>
  </r>
  <r>
    <x v="43"/>
    <x v="43"/>
    <x v="2"/>
    <m/>
    <n v="893"/>
    <d v="2026-01-27T00:00:00"/>
    <m/>
    <x v="23"/>
    <x v="0"/>
    <x v="10"/>
  </r>
  <r>
    <x v="36"/>
    <x v="36"/>
    <x v="37"/>
    <m/>
    <n v="893"/>
    <d v="2026-01-27T00:00:00"/>
    <m/>
    <x v="23"/>
    <x v="0"/>
    <x v="10"/>
  </r>
  <r>
    <x v="58"/>
    <x v="58"/>
    <x v="6"/>
    <m/>
    <n v="893"/>
    <d v="2026-01-27T00:00:00"/>
    <m/>
    <x v="23"/>
    <x v="0"/>
    <x v="10"/>
  </r>
  <r>
    <x v="6"/>
    <x v="6"/>
    <x v="2"/>
    <m/>
    <n v="893"/>
    <d v="2026-01-27T00:00:00"/>
    <m/>
    <x v="23"/>
    <x v="0"/>
    <x v="10"/>
  </r>
  <r>
    <x v="38"/>
    <x v="38"/>
    <x v="2"/>
    <m/>
    <n v="893"/>
    <d v="2026-01-27T00:00:00"/>
    <m/>
    <x v="23"/>
    <x v="0"/>
    <x v="10"/>
  </r>
  <r>
    <x v="39"/>
    <x v="39"/>
    <x v="2"/>
    <m/>
    <n v="893"/>
    <d v="2026-01-27T00:00:00"/>
    <m/>
    <x v="23"/>
    <x v="0"/>
    <x v="10"/>
  </r>
  <r>
    <x v="21"/>
    <x v="21"/>
    <x v="6"/>
    <m/>
    <n v="893"/>
    <d v="2026-01-27T00:00:00"/>
    <m/>
    <x v="23"/>
    <x v="0"/>
    <x v="10"/>
  </r>
  <r>
    <x v="20"/>
    <x v="20"/>
    <x v="8"/>
    <m/>
    <n v="893"/>
    <d v="2026-01-27T00:00:00"/>
    <m/>
    <x v="23"/>
    <x v="0"/>
    <x v="10"/>
  </r>
  <r>
    <x v="11"/>
    <x v="11"/>
    <x v="57"/>
    <m/>
    <n v="893"/>
    <d v="2026-01-27T00:00:00"/>
    <m/>
    <x v="23"/>
    <x v="0"/>
    <x v="10"/>
  </r>
  <r>
    <x v="12"/>
    <x v="12"/>
    <x v="57"/>
    <m/>
    <n v="893"/>
    <d v="2026-01-27T00:00:00"/>
    <m/>
    <x v="23"/>
    <x v="0"/>
    <x v="10"/>
  </r>
  <r>
    <x v="14"/>
    <x v="14"/>
    <x v="58"/>
    <m/>
    <n v="909"/>
    <d v="2026-01-29T00:00:00"/>
    <m/>
    <x v="23"/>
    <x v="0"/>
    <x v="10"/>
  </r>
  <r>
    <x v="15"/>
    <x v="15"/>
    <x v="47"/>
    <m/>
    <n v="909"/>
    <d v="2026-01-29T00:00:00"/>
    <m/>
    <x v="23"/>
    <x v="0"/>
    <x v="10"/>
  </r>
  <r>
    <x v="27"/>
    <x v="27"/>
    <x v="2"/>
    <m/>
    <n v="909"/>
    <d v="2026-01-29T00:00:00"/>
    <m/>
    <x v="23"/>
    <x v="0"/>
    <x v="10"/>
  </r>
  <r>
    <x v="45"/>
    <x v="45"/>
    <x v="6"/>
    <m/>
    <n v="909"/>
    <d v="2026-01-29T00:00:00"/>
    <m/>
    <x v="23"/>
    <x v="0"/>
    <x v="10"/>
  </r>
  <r>
    <x v="1"/>
    <x v="1"/>
    <x v="59"/>
    <m/>
    <n v="895"/>
    <d v="2026-01-27T00:00:00"/>
    <m/>
    <x v="24"/>
    <x v="0"/>
    <x v="10"/>
  </r>
  <r>
    <x v="2"/>
    <x v="2"/>
    <x v="59"/>
    <m/>
    <n v="895"/>
    <d v="2026-01-27T00:00:00"/>
    <m/>
    <x v="24"/>
    <x v="0"/>
    <x v="10"/>
  </r>
  <r>
    <x v="18"/>
    <x v="18"/>
    <x v="60"/>
    <m/>
    <n v="934"/>
    <d v="2026-01-14T00:00:00"/>
    <m/>
    <x v="25"/>
    <x v="0"/>
    <x v="10"/>
  </r>
  <r>
    <x v="19"/>
    <x v="19"/>
    <x v="6"/>
    <m/>
    <n v="927"/>
    <d v="2026-02-04T00:00:00"/>
    <m/>
    <x v="2"/>
    <x v="0"/>
    <x v="13"/>
  </r>
  <r>
    <x v="22"/>
    <x v="22"/>
    <x v="6"/>
    <m/>
    <n v="927"/>
    <d v="2026-02-04T00:00:00"/>
    <m/>
    <x v="2"/>
    <x v="0"/>
    <x v="13"/>
  </r>
  <r>
    <x v="2"/>
    <x v="2"/>
    <x v="0"/>
    <m/>
    <n v="926"/>
    <d v="2026-02-04T00:00:00"/>
    <m/>
    <x v="26"/>
    <x v="0"/>
    <x v="10"/>
  </r>
  <r>
    <x v="0"/>
    <x v="0"/>
    <x v="0"/>
    <m/>
    <n v="211"/>
    <d v="2026-02-04T00:00:00"/>
    <m/>
    <x v="0"/>
    <x v="0"/>
    <x v="0"/>
  </r>
  <r>
    <x v="1"/>
    <x v="1"/>
    <x v="0"/>
    <m/>
    <n v="211"/>
    <d v="2026-02-04T00:00:00"/>
    <m/>
    <x v="0"/>
    <x v="0"/>
    <x v="0"/>
  </r>
  <r>
    <x v="2"/>
    <x v="2"/>
    <x v="0"/>
    <m/>
    <n v="211"/>
    <d v="2026-02-04T00:00:00"/>
    <m/>
    <x v="0"/>
    <x v="0"/>
    <x v="0"/>
  </r>
  <r>
    <x v="35"/>
    <x v="35"/>
    <x v="6"/>
    <m/>
    <n v="211"/>
    <d v="2026-02-04T00:00:00"/>
    <m/>
    <x v="0"/>
    <x v="0"/>
    <x v="0"/>
  </r>
  <r>
    <x v="76"/>
    <x v="76"/>
    <x v="6"/>
    <m/>
    <n v="211"/>
    <d v="2026-02-04T00:00:00"/>
    <m/>
    <x v="0"/>
    <x v="0"/>
    <x v="0"/>
  </r>
  <r>
    <x v="3"/>
    <x v="3"/>
    <x v="1"/>
    <m/>
    <n v="211"/>
    <d v="2026-02-04T00:00:00"/>
    <m/>
    <x v="0"/>
    <x v="0"/>
    <x v="0"/>
  </r>
  <r>
    <x v="7"/>
    <x v="7"/>
    <x v="27"/>
    <m/>
    <n v="881"/>
    <d v="2026-02-04T00:00:00"/>
    <m/>
    <x v="6"/>
    <x v="0"/>
    <x v="23"/>
  </r>
  <r>
    <x v="29"/>
    <x v="29"/>
    <x v="61"/>
    <m/>
    <n v="881"/>
    <d v="2026-02-04T00:00:00"/>
    <m/>
    <x v="6"/>
    <x v="0"/>
    <x v="23"/>
  </r>
  <r>
    <x v="5"/>
    <x v="5"/>
    <x v="6"/>
    <m/>
    <n v="881"/>
    <d v="2026-02-04T00:00:00"/>
    <m/>
    <x v="6"/>
    <x v="0"/>
    <x v="23"/>
  </r>
  <r>
    <x v="6"/>
    <x v="6"/>
    <x v="6"/>
    <m/>
    <n v="881"/>
    <d v="2026-02-04T00:00:00"/>
    <m/>
    <x v="6"/>
    <x v="0"/>
    <x v="23"/>
  </r>
  <r>
    <x v="11"/>
    <x v="11"/>
    <x v="6"/>
    <m/>
    <n v="881"/>
    <d v="2026-02-04T00:00:00"/>
    <m/>
    <x v="6"/>
    <x v="0"/>
    <x v="23"/>
  </r>
  <r>
    <x v="12"/>
    <x v="12"/>
    <x v="6"/>
    <m/>
    <n v="881"/>
    <d v="2026-02-04T00:00:00"/>
    <m/>
    <x v="6"/>
    <x v="0"/>
    <x v="23"/>
  </r>
  <r>
    <x v="10"/>
    <x v="10"/>
    <x v="6"/>
    <m/>
    <n v="881"/>
    <d v="2026-02-04T00:00:00"/>
    <m/>
    <x v="6"/>
    <x v="0"/>
    <x v="23"/>
  </r>
  <r>
    <x v="23"/>
    <x v="23"/>
    <x v="13"/>
    <m/>
    <n v="928"/>
    <d v="2026-02-04T00:00:00"/>
    <m/>
    <x v="21"/>
    <x v="0"/>
    <x v="49"/>
  </r>
  <r>
    <x v="1"/>
    <x v="1"/>
    <x v="0"/>
    <m/>
    <n v="928"/>
    <d v="2026-02-04T00:00:00"/>
    <m/>
    <x v="21"/>
    <x v="0"/>
    <x v="49"/>
  </r>
  <r>
    <x v="2"/>
    <x v="2"/>
    <x v="0"/>
    <m/>
    <n v="928"/>
    <d v="2026-02-04T00:00:00"/>
    <m/>
    <x v="21"/>
    <x v="0"/>
    <x v="49"/>
  </r>
  <r>
    <x v="27"/>
    <x v="27"/>
    <x v="6"/>
    <m/>
    <n v="929"/>
    <d v="2026-02-04T00:00:00"/>
    <m/>
    <x v="1"/>
    <x v="0"/>
    <x v="30"/>
  </r>
  <r>
    <x v="15"/>
    <x v="15"/>
    <x v="44"/>
    <m/>
    <n v="930"/>
    <d v="2026-02-04T00:00:00"/>
    <m/>
    <x v="7"/>
    <x v="0"/>
    <x v="0"/>
  </r>
  <r>
    <x v="24"/>
    <x v="24"/>
    <x v="13"/>
    <m/>
    <n v="210"/>
    <d v="2026-02-03T00:00:00"/>
    <m/>
    <x v="0"/>
    <x v="0"/>
    <x v="0"/>
  </r>
  <r>
    <x v="1"/>
    <x v="1"/>
    <x v="13"/>
    <m/>
    <n v="210"/>
    <d v="2026-02-03T00:00:00"/>
    <m/>
    <x v="0"/>
    <x v="0"/>
    <x v="0"/>
  </r>
  <r>
    <x v="3"/>
    <x v="3"/>
    <x v="8"/>
    <m/>
    <n v="210"/>
    <d v="2026-02-03T00:00:00"/>
    <m/>
    <x v="0"/>
    <x v="0"/>
    <x v="0"/>
  </r>
  <r>
    <x v="4"/>
    <x v="4"/>
    <x v="2"/>
    <m/>
    <n v="210"/>
    <d v="2026-02-03T00:00:00"/>
    <m/>
    <x v="0"/>
    <x v="0"/>
    <x v="0"/>
  </r>
  <r>
    <x v="21"/>
    <x v="21"/>
    <x v="6"/>
    <m/>
    <n v="822"/>
    <d v="2026-02-03T00:00:00"/>
    <m/>
    <x v="6"/>
    <x v="0"/>
    <x v="4"/>
  </r>
  <r>
    <x v="60"/>
    <x v="60"/>
    <x v="6"/>
    <m/>
    <n v="913"/>
    <d v="2026-01-30T00:00:00"/>
    <m/>
    <x v="14"/>
    <x v="0"/>
    <x v="50"/>
  </r>
  <r>
    <x v="35"/>
    <x v="35"/>
    <x v="6"/>
    <m/>
    <n v="913"/>
    <d v="2026-01-30T00:00:00"/>
    <m/>
    <x v="14"/>
    <x v="0"/>
    <x v="50"/>
  </r>
  <r>
    <x v="3"/>
    <x v="3"/>
    <x v="11"/>
    <m/>
    <n v="913"/>
    <d v="2026-01-30T00:00:00"/>
    <m/>
    <x v="14"/>
    <x v="0"/>
    <x v="50"/>
  </r>
  <r>
    <x v="76"/>
    <x v="76"/>
    <x v="2"/>
    <m/>
    <n v="913"/>
    <d v="2026-01-30T00:00:00"/>
    <m/>
    <x v="14"/>
    <x v="0"/>
    <x v="50"/>
  </r>
  <r>
    <x v="61"/>
    <x v="61"/>
    <x v="2"/>
    <m/>
    <n v="913"/>
    <d v="2026-01-30T00:00:00"/>
    <m/>
    <x v="14"/>
    <x v="0"/>
    <x v="50"/>
  </r>
  <r>
    <x v="5"/>
    <x v="5"/>
    <x v="2"/>
    <m/>
    <n v="913"/>
    <d v="2026-01-30T00:00:00"/>
    <m/>
    <x v="14"/>
    <x v="0"/>
    <x v="50"/>
  </r>
  <r>
    <x v="10"/>
    <x v="10"/>
    <x v="6"/>
    <m/>
    <n v="913"/>
    <d v="2026-01-30T00:00:00"/>
    <m/>
    <x v="14"/>
    <x v="0"/>
    <x v="50"/>
  </r>
  <r>
    <x v="13"/>
    <x v="13"/>
    <x v="2"/>
    <m/>
    <n v="913"/>
    <d v="2026-01-30T00:00:00"/>
    <m/>
    <x v="14"/>
    <x v="0"/>
    <x v="50"/>
  </r>
  <r>
    <x v="34"/>
    <x v="34"/>
    <x v="6"/>
    <m/>
    <n v="913"/>
    <d v="2026-01-30T00:00:00"/>
    <m/>
    <x v="14"/>
    <x v="0"/>
    <x v="50"/>
  </r>
  <r>
    <x v="75"/>
    <x v="75"/>
    <x v="6"/>
    <m/>
    <n v="913"/>
    <d v="2026-01-30T00:00:00"/>
    <m/>
    <x v="14"/>
    <x v="0"/>
    <x v="50"/>
  </r>
  <r>
    <x v="14"/>
    <x v="14"/>
    <x v="6"/>
    <m/>
    <n v="913"/>
    <d v="2026-01-30T00:00:00"/>
    <m/>
    <x v="14"/>
    <x v="0"/>
    <x v="50"/>
  </r>
  <r>
    <x v="4"/>
    <x v="4"/>
    <x v="6"/>
    <m/>
    <n v="913"/>
    <d v="2026-01-30T00:00:00"/>
    <m/>
    <x v="14"/>
    <x v="0"/>
    <x v="50"/>
  </r>
  <r>
    <x v="0"/>
    <x v="0"/>
    <x v="6"/>
    <m/>
    <n v="208"/>
    <d v="2026-02-02T00:00:00"/>
    <m/>
    <x v="0"/>
    <x v="0"/>
    <x v="0"/>
  </r>
  <r>
    <x v="1"/>
    <x v="1"/>
    <x v="6"/>
    <m/>
    <n v="208"/>
    <d v="2026-02-02T00:00:00"/>
    <m/>
    <x v="0"/>
    <x v="0"/>
    <x v="0"/>
  </r>
  <r>
    <x v="2"/>
    <x v="2"/>
    <x v="0"/>
    <m/>
    <n v="208"/>
    <d v="2026-02-02T00:00:00"/>
    <m/>
    <x v="0"/>
    <x v="0"/>
    <x v="0"/>
  </r>
  <r>
    <x v="24"/>
    <x v="24"/>
    <x v="13"/>
    <m/>
    <n v="889"/>
    <d v="2026-02-02T00:00:00"/>
    <m/>
    <x v="2"/>
    <x v="0"/>
    <x v="13"/>
  </r>
  <r>
    <x v="1"/>
    <x v="1"/>
    <x v="13"/>
    <m/>
    <n v="889"/>
    <d v="2026-02-02T00:00:00"/>
    <m/>
    <x v="2"/>
    <x v="0"/>
    <x v="13"/>
  </r>
  <r>
    <x v="21"/>
    <x v="21"/>
    <x v="2"/>
    <m/>
    <n v="889"/>
    <d v="2026-02-02T00:00:00"/>
    <m/>
    <x v="2"/>
    <x v="0"/>
    <x v="13"/>
  </r>
  <r>
    <x v="6"/>
    <x v="6"/>
    <x v="49"/>
    <m/>
    <n v="889"/>
    <d v="2026-02-02T00:00:00"/>
    <m/>
    <x v="2"/>
    <x v="0"/>
    <x v="13"/>
  </r>
  <r>
    <x v="20"/>
    <x v="20"/>
    <x v="1"/>
    <m/>
    <n v="914"/>
    <d v="2026-02-02T00:00:00"/>
    <m/>
    <x v="6"/>
    <x v="0"/>
    <x v="4"/>
  </r>
  <r>
    <x v="21"/>
    <x v="21"/>
    <x v="6"/>
    <m/>
    <n v="914"/>
    <d v="2026-02-02T00:00:00"/>
    <m/>
    <x v="6"/>
    <x v="0"/>
    <x v="4"/>
  </r>
  <r>
    <x v="10"/>
    <x v="10"/>
    <x v="6"/>
    <m/>
    <n v="914"/>
    <d v="2026-02-02T00:00:00"/>
    <m/>
    <x v="6"/>
    <x v="0"/>
    <x v="4"/>
  </r>
  <r>
    <x v="11"/>
    <x v="11"/>
    <x v="6"/>
    <m/>
    <n v="914"/>
    <d v="2026-02-02T00:00:00"/>
    <m/>
    <x v="6"/>
    <x v="0"/>
    <x v="4"/>
  </r>
  <r>
    <x v="32"/>
    <x v="32"/>
    <x v="6"/>
    <m/>
    <n v="914"/>
    <d v="2026-02-02T00:00:00"/>
    <m/>
    <x v="6"/>
    <x v="0"/>
    <x v="4"/>
  </r>
  <r>
    <x v="41"/>
    <x v="41"/>
    <x v="6"/>
    <m/>
    <n v="914"/>
    <d v="2026-02-02T00:00:00"/>
    <m/>
    <x v="6"/>
    <x v="0"/>
    <x v="4"/>
  </r>
  <r>
    <x v="46"/>
    <x v="46"/>
    <x v="6"/>
    <m/>
    <n v="914"/>
    <d v="2026-02-02T00:00:00"/>
    <m/>
    <x v="6"/>
    <x v="0"/>
    <x v="4"/>
  </r>
  <r>
    <x v="77"/>
    <x v="77"/>
    <x v="6"/>
    <m/>
    <n v="914"/>
    <d v="2026-02-02T00:00:00"/>
    <m/>
    <x v="6"/>
    <x v="0"/>
    <x v="4"/>
  </r>
  <r>
    <x v="6"/>
    <x v="6"/>
    <x v="6"/>
    <m/>
    <n v="914"/>
    <d v="2026-02-02T00:00:00"/>
    <m/>
    <x v="6"/>
    <x v="0"/>
    <x v="4"/>
  </r>
  <r>
    <x v="11"/>
    <x v="11"/>
    <x v="2"/>
    <m/>
    <n v="915"/>
    <d v="2026-02-02T00:00:00"/>
    <m/>
    <x v="16"/>
    <x v="0"/>
    <x v="51"/>
  </r>
  <r>
    <x v="45"/>
    <x v="45"/>
    <x v="6"/>
    <m/>
    <n v="917"/>
    <d v="2026-02-02T00:00:00"/>
    <m/>
    <x v="26"/>
    <x v="0"/>
    <x v="10"/>
  </r>
  <r>
    <x v="25"/>
    <x v="25"/>
    <x v="6"/>
    <m/>
    <n v="890"/>
    <d v="2026-01-30T00:00:00"/>
    <m/>
    <x v="2"/>
    <x v="0"/>
    <x v="13"/>
  </r>
  <r>
    <x v="20"/>
    <x v="20"/>
    <x v="1"/>
    <m/>
    <n v="890"/>
    <d v="2026-01-30T00:00:00"/>
    <m/>
    <x v="2"/>
    <x v="0"/>
    <x v="13"/>
  </r>
  <r>
    <x v="23"/>
    <x v="23"/>
    <x v="62"/>
    <m/>
    <n v="890"/>
    <d v="2026-01-30T00:00:00"/>
    <m/>
    <x v="2"/>
    <x v="0"/>
    <x v="13"/>
  </r>
  <r>
    <x v="1"/>
    <x v="1"/>
    <x v="62"/>
    <m/>
    <n v="890"/>
    <d v="2026-01-30T00:00:00"/>
    <m/>
    <x v="2"/>
    <x v="0"/>
    <x v="13"/>
  </r>
  <r>
    <x v="2"/>
    <x v="2"/>
    <x v="62"/>
    <m/>
    <n v="890"/>
    <d v="2026-01-30T00:00:00"/>
    <m/>
    <x v="2"/>
    <x v="0"/>
    <x v="13"/>
  </r>
  <r>
    <x v="46"/>
    <x v="46"/>
    <x v="11"/>
    <m/>
    <n v="890"/>
    <d v="2026-01-30T00:00:00"/>
    <m/>
    <x v="2"/>
    <x v="0"/>
    <x v="13"/>
  </r>
  <r>
    <x v="8"/>
    <x v="8"/>
    <x v="11"/>
    <m/>
    <n v="890"/>
    <d v="2026-01-30T00:00:00"/>
    <m/>
    <x v="2"/>
    <x v="0"/>
    <x v="13"/>
  </r>
  <r>
    <x v="7"/>
    <x v="7"/>
    <x v="44"/>
    <m/>
    <n v="890"/>
    <d v="2026-01-30T00:00:00"/>
    <m/>
    <x v="2"/>
    <x v="0"/>
    <x v="13"/>
  </r>
  <r>
    <x v="10"/>
    <x v="10"/>
    <x v="11"/>
    <m/>
    <n v="890"/>
    <d v="2026-01-30T00:00:00"/>
    <m/>
    <x v="2"/>
    <x v="0"/>
    <x v="13"/>
  </r>
  <r>
    <x v="11"/>
    <x v="11"/>
    <x v="11"/>
    <m/>
    <n v="890"/>
    <d v="2026-01-30T00:00:00"/>
    <m/>
    <x v="2"/>
    <x v="0"/>
    <x v="13"/>
  </r>
  <r>
    <x v="41"/>
    <x v="41"/>
    <x v="2"/>
    <m/>
    <n v="890"/>
    <d v="2026-01-30T00:00:00"/>
    <m/>
    <x v="2"/>
    <x v="0"/>
    <x v="13"/>
  </r>
  <r>
    <x v="32"/>
    <x v="32"/>
    <x v="11"/>
    <m/>
    <n v="890"/>
    <d v="2026-01-30T00:00:00"/>
    <m/>
    <x v="2"/>
    <x v="0"/>
    <x v="13"/>
  </r>
  <r>
    <x v="46"/>
    <x v="46"/>
    <x v="6"/>
    <m/>
    <n v="910"/>
    <d v="2026-01-30T00:00:00"/>
    <m/>
    <x v="13"/>
    <x v="0"/>
    <x v="30"/>
  </r>
  <r>
    <x v="11"/>
    <x v="11"/>
    <x v="6"/>
    <m/>
    <n v="910"/>
    <d v="2026-01-30T00:00:00"/>
    <m/>
    <x v="13"/>
    <x v="0"/>
    <x v="30"/>
  </r>
  <r>
    <x v="12"/>
    <x v="12"/>
    <x v="6"/>
    <m/>
    <n v="910"/>
    <d v="2026-01-30T00:00:00"/>
    <m/>
    <x v="13"/>
    <x v="0"/>
    <x v="30"/>
  </r>
  <r>
    <x v="7"/>
    <x v="7"/>
    <x v="6"/>
    <m/>
    <n v="910"/>
    <d v="2026-01-30T00:00:00"/>
    <m/>
    <x v="13"/>
    <x v="0"/>
    <x v="30"/>
  </r>
  <r>
    <x v="21"/>
    <x v="21"/>
    <x v="2"/>
    <m/>
    <n v="910"/>
    <d v="2026-01-30T00:00:00"/>
    <m/>
    <x v="13"/>
    <x v="0"/>
    <x v="30"/>
  </r>
  <r>
    <x v="10"/>
    <x v="10"/>
    <x v="6"/>
    <m/>
    <n v="910"/>
    <d v="2026-01-30T00:00:00"/>
    <m/>
    <x v="13"/>
    <x v="0"/>
    <x v="30"/>
  </r>
  <r>
    <x v="62"/>
    <x v="62"/>
    <x v="6"/>
    <m/>
    <n v="911"/>
    <d v="2026-01-30T00:00:00"/>
    <m/>
    <x v="13"/>
    <x v="0"/>
    <x v="50"/>
  </r>
  <r>
    <x v="1"/>
    <x v="1"/>
    <x v="0"/>
    <m/>
    <n v="912"/>
    <d v="2026-01-30T00:00:00"/>
    <m/>
    <x v="26"/>
    <x v="0"/>
    <x v="10"/>
  </r>
  <r>
    <x v="2"/>
    <x v="2"/>
    <x v="0"/>
    <m/>
    <n v="912"/>
    <d v="2026-01-30T00:00:00"/>
    <m/>
    <x v="26"/>
    <x v="0"/>
    <x v="10"/>
  </r>
  <r>
    <x v="23"/>
    <x v="23"/>
    <x v="13"/>
    <m/>
    <n v="904"/>
    <d v="2026-01-29T00:00:00"/>
    <m/>
    <x v="1"/>
    <x v="0"/>
    <x v="30"/>
  </r>
  <r>
    <x v="2"/>
    <x v="2"/>
    <x v="13"/>
    <m/>
    <n v="904"/>
    <d v="2026-01-29T00:00:00"/>
    <m/>
    <x v="1"/>
    <x v="0"/>
    <x v="30"/>
  </r>
  <r>
    <x v="1"/>
    <x v="1"/>
    <x v="13"/>
    <m/>
    <n v="904"/>
    <d v="2026-01-29T00:00:00"/>
    <m/>
    <x v="1"/>
    <x v="0"/>
    <x v="30"/>
  </r>
  <r>
    <x v="10"/>
    <x v="10"/>
    <x v="52"/>
    <m/>
    <n v="905"/>
    <d v="2026-01-29T00:00:00"/>
    <m/>
    <x v="6"/>
    <x v="0"/>
    <x v="23"/>
  </r>
  <r>
    <x v="32"/>
    <x v="32"/>
    <x v="52"/>
    <m/>
    <n v="905"/>
    <d v="2026-01-29T00:00:00"/>
    <m/>
    <x v="6"/>
    <x v="0"/>
    <x v="23"/>
  </r>
  <r>
    <x v="41"/>
    <x v="41"/>
    <x v="6"/>
    <m/>
    <n v="905"/>
    <d v="2026-01-29T00:00:00"/>
    <m/>
    <x v="6"/>
    <x v="0"/>
    <x v="23"/>
  </r>
  <r>
    <x v="7"/>
    <x v="7"/>
    <x v="52"/>
    <m/>
    <n v="905"/>
    <d v="2026-01-29T00:00:00"/>
    <m/>
    <x v="6"/>
    <x v="0"/>
    <x v="23"/>
  </r>
  <r>
    <x v="11"/>
    <x v="11"/>
    <x v="52"/>
    <m/>
    <n v="905"/>
    <d v="2026-01-29T00:00:00"/>
    <m/>
    <x v="6"/>
    <x v="0"/>
    <x v="23"/>
  </r>
  <r>
    <x v="1"/>
    <x v="1"/>
    <x v="13"/>
    <m/>
    <n v="906"/>
    <d v="2026-01-29T00:00:00"/>
    <m/>
    <x v="14"/>
    <x v="0"/>
    <x v="50"/>
  </r>
  <r>
    <x v="2"/>
    <x v="2"/>
    <x v="13"/>
    <m/>
    <n v="906"/>
    <d v="2026-01-29T00:00:00"/>
    <m/>
    <x v="14"/>
    <x v="0"/>
    <x v="50"/>
  </r>
  <r>
    <x v="0"/>
    <x v="0"/>
    <x v="13"/>
    <m/>
    <n v="906"/>
    <d v="2026-01-29T00:00:00"/>
    <m/>
    <x v="14"/>
    <x v="0"/>
    <x v="50"/>
  </r>
  <r>
    <x v="27"/>
    <x v="27"/>
    <x v="6"/>
    <m/>
    <n v="906"/>
    <d v="2026-01-29T00:00:00"/>
    <m/>
    <x v="14"/>
    <x v="0"/>
    <x v="50"/>
  </r>
  <r>
    <x v="20"/>
    <x v="20"/>
    <x v="2"/>
    <m/>
    <n v="907"/>
    <d v="2026-01-29T00:00:00"/>
    <m/>
    <x v="2"/>
    <x v="0"/>
    <x v="24"/>
  </r>
  <r>
    <x v="23"/>
    <x v="23"/>
    <x v="63"/>
    <m/>
    <n v="907"/>
    <d v="2026-01-29T00:00:00"/>
    <m/>
    <x v="2"/>
    <x v="0"/>
    <x v="24"/>
  </r>
  <r>
    <x v="27"/>
    <x v="27"/>
    <x v="2"/>
    <m/>
    <n v="908"/>
    <d v="2026-01-29T00:00:00"/>
    <m/>
    <x v="27"/>
    <x v="0"/>
    <x v="30"/>
  </r>
  <r>
    <x v="23"/>
    <x v="23"/>
    <x v="13"/>
    <m/>
    <n v="206"/>
    <d v="2026-01-29T00:00:00"/>
    <m/>
    <x v="0"/>
    <x v="0"/>
    <x v="0"/>
  </r>
  <r>
    <x v="25"/>
    <x v="25"/>
    <x v="6"/>
    <m/>
    <n v="206"/>
    <d v="2026-01-29T00:00:00"/>
    <m/>
    <x v="0"/>
    <x v="0"/>
    <x v="0"/>
  </r>
  <r>
    <x v="27"/>
    <x v="27"/>
    <x v="6"/>
    <m/>
    <n v="206"/>
    <d v="2026-01-29T00:00:00"/>
    <m/>
    <x v="0"/>
    <x v="0"/>
    <x v="0"/>
  </r>
  <r>
    <x v="24"/>
    <x v="24"/>
    <x v="11"/>
    <m/>
    <n v="866"/>
    <d v="2026-01-22T00:00:00"/>
    <m/>
    <x v="8"/>
    <x v="3"/>
    <x v="27"/>
  </r>
  <r>
    <x v="7"/>
    <x v="7"/>
    <x v="44"/>
    <m/>
    <n v="866"/>
    <d v="2026-01-22T00:00:00"/>
    <m/>
    <x v="8"/>
    <x v="3"/>
    <x v="27"/>
  </r>
  <r>
    <x v="28"/>
    <x v="28"/>
    <x v="11"/>
    <m/>
    <n v="866"/>
    <d v="2026-01-22T00:00:00"/>
    <m/>
    <x v="8"/>
    <x v="3"/>
    <x v="27"/>
  </r>
  <r>
    <x v="39"/>
    <x v="39"/>
    <x v="11"/>
    <m/>
    <n v="866"/>
    <d v="2026-01-22T00:00:00"/>
    <m/>
    <x v="8"/>
    <x v="3"/>
    <x v="27"/>
  </r>
  <r>
    <x v="10"/>
    <x v="10"/>
    <x v="11"/>
    <m/>
    <n v="866"/>
    <d v="2026-01-22T00:00:00"/>
    <m/>
    <x v="8"/>
    <x v="3"/>
    <x v="27"/>
  </r>
  <r>
    <x v="11"/>
    <x v="11"/>
    <x v="11"/>
    <m/>
    <n v="866"/>
    <d v="2026-01-22T00:00:00"/>
    <m/>
    <x v="8"/>
    <x v="3"/>
    <x v="27"/>
  </r>
  <r>
    <x v="12"/>
    <x v="12"/>
    <x v="11"/>
    <m/>
    <n v="866"/>
    <d v="2026-01-22T00:00:00"/>
    <m/>
    <x v="8"/>
    <x v="3"/>
    <x v="27"/>
  </r>
  <r>
    <x v="41"/>
    <x v="41"/>
    <x v="6"/>
    <m/>
    <n v="866"/>
    <d v="2026-01-22T00:00:00"/>
    <m/>
    <x v="8"/>
    <x v="3"/>
    <x v="27"/>
  </r>
  <r>
    <x v="8"/>
    <x v="8"/>
    <x v="11"/>
    <m/>
    <n v="866"/>
    <d v="2026-01-22T00:00:00"/>
    <m/>
    <x v="8"/>
    <x v="3"/>
    <x v="27"/>
  </r>
  <r>
    <x v="14"/>
    <x v="14"/>
    <x v="11"/>
    <m/>
    <n v="866"/>
    <d v="2026-01-22T00:00:00"/>
    <m/>
    <x v="8"/>
    <x v="3"/>
    <x v="27"/>
  </r>
  <r>
    <x v="13"/>
    <x v="13"/>
    <x v="11"/>
    <m/>
    <n v="866"/>
    <d v="2026-01-22T00:00:00"/>
    <m/>
    <x v="8"/>
    <x v="3"/>
    <x v="27"/>
  </r>
  <r>
    <x v="78"/>
    <x v="78"/>
    <x v="2"/>
    <m/>
    <n v="876"/>
    <d v="2026-01-22T00:00:00"/>
    <m/>
    <x v="8"/>
    <x v="0"/>
    <x v="27"/>
  </r>
  <r>
    <x v="49"/>
    <x v="49"/>
    <x v="11"/>
    <m/>
    <n v="876"/>
    <d v="2026-01-22T00:00:00"/>
    <m/>
    <x v="8"/>
    <x v="0"/>
    <x v="27"/>
  </r>
  <r>
    <x v="26"/>
    <x v="26"/>
    <x v="11"/>
    <m/>
    <n v="876"/>
    <d v="2026-01-22T00:00:00"/>
    <m/>
    <x v="8"/>
    <x v="0"/>
    <x v="27"/>
  </r>
  <r>
    <x v="36"/>
    <x v="36"/>
    <x v="64"/>
    <m/>
    <n v="876"/>
    <d v="2026-01-22T00:00:00"/>
    <m/>
    <x v="8"/>
    <x v="0"/>
    <x v="27"/>
  </r>
  <r>
    <x v="43"/>
    <x v="43"/>
    <x v="1"/>
    <m/>
    <n v="876"/>
    <d v="2026-01-22T00:00:00"/>
    <m/>
    <x v="8"/>
    <x v="0"/>
    <x v="27"/>
  </r>
  <r>
    <x v="15"/>
    <x v="15"/>
    <x v="52"/>
    <m/>
    <n v="876"/>
    <d v="2026-01-22T00:00:00"/>
    <m/>
    <x v="8"/>
    <x v="0"/>
    <x v="27"/>
  </r>
  <r>
    <x v="1"/>
    <x v="1"/>
    <x v="65"/>
    <m/>
    <n v="876"/>
    <d v="2026-01-22T00:00:00"/>
    <m/>
    <x v="8"/>
    <x v="0"/>
    <x v="27"/>
  </r>
  <r>
    <x v="2"/>
    <x v="2"/>
    <x v="65"/>
    <m/>
    <n v="876"/>
    <d v="2026-01-22T00:00:00"/>
    <m/>
    <x v="8"/>
    <x v="0"/>
    <x v="27"/>
  </r>
  <r>
    <x v="28"/>
    <x v="28"/>
    <x v="11"/>
    <m/>
    <n v="876"/>
    <d v="2026-01-22T00:00:00"/>
    <m/>
    <x v="8"/>
    <x v="0"/>
    <x v="27"/>
  </r>
  <r>
    <x v="10"/>
    <x v="10"/>
    <x v="8"/>
    <m/>
    <n v="876"/>
    <d v="2026-01-22T00:00:00"/>
    <m/>
    <x v="8"/>
    <x v="0"/>
    <x v="27"/>
  </r>
  <r>
    <x v="12"/>
    <x v="12"/>
    <x v="11"/>
    <m/>
    <n v="876"/>
    <d v="2026-01-22T00:00:00"/>
    <m/>
    <x v="8"/>
    <x v="0"/>
    <x v="27"/>
  </r>
  <r>
    <x v="11"/>
    <x v="11"/>
    <x v="11"/>
    <m/>
    <n v="876"/>
    <d v="2026-01-22T00:00:00"/>
    <m/>
    <x v="8"/>
    <x v="0"/>
    <x v="27"/>
  </r>
  <r>
    <x v="7"/>
    <x v="7"/>
    <x v="36"/>
    <m/>
    <n v="876"/>
    <d v="2026-01-22T00:00:00"/>
    <m/>
    <x v="8"/>
    <x v="0"/>
    <x v="27"/>
  </r>
  <r>
    <x v="29"/>
    <x v="29"/>
    <x v="8"/>
    <m/>
    <n v="876"/>
    <d v="2026-01-22T00:00:00"/>
    <m/>
    <x v="8"/>
    <x v="0"/>
    <x v="27"/>
  </r>
  <r>
    <x v="58"/>
    <x v="58"/>
    <x v="1"/>
    <m/>
    <n v="876"/>
    <d v="2026-01-22T00:00:00"/>
    <m/>
    <x v="8"/>
    <x v="0"/>
    <x v="27"/>
  </r>
  <r>
    <x v="6"/>
    <x v="6"/>
    <x v="10"/>
    <m/>
    <n v="876"/>
    <d v="2026-01-22T00:00:00"/>
    <m/>
    <x v="8"/>
    <x v="0"/>
    <x v="27"/>
  </r>
  <r>
    <x v="24"/>
    <x v="24"/>
    <x v="28"/>
    <m/>
    <n v="876"/>
    <d v="2026-01-22T00:00:00"/>
    <m/>
    <x v="8"/>
    <x v="0"/>
    <x v="27"/>
  </r>
  <r>
    <x v="13"/>
    <x v="13"/>
    <x v="34"/>
    <m/>
    <n v="876"/>
    <d v="2026-01-22T00:00:00"/>
    <m/>
    <x v="8"/>
    <x v="0"/>
    <x v="27"/>
  </r>
  <r>
    <x v="14"/>
    <x v="14"/>
    <x v="11"/>
    <m/>
    <n v="876"/>
    <d v="2026-01-22T00:00:00"/>
    <m/>
    <x v="8"/>
    <x v="0"/>
    <x v="27"/>
  </r>
  <r>
    <x v="38"/>
    <x v="38"/>
    <x v="10"/>
    <m/>
    <n v="876"/>
    <d v="2026-01-22T00:00:00"/>
    <m/>
    <x v="8"/>
    <x v="0"/>
    <x v="27"/>
  </r>
  <r>
    <x v="39"/>
    <x v="39"/>
    <x v="10"/>
    <m/>
    <n v="876"/>
    <d v="2026-01-22T00:00:00"/>
    <m/>
    <x v="8"/>
    <x v="0"/>
    <x v="27"/>
  </r>
  <r>
    <x v="33"/>
    <x v="33"/>
    <x v="6"/>
    <m/>
    <n v="876"/>
    <d v="2026-01-22T00:00:00"/>
    <m/>
    <x v="8"/>
    <x v="0"/>
    <x v="27"/>
  </r>
  <r>
    <x v="79"/>
    <x v="79"/>
    <x v="6"/>
    <m/>
    <n v="876"/>
    <d v="2026-01-22T00:00:00"/>
    <m/>
    <x v="8"/>
    <x v="0"/>
    <x v="27"/>
  </r>
  <r>
    <x v="34"/>
    <x v="34"/>
    <x v="6"/>
    <m/>
    <n v="876"/>
    <d v="2026-01-22T00:00:00"/>
    <m/>
    <x v="8"/>
    <x v="0"/>
    <x v="27"/>
  </r>
  <r>
    <x v="0"/>
    <x v="0"/>
    <x v="1"/>
    <m/>
    <n v="876"/>
    <d v="2026-01-22T00:00:00"/>
    <m/>
    <x v="8"/>
    <x v="0"/>
    <x v="27"/>
  </r>
  <r>
    <x v="3"/>
    <x v="3"/>
    <x v="8"/>
    <m/>
    <n v="875"/>
    <d v="2026-01-22T00:00:00"/>
    <m/>
    <x v="8"/>
    <x v="0"/>
    <x v="27"/>
  </r>
  <r>
    <x v="61"/>
    <x v="61"/>
    <x v="6"/>
    <m/>
    <n v="875"/>
    <d v="2026-01-22T00:00:00"/>
    <m/>
    <x v="8"/>
    <x v="0"/>
    <x v="27"/>
  </r>
  <r>
    <x v="35"/>
    <x v="35"/>
    <x v="6"/>
    <m/>
    <n v="875"/>
    <d v="2026-01-22T00:00:00"/>
    <m/>
    <x v="8"/>
    <x v="0"/>
    <x v="27"/>
  </r>
  <r>
    <x v="4"/>
    <x v="4"/>
    <x v="6"/>
    <m/>
    <n v="875"/>
    <d v="2026-01-22T00:00:00"/>
    <m/>
    <x v="8"/>
    <x v="0"/>
    <x v="27"/>
  </r>
  <r>
    <x v="60"/>
    <x v="60"/>
    <x v="6"/>
    <m/>
    <n v="875"/>
    <d v="2026-01-22T00:00:00"/>
    <m/>
    <x v="8"/>
    <x v="0"/>
    <x v="27"/>
  </r>
  <r>
    <x v="80"/>
    <x v="80"/>
    <x v="6"/>
    <m/>
    <n v="875"/>
    <d v="2026-01-22T00:00:00"/>
    <m/>
    <x v="8"/>
    <x v="0"/>
    <x v="27"/>
  </r>
  <r>
    <x v="24"/>
    <x v="24"/>
    <x v="4"/>
    <m/>
    <n v="878"/>
    <d v="2026-01-22T00:00:00"/>
    <m/>
    <x v="8"/>
    <x v="0"/>
    <x v="11"/>
  </r>
  <r>
    <x v="24"/>
    <x v="24"/>
    <x v="3"/>
    <m/>
    <n v="879"/>
    <d v="2026-01-22T00:00:00"/>
    <m/>
    <x v="8"/>
    <x v="3"/>
    <x v="11"/>
  </r>
  <r>
    <x v="25"/>
    <x v="25"/>
    <x v="4"/>
    <m/>
    <n v="891"/>
    <d v="2026-01-27T00:00:00"/>
    <m/>
    <x v="2"/>
    <x v="0"/>
    <x v="13"/>
  </r>
  <r>
    <x v="20"/>
    <x v="20"/>
    <x v="6"/>
    <m/>
    <n v="891"/>
    <d v="2026-01-27T00:00:00"/>
    <m/>
    <x v="2"/>
    <x v="0"/>
    <x v="13"/>
  </r>
  <r>
    <x v="69"/>
    <x v="69"/>
    <x v="6"/>
    <m/>
    <n v="896"/>
    <d v="2026-01-28T00:00:00"/>
    <m/>
    <x v="8"/>
    <x v="0"/>
    <x v="32"/>
  </r>
  <r>
    <x v="24"/>
    <x v="24"/>
    <x v="2"/>
    <m/>
    <n v="896"/>
    <d v="2026-01-28T00:00:00"/>
    <m/>
    <x v="8"/>
    <x v="0"/>
    <x v="32"/>
  </r>
  <r>
    <x v="9"/>
    <x v="9"/>
    <x v="6"/>
    <m/>
    <n v="896"/>
    <d v="2026-01-28T00:00:00"/>
    <m/>
    <x v="8"/>
    <x v="2"/>
    <x v="32"/>
  </r>
  <r>
    <x v="14"/>
    <x v="14"/>
    <x v="6"/>
    <m/>
    <n v="896"/>
    <d v="2026-01-28T00:00:00"/>
    <m/>
    <x v="8"/>
    <x v="0"/>
    <x v="32"/>
  </r>
  <r>
    <x v="7"/>
    <x v="7"/>
    <x v="8"/>
    <m/>
    <n v="896"/>
    <d v="2026-01-28T00:00:00"/>
    <m/>
    <x v="8"/>
    <x v="0"/>
    <x v="32"/>
  </r>
  <r>
    <x v="11"/>
    <x v="11"/>
    <x v="6"/>
    <m/>
    <n v="896"/>
    <d v="2026-01-28T00:00:00"/>
    <m/>
    <x v="8"/>
    <x v="0"/>
    <x v="32"/>
  </r>
  <r>
    <x v="10"/>
    <x v="10"/>
    <x v="6"/>
    <m/>
    <n v="896"/>
    <d v="2026-01-28T00:00:00"/>
    <m/>
    <x v="8"/>
    <x v="0"/>
    <x v="32"/>
  </r>
  <r>
    <x v="8"/>
    <x v="8"/>
    <x v="6"/>
    <m/>
    <n v="896"/>
    <d v="2026-01-28T00:00:00"/>
    <m/>
    <x v="8"/>
    <x v="0"/>
    <x v="32"/>
  </r>
  <r>
    <x v="12"/>
    <x v="12"/>
    <x v="6"/>
    <m/>
    <n v="896"/>
    <d v="2026-01-28T00:00:00"/>
    <m/>
    <x v="8"/>
    <x v="0"/>
    <x v="32"/>
  </r>
  <r>
    <x v="1"/>
    <x v="1"/>
    <x v="2"/>
    <m/>
    <n v="896"/>
    <d v="2026-01-28T00:00:00"/>
    <m/>
    <x v="8"/>
    <x v="0"/>
    <x v="32"/>
  </r>
  <r>
    <x v="2"/>
    <x v="2"/>
    <x v="2"/>
    <m/>
    <n v="896"/>
    <d v="2026-01-28T00:00:00"/>
    <m/>
    <x v="8"/>
    <x v="0"/>
    <x v="32"/>
  </r>
  <r>
    <x v="13"/>
    <x v="13"/>
    <x v="6"/>
    <m/>
    <n v="896"/>
    <d v="2026-01-28T00:00:00"/>
    <m/>
    <x v="8"/>
    <x v="0"/>
    <x v="32"/>
  </r>
  <r>
    <x v="5"/>
    <x v="5"/>
    <x v="6"/>
    <m/>
    <n v="897"/>
    <d v="2026-01-28T00:00:00"/>
    <m/>
    <x v="8"/>
    <x v="0"/>
    <x v="34"/>
  </r>
  <r>
    <x v="24"/>
    <x v="24"/>
    <x v="1"/>
    <m/>
    <n v="897"/>
    <d v="2026-01-28T00:00:00"/>
    <m/>
    <x v="8"/>
    <x v="0"/>
    <x v="34"/>
  </r>
  <r>
    <x v="9"/>
    <x v="9"/>
    <x v="6"/>
    <m/>
    <n v="897"/>
    <d v="2026-01-28T00:00:00"/>
    <m/>
    <x v="8"/>
    <x v="2"/>
    <x v="34"/>
  </r>
  <r>
    <x v="14"/>
    <x v="14"/>
    <x v="6"/>
    <m/>
    <n v="897"/>
    <d v="2026-01-28T00:00:00"/>
    <m/>
    <x v="8"/>
    <x v="0"/>
    <x v="34"/>
  </r>
  <r>
    <x v="7"/>
    <x v="7"/>
    <x v="8"/>
    <m/>
    <n v="897"/>
    <d v="2026-01-28T00:00:00"/>
    <m/>
    <x v="8"/>
    <x v="0"/>
    <x v="34"/>
  </r>
  <r>
    <x v="11"/>
    <x v="11"/>
    <x v="6"/>
    <m/>
    <n v="897"/>
    <d v="2026-01-28T00:00:00"/>
    <m/>
    <x v="8"/>
    <x v="0"/>
    <x v="34"/>
  </r>
  <r>
    <x v="10"/>
    <x v="10"/>
    <x v="6"/>
    <m/>
    <n v="897"/>
    <d v="2026-01-28T00:00:00"/>
    <m/>
    <x v="8"/>
    <x v="0"/>
    <x v="34"/>
  </r>
  <r>
    <x v="8"/>
    <x v="8"/>
    <x v="6"/>
    <m/>
    <n v="897"/>
    <d v="2026-01-28T00:00:00"/>
    <m/>
    <x v="8"/>
    <x v="0"/>
    <x v="34"/>
  </r>
  <r>
    <x v="12"/>
    <x v="12"/>
    <x v="6"/>
    <m/>
    <n v="897"/>
    <d v="2026-01-28T00:00:00"/>
    <m/>
    <x v="8"/>
    <x v="0"/>
    <x v="34"/>
  </r>
  <r>
    <x v="1"/>
    <x v="1"/>
    <x v="1"/>
    <m/>
    <n v="897"/>
    <d v="2026-01-28T00:00:00"/>
    <m/>
    <x v="8"/>
    <x v="0"/>
    <x v="34"/>
  </r>
  <r>
    <x v="2"/>
    <x v="2"/>
    <x v="1"/>
    <m/>
    <n v="897"/>
    <d v="2026-01-28T00:00:00"/>
    <m/>
    <x v="8"/>
    <x v="0"/>
    <x v="34"/>
  </r>
  <r>
    <x v="13"/>
    <x v="13"/>
    <x v="6"/>
    <m/>
    <n v="897"/>
    <d v="2026-01-28T00:00:00"/>
    <m/>
    <x v="8"/>
    <x v="0"/>
    <x v="34"/>
  </r>
  <r>
    <x v="5"/>
    <x v="5"/>
    <x v="6"/>
    <m/>
    <n v="898"/>
    <d v="2026-01-28T00:00:00"/>
    <m/>
    <x v="8"/>
    <x v="0"/>
    <x v="33"/>
  </r>
  <r>
    <x v="24"/>
    <x v="24"/>
    <x v="2"/>
    <m/>
    <n v="898"/>
    <d v="2026-01-28T00:00:00"/>
    <m/>
    <x v="8"/>
    <x v="0"/>
    <x v="33"/>
  </r>
  <r>
    <x v="9"/>
    <x v="9"/>
    <x v="6"/>
    <m/>
    <n v="898"/>
    <d v="2026-01-28T00:00:00"/>
    <m/>
    <x v="8"/>
    <x v="2"/>
    <x v="33"/>
  </r>
  <r>
    <x v="14"/>
    <x v="14"/>
    <x v="6"/>
    <m/>
    <n v="898"/>
    <d v="2026-01-28T00:00:00"/>
    <m/>
    <x v="8"/>
    <x v="0"/>
    <x v="33"/>
  </r>
  <r>
    <x v="7"/>
    <x v="7"/>
    <x v="8"/>
    <m/>
    <n v="898"/>
    <d v="2026-01-28T00:00:00"/>
    <m/>
    <x v="8"/>
    <x v="0"/>
    <x v="33"/>
  </r>
  <r>
    <x v="11"/>
    <x v="11"/>
    <x v="6"/>
    <m/>
    <n v="898"/>
    <d v="2026-01-28T00:00:00"/>
    <m/>
    <x v="8"/>
    <x v="0"/>
    <x v="33"/>
  </r>
  <r>
    <x v="10"/>
    <x v="10"/>
    <x v="6"/>
    <m/>
    <n v="898"/>
    <d v="2026-01-28T00:00:00"/>
    <m/>
    <x v="8"/>
    <x v="0"/>
    <x v="33"/>
  </r>
  <r>
    <x v="8"/>
    <x v="8"/>
    <x v="6"/>
    <m/>
    <n v="898"/>
    <d v="2026-01-28T00:00:00"/>
    <m/>
    <x v="8"/>
    <x v="0"/>
    <x v="33"/>
  </r>
  <r>
    <x v="12"/>
    <x v="12"/>
    <x v="6"/>
    <m/>
    <n v="898"/>
    <d v="2026-01-28T00:00:00"/>
    <m/>
    <x v="8"/>
    <x v="0"/>
    <x v="33"/>
  </r>
  <r>
    <x v="1"/>
    <x v="1"/>
    <x v="2"/>
    <m/>
    <n v="898"/>
    <d v="2026-01-28T00:00:00"/>
    <m/>
    <x v="8"/>
    <x v="0"/>
    <x v="33"/>
  </r>
  <r>
    <x v="2"/>
    <x v="2"/>
    <x v="2"/>
    <m/>
    <n v="898"/>
    <d v="2026-01-28T00:00:00"/>
    <m/>
    <x v="8"/>
    <x v="0"/>
    <x v="33"/>
  </r>
  <r>
    <x v="13"/>
    <x v="13"/>
    <x v="6"/>
    <m/>
    <n v="898"/>
    <d v="2026-01-28T00:00:00"/>
    <m/>
    <x v="8"/>
    <x v="0"/>
    <x v="33"/>
  </r>
  <r>
    <x v="20"/>
    <x v="20"/>
    <x v="8"/>
    <m/>
    <n v="845"/>
    <d v="2026-01-26T00:00:00"/>
    <m/>
    <x v="0"/>
    <x v="0"/>
    <x v="0"/>
  </r>
  <r>
    <x v="1"/>
    <x v="1"/>
    <x v="0"/>
    <m/>
    <n v="894"/>
    <d v="2026-01-27T00:00:00"/>
    <m/>
    <x v="0"/>
    <x v="0"/>
    <x v="0"/>
  </r>
  <r>
    <x v="2"/>
    <x v="2"/>
    <x v="0"/>
    <m/>
    <n v="894"/>
    <d v="2026-01-27T00:00:00"/>
    <m/>
    <x v="0"/>
    <x v="0"/>
    <x v="0"/>
  </r>
  <r>
    <x v="0"/>
    <x v="0"/>
    <x v="13"/>
    <m/>
    <n v="894"/>
    <d v="2026-01-27T00:00:00"/>
    <m/>
    <x v="0"/>
    <x v="0"/>
    <x v="0"/>
  </r>
  <r>
    <x v="0"/>
    <x v="0"/>
    <x v="13"/>
    <m/>
    <n v="203"/>
    <d v="2026-01-28T00:00:00"/>
    <m/>
    <x v="0"/>
    <x v="0"/>
    <x v="0"/>
  </r>
  <r>
    <x v="5"/>
    <x v="5"/>
    <x v="3"/>
    <m/>
    <n v="203"/>
    <d v="2026-01-28T00:00:00"/>
    <m/>
    <x v="0"/>
    <x v="0"/>
    <x v="0"/>
  </r>
  <r>
    <x v="9"/>
    <x v="9"/>
    <x v="3"/>
    <m/>
    <n v="203"/>
    <d v="2026-01-28T00:00:00"/>
    <m/>
    <x v="0"/>
    <x v="2"/>
    <x v="0"/>
  </r>
  <r>
    <x v="8"/>
    <x v="8"/>
    <x v="3"/>
    <m/>
    <n v="203"/>
    <d v="2026-01-28T00:00:00"/>
    <m/>
    <x v="0"/>
    <x v="0"/>
    <x v="0"/>
  </r>
  <r>
    <x v="7"/>
    <x v="7"/>
    <x v="5"/>
    <m/>
    <n v="203"/>
    <d v="2026-01-28T00:00:00"/>
    <m/>
    <x v="0"/>
    <x v="0"/>
    <x v="0"/>
  </r>
  <r>
    <x v="10"/>
    <x v="10"/>
    <x v="3"/>
    <m/>
    <n v="203"/>
    <d v="2026-01-28T00:00:00"/>
    <m/>
    <x v="0"/>
    <x v="0"/>
    <x v="0"/>
  </r>
  <r>
    <x v="11"/>
    <x v="11"/>
    <x v="3"/>
    <m/>
    <n v="203"/>
    <d v="2026-01-28T00:00:00"/>
    <m/>
    <x v="0"/>
    <x v="0"/>
    <x v="0"/>
  </r>
  <r>
    <x v="32"/>
    <x v="32"/>
    <x v="3"/>
    <m/>
    <n v="203"/>
    <d v="2026-01-28T00:00:00"/>
    <m/>
    <x v="0"/>
    <x v="0"/>
    <x v="0"/>
  </r>
  <r>
    <x v="13"/>
    <x v="13"/>
    <x v="3"/>
    <m/>
    <n v="203"/>
    <d v="2026-01-28T00:00:00"/>
    <m/>
    <x v="0"/>
    <x v="0"/>
    <x v="0"/>
  </r>
  <r>
    <x v="14"/>
    <x v="14"/>
    <x v="3"/>
    <m/>
    <n v="203"/>
    <d v="2026-01-28T00:00:00"/>
    <m/>
    <x v="0"/>
    <x v="0"/>
    <x v="0"/>
  </r>
  <r>
    <x v="15"/>
    <x v="15"/>
    <x v="8"/>
    <m/>
    <n v="203"/>
    <d v="2026-01-28T00:00:00"/>
    <m/>
    <x v="0"/>
    <x v="0"/>
    <x v="0"/>
  </r>
  <r>
    <x v="28"/>
    <x v="28"/>
    <x v="6"/>
    <m/>
    <n v="899"/>
    <d v="2026-01-28T00:00:00"/>
    <m/>
    <x v="8"/>
    <x v="0"/>
    <x v="52"/>
  </r>
  <r>
    <x v="24"/>
    <x v="24"/>
    <x v="1"/>
    <m/>
    <n v="899"/>
    <d v="2026-01-28T00:00:00"/>
    <m/>
    <x v="8"/>
    <x v="0"/>
    <x v="52"/>
  </r>
  <r>
    <x v="9"/>
    <x v="9"/>
    <x v="6"/>
    <m/>
    <n v="899"/>
    <d v="2026-01-28T00:00:00"/>
    <m/>
    <x v="8"/>
    <x v="2"/>
    <x v="52"/>
  </r>
  <r>
    <x v="14"/>
    <x v="14"/>
    <x v="6"/>
    <m/>
    <n v="899"/>
    <d v="2026-01-28T00:00:00"/>
    <m/>
    <x v="8"/>
    <x v="0"/>
    <x v="52"/>
  </r>
  <r>
    <x v="7"/>
    <x v="7"/>
    <x v="8"/>
    <m/>
    <n v="899"/>
    <d v="2026-01-28T00:00:00"/>
    <m/>
    <x v="8"/>
    <x v="0"/>
    <x v="52"/>
  </r>
  <r>
    <x v="11"/>
    <x v="11"/>
    <x v="6"/>
    <m/>
    <n v="899"/>
    <d v="2026-01-28T00:00:00"/>
    <m/>
    <x v="8"/>
    <x v="0"/>
    <x v="52"/>
  </r>
  <r>
    <x v="10"/>
    <x v="10"/>
    <x v="6"/>
    <m/>
    <n v="899"/>
    <d v="2026-01-28T00:00:00"/>
    <m/>
    <x v="8"/>
    <x v="0"/>
    <x v="52"/>
  </r>
  <r>
    <x v="8"/>
    <x v="8"/>
    <x v="6"/>
    <m/>
    <n v="899"/>
    <d v="2026-01-28T00:00:00"/>
    <m/>
    <x v="8"/>
    <x v="0"/>
    <x v="52"/>
  </r>
  <r>
    <x v="32"/>
    <x v="32"/>
    <x v="6"/>
    <m/>
    <n v="899"/>
    <d v="2026-01-28T00:00:00"/>
    <m/>
    <x v="8"/>
    <x v="0"/>
    <x v="52"/>
  </r>
  <r>
    <x v="1"/>
    <x v="1"/>
    <x v="1"/>
    <m/>
    <n v="899"/>
    <d v="2026-01-28T00:00:00"/>
    <m/>
    <x v="8"/>
    <x v="0"/>
    <x v="52"/>
  </r>
  <r>
    <x v="2"/>
    <x v="2"/>
    <x v="1"/>
    <m/>
    <n v="899"/>
    <d v="2026-01-28T00:00:00"/>
    <m/>
    <x v="8"/>
    <x v="0"/>
    <x v="52"/>
  </r>
  <r>
    <x v="13"/>
    <x v="13"/>
    <x v="6"/>
    <m/>
    <n v="899"/>
    <d v="2026-01-28T00:00:00"/>
    <m/>
    <x v="8"/>
    <x v="0"/>
    <x v="52"/>
  </r>
  <r>
    <x v="6"/>
    <x v="6"/>
    <x v="6"/>
    <m/>
    <n v="899"/>
    <d v="2026-01-28T00:00:00"/>
    <m/>
    <x v="8"/>
    <x v="0"/>
    <x v="52"/>
  </r>
  <r>
    <x v="6"/>
    <x v="6"/>
    <x v="11"/>
    <m/>
    <n v="900"/>
    <d v="2026-01-28T00:00:00"/>
    <m/>
    <x v="8"/>
    <x v="0"/>
    <x v="53"/>
  </r>
  <r>
    <x v="64"/>
    <x v="64"/>
    <x v="11"/>
    <m/>
    <n v="900"/>
    <d v="2026-01-28T00:00:00"/>
    <m/>
    <x v="8"/>
    <x v="0"/>
    <x v="53"/>
  </r>
  <r>
    <x v="39"/>
    <x v="39"/>
    <x v="2"/>
    <m/>
    <n v="901"/>
    <d v="2026-01-28T00:00:00"/>
    <m/>
    <x v="1"/>
    <x v="0"/>
    <x v="30"/>
  </r>
  <r>
    <x v="38"/>
    <x v="38"/>
    <x v="2"/>
    <m/>
    <n v="901"/>
    <d v="2026-01-28T00:00:00"/>
    <m/>
    <x v="1"/>
    <x v="0"/>
    <x v="30"/>
  </r>
  <r>
    <x v="6"/>
    <x v="6"/>
    <x v="2"/>
    <m/>
    <n v="901"/>
    <d v="2026-01-28T00:00:00"/>
    <m/>
    <x v="1"/>
    <x v="0"/>
    <x v="30"/>
  </r>
  <r>
    <x v="7"/>
    <x v="7"/>
    <x v="2"/>
    <m/>
    <n v="901"/>
    <d v="2026-01-28T00:00:00"/>
    <m/>
    <x v="1"/>
    <x v="0"/>
    <x v="30"/>
  </r>
  <r>
    <x v="46"/>
    <x v="46"/>
    <x v="2"/>
    <m/>
    <n v="901"/>
    <d v="2026-01-28T00:00:00"/>
    <m/>
    <x v="1"/>
    <x v="0"/>
    <x v="30"/>
  </r>
  <r>
    <x v="51"/>
    <x v="51"/>
    <x v="6"/>
    <m/>
    <n v="901"/>
    <d v="2026-01-28T00:00:00"/>
    <m/>
    <x v="1"/>
    <x v="0"/>
    <x v="30"/>
  </r>
  <r>
    <x v="21"/>
    <x v="21"/>
    <x v="2"/>
    <m/>
    <n v="901"/>
    <d v="2026-01-28T00:00:00"/>
    <m/>
    <x v="1"/>
    <x v="0"/>
    <x v="30"/>
  </r>
  <r>
    <x v="20"/>
    <x v="20"/>
    <x v="10"/>
    <m/>
    <n v="901"/>
    <d v="2026-01-28T00:00:00"/>
    <m/>
    <x v="1"/>
    <x v="0"/>
    <x v="30"/>
  </r>
  <r>
    <x v="25"/>
    <x v="25"/>
    <x v="3"/>
    <m/>
    <n v="901"/>
    <d v="2026-01-28T00:00:00"/>
    <m/>
    <x v="1"/>
    <x v="0"/>
    <x v="30"/>
  </r>
  <r>
    <x v="24"/>
    <x v="24"/>
    <x v="8"/>
    <m/>
    <n v="901"/>
    <d v="2026-01-28T00:00:00"/>
    <m/>
    <x v="1"/>
    <x v="0"/>
    <x v="30"/>
  </r>
  <r>
    <x v="13"/>
    <x v="13"/>
    <x v="1"/>
    <m/>
    <n v="901"/>
    <d v="2026-01-28T00:00:00"/>
    <m/>
    <x v="1"/>
    <x v="0"/>
    <x v="30"/>
  </r>
  <r>
    <x v="14"/>
    <x v="14"/>
    <x v="1"/>
    <m/>
    <n v="901"/>
    <d v="2026-01-28T00:00:00"/>
    <m/>
    <x v="1"/>
    <x v="0"/>
    <x v="30"/>
  </r>
  <r>
    <x v="11"/>
    <x v="11"/>
    <x v="2"/>
    <m/>
    <n v="901"/>
    <d v="2026-01-28T00:00:00"/>
    <m/>
    <x v="1"/>
    <x v="0"/>
    <x v="30"/>
  </r>
  <r>
    <x v="32"/>
    <x v="32"/>
    <x v="2"/>
    <m/>
    <n v="901"/>
    <d v="2026-01-28T00:00:00"/>
    <m/>
    <x v="1"/>
    <x v="0"/>
    <x v="30"/>
  </r>
  <r>
    <x v="23"/>
    <x v="23"/>
    <x v="0"/>
    <m/>
    <n v="887"/>
    <d v="2026-01-26T00:00:00"/>
    <m/>
    <x v="13"/>
    <x v="0"/>
    <x v="30"/>
  </r>
  <r>
    <x v="1"/>
    <x v="1"/>
    <x v="0"/>
    <m/>
    <n v="887"/>
    <d v="2026-01-26T00:00:00"/>
    <m/>
    <x v="13"/>
    <x v="0"/>
    <x v="30"/>
  </r>
  <r>
    <x v="2"/>
    <x v="2"/>
    <x v="0"/>
    <m/>
    <n v="887"/>
    <d v="2026-01-26T00:00:00"/>
    <m/>
    <x v="13"/>
    <x v="0"/>
    <x v="30"/>
  </r>
  <r>
    <x v="27"/>
    <x v="27"/>
    <x v="6"/>
    <m/>
    <n v="888"/>
    <d v="2026-01-26T00:00:00"/>
    <m/>
    <x v="28"/>
    <x v="0"/>
    <x v="50"/>
  </r>
  <r>
    <x v="23"/>
    <x v="23"/>
    <x v="13"/>
    <m/>
    <n v="202"/>
    <d v="2026-01-26T00:00:00"/>
    <m/>
    <x v="0"/>
    <x v="0"/>
    <x v="0"/>
  </r>
  <r>
    <x v="1"/>
    <x v="1"/>
    <x v="11"/>
    <m/>
    <n v="202"/>
    <d v="2026-01-26T00:00:00"/>
    <m/>
    <x v="0"/>
    <x v="0"/>
    <x v="0"/>
  </r>
  <r>
    <x v="2"/>
    <x v="2"/>
    <x v="11"/>
    <m/>
    <n v="202"/>
    <d v="2026-01-26T00:00:00"/>
    <m/>
    <x v="0"/>
    <x v="0"/>
    <x v="0"/>
  </r>
  <r>
    <x v="17"/>
    <x v="17"/>
    <x v="6"/>
    <m/>
    <n v="202"/>
    <d v="2026-01-26T00:00:00"/>
    <m/>
    <x v="0"/>
    <x v="0"/>
    <x v="0"/>
  </r>
  <r>
    <x v="34"/>
    <x v="34"/>
    <x v="6"/>
    <m/>
    <n v="202"/>
    <d v="2026-01-26T00:00:00"/>
    <m/>
    <x v="0"/>
    <x v="0"/>
    <x v="0"/>
  </r>
  <r>
    <x v="0"/>
    <x v="0"/>
    <x v="13"/>
    <m/>
    <n v="202"/>
    <d v="2026-01-26T00:00:00"/>
    <m/>
    <x v="0"/>
    <x v="0"/>
    <x v="0"/>
  </r>
  <r>
    <x v="3"/>
    <x v="3"/>
    <x v="4"/>
    <m/>
    <n v="202"/>
    <d v="2026-01-26T00:00:00"/>
    <m/>
    <x v="0"/>
    <x v="0"/>
    <x v="0"/>
  </r>
  <r>
    <x v="4"/>
    <x v="4"/>
    <x v="8"/>
    <m/>
    <n v="202"/>
    <d v="2026-01-26T00:00:00"/>
    <m/>
    <x v="0"/>
    <x v="0"/>
    <x v="0"/>
  </r>
  <r>
    <x v="27"/>
    <x v="27"/>
    <x v="6"/>
    <m/>
    <n v="202"/>
    <d v="2026-01-26T00:00:00"/>
    <m/>
    <x v="0"/>
    <x v="0"/>
    <x v="0"/>
  </r>
  <r>
    <x v="10"/>
    <x v="10"/>
    <x v="2"/>
    <m/>
    <n v="18"/>
    <d v="2026-01-22T00:00:00"/>
    <m/>
    <x v="0"/>
    <x v="0"/>
    <x v="0"/>
  </r>
  <r>
    <x v="7"/>
    <x v="7"/>
    <x v="2"/>
    <m/>
    <n v="18"/>
    <d v="2026-01-22T00:00:00"/>
    <m/>
    <x v="0"/>
    <x v="0"/>
    <x v="0"/>
  </r>
  <r>
    <x v="6"/>
    <x v="6"/>
    <x v="2"/>
    <m/>
    <n v="18"/>
    <d v="2026-01-22T00:00:00"/>
    <m/>
    <x v="0"/>
    <x v="0"/>
    <x v="0"/>
  </r>
  <r>
    <x v="46"/>
    <x v="46"/>
    <x v="2"/>
    <m/>
    <n v="18"/>
    <d v="2026-01-22T00:00:00"/>
    <m/>
    <x v="0"/>
    <x v="0"/>
    <x v="0"/>
  </r>
  <r>
    <x v="24"/>
    <x v="24"/>
    <x v="2"/>
    <m/>
    <n v="18"/>
    <d v="2026-01-22T00:00:00"/>
    <m/>
    <x v="0"/>
    <x v="0"/>
    <x v="0"/>
  </r>
  <r>
    <x v="11"/>
    <x v="11"/>
    <x v="2"/>
    <m/>
    <n v="18"/>
    <d v="2026-01-22T00:00:00"/>
    <m/>
    <x v="0"/>
    <x v="0"/>
    <x v="0"/>
  </r>
  <r>
    <x v="41"/>
    <x v="41"/>
    <x v="6"/>
    <m/>
    <n v="18"/>
    <d v="2026-01-22T00:00:00"/>
    <m/>
    <x v="0"/>
    <x v="0"/>
    <x v="0"/>
  </r>
  <r>
    <x v="11"/>
    <x v="11"/>
    <x v="6"/>
    <m/>
    <n v="19"/>
    <d v="2026-01-23T00:00:00"/>
    <m/>
    <x v="0"/>
    <x v="0"/>
    <x v="0"/>
  </r>
  <r>
    <x v="15"/>
    <x v="15"/>
    <x v="2"/>
    <m/>
    <n v="19"/>
    <d v="2026-01-23T00:00:00"/>
    <m/>
    <x v="0"/>
    <x v="0"/>
    <x v="0"/>
  </r>
  <r>
    <x v="30"/>
    <x v="30"/>
    <x v="10"/>
    <m/>
    <n v="867"/>
    <d v="2026-01-22T00:00:00"/>
    <m/>
    <x v="8"/>
    <x v="0"/>
    <x v="11"/>
  </r>
  <r>
    <x v="31"/>
    <x v="31"/>
    <x v="28"/>
    <m/>
    <n v="867"/>
    <d v="2026-01-22T00:00:00"/>
    <m/>
    <x v="8"/>
    <x v="0"/>
    <x v="11"/>
  </r>
  <r>
    <x v="9"/>
    <x v="9"/>
    <x v="1"/>
    <m/>
    <n v="867"/>
    <d v="2026-01-22T00:00:00"/>
    <m/>
    <x v="8"/>
    <x v="0"/>
    <x v="11"/>
  </r>
  <r>
    <x v="7"/>
    <x v="7"/>
    <x v="10"/>
    <m/>
    <n v="867"/>
    <d v="2026-01-22T00:00:00"/>
    <m/>
    <x v="8"/>
    <x v="0"/>
    <x v="11"/>
  </r>
  <r>
    <x v="6"/>
    <x v="6"/>
    <x v="1"/>
    <m/>
    <n v="867"/>
    <d v="2026-01-22T00:00:00"/>
    <m/>
    <x v="8"/>
    <x v="0"/>
    <x v="11"/>
  </r>
  <r>
    <x v="10"/>
    <x v="10"/>
    <x v="1"/>
    <m/>
    <n v="867"/>
    <d v="2026-01-22T00:00:00"/>
    <m/>
    <x v="8"/>
    <x v="0"/>
    <x v="11"/>
  </r>
  <r>
    <x v="69"/>
    <x v="69"/>
    <x v="1"/>
    <m/>
    <n v="867"/>
    <d v="2026-01-22T00:00:00"/>
    <m/>
    <x v="8"/>
    <x v="0"/>
    <x v="11"/>
  </r>
  <r>
    <x v="11"/>
    <x v="11"/>
    <x v="1"/>
    <m/>
    <n v="867"/>
    <d v="2026-01-22T00:00:00"/>
    <m/>
    <x v="8"/>
    <x v="0"/>
    <x v="11"/>
  </r>
  <r>
    <x v="12"/>
    <x v="12"/>
    <x v="1"/>
    <m/>
    <n v="867"/>
    <d v="2026-01-22T00:00:00"/>
    <m/>
    <x v="8"/>
    <x v="0"/>
    <x v="11"/>
  </r>
  <r>
    <x v="81"/>
    <x v="81"/>
    <x v="14"/>
    <m/>
    <n v="867"/>
    <d v="2026-01-22T00:00:00"/>
    <m/>
    <x v="8"/>
    <x v="0"/>
    <x v="11"/>
  </r>
  <r>
    <x v="53"/>
    <x v="53"/>
    <x v="1"/>
    <m/>
    <n v="867"/>
    <d v="2026-01-22T00:00:00"/>
    <m/>
    <x v="8"/>
    <x v="0"/>
    <x v="11"/>
  </r>
  <r>
    <x v="8"/>
    <x v="8"/>
    <x v="1"/>
    <m/>
    <n v="867"/>
    <d v="2026-01-22T00:00:00"/>
    <m/>
    <x v="8"/>
    <x v="0"/>
    <x v="11"/>
  </r>
  <r>
    <x v="13"/>
    <x v="13"/>
    <x v="8"/>
    <m/>
    <n v="869"/>
    <d v="2026-01-22T00:00:00"/>
    <m/>
    <x v="1"/>
    <x v="0"/>
    <x v="29"/>
  </r>
  <r>
    <x v="62"/>
    <x v="62"/>
    <x v="2"/>
    <m/>
    <n v="869"/>
    <d v="2026-01-22T00:00:00"/>
    <m/>
    <x v="1"/>
    <x v="0"/>
    <x v="29"/>
  </r>
  <r>
    <x v="60"/>
    <x v="60"/>
    <x v="2"/>
    <m/>
    <n v="869"/>
    <d v="2026-01-22T00:00:00"/>
    <m/>
    <x v="1"/>
    <x v="0"/>
    <x v="29"/>
  </r>
  <r>
    <x v="4"/>
    <x v="4"/>
    <x v="1"/>
    <m/>
    <n v="869"/>
    <d v="2026-01-22T00:00:00"/>
    <m/>
    <x v="1"/>
    <x v="0"/>
    <x v="29"/>
  </r>
  <r>
    <x v="35"/>
    <x v="35"/>
    <x v="8"/>
    <m/>
    <n v="869"/>
    <d v="2026-01-22T00:00:00"/>
    <m/>
    <x v="1"/>
    <x v="0"/>
    <x v="29"/>
  </r>
  <r>
    <x v="61"/>
    <x v="61"/>
    <x v="2"/>
    <m/>
    <n v="869"/>
    <d v="2026-01-22T00:00:00"/>
    <m/>
    <x v="1"/>
    <x v="0"/>
    <x v="29"/>
  </r>
  <r>
    <x v="3"/>
    <x v="3"/>
    <x v="41"/>
    <m/>
    <n v="869"/>
    <d v="2026-01-22T00:00:00"/>
    <m/>
    <x v="1"/>
    <x v="0"/>
    <x v="29"/>
  </r>
  <r>
    <x v="76"/>
    <x v="76"/>
    <x v="6"/>
    <m/>
    <n v="869"/>
    <d v="2026-01-22T00:00:00"/>
    <m/>
    <x v="1"/>
    <x v="0"/>
    <x v="29"/>
  </r>
  <r>
    <x v="29"/>
    <x v="29"/>
    <x v="2"/>
    <m/>
    <n v="869"/>
    <d v="2026-01-22T00:00:00"/>
    <m/>
    <x v="1"/>
    <x v="0"/>
    <x v="29"/>
  </r>
  <r>
    <x v="7"/>
    <x v="7"/>
    <x v="10"/>
    <m/>
    <n v="869"/>
    <d v="2026-01-22T00:00:00"/>
    <m/>
    <x v="1"/>
    <x v="0"/>
    <x v="29"/>
  </r>
  <r>
    <x v="10"/>
    <x v="10"/>
    <x v="2"/>
    <m/>
    <n v="869"/>
    <d v="2026-01-22T00:00:00"/>
    <m/>
    <x v="1"/>
    <x v="0"/>
    <x v="29"/>
  </r>
  <r>
    <x v="5"/>
    <x v="5"/>
    <x v="2"/>
    <m/>
    <n v="869"/>
    <d v="2026-01-22T00:00:00"/>
    <m/>
    <x v="1"/>
    <x v="0"/>
    <x v="29"/>
  </r>
  <r>
    <x v="2"/>
    <x v="2"/>
    <x v="28"/>
    <m/>
    <n v="869"/>
    <d v="2026-01-22T00:00:00"/>
    <m/>
    <x v="1"/>
    <x v="0"/>
    <x v="29"/>
  </r>
  <r>
    <x v="0"/>
    <x v="0"/>
    <x v="10"/>
    <m/>
    <n v="869"/>
    <d v="2026-01-22T00:00:00"/>
    <m/>
    <x v="1"/>
    <x v="0"/>
    <x v="29"/>
  </r>
  <r>
    <x v="14"/>
    <x v="14"/>
    <x v="2"/>
    <m/>
    <n v="869"/>
    <d v="2026-01-22T00:00:00"/>
    <m/>
    <x v="1"/>
    <x v="0"/>
    <x v="29"/>
  </r>
  <r>
    <x v="1"/>
    <x v="1"/>
    <x v="28"/>
    <m/>
    <n v="869"/>
    <d v="2026-01-22T00:00:00"/>
    <m/>
    <x v="1"/>
    <x v="0"/>
    <x v="29"/>
  </r>
  <r>
    <x v="82"/>
    <x v="82"/>
    <x v="10"/>
    <m/>
    <n v="869"/>
    <d v="2026-01-22T00:00:00"/>
    <m/>
    <x v="1"/>
    <x v="0"/>
    <x v="29"/>
  </r>
  <r>
    <x v="0"/>
    <x v="0"/>
    <x v="10"/>
    <m/>
    <n v="869"/>
    <d v="2026-01-22T00:00:00"/>
    <m/>
    <x v="1"/>
    <x v="0"/>
    <x v="29"/>
  </r>
  <r>
    <x v="15"/>
    <x v="15"/>
    <x v="2"/>
    <m/>
    <n v="869"/>
    <d v="2026-01-22T00:00:00"/>
    <m/>
    <x v="1"/>
    <x v="0"/>
    <x v="29"/>
  </r>
  <r>
    <x v="32"/>
    <x v="32"/>
    <x v="2"/>
    <m/>
    <n v="869"/>
    <d v="2026-01-22T00:00:00"/>
    <m/>
    <x v="1"/>
    <x v="0"/>
    <x v="29"/>
  </r>
  <r>
    <x v="11"/>
    <x v="11"/>
    <x v="2"/>
    <m/>
    <n v="869"/>
    <d v="2026-01-22T00:00:00"/>
    <m/>
    <x v="1"/>
    <x v="0"/>
    <x v="29"/>
  </r>
  <r>
    <x v="2"/>
    <x v="2"/>
    <x v="24"/>
    <m/>
    <n v="873"/>
    <d v="2026-01-22T00:00:00"/>
    <m/>
    <x v="16"/>
    <x v="0"/>
    <x v="0"/>
  </r>
  <r>
    <x v="6"/>
    <x v="6"/>
    <x v="1"/>
    <m/>
    <n v="874"/>
    <d v="2026-01-22T00:00:00"/>
    <m/>
    <x v="29"/>
    <x v="0"/>
    <x v="6"/>
  </r>
  <r>
    <x v="68"/>
    <x v="68"/>
    <x v="3"/>
    <m/>
    <n v="877"/>
    <d v="2026-01-22T00:00:00"/>
    <m/>
    <x v="8"/>
    <x v="0"/>
    <x v="11"/>
  </r>
  <r>
    <x v="21"/>
    <x v="21"/>
    <x v="2"/>
    <m/>
    <n v="877"/>
    <d v="2026-01-22T00:00:00"/>
    <m/>
    <x v="8"/>
    <x v="0"/>
    <x v="11"/>
  </r>
  <r>
    <x v="67"/>
    <x v="67"/>
    <x v="10"/>
    <m/>
    <n v="877"/>
    <d v="2026-01-22T00:00:00"/>
    <m/>
    <x v="8"/>
    <x v="0"/>
    <x v="11"/>
  </r>
  <r>
    <x v="83"/>
    <x v="83"/>
    <x v="1"/>
    <m/>
    <n v="877"/>
    <d v="2026-01-22T00:00:00"/>
    <m/>
    <x v="8"/>
    <x v="0"/>
    <x v="11"/>
  </r>
  <r>
    <x v="44"/>
    <x v="44"/>
    <x v="6"/>
    <m/>
    <n v="877"/>
    <d v="2026-01-22T00:00:00"/>
    <m/>
    <x v="8"/>
    <x v="0"/>
    <x v="11"/>
  </r>
  <r>
    <x v="31"/>
    <x v="31"/>
    <x v="34"/>
    <m/>
    <n v="877"/>
    <d v="2026-01-22T00:00:00"/>
    <m/>
    <x v="8"/>
    <x v="0"/>
    <x v="11"/>
  </r>
  <r>
    <x v="30"/>
    <x v="30"/>
    <x v="1"/>
    <m/>
    <n v="877"/>
    <d v="2026-01-22T00:00:00"/>
    <m/>
    <x v="8"/>
    <x v="0"/>
    <x v="11"/>
  </r>
  <r>
    <x v="46"/>
    <x v="46"/>
    <x v="3"/>
    <m/>
    <n v="880"/>
    <d v="2026-01-23T00:00:00"/>
    <m/>
    <x v="6"/>
    <x v="0"/>
    <x v="4"/>
  </r>
  <r>
    <x v="7"/>
    <x v="7"/>
    <x v="11"/>
    <m/>
    <n v="880"/>
    <d v="2026-01-23T00:00:00"/>
    <m/>
    <x v="6"/>
    <x v="0"/>
    <x v="4"/>
  </r>
  <r>
    <x v="51"/>
    <x v="51"/>
    <x v="6"/>
    <m/>
    <n v="880"/>
    <d v="2026-01-23T00:00:00"/>
    <m/>
    <x v="6"/>
    <x v="0"/>
    <x v="4"/>
  </r>
  <r>
    <x v="20"/>
    <x v="20"/>
    <x v="2"/>
    <m/>
    <n v="880"/>
    <d v="2026-01-23T00:00:00"/>
    <m/>
    <x v="6"/>
    <x v="0"/>
    <x v="4"/>
  </r>
  <r>
    <x v="8"/>
    <x v="8"/>
    <x v="3"/>
    <m/>
    <n v="880"/>
    <d v="2026-01-23T00:00:00"/>
    <m/>
    <x v="6"/>
    <x v="0"/>
    <x v="4"/>
  </r>
  <r>
    <x v="23"/>
    <x v="23"/>
    <x v="28"/>
    <m/>
    <n v="880"/>
    <d v="2026-01-23T00:00:00"/>
    <m/>
    <x v="6"/>
    <x v="0"/>
    <x v="4"/>
  </r>
  <r>
    <x v="24"/>
    <x v="24"/>
    <x v="44"/>
    <m/>
    <n v="883"/>
    <d v="2026-01-23T00:00:00"/>
    <m/>
    <x v="6"/>
    <x v="0"/>
    <x v="4"/>
  </r>
  <r>
    <x v="24"/>
    <x v="24"/>
    <x v="6"/>
    <m/>
    <n v="884"/>
    <d v="2026-01-23T00:00:00"/>
    <m/>
    <x v="30"/>
    <x v="0"/>
    <x v="54"/>
  </r>
  <r>
    <x v="10"/>
    <x v="10"/>
    <x v="6"/>
    <m/>
    <n v="871"/>
    <d v="2026-01-21T00:00:00"/>
    <m/>
    <x v="6"/>
    <x v="0"/>
    <x v="23"/>
  </r>
  <r>
    <x v="11"/>
    <x v="11"/>
    <x v="6"/>
    <m/>
    <n v="871"/>
    <d v="2026-01-21T00:00:00"/>
    <m/>
    <x v="6"/>
    <x v="0"/>
    <x v="23"/>
  </r>
  <r>
    <x v="32"/>
    <x v="32"/>
    <x v="6"/>
    <m/>
    <n v="871"/>
    <d v="2026-01-21T00:00:00"/>
    <m/>
    <x v="6"/>
    <x v="0"/>
    <x v="23"/>
  </r>
  <r>
    <x v="6"/>
    <x v="6"/>
    <x v="6"/>
    <m/>
    <n v="871"/>
    <d v="2026-01-21T00:00:00"/>
    <m/>
    <x v="6"/>
    <x v="0"/>
    <x v="23"/>
  </r>
  <r>
    <x v="5"/>
    <x v="5"/>
    <x v="6"/>
    <m/>
    <n v="871"/>
    <d v="2026-01-21T00:00:00"/>
    <m/>
    <x v="6"/>
    <x v="0"/>
    <x v="23"/>
  </r>
  <r>
    <x v="41"/>
    <x v="41"/>
    <x v="6"/>
    <m/>
    <n v="871"/>
    <d v="2026-01-21T00:00:00"/>
    <m/>
    <x v="6"/>
    <x v="0"/>
    <x v="23"/>
  </r>
  <r>
    <x v="24"/>
    <x v="24"/>
    <x v="13"/>
    <m/>
    <n v="871"/>
    <d v="2026-01-21T00:00:00"/>
    <m/>
    <x v="6"/>
    <x v="0"/>
    <x v="23"/>
  </r>
  <r>
    <x v="1"/>
    <x v="1"/>
    <x v="13"/>
    <m/>
    <n v="871"/>
    <d v="2026-01-21T00:00:00"/>
    <m/>
    <x v="6"/>
    <x v="0"/>
    <x v="23"/>
  </r>
  <r>
    <x v="23"/>
    <x v="23"/>
    <x v="0"/>
    <m/>
    <n v="870"/>
    <d v="2026-01-21T00:00:00"/>
    <m/>
    <x v="6"/>
    <x v="0"/>
    <x v="13"/>
  </r>
  <r>
    <x v="2"/>
    <x v="2"/>
    <x v="0"/>
    <m/>
    <n v="870"/>
    <d v="2026-01-21T00:00:00"/>
    <m/>
    <x v="6"/>
    <x v="0"/>
    <x v="13"/>
  </r>
  <r>
    <x v="1"/>
    <x v="1"/>
    <x v="0"/>
    <m/>
    <n v="870"/>
    <d v="2026-01-21T00:00:00"/>
    <m/>
    <x v="6"/>
    <x v="0"/>
    <x v="13"/>
  </r>
  <r>
    <x v="23"/>
    <x v="23"/>
    <x v="0"/>
    <m/>
    <n v="17"/>
    <d v="2026-01-21T00:00:00"/>
    <m/>
    <x v="0"/>
    <x v="0"/>
    <x v="0"/>
  </r>
  <r>
    <x v="1"/>
    <x v="1"/>
    <x v="0"/>
    <m/>
    <n v="17"/>
    <d v="2026-01-21T00:00:00"/>
    <m/>
    <x v="0"/>
    <x v="0"/>
    <x v="0"/>
  </r>
  <r>
    <x v="2"/>
    <x v="2"/>
    <x v="0"/>
    <m/>
    <n v="17"/>
    <d v="2026-01-21T00:00:00"/>
    <m/>
    <x v="0"/>
    <x v="0"/>
    <x v="0"/>
  </r>
  <r>
    <x v="24"/>
    <x v="24"/>
    <x v="11"/>
    <m/>
    <n v="17"/>
    <d v="2026-01-21T00:00:00"/>
    <m/>
    <x v="0"/>
    <x v="0"/>
    <x v="0"/>
  </r>
  <r>
    <x v="27"/>
    <x v="27"/>
    <x v="6"/>
    <m/>
    <n v="17"/>
    <d v="2026-01-21T00:00:00"/>
    <m/>
    <x v="0"/>
    <x v="0"/>
    <x v="0"/>
  </r>
  <r>
    <x v="20"/>
    <x v="20"/>
    <x v="1"/>
    <m/>
    <n v="16"/>
    <d v="2026-01-20T00:00:00"/>
    <m/>
    <x v="0"/>
    <x v="0"/>
    <x v="0"/>
  </r>
  <r>
    <x v="5"/>
    <x v="5"/>
    <x v="52"/>
    <m/>
    <n v="820"/>
    <d v="2026-01-20T00:00:00"/>
    <m/>
    <x v="6"/>
    <x v="0"/>
    <x v="23"/>
  </r>
  <r>
    <x v="8"/>
    <x v="8"/>
    <x v="52"/>
    <m/>
    <n v="820"/>
    <d v="2026-01-20T00:00:00"/>
    <m/>
    <x v="6"/>
    <x v="0"/>
    <x v="23"/>
  </r>
  <r>
    <x v="7"/>
    <x v="7"/>
    <x v="53"/>
    <m/>
    <n v="820"/>
    <d v="2026-01-20T00:00:00"/>
    <m/>
    <x v="6"/>
    <x v="0"/>
    <x v="23"/>
  </r>
  <r>
    <x v="29"/>
    <x v="29"/>
    <x v="52"/>
    <m/>
    <n v="820"/>
    <d v="2026-01-20T00:00:00"/>
    <m/>
    <x v="6"/>
    <x v="0"/>
    <x v="23"/>
  </r>
  <r>
    <x v="3"/>
    <x v="3"/>
    <x v="1"/>
    <m/>
    <n v="820"/>
    <d v="2026-01-20T00:00:00"/>
    <m/>
    <x v="6"/>
    <x v="0"/>
    <x v="23"/>
  </r>
  <r>
    <x v="4"/>
    <x v="4"/>
    <x v="2"/>
    <m/>
    <n v="820"/>
    <d v="2026-01-20T00:00:00"/>
    <m/>
    <x v="6"/>
    <x v="0"/>
    <x v="23"/>
  </r>
  <r>
    <x v="24"/>
    <x v="24"/>
    <x v="13"/>
    <m/>
    <n v="820"/>
    <d v="2026-01-20T00:00:00"/>
    <m/>
    <x v="6"/>
    <x v="0"/>
    <x v="23"/>
  </r>
  <r>
    <x v="1"/>
    <x v="1"/>
    <x v="13"/>
    <m/>
    <n v="820"/>
    <d v="2026-01-20T00:00:00"/>
    <m/>
    <x v="6"/>
    <x v="0"/>
    <x v="23"/>
  </r>
  <r>
    <x v="46"/>
    <x v="46"/>
    <x v="6"/>
    <m/>
    <n v="868"/>
    <d v="2026-01-19T00:00:00"/>
    <m/>
    <x v="31"/>
    <x v="0"/>
    <x v="6"/>
  </r>
  <r>
    <x v="9"/>
    <x v="9"/>
    <x v="6"/>
    <m/>
    <n v="868"/>
    <d v="2026-01-19T00:00:00"/>
    <m/>
    <x v="31"/>
    <x v="0"/>
    <x v="6"/>
  </r>
  <r>
    <x v="7"/>
    <x v="7"/>
    <x v="8"/>
    <m/>
    <n v="868"/>
    <d v="2026-01-19T00:00:00"/>
    <m/>
    <x v="31"/>
    <x v="0"/>
    <x v="6"/>
  </r>
  <r>
    <x v="10"/>
    <x v="10"/>
    <x v="6"/>
    <m/>
    <n v="868"/>
    <d v="2026-01-19T00:00:00"/>
    <m/>
    <x v="31"/>
    <x v="0"/>
    <x v="6"/>
  </r>
  <r>
    <x v="8"/>
    <x v="8"/>
    <x v="6"/>
    <m/>
    <n v="868"/>
    <d v="2026-01-19T00:00:00"/>
    <m/>
    <x v="31"/>
    <x v="0"/>
    <x v="6"/>
  </r>
  <r>
    <x v="24"/>
    <x v="24"/>
    <x v="2"/>
    <m/>
    <n v="868"/>
    <d v="2026-01-19T00:00:00"/>
    <m/>
    <x v="31"/>
    <x v="0"/>
    <x v="6"/>
  </r>
  <r>
    <x v="14"/>
    <x v="14"/>
    <x v="6"/>
    <m/>
    <n v="868"/>
    <d v="2026-01-19T00:00:00"/>
    <m/>
    <x v="31"/>
    <x v="0"/>
    <x v="6"/>
  </r>
  <r>
    <x v="11"/>
    <x v="11"/>
    <x v="6"/>
    <m/>
    <n v="868"/>
    <d v="2026-01-19T00:00:00"/>
    <m/>
    <x v="31"/>
    <x v="0"/>
    <x v="6"/>
  </r>
  <r>
    <x v="32"/>
    <x v="32"/>
    <x v="6"/>
    <m/>
    <n v="868"/>
    <d v="2026-01-19T00:00:00"/>
    <m/>
    <x v="31"/>
    <x v="0"/>
    <x v="6"/>
  </r>
  <r>
    <x v="1"/>
    <x v="1"/>
    <x v="2"/>
    <m/>
    <n v="868"/>
    <d v="2026-01-19T00:00:00"/>
    <m/>
    <x v="31"/>
    <x v="0"/>
    <x v="6"/>
  </r>
  <r>
    <x v="2"/>
    <x v="2"/>
    <x v="2"/>
    <m/>
    <n v="868"/>
    <d v="2026-01-19T00:00:00"/>
    <m/>
    <x v="31"/>
    <x v="0"/>
    <x v="6"/>
  </r>
  <r>
    <x v="13"/>
    <x v="13"/>
    <x v="6"/>
    <m/>
    <n v="868"/>
    <d v="2026-01-19T00:00:00"/>
    <m/>
    <x v="31"/>
    <x v="0"/>
    <x v="6"/>
  </r>
  <r>
    <x v="0"/>
    <x v="0"/>
    <x v="0"/>
    <m/>
    <n v="862"/>
    <d v="2026-01-19T00:00:00"/>
    <m/>
    <x v="6"/>
    <x v="0"/>
    <x v="23"/>
  </r>
  <r>
    <x v="2"/>
    <x v="2"/>
    <x v="0"/>
    <m/>
    <n v="862"/>
    <d v="2026-01-19T00:00:00"/>
    <m/>
    <x v="6"/>
    <x v="0"/>
    <x v="23"/>
  </r>
  <r>
    <x v="1"/>
    <x v="1"/>
    <x v="0"/>
    <m/>
    <n v="862"/>
    <d v="2026-01-19T00:00:00"/>
    <m/>
    <x v="6"/>
    <x v="0"/>
    <x v="23"/>
  </r>
  <r>
    <x v="40"/>
    <x v="40"/>
    <x v="2"/>
    <m/>
    <n v="15"/>
    <d v="2026-01-19T00:00:00"/>
    <m/>
    <x v="0"/>
    <x v="0"/>
    <x v="0"/>
  </r>
  <r>
    <x v="25"/>
    <x v="25"/>
    <x v="2"/>
    <m/>
    <n v="15"/>
    <d v="2026-01-19T00:00:00"/>
    <m/>
    <x v="0"/>
    <x v="0"/>
    <x v="0"/>
  </r>
  <r>
    <x v="27"/>
    <x v="27"/>
    <x v="6"/>
    <m/>
    <n v="15"/>
    <d v="2026-01-19T00:00:00"/>
    <m/>
    <x v="0"/>
    <x v="0"/>
    <x v="0"/>
  </r>
  <r>
    <x v="2"/>
    <x v="2"/>
    <x v="0"/>
    <m/>
    <n v="15"/>
    <d v="2026-01-19T00:00:00"/>
    <m/>
    <x v="0"/>
    <x v="0"/>
    <x v="0"/>
  </r>
  <r>
    <x v="1"/>
    <x v="1"/>
    <x v="0"/>
    <m/>
    <n v="15"/>
    <d v="2026-01-19T00:00:00"/>
    <m/>
    <x v="0"/>
    <x v="0"/>
    <x v="0"/>
  </r>
  <r>
    <x v="23"/>
    <x v="23"/>
    <x v="0"/>
    <m/>
    <n v="15"/>
    <d v="2026-01-19T00:00:00"/>
    <m/>
    <x v="0"/>
    <x v="0"/>
    <x v="0"/>
  </r>
  <r>
    <x v="24"/>
    <x v="24"/>
    <x v="66"/>
    <m/>
    <n v="298581"/>
    <d v="2026-01-16T00:00:00"/>
    <m/>
    <x v="32"/>
    <x v="0"/>
    <x v="28"/>
  </r>
  <r>
    <x v="41"/>
    <x v="41"/>
    <x v="2"/>
    <m/>
    <n v="859"/>
    <d v="2026-01-14T00:00:00"/>
    <m/>
    <x v="33"/>
    <x v="3"/>
    <x v="11"/>
  </r>
  <r>
    <x v="32"/>
    <x v="32"/>
    <x v="1"/>
    <m/>
    <n v="859"/>
    <d v="2026-01-14T00:00:00"/>
    <m/>
    <x v="33"/>
    <x v="3"/>
    <x v="11"/>
  </r>
  <r>
    <x v="11"/>
    <x v="11"/>
    <x v="1"/>
    <m/>
    <n v="859"/>
    <d v="2026-01-14T00:00:00"/>
    <m/>
    <x v="33"/>
    <x v="3"/>
    <x v="11"/>
  </r>
  <r>
    <x v="10"/>
    <x v="10"/>
    <x v="1"/>
    <m/>
    <n v="859"/>
    <d v="2026-01-14T00:00:00"/>
    <m/>
    <x v="33"/>
    <x v="3"/>
    <x v="11"/>
  </r>
  <r>
    <x v="39"/>
    <x v="39"/>
    <x v="1"/>
    <m/>
    <n v="859"/>
    <d v="2026-01-14T00:00:00"/>
    <m/>
    <x v="33"/>
    <x v="3"/>
    <x v="11"/>
  </r>
  <r>
    <x v="69"/>
    <x v="69"/>
    <x v="1"/>
    <m/>
    <n v="859"/>
    <d v="2026-01-14T00:00:00"/>
    <m/>
    <x v="33"/>
    <x v="3"/>
    <x v="11"/>
  </r>
  <r>
    <x v="7"/>
    <x v="7"/>
    <x v="10"/>
    <m/>
    <n v="859"/>
    <d v="2026-01-14T00:00:00"/>
    <m/>
    <x v="33"/>
    <x v="3"/>
    <x v="11"/>
  </r>
  <r>
    <x v="14"/>
    <x v="14"/>
    <x v="8"/>
    <m/>
    <n v="11"/>
    <d v="2026-01-14T00:00:00"/>
    <m/>
    <x v="0"/>
    <x v="0"/>
    <x v="0"/>
  </r>
  <r>
    <x v="13"/>
    <x v="13"/>
    <x v="8"/>
    <m/>
    <n v="11"/>
    <d v="2026-01-14T00:00:00"/>
    <m/>
    <x v="0"/>
    <x v="0"/>
    <x v="0"/>
  </r>
  <r>
    <x v="6"/>
    <x v="6"/>
    <x v="3"/>
    <m/>
    <n v="11"/>
    <d v="2026-01-14T00:00:00"/>
    <m/>
    <x v="0"/>
    <x v="0"/>
    <x v="0"/>
  </r>
  <r>
    <x v="23"/>
    <x v="23"/>
    <x v="0"/>
    <m/>
    <n v="11"/>
    <d v="2026-01-14T00:00:00"/>
    <m/>
    <x v="0"/>
    <x v="0"/>
    <x v="0"/>
  </r>
  <r>
    <x v="41"/>
    <x v="41"/>
    <x v="6"/>
    <m/>
    <n v="11"/>
    <d v="2026-01-14T00:00:00"/>
    <m/>
    <x v="0"/>
    <x v="0"/>
    <x v="0"/>
  </r>
  <r>
    <x v="32"/>
    <x v="32"/>
    <x v="3"/>
    <m/>
    <n v="11"/>
    <d v="2026-01-14T00:00:00"/>
    <m/>
    <x v="0"/>
    <x v="0"/>
    <x v="0"/>
  </r>
  <r>
    <x v="11"/>
    <x v="11"/>
    <x v="3"/>
    <m/>
    <n v="11"/>
    <d v="2026-01-14T00:00:00"/>
    <m/>
    <x v="0"/>
    <x v="0"/>
    <x v="0"/>
  </r>
  <r>
    <x v="10"/>
    <x v="10"/>
    <x v="3"/>
    <m/>
    <n v="11"/>
    <d v="2026-01-14T00:00:00"/>
    <m/>
    <x v="0"/>
    <x v="0"/>
    <x v="0"/>
  </r>
  <r>
    <x v="8"/>
    <x v="8"/>
    <x v="8"/>
    <m/>
    <n v="11"/>
    <d v="2026-01-14T00:00:00"/>
    <m/>
    <x v="0"/>
    <x v="0"/>
    <x v="0"/>
  </r>
  <r>
    <x v="7"/>
    <x v="7"/>
    <x v="28"/>
    <m/>
    <n v="11"/>
    <d v="2026-01-14T00:00:00"/>
    <m/>
    <x v="0"/>
    <x v="0"/>
    <x v="0"/>
  </r>
  <r>
    <x v="9"/>
    <x v="9"/>
    <x v="8"/>
    <m/>
    <n v="11"/>
    <d v="2026-01-14T00:00:00"/>
    <m/>
    <x v="0"/>
    <x v="0"/>
    <x v="0"/>
  </r>
  <r>
    <x v="46"/>
    <x v="46"/>
    <x v="3"/>
    <m/>
    <n v="11"/>
    <d v="2026-01-14T00:00:00"/>
    <m/>
    <x v="0"/>
    <x v="0"/>
    <x v="0"/>
  </r>
  <r>
    <x v="2"/>
    <x v="2"/>
    <x v="0"/>
    <m/>
    <n v="11"/>
    <d v="2026-01-14T00:00:00"/>
    <m/>
    <x v="0"/>
    <x v="0"/>
    <x v="0"/>
  </r>
  <r>
    <x v="1"/>
    <x v="1"/>
    <x v="0"/>
    <m/>
    <n v="11"/>
    <d v="2026-01-14T00:00:00"/>
    <m/>
    <x v="0"/>
    <x v="0"/>
    <x v="0"/>
  </r>
  <r>
    <x v="27"/>
    <x v="27"/>
    <x v="6"/>
    <m/>
    <n v="11"/>
    <d v="2026-01-14T00:00:00"/>
    <m/>
    <x v="0"/>
    <x v="0"/>
    <x v="0"/>
  </r>
  <r>
    <x v="65"/>
    <x v="65"/>
    <x v="6"/>
    <m/>
    <n v="858"/>
    <d v="2026-01-14T00:00:00"/>
    <m/>
    <x v="2"/>
    <x v="0"/>
    <x v="44"/>
  </r>
  <r>
    <x v="64"/>
    <x v="64"/>
    <x v="6"/>
    <m/>
    <n v="858"/>
    <d v="2026-01-14T00:00:00"/>
    <m/>
    <x v="2"/>
    <x v="0"/>
    <x v="44"/>
  </r>
  <r>
    <x v="7"/>
    <x v="7"/>
    <x v="8"/>
    <m/>
    <n v="858"/>
    <d v="2026-01-14T00:00:00"/>
    <m/>
    <x v="2"/>
    <x v="0"/>
    <x v="44"/>
  </r>
  <r>
    <x v="9"/>
    <x v="9"/>
    <x v="6"/>
    <m/>
    <n v="858"/>
    <d v="2026-01-14T00:00:00"/>
    <m/>
    <x v="2"/>
    <x v="0"/>
    <x v="44"/>
  </r>
  <r>
    <x v="69"/>
    <x v="69"/>
    <x v="6"/>
    <m/>
    <n v="858"/>
    <d v="2026-01-14T00:00:00"/>
    <m/>
    <x v="2"/>
    <x v="0"/>
    <x v="44"/>
  </r>
  <r>
    <x v="2"/>
    <x v="2"/>
    <x v="10"/>
    <m/>
    <n v="858"/>
    <d v="2026-01-14T00:00:00"/>
    <m/>
    <x v="2"/>
    <x v="0"/>
    <x v="44"/>
  </r>
  <r>
    <x v="1"/>
    <x v="1"/>
    <x v="10"/>
    <m/>
    <n v="858"/>
    <d v="2026-01-14T00:00:00"/>
    <m/>
    <x v="2"/>
    <x v="0"/>
    <x v="44"/>
  </r>
  <r>
    <x v="13"/>
    <x v="13"/>
    <x v="6"/>
    <m/>
    <n v="858"/>
    <d v="2026-01-14T00:00:00"/>
    <m/>
    <x v="2"/>
    <x v="0"/>
    <x v="44"/>
  </r>
  <r>
    <x v="11"/>
    <x v="11"/>
    <x v="6"/>
    <m/>
    <n v="858"/>
    <d v="2026-01-14T00:00:00"/>
    <m/>
    <x v="2"/>
    <x v="0"/>
    <x v="44"/>
  </r>
  <r>
    <x v="14"/>
    <x v="14"/>
    <x v="6"/>
    <m/>
    <n v="858"/>
    <d v="2026-01-14T00:00:00"/>
    <m/>
    <x v="2"/>
    <x v="0"/>
    <x v="44"/>
  </r>
  <r>
    <x v="40"/>
    <x v="40"/>
    <x v="2"/>
    <m/>
    <n v="12"/>
    <d v="2026-01-15T00:00:00"/>
    <m/>
    <x v="0"/>
    <x v="0"/>
    <x v="0"/>
  </r>
  <r>
    <x v="25"/>
    <x v="25"/>
    <x v="6"/>
    <m/>
    <n v="12"/>
    <d v="2026-01-15T00:00:00"/>
    <m/>
    <x v="0"/>
    <x v="0"/>
    <x v="0"/>
  </r>
  <r>
    <x v="27"/>
    <x v="27"/>
    <x v="6"/>
    <m/>
    <n v="12"/>
    <d v="2026-01-15T00:00:00"/>
    <m/>
    <x v="0"/>
    <x v="0"/>
    <x v="0"/>
  </r>
  <r>
    <x v="21"/>
    <x v="21"/>
    <x v="10"/>
    <m/>
    <n v="14"/>
    <d v="2026-01-16T00:00:00"/>
    <m/>
    <x v="0"/>
    <x v="0"/>
    <x v="0"/>
  </r>
  <r>
    <x v="24"/>
    <x v="24"/>
    <x v="10"/>
    <m/>
    <n v="858"/>
    <d v="2026-01-14T00:00:00"/>
    <m/>
    <x v="2"/>
    <x v="4"/>
    <x v="44"/>
  </r>
  <r>
    <x v="24"/>
    <x v="24"/>
    <x v="11"/>
    <m/>
    <n v="11"/>
    <d v="2026-01-14T00:00:00"/>
    <m/>
    <x v="0"/>
    <x v="5"/>
    <x v="0"/>
  </r>
  <r>
    <x v="24"/>
    <x v="24"/>
    <x v="3"/>
    <m/>
    <n v="859"/>
    <d v="2026-01-14T00:00:00"/>
    <m/>
    <x v="33"/>
    <x v="5"/>
    <x v="11"/>
  </r>
  <r>
    <x v="25"/>
    <x v="25"/>
    <x v="4"/>
    <m/>
    <n v="10"/>
    <d v="2026-01-12T00:00:00"/>
    <m/>
    <x v="34"/>
    <x v="0"/>
    <x v="4"/>
  </r>
  <r>
    <x v="40"/>
    <x v="40"/>
    <x v="2"/>
    <m/>
    <n v="10"/>
    <d v="2026-01-12T00:00:00"/>
    <m/>
    <x v="34"/>
    <x v="0"/>
    <x v="4"/>
  </r>
  <r>
    <x v="41"/>
    <x v="41"/>
    <x v="6"/>
    <m/>
    <n v="10"/>
    <d v="2026-01-12T00:00:00"/>
    <m/>
    <x v="34"/>
    <x v="0"/>
    <x v="4"/>
  </r>
  <r>
    <x v="32"/>
    <x v="32"/>
    <x v="6"/>
    <m/>
    <n v="10"/>
    <d v="2026-01-12T00:00:00"/>
    <m/>
    <x v="34"/>
    <x v="0"/>
    <x v="4"/>
  </r>
  <r>
    <x v="11"/>
    <x v="11"/>
    <x v="6"/>
    <m/>
    <n v="10"/>
    <d v="2026-01-12T00:00:00"/>
    <m/>
    <x v="34"/>
    <x v="0"/>
    <x v="4"/>
  </r>
  <r>
    <x v="10"/>
    <x v="10"/>
    <x v="6"/>
    <m/>
    <n v="10"/>
    <d v="2026-01-12T00:00:00"/>
    <m/>
    <x v="34"/>
    <x v="0"/>
    <x v="4"/>
  </r>
  <r>
    <x v="20"/>
    <x v="20"/>
    <x v="2"/>
    <m/>
    <n v="10"/>
    <d v="2026-01-12T00:00:00"/>
    <m/>
    <x v="34"/>
    <x v="0"/>
    <x v="4"/>
  </r>
  <r>
    <x v="21"/>
    <x v="21"/>
    <x v="2"/>
    <m/>
    <n v="10"/>
    <d v="2026-01-12T00:00:00"/>
    <m/>
    <x v="6"/>
    <x v="0"/>
    <x v="4"/>
  </r>
  <r>
    <x v="21"/>
    <x v="21"/>
    <x v="2"/>
    <m/>
    <n v="7"/>
    <d v="2026-01-09T00:00:00"/>
    <m/>
    <x v="34"/>
    <x v="0"/>
    <x v="0"/>
  </r>
  <r>
    <x v="2"/>
    <x v="2"/>
    <x v="0"/>
    <m/>
    <n v="7"/>
    <d v="2026-01-09T00:00:00"/>
    <m/>
    <x v="34"/>
    <x v="0"/>
    <x v="0"/>
  </r>
  <r>
    <x v="1"/>
    <x v="1"/>
    <x v="0"/>
    <m/>
    <n v="7"/>
    <d v="2026-01-09T00:00:00"/>
    <m/>
    <x v="34"/>
    <x v="0"/>
    <x v="0"/>
  </r>
  <r>
    <x v="20"/>
    <x v="20"/>
    <x v="14"/>
    <m/>
    <n v="7"/>
    <d v="2026-01-09T00:00:00"/>
    <m/>
    <x v="34"/>
    <x v="0"/>
    <x v="0"/>
  </r>
  <r>
    <x v="23"/>
    <x v="23"/>
    <x v="0"/>
    <m/>
    <n v="7"/>
    <d v="2026-01-09T00:00:00"/>
    <s v="G-011-01-44550"/>
    <x v="0"/>
    <x v="0"/>
    <x v="0"/>
  </r>
  <r>
    <x v="2"/>
    <x v="2"/>
    <x v="1"/>
    <m/>
    <n v="856"/>
    <d v="2026-01-13T00:00:00"/>
    <m/>
    <x v="34"/>
    <x v="0"/>
    <x v="16"/>
  </r>
  <r>
    <x v="1"/>
    <x v="1"/>
    <x v="1"/>
    <m/>
    <n v="856"/>
    <d v="2026-01-13T00:00:00"/>
    <m/>
    <x v="34"/>
    <x v="0"/>
    <x v="16"/>
  </r>
  <r>
    <x v="11"/>
    <x v="11"/>
    <x v="6"/>
    <m/>
    <n v="856"/>
    <d v="2026-01-13T00:00:00"/>
    <m/>
    <x v="34"/>
    <x v="0"/>
    <x v="16"/>
  </r>
  <r>
    <x v="13"/>
    <x v="13"/>
    <x v="6"/>
    <m/>
    <n v="856"/>
    <d v="2026-01-13T00:00:00"/>
    <m/>
    <x v="34"/>
    <x v="0"/>
    <x v="16"/>
  </r>
  <r>
    <x v="14"/>
    <x v="14"/>
    <x v="6"/>
    <m/>
    <n v="856"/>
    <d v="2026-01-13T00:00:00"/>
    <m/>
    <x v="34"/>
    <x v="0"/>
    <x v="16"/>
  </r>
  <r>
    <x v="24"/>
    <x v="24"/>
    <x v="1"/>
    <m/>
    <n v="856"/>
    <d v="2026-01-13T00:00:00"/>
    <m/>
    <x v="1"/>
    <x v="6"/>
    <x v="16"/>
  </r>
  <r>
    <x v="65"/>
    <x v="65"/>
    <x v="6"/>
    <m/>
    <n v="856"/>
    <d v="2026-01-13T00:00:00"/>
    <m/>
    <x v="34"/>
    <x v="0"/>
    <x v="16"/>
  </r>
  <r>
    <x v="64"/>
    <x v="64"/>
    <x v="6"/>
    <m/>
    <n v="856"/>
    <d v="2026-01-13T00:00:00"/>
    <m/>
    <x v="34"/>
    <x v="0"/>
    <x v="16"/>
  </r>
  <r>
    <x v="7"/>
    <x v="7"/>
    <x v="8"/>
    <m/>
    <n v="856"/>
    <d v="2026-01-13T00:00:00"/>
    <m/>
    <x v="34"/>
    <x v="0"/>
    <x v="16"/>
  </r>
  <r>
    <x v="9"/>
    <x v="9"/>
    <x v="6"/>
    <m/>
    <n v="856"/>
    <d v="2026-01-13T00:00:00"/>
    <m/>
    <x v="34"/>
    <x v="0"/>
    <x v="16"/>
  </r>
  <r>
    <x v="6"/>
    <x v="6"/>
    <x v="8"/>
    <m/>
    <n v="856"/>
    <d v="2026-01-13T00:00:00"/>
    <m/>
    <x v="34"/>
    <x v="0"/>
    <x v="16"/>
  </r>
  <r>
    <x v="84"/>
    <x v="84"/>
    <x v="6"/>
    <m/>
    <n v="856"/>
    <d v="2026-01-13T00:00:00"/>
    <m/>
    <x v="34"/>
    <x v="0"/>
    <x v="16"/>
  </r>
  <r>
    <x v="25"/>
    <x v="25"/>
    <x v="2"/>
    <m/>
    <n v="9"/>
    <d v="2026-01-12T00:00:00"/>
    <m/>
    <x v="34"/>
    <x v="0"/>
    <x v="0"/>
  </r>
  <r>
    <x v="32"/>
    <x v="32"/>
    <x v="2"/>
    <m/>
    <n v="9"/>
    <d v="2026-01-12T00:00:00"/>
    <m/>
    <x v="34"/>
    <x v="0"/>
    <x v="0"/>
  </r>
  <r>
    <x v="11"/>
    <x v="11"/>
    <x v="2"/>
    <m/>
    <n v="9"/>
    <d v="2026-01-12T00:00:00"/>
    <m/>
    <x v="34"/>
    <x v="0"/>
    <x v="0"/>
  </r>
  <r>
    <x v="39"/>
    <x v="39"/>
    <x v="2"/>
    <m/>
    <n v="9"/>
    <d v="2026-01-12T00:00:00"/>
    <m/>
    <x v="34"/>
    <x v="0"/>
    <x v="0"/>
  </r>
  <r>
    <x v="38"/>
    <x v="38"/>
    <x v="2"/>
    <m/>
    <n v="9"/>
    <d v="2026-01-12T00:00:00"/>
    <m/>
    <x v="34"/>
    <x v="0"/>
    <x v="0"/>
  </r>
  <r>
    <x v="14"/>
    <x v="14"/>
    <x v="1"/>
    <m/>
    <n v="9"/>
    <d v="2026-01-12T00:00:00"/>
    <m/>
    <x v="34"/>
    <x v="0"/>
    <x v="0"/>
  </r>
  <r>
    <x v="13"/>
    <x v="13"/>
    <x v="2"/>
    <m/>
    <n v="9"/>
    <d v="2026-01-12T00:00:00"/>
    <m/>
    <x v="34"/>
    <x v="0"/>
    <x v="0"/>
  </r>
  <r>
    <x v="24"/>
    <x v="24"/>
    <x v="8"/>
    <m/>
    <n v="9"/>
    <d v="2026-01-12T00:00:00"/>
    <s v="G-011-01-44546"/>
    <x v="0"/>
    <x v="7"/>
    <x v="0"/>
  </r>
  <r>
    <x v="6"/>
    <x v="6"/>
    <x v="2"/>
    <m/>
    <n v="9"/>
    <d v="2026-01-12T00:00:00"/>
    <m/>
    <x v="34"/>
    <x v="0"/>
    <x v="0"/>
  </r>
  <r>
    <x v="7"/>
    <x v="7"/>
    <x v="2"/>
    <m/>
    <n v="9"/>
    <d v="2026-01-12T00:00:00"/>
    <m/>
    <x v="34"/>
    <x v="0"/>
    <x v="0"/>
  </r>
  <r>
    <x v="46"/>
    <x v="46"/>
    <x v="2"/>
    <m/>
    <n v="9"/>
    <d v="2026-01-12T00:00:00"/>
    <m/>
    <x v="34"/>
    <x v="0"/>
    <x v="0"/>
  </r>
  <r>
    <x v="51"/>
    <x v="51"/>
    <x v="6"/>
    <m/>
    <n v="9"/>
    <d v="2026-01-12T00:00:00"/>
    <m/>
    <x v="34"/>
    <x v="0"/>
    <x v="0"/>
  </r>
  <r>
    <x v="27"/>
    <x v="27"/>
    <x v="2"/>
    <m/>
    <n v="9"/>
    <d v="2026-01-12T00:00:00"/>
    <m/>
    <x v="34"/>
    <x v="0"/>
    <x v="0"/>
  </r>
  <r>
    <x v="20"/>
    <x v="20"/>
    <x v="8"/>
    <m/>
    <n v="853"/>
    <d v="2026-01-09T00:00:00"/>
    <m/>
    <x v="34"/>
    <x v="0"/>
    <x v="4"/>
  </r>
  <r>
    <x v="1"/>
    <x v="1"/>
    <x v="0"/>
    <m/>
    <n v="853"/>
    <d v="2026-01-09T00:00:00"/>
    <m/>
    <x v="34"/>
    <x v="0"/>
    <x v="4"/>
  </r>
  <r>
    <x v="2"/>
    <x v="2"/>
    <x v="0"/>
    <m/>
    <n v="853"/>
    <d v="2026-01-09T00:00:00"/>
    <m/>
    <x v="34"/>
    <x v="0"/>
    <x v="4"/>
  </r>
  <r>
    <x v="23"/>
    <x v="23"/>
    <x v="0"/>
    <m/>
    <n v="853"/>
    <d v="2026-01-09T00:00:00"/>
    <s v="G-011-01-44550"/>
    <x v="34"/>
    <x v="0"/>
    <x v="4"/>
  </r>
  <r>
    <x v="18"/>
    <x v="18"/>
    <x v="67"/>
    <m/>
    <n v="850"/>
    <d v="2026-01-07T00:00:00"/>
    <s v="G-011-01-24001"/>
    <x v="34"/>
    <x v="0"/>
    <x v="27"/>
  </r>
  <r>
    <x v="45"/>
    <x v="45"/>
    <x v="52"/>
    <m/>
    <n v="850"/>
    <d v="2026-01-07T00:00:00"/>
    <m/>
    <x v="34"/>
    <x v="0"/>
    <x v="27"/>
  </r>
  <r>
    <x v="55"/>
    <x v="55"/>
    <x v="10"/>
    <m/>
    <n v="850"/>
    <d v="2026-01-07T00:00:00"/>
    <m/>
    <x v="34"/>
    <x v="0"/>
    <x v="27"/>
  </r>
  <r>
    <x v="56"/>
    <x v="56"/>
    <x v="6"/>
    <m/>
    <n v="850"/>
    <d v="2026-01-07T00:00:00"/>
    <m/>
    <x v="34"/>
    <x v="0"/>
    <x v="27"/>
  </r>
  <r>
    <x v="85"/>
    <x v="85"/>
    <x v="1"/>
    <m/>
    <n v="851"/>
    <d v="2025-12-30T00:00:00"/>
    <m/>
    <x v="34"/>
    <x v="0"/>
    <x v="11"/>
  </r>
  <r>
    <x v="66"/>
    <x v="66"/>
    <x v="68"/>
    <m/>
    <n v="851"/>
    <d v="2025-12-30T00:00:00"/>
    <s v="G-011-01-26950"/>
    <x v="34"/>
    <x v="0"/>
    <x v="11"/>
  </r>
  <r>
    <x v="18"/>
    <x v="18"/>
    <x v="69"/>
    <m/>
    <n v="851"/>
    <d v="2025-12-30T00:00:00"/>
    <s v="G-011-01-24001"/>
    <x v="34"/>
    <x v="0"/>
    <x v="11"/>
  </r>
  <r>
    <x v="8"/>
    <x v="8"/>
    <x v="40"/>
    <m/>
    <n v="6"/>
    <d v="2026-01-08T00:00:00"/>
    <m/>
    <x v="34"/>
    <x v="0"/>
    <x v="4"/>
  </r>
  <r>
    <x v="24"/>
    <x v="24"/>
    <x v="0"/>
    <m/>
    <n v="6"/>
    <d v="2026-01-08T00:00:00"/>
    <s v="G-011-01-44546"/>
    <x v="6"/>
    <x v="4"/>
    <x v="4"/>
  </r>
  <r>
    <x v="29"/>
    <x v="29"/>
    <x v="44"/>
    <m/>
    <n v="6"/>
    <d v="2026-01-08T00:00:00"/>
    <m/>
    <x v="34"/>
    <x v="0"/>
    <x v="4"/>
  </r>
  <r>
    <x v="7"/>
    <x v="7"/>
    <x v="70"/>
    <m/>
    <n v="6"/>
    <d v="2026-01-08T00:00:00"/>
    <m/>
    <x v="34"/>
    <x v="0"/>
    <x v="4"/>
  </r>
  <r>
    <x v="46"/>
    <x v="46"/>
    <x v="40"/>
    <m/>
    <n v="6"/>
    <d v="2026-01-08T00:00:00"/>
    <m/>
    <x v="34"/>
    <x v="0"/>
    <x v="4"/>
  </r>
  <r>
    <x v="2"/>
    <x v="2"/>
    <x v="0"/>
    <m/>
    <n v="6"/>
    <d v="2026-01-08T00:00:00"/>
    <m/>
    <x v="34"/>
    <x v="0"/>
    <x v="4"/>
  </r>
  <r>
    <x v="1"/>
    <x v="1"/>
    <x v="24"/>
    <m/>
    <n v="6"/>
    <d v="2026-01-08T00:00:00"/>
    <m/>
    <x v="34"/>
    <x v="0"/>
    <x v="4"/>
  </r>
  <r>
    <x v="23"/>
    <x v="23"/>
    <x v="0"/>
    <m/>
    <n v="6"/>
    <d v="2026-01-08T00:00:00"/>
    <s v="G-011-01-44550"/>
    <x v="34"/>
    <x v="0"/>
    <x v="4"/>
  </r>
  <r>
    <x v="2"/>
    <x v="2"/>
    <x v="12"/>
    <m/>
    <n v="840"/>
    <d v="2025-12-29T00:00:00"/>
    <m/>
    <x v="34"/>
    <x v="0"/>
    <x v="4"/>
  </r>
  <r>
    <x v="1"/>
    <x v="1"/>
    <x v="12"/>
    <m/>
    <n v="840"/>
    <d v="2025-12-29T00:00:00"/>
    <m/>
    <x v="34"/>
    <x v="0"/>
    <x v="4"/>
  </r>
  <r>
    <x v="27"/>
    <x v="27"/>
    <x v="28"/>
    <m/>
    <n v="840"/>
    <d v="2025-12-29T00:00:00"/>
    <m/>
    <x v="34"/>
    <x v="0"/>
    <x v="4"/>
  </r>
  <r>
    <x v="24"/>
    <x v="24"/>
    <x v="0"/>
    <m/>
    <n v="846"/>
    <d v="2026-01-05T00:00:00"/>
    <s v="G-011-01-44546"/>
    <x v="6"/>
    <x v="4"/>
    <x v="4"/>
  </r>
  <r>
    <x v="41"/>
    <x v="41"/>
    <x v="6"/>
    <m/>
    <n v="4"/>
    <d v="2026-01-07T00:00:00"/>
    <m/>
    <x v="34"/>
    <x v="0"/>
    <x v="46"/>
  </r>
  <r>
    <x v="2"/>
    <x v="2"/>
    <x v="1"/>
    <m/>
    <n v="4"/>
    <d v="2026-01-07T00:00:00"/>
    <m/>
    <x v="34"/>
    <x v="0"/>
    <x v="46"/>
  </r>
  <r>
    <x v="1"/>
    <x v="1"/>
    <x v="1"/>
    <m/>
    <n v="4"/>
    <d v="2026-01-07T00:00:00"/>
    <m/>
    <x v="34"/>
    <x v="0"/>
    <x v="46"/>
  </r>
  <r>
    <x v="11"/>
    <x v="11"/>
    <x v="6"/>
    <m/>
    <n v="4"/>
    <d v="2026-01-07T00:00:00"/>
    <m/>
    <x v="34"/>
    <x v="0"/>
    <x v="46"/>
  </r>
  <r>
    <x v="13"/>
    <x v="13"/>
    <x v="6"/>
    <m/>
    <n v="4"/>
    <d v="2026-01-07T00:00:00"/>
    <m/>
    <x v="34"/>
    <x v="0"/>
    <x v="46"/>
  </r>
  <r>
    <x v="14"/>
    <x v="14"/>
    <x v="6"/>
    <m/>
    <n v="4"/>
    <d v="2026-01-07T00:00:00"/>
    <m/>
    <x v="34"/>
    <x v="0"/>
    <x v="46"/>
  </r>
  <r>
    <x v="24"/>
    <x v="24"/>
    <x v="1"/>
    <m/>
    <n v="4"/>
    <d v="2026-01-07T00:00:00"/>
    <m/>
    <x v="35"/>
    <x v="4"/>
    <x v="46"/>
  </r>
  <r>
    <x v="65"/>
    <x v="65"/>
    <x v="6"/>
    <m/>
    <n v="4"/>
    <d v="2026-01-07T00:00:00"/>
    <m/>
    <x v="34"/>
    <x v="0"/>
    <x v="46"/>
  </r>
  <r>
    <x v="64"/>
    <x v="64"/>
    <x v="6"/>
    <m/>
    <n v="4"/>
    <d v="2026-01-07T00:00:00"/>
    <m/>
    <x v="34"/>
    <x v="0"/>
    <x v="46"/>
  </r>
  <r>
    <x v="7"/>
    <x v="7"/>
    <x v="8"/>
    <m/>
    <n v="4"/>
    <d v="2026-01-07T00:00:00"/>
    <m/>
    <x v="34"/>
    <x v="0"/>
    <x v="46"/>
  </r>
  <r>
    <x v="9"/>
    <x v="9"/>
    <x v="6"/>
    <m/>
    <n v="4"/>
    <d v="2026-01-07T00:00:00"/>
    <m/>
    <x v="34"/>
    <x v="0"/>
    <x v="46"/>
  </r>
  <r>
    <x v="69"/>
    <x v="69"/>
    <x v="6"/>
    <m/>
    <n v="4"/>
    <d v="2026-01-07T00:00:00"/>
    <m/>
    <x v="34"/>
    <x v="0"/>
    <x v="46"/>
  </r>
  <r>
    <x v="24"/>
    <x v="24"/>
    <x v="13"/>
    <m/>
    <n v="848"/>
    <d v="2026-01-06T00:00:00"/>
    <m/>
    <x v="33"/>
    <x v="5"/>
    <x v="11"/>
  </r>
  <r>
    <x v="32"/>
    <x v="32"/>
    <x v="2"/>
    <m/>
    <n v="848"/>
    <d v="2026-01-06T00:00:00"/>
    <m/>
    <x v="34"/>
    <x v="0"/>
    <x v="11"/>
  </r>
  <r>
    <x v="11"/>
    <x v="11"/>
    <x v="2"/>
    <m/>
    <n v="848"/>
    <d v="2026-01-06T00:00:00"/>
    <m/>
    <x v="34"/>
    <x v="0"/>
    <x v="11"/>
  </r>
  <r>
    <x v="15"/>
    <x v="15"/>
    <x v="6"/>
    <m/>
    <n v="848"/>
    <d v="2026-01-06T00:00:00"/>
    <m/>
    <x v="34"/>
    <x v="0"/>
    <x v="11"/>
  </r>
  <r>
    <x v="2"/>
    <x v="2"/>
    <x v="71"/>
    <m/>
    <n v="848"/>
    <d v="2026-01-06T00:00:00"/>
    <m/>
    <x v="34"/>
    <x v="0"/>
    <x v="11"/>
  </r>
  <r>
    <x v="1"/>
    <x v="1"/>
    <x v="71"/>
    <m/>
    <n v="848"/>
    <d v="2026-01-06T00:00:00"/>
    <m/>
    <x v="34"/>
    <x v="0"/>
    <x v="11"/>
  </r>
  <r>
    <x v="7"/>
    <x v="7"/>
    <x v="1"/>
    <m/>
    <n v="848"/>
    <d v="2026-01-06T00:00:00"/>
    <m/>
    <x v="34"/>
    <x v="0"/>
    <x v="11"/>
  </r>
  <r>
    <x v="26"/>
    <x v="26"/>
    <x v="2"/>
    <m/>
    <n v="848"/>
    <d v="2026-01-06T00:00:00"/>
    <m/>
    <x v="34"/>
    <x v="0"/>
    <x v="11"/>
  </r>
  <r>
    <x v="43"/>
    <x v="43"/>
    <x v="6"/>
    <m/>
    <n v="848"/>
    <d v="2026-01-06T00:00:00"/>
    <m/>
    <x v="34"/>
    <x v="0"/>
    <x v="11"/>
  </r>
  <r>
    <x v="28"/>
    <x v="28"/>
    <x v="6"/>
    <m/>
    <n v="848"/>
    <d v="2026-01-06T00:00:00"/>
    <m/>
    <x v="34"/>
    <x v="0"/>
    <x v="11"/>
  </r>
  <r>
    <x v="10"/>
    <x v="10"/>
    <x v="2"/>
    <m/>
    <n v="848"/>
    <d v="2026-01-06T00:00:00"/>
    <m/>
    <x v="34"/>
    <x v="0"/>
    <x v="11"/>
  </r>
  <r>
    <x v="69"/>
    <x v="69"/>
    <x v="8"/>
    <m/>
    <n v="848"/>
    <d v="2026-01-06T00:00:00"/>
    <m/>
    <x v="34"/>
    <x v="0"/>
    <x v="11"/>
  </r>
  <r>
    <x v="31"/>
    <x v="31"/>
    <x v="8"/>
    <m/>
    <n v="848"/>
    <d v="2026-01-06T00:00:00"/>
    <m/>
    <x v="34"/>
    <x v="0"/>
    <x v="11"/>
  </r>
  <r>
    <x v="20"/>
    <x v="20"/>
    <x v="4"/>
    <m/>
    <n v="848"/>
    <d v="2026-01-06T00:00:00"/>
    <m/>
    <x v="34"/>
    <x v="0"/>
    <x v="11"/>
  </r>
  <r>
    <x v="52"/>
    <x v="52"/>
    <x v="4"/>
    <m/>
    <n v="848"/>
    <d v="2026-01-06T00:00:00"/>
    <m/>
    <x v="34"/>
    <x v="0"/>
    <x v="11"/>
  </r>
  <r>
    <x v="36"/>
    <x v="36"/>
    <x v="27"/>
    <m/>
    <n v="848"/>
    <d v="2026-01-06T00:00:00"/>
    <m/>
    <x v="34"/>
    <x v="0"/>
    <x v="11"/>
  </r>
  <r>
    <x v="2"/>
    <x v="2"/>
    <x v="0"/>
    <m/>
    <n v="3"/>
    <d v="2026-01-06T00:00:00"/>
    <m/>
    <x v="34"/>
    <x v="0"/>
    <x v="4"/>
  </r>
  <r>
    <x v="1"/>
    <x v="1"/>
    <x v="0"/>
    <m/>
    <n v="3"/>
    <d v="2026-01-06T00:00:00"/>
    <m/>
    <x v="34"/>
    <x v="0"/>
    <x v="4"/>
  </r>
  <r>
    <x v="23"/>
    <x v="23"/>
    <x v="0"/>
    <m/>
    <n v="3"/>
    <d v="2026-01-06T00:00:00"/>
    <s v="G-011-01-44550"/>
    <x v="34"/>
    <x v="0"/>
    <x v="4"/>
  </r>
  <r>
    <x v="17"/>
    <x v="17"/>
    <x v="6"/>
    <m/>
    <n v="3"/>
    <d v="2026-01-06T00:00:00"/>
    <m/>
    <x v="34"/>
    <x v="0"/>
    <x v="4"/>
  </r>
  <r>
    <x v="25"/>
    <x v="25"/>
    <x v="8"/>
    <m/>
    <n v="3"/>
    <d v="2026-01-06T00:00:00"/>
    <m/>
    <x v="34"/>
    <x v="0"/>
    <x v="4"/>
  </r>
  <r>
    <x v="29"/>
    <x v="29"/>
    <x v="11"/>
    <m/>
    <n v="3"/>
    <d v="2026-01-06T00:00:00"/>
    <m/>
    <x v="34"/>
    <x v="0"/>
    <x v="4"/>
  </r>
  <r>
    <x v="7"/>
    <x v="7"/>
    <x v="11"/>
    <m/>
    <n v="3"/>
    <d v="2026-01-06T00:00:00"/>
    <m/>
    <x v="34"/>
    <x v="0"/>
    <x v="4"/>
  </r>
  <r>
    <x v="6"/>
    <x v="6"/>
    <x v="11"/>
    <m/>
    <n v="3"/>
    <d v="2026-01-06T00:00:00"/>
    <m/>
    <x v="34"/>
    <x v="0"/>
    <x v="4"/>
  </r>
  <r>
    <x v="8"/>
    <x v="8"/>
    <x v="27"/>
    <m/>
    <n v="3"/>
    <d v="2026-01-06T00:00:00"/>
    <m/>
    <x v="34"/>
    <x v="0"/>
    <x v="4"/>
  </r>
  <r>
    <x v="46"/>
    <x v="46"/>
    <x v="27"/>
    <m/>
    <n v="3"/>
    <d v="2026-01-06T00:00:00"/>
    <m/>
    <x v="34"/>
    <x v="0"/>
    <x v="4"/>
  </r>
  <r>
    <x v="6"/>
    <x v="6"/>
    <x v="2"/>
    <m/>
    <n v="2"/>
    <d v="2026-01-05T00:00:00"/>
    <m/>
    <x v="34"/>
    <x v="3"/>
    <x v="55"/>
  </r>
  <r>
    <x v="13"/>
    <x v="13"/>
    <x v="6"/>
    <m/>
    <n v="1"/>
    <d v="2026-01-05T00:00:00"/>
    <m/>
    <x v="34"/>
    <x v="0"/>
    <x v="55"/>
  </r>
  <r>
    <x v="2"/>
    <x v="2"/>
    <x v="2"/>
    <m/>
    <n v="1"/>
    <d v="2026-01-05T00:00:00"/>
    <m/>
    <x v="34"/>
    <x v="0"/>
    <x v="55"/>
  </r>
  <r>
    <x v="1"/>
    <x v="1"/>
    <x v="2"/>
    <m/>
    <n v="1"/>
    <d v="2026-01-05T00:00:00"/>
    <m/>
    <x v="34"/>
    <x v="0"/>
    <x v="55"/>
  </r>
  <r>
    <x v="32"/>
    <x v="32"/>
    <x v="6"/>
    <m/>
    <n v="1"/>
    <d v="2026-01-05T00:00:00"/>
    <m/>
    <x v="34"/>
    <x v="0"/>
    <x v="55"/>
  </r>
  <r>
    <x v="11"/>
    <x v="11"/>
    <x v="6"/>
    <m/>
    <n v="1"/>
    <d v="2026-01-05T00:00:00"/>
    <m/>
    <x v="34"/>
    <x v="0"/>
    <x v="55"/>
  </r>
  <r>
    <x v="14"/>
    <x v="14"/>
    <x v="6"/>
    <m/>
    <n v="1"/>
    <d v="2026-01-05T00:00:00"/>
    <m/>
    <x v="34"/>
    <x v="0"/>
    <x v="55"/>
  </r>
  <r>
    <x v="24"/>
    <x v="24"/>
    <x v="2"/>
    <m/>
    <n v="1"/>
    <d v="2026-01-05T00:00:00"/>
    <m/>
    <x v="0"/>
    <x v="4"/>
    <x v="55"/>
  </r>
  <r>
    <x v="8"/>
    <x v="8"/>
    <x v="6"/>
    <m/>
    <n v="1"/>
    <d v="2026-01-05T00:00:00"/>
    <m/>
    <x v="34"/>
    <x v="0"/>
    <x v="55"/>
  </r>
  <r>
    <x v="10"/>
    <x v="10"/>
    <x v="6"/>
    <m/>
    <n v="1"/>
    <d v="2026-01-05T00:00:00"/>
    <m/>
    <x v="34"/>
    <x v="0"/>
    <x v="55"/>
  </r>
  <r>
    <x v="7"/>
    <x v="7"/>
    <x v="8"/>
    <m/>
    <n v="1"/>
    <d v="2026-01-05T00:00:00"/>
    <m/>
    <x v="34"/>
    <x v="0"/>
    <x v="55"/>
  </r>
  <r>
    <x v="9"/>
    <x v="9"/>
    <x v="6"/>
    <m/>
    <n v="1"/>
    <d v="2026-01-05T00:00:00"/>
    <m/>
    <x v="34"/>
    <x v="0"/>
    <x v="55"/>
  </r>
  <r>
    <x v="5"/>
    <x v="5"/>
    <x v="6"/>
    <m/>
    <n v="1"/>
    <d v="2026-01-05T00:00:00"/>
    <m/>
    <x v="34"/>
    <x v="0"/>
    <x v="55"/>
  </r>
  <r>
    <x v="21"/>
    <x v="21"/>
    <x v="2"/>
    <m/>
    <n v="846"/>
    <d v="2026-01-05T00:00:00"/>
    <m/>
    <x v="34"/>
    <x v="0"/>
    <x v="4"/>
  </r>
  <r>
    <x v="20"/>
    <x v="20"/>
    <x v="1"/>
    <m/>
    <n v="846"/>
    <d v="2026-01-05T00:00:00"/>
    <m/>
    <x v="34"/>
    <x v="0"/>
    <x v="4"/>
  </r>
  <r>
    <x v="1"/>
    <x v="1"/>
    <x v="0"/>
    <m/>
    <n v="846"/>
    <d v="2026-01-05T00:00:00"/>
    <m/>
    <x v="34"/>
    <x v="0"/>
    <x v="4"/>
  </r>
  <r>
    <x v="2"/>
    <x v="2"/>
    <x v="0"/>
    <m/>
    <n v="846"/>
    <d v="2026-01-05T00:00:00"/>
    <m/>
    <x v="34"/>
    <x v="0"/>
    <x v="4"/>
  </r>
  <r>
    <x v="29"/>
    <x v="29"/>
    <x v="3"/>
    <m/>
    <n v="846"/>
    <d v="2026-01-05T00:00:00"/>
    <m/>
    <x v="34"/>
    <x v="0"/>
    <x v="4"/>
  </r>
  <r>
    <x v="7"/>
    <x v="7"/>
    <x v="11"/>
    <m/>
    <n v="846"/>
    <d v="2026-01-05T00:00:00"/>
    <m/>
    <x v="34"/>
    <x v="0"/>
    <x v="4"/>
  </r>
  <r>
    <x v="23"/>
    <x v="23"/>
    <x v="0"/>
    <m/>
    <n v="846"/>
    <d v="2026-01-05T00:00:00"/>
    <s v="G-011-01-44550"/>
    <x v="34"/>
    <x v="0"/>
    <x v="4"/>
  </r>
  <r>
    <x v="8"/>
    <x v="8"/>
    <x v="3"/>
    <m/>
    <n v="846"/>
    <d v="2026-01-05T00:00:00"/>
    <m/>
    <x v="34"/>
    <x v="0"/>
    <x v="4"/>
  </r>
  <r>
    <x v="46"/>
    <x v="46"/>
    <x v="3"/>
    <m/>
    <n v="846"/>
    <d v="2026-01-05T00:00:00"/>
    <m/>
    <x v="34"/>
    <x v="0"/>
    <x v="4"/>
  </r>
  <r>
    <x v="6"/>
    <x v="6"/>
    <x v="2"/>
    <m/>
    <n v="834"/>
    <d v="2025-12-26T00:00:00"/>
    <m/>
    <x v="34"/>
    <x v="0"/>
    <x v="56"/>
  </r>
  <r>
    <x v="1"/>
    <x v="1"/>
    <x v="11"/>
    <m/>
    <n v="825"/>
    <d v="2025-12-22T00:00:00"/>
    <m/>
    <x v="34"/>
    <x v="0"/>
    <x v="57"/>
  </r>
  <r>
    <x v="8"/>
    <x v="8"/>
    <x v="6"/>
    <m/>
    <n v="821"/>
    <d v="2025-12-23T00:00:00"/>
    <m/>
    <x v="34"/>
    <x v="0"/>
    <x v="54"/>
  </r>
  <r>
    <x v="5"/>
    <x v="5"/>
    <x v="6"/>
    <m/>
    <n v="821"/>
    <d v="2025-12-23T00:00:00"/>
    <m/>
    <x v="34"/>
    <x v="0"/>
    <x v="54"/>
  </r>
  <r>
    <x v="3"/>
    <x v="3"/>
    <x v="6"/>
    <m/>
    <n v="821"/>
    <d v="2025-12-23T00:00:00"/>
    <m/>
    <x v="34"/>
    <x v="0"/>
    <x v="54"/>
  </r>
  <r>
    <x v="0"/>
    <x v="0"/>
    <x v="1"/>
    <m/>
    <n v="821"/>
    <d v="2025-12-23T00:00:00"/>
    <m/>
    <x v="34"/>
    <x v="0"/>
    <x v="54"/>
  </r>
  <r>
    <x v="29"/>
    <x v="29"/>
    <x v="6"/>
    <m/>
    <n v="821"/>
    <d v="2025-12-23T00:00:00"/>
    <m/>
    <x v="34"/>
    <x v="0"/>
    <x v="54"/>
  </r>
  <r>
    <x v="7"/>
    <x v="7"/>
    <x v="2"/>
    <m/>
    <n v="821"/>
    <d v="2025-12-23T00:00:00"/>
    <m/>
    <x v="34"/>
    <x v="0"/>
    <x v="54"/>
  </r>
  <r>
    <x v="13"/>
    <x v="13"/>
    <x v="6"/>
    <m/>
    <n v="833"/>
    <d v="2025-12-23T00:00:00"/>
    <m/>
    <x v="34"/>
    <x v="0"/>
    <x v="45"/>
  </r>
  <r>
    <x v="1"/>
    <x v="1"/>
    <x v="10"/>
    <m/>
    <n v="833"/>
    <d v="2025-12-23T00:00:00"/>
    <m/>
    <x v="34"/>
    <x v="0"/>
    <x v="45"/>
  </r>
  <r>
    <x v="32"/>
    <x v="32"/>
    <x v="6"/>
    <m/>
    <n v="833"/>
    <d v="2025-12-23T00:00:00"/>
    <m/>
    <x v="34"/>
    <x v="0"/>
    <x v="45"/>
  </r>
  <r>
    <x v="11"/>
    <x v="11"/>
    <x v="6"/>
    <m/>
    <n v="833"/>
    <d v="2025-12-23T00:00:00"/>
    <m/>
    <x v="34"/>
    <x v="0"/>
    <x v="45"/>
  </r>
  <r>
    <x v="14"/>
    <x v="14"/>
    <x v="6"/>
    <m/>
    <n v="833"/>
    <d v="2025-12-23T00:00:00"/>
    <m/>
    <x v="34"/>
    <x v="0"/>
    <x v="45"/>
  </r>
  <r>
    <x v="24"/>
    <x v="24"/>
    <x v="3"/>
    <m/>
    <n v="833"/>
    <d v="2025-12-23T00:00:00"/>
    <m/>
    <x v="35"/>
    <x v="4"/>
    <x v="45"/>
  </r>
  <r>
    <x v="6"/>
    <x v="6"/>
    <x v="1"/>
    <m/>
    <n v="833"/>
    <d v="2025-12-23T00:00:00"/>
    <m/>
    <x v="34"/>
    <x v="0"/>
    <x v="45"/>
  </r>
  <r>
    <x v="8"/>
    <x v="8"/>
    <x v="6"/>
    <m/>
    <n v="833"/>
    <d v="2025-12-23T00:00:00"/>
    <m/>
    <x v="34"/>
    <x v="0"/>
    <x v="45"/>
  </r>
  <r>
    <x v="10"/>
    <x v="10"/>
    <x v="6"/>
    <m/>
    <n v="833"/>
    <d v="2025-12-23T00:00:00"/>
    <m/>
    <x v="34"/>
    <x v="0"/>
    <x v="45"/>
  </r>
  <r>
    <x v="7"/>
    <x v="7"/>
    <x v="8"/>
    <m/>
    <n v="833"/>
    <d v="2025-12-23T00:00:00"/>
    <m/>
    <x v="34"/>
    <x v="0"/>
    <x v="45"/>
  </r>
  <r>
    <x v="9"/>
    <x v="9"/>
    <x v="6"/>
    <m/>
    <n v="833"/>
    <d v="2025-12-23T00:00:00"/>
    <m/>
    <x v="34"/>
    <x v="0"/>
    <x v="45"/>
  </r>
  <r>
    <x v="46"/>
    <x v="46"/>
    <x v="6"/>
    <m/>
    <n v="833"/>
    <d v="2025-12-13T00:00:00"/>
    <m/>
    <x v="34"/>
    <x v="0"/>
    <x v="45"/>
  </r>
  <r>
    <x v="13"/>
    <x v="13"/>
    <x v="6"/>
    <m/>
    <n v="805"/>
    <d v="2025-12-04T00:00:00"/>
    <m/>
    <x v="34"/>
    <x v="0"/>
    <x v="58"/>
  </r>
  <r>
    <x v="2"/>
    <x v="2"/>
    <x v="6"/>
    <m/>
    <n v="805"/>
    <d v="2025-12-04T00:00:00"/>
    <m/>
    <x v="34"/>
    <x v="0"/>
    <x v="58"/>
  </r>
  <r>
    <x v="1"/>
    <x v="1"/>
    <x v="6"/>
    <m/>
    <n v="805"/>
    <d v="2025-12-04T00:00:00"/>
    <m/>
    <x v="34"/>
    <x v="0"/>
    <x v="58"/>
  </r>
  <r>
    <x v="32"/>
    <x v="32"/>
    <x v="6"/>
    <m/>
    <n v="805"/>
    <d v="2025-12-04T00:00:00"/>
    <m/>
    <x v="34"/>
    <x v="0"/>
    <x v="58"/>
  </r>
  <r>
    <x v="11"/>
    <x v="11"/>
    <x v="6"/>
    <m/>
    <n v="805"/>
    <d v="2025-12-04T00:00:00"/>
    <m/>
    <x v="34"/>
    <x v="0"/>
    <x v="58"/>
  </r>
  <r>
    <x v="14"/>
    <x v="14"/>
    <x v="6"/>
    <m/>
    <n v="805"/>
    <d v="2025-12-04T00:00:00"/>
    <m/>
    <x v="34"/>
    <x v="0"/>
    <x v="58"/>
  </r>
  <r>
    <x v="24"/>
    <x v="24"/>
    <x v="6"/>
    <m/>
    <n v="805"/>
    <d v="2025-12-04T00:00:00"/>
    <m/>
    <x v="35"/>
    <x v="4"/>
    <x v="58"/>
  </r>
  <r>
    <x v="8"/>
    <x v="8"/>
    <x v="6"/>
    <m/>
    <n v="805"/>
    <d v="2025-12-04T00:00:00"/>
    <m/>
    <x v="34"/>
    <x v="0"/>
    <x v="58"/>
  </r>
  <r>
    <x v="10"/>
    <x v="10"/>
    <x v="6"/>
    <m/>
    <n v="805"/>
    <d v="2025-12-04T00:00:00"/>
    <m/>
    <x v="34"/>
    <x v="0"/>
    <x v="58"/>
  </r>
  <r>
    <x v="7"/>
    <x v="7"/>
    <x v="8"/>
    <m/>
    <n v="805"/>
    <d v="2025-12-04T00:00:00"/>
    <m/>
    <x v="34"/>
    <x v="0"/>
    <x v="58"/>
  </r>
  <r>
    <x v="9"/>
    <x v="9"/>
    <x v="6"/>
    <m/>
    <n v="805"/>
    <d v="2025-12-04T00:00:00"/>
    <m/>
    <x v="34"/>
    <x v="0"/>
    <x v="58"/>
  </r>
  <r>
    <x v="28"/>
    <x v="28"/>
    <x v="6"/>
    <m/>
    <n v="805"/>
    <d v="2025-12-04T00:00:00"/>
    <m/>
    <x v="34"/>
    <x v="0"/>
    <x v="58"/>
  </r>
  <r>
    <x v="54"/>
    <x v="54"/>
    <x v="6"/>
    <m/>
    <n v="819"/>
    <d v="2025-12-17T00:00:00"/>
    <m/>
    <x v="34"/>
    <x v="0"/>
    <x v="56"/>
  </r>
  <r>
    <x v="32"/>
    <x v="32"/>
    <x v="2"/>
    <m/>
    <n v="826"/>
    <d v="2025-12-18T00:00:00"/>
    <m/>
    <x v="34"/>
    <x v="0"/>
    <x v="54"/>
  </r>
  <r>
    <x v="11"/>
    <x v="11"/>
    <x v="2"/>
    <m/>
    <n v="826"/>
    <d v="2025-12-18T00:00:00"/>
    <m/>
    <x v="34"/>
    <x v="0"/>
    <x v="54"/>
  </r>
  <r>
    <x v="10"/>
    <x v="10"/>
    <x v="2"/>
    <m/>
    <n v="826"/>
    <d v="2025-12-18T00:00:00"/>
    <m/>
    <x v="34"/>
    <x v="0"/>
    <x v="54"/>
  </r>
  <r>
    <x v="4"/>
    <x v="4"/>
    <x v="2"/>
    <m/>
    <n v="826"/>
    <d v="2025-12-18T00:00:00"/>
    <m/>
    <x v="34"/>
    <x v="0"/>
    <x v="54"/>
  </r>
  <r>
    <x v="3"/>
    <x v="3"/>
    <x v="2"/>
    <m/>
    <n v="826"/>
    <d v="2025-12-18T00:00:00"/>
    <m/>
    <x v="34"/>
    <x v="0"/>
    <x v="54"/>
  </r>
  <r>
    <x v="29"/>
    <x v="29"/>
    <x v="40"/>
    <m/>
    <n v="826"/>
    <d v="2025-12-18T00:00:00"/>
    <m/>
    <x v="34"/>
    <x v="0"/>
    <x v="54"/>
  </r>
  <r>
    <x v="6"/>
    <x v="6"/>
    <x v="72"/>
    <m/>
    <n v="826"/>
    <d v="2025-12-18T00:00:00"/>
    <m/>
    <x v="34"/>
    <x v="0"/>
    <x v="54"/>
  </r>
  <r>
    <x v="13"/>
    <x v="13"/>
    <x v="6"/>
    <m/>
    <n v="828"/>
    <d v="2025-12-19T00:00:00"/>
    <m/>
    <x v="34"/>
    <x v="0"/>
    <x v="46"/>
  </r>
  <r>
    <x v="1"/>
    <x v="1"/>
    <x v="8"/>
    <m/>
    <n v="828"/>
    <d v="2025-12-19T00:00:00"/>
    <m/>
    <x v="34"/>
    <x v="0"/>
    <x v="46"/>
  </r>
  <r>
    <x v="32"/>
    <x v="32"/>
    <x v="6"/>
    <m/>
    <n v="828"/>
    <d v="2025-12-19T00:00:00"/>
    <m/>
    <x v="34"/>
    <x v="0"/>
    <x v="46"/>
  </r>
  <r>
    <x v="11"/>
    <x v="11"/>
    <x v="6"/>
    <m/>
    <n v="828"/>
    <d v="2025-12-19T00:00:00"/>
    <m/>
    <x v="34"/>
    <x v="0"/>
    <x v="46"/>
  </r>
  <r>
    <x v="14"/>
    <x v="14"/>
    <x v="6"/>
    <m/>
    <n v="828"/>
    <d v="2025-12-19T00:00:00"/>
    <m/>
    <x v="34"/>
    <x v="0"/>
    <x v="46"/>
  </r>
  <r>
    <x v="24"/>
    <x v="24"/>
    <x v="1"/>
    <m/>
    <n v="828"/>
    <d v="2025-12-19T00:00:00"/>
    <m/>
    <x v="35"/>
    <x v="4"/>
    <x v="46"/>
  </r>
  <r>
    <x v="8"/>
    <x v="8"/>
    <x v="6"/>
    <m/>
    <n v="828"/>
    <d v="2025-12-19T00:00:00"/>
    <m/>
    <x v="34"/>
    <x v="0"/>
    <x v="46"/>
  </r>
  <r>
    <x v="10"/>
    <x v="10"/>
    <x v="6"/>
    <m/>
    <n v="828"/>
    <d v="2025-12-19T00:00:00"/>
    <m/>
    <x v="34"/>
    <x v="0"/>
    <x v="46"/>
  </r>
  <r>
    <x v="7"/>
    <x v="7"/>
    <x v="8"/>
    <m/>
    <n v="828"/>
    <d v="2025-12-19T00:00:00"/>
    <m/>
    <x v="34"/>
    <x v="0"/>
    <x v="46"/>
  </r>
  <r>
    <x v="9"/>
    <x v="9"/>
    <x v="6"/>
    <m/>
    <n v="828"/>
    <d v="2025-12-19T00:00:00"/>
    <m/>
    <x v="34"/>
    <x v="0"/>
    <x v="46"/>
  </r>
  <r>
    <x v="5"/>
    <x v="5"/>
    <x v="6"/>
    <m/>
    <n v="828"/>
    <d v="2025-12-19T00:00:00"/>
    <m/>
    <x v="34"/>
    <x v="0"/>
    <x v="46"/>
  </r>
  <r>
    <x v="2"/>
    <x v="2"/>
    <x v="3"/>
    <m/>
    <n v="816"/>
    <d v="2025-12-11T00:00:00"/>
    <m/>
    <x v="34"/>
    <x v="0"/>
    <x v="39"/>
  </r>
  <r>
    <x v="1"/>
    <x v="1"/>
    <x v="3"/>
    <m/>
    <n v="816"/>
    <d v="2025-12-11T00:00:00"/>
    <m/>
    <x v="34"/>
    <x v="0"/>
    <x v="39"/>
  </r>
  <r>
    <x v="0"/>
    <x v="0"/>
    <x v="1"/>
    <m/>
    <n v="816"/>
    <d v="2025-12-11T00:00:00"/>
    <m/>
    <x v="34"/>
    <x v="0"/>
    <x v="39"/>
  </r>
  <r>
    <x v="2"/>
    <x v="2"/>
    <x v="73"/>
    <m/>
    <n v="819"/>
    <d v="2025-12-17T00:00:00"/>
    <m/>
    <x v="34"/>
    <x v="0"/>
    <x v="56"/>
  </r>
  <r>
    <x v="1"/>
    <x v="1"/>
    <x v="73"/>
    <m/>
    <n v="819"/>
    <d v="2025-12-17T00:00:00"/>
    <m/>
    <x v="34"/>
    <x v="0"/>
    <x v="56"/>
  </r>
  <r>
    <x v="14"/>
    <x v="14"/>
    <x v="6"/>
    <m/>
    <n v="819"/>
    <d v="2025-12-17T00:00:00"/>
    <m/>
    <x v="34"/>
    <x v="0"/>
    <x v="56"/>
  </r>
  <r>
    <x v="0"/>
    <x v="0"/>
    <x v="73"/>
    <m/>
    <n v="819"/>
    <d v="2025-12-17T00:00:00"/>
    <m/>
    <x v="34"/>
    <x v="0"/>
    <x v="56"/>
  </r>
  <r>
    <x v="56"/>
    <x v="56"/>
    <x v="48"/>
    <m/>
    <n v="819"/>
    <d v="2025-12-17T00:00:00"/>
    <m/>
    <x v="34"/>
    <x v="0"/>
    <x v="56"/>
  </r>
  <r>
    <x v="55"/>
    <x v="55"/>
    <x v="48"/>
    <m/>
    <n v="819"/>
    <d v="2025-12-17T00:00:00"/>
    <m/>
    <x v="34"/>
    <x v="0"/>
    <x v="56"/>
  </r>
  <r>
    <x v="60"/>
    <x v="60"/>
    <x v="6"/>
    <m/>
    <n v="819"/>
    <d v="2025-12-17T00:00:00"/>
    <m/>
    <x v="34"/>
    <x v="0"/>
    <x v="56"/>
  </r>
  <r>
    <x v="4"/>
    <x v="4"/>
    <x v="6"/>
    <m/>
    <n v="819"/>
    <d v="2025-12-17T00:00:00"/>
    <m/>
    <x v="34"/>
    <x v="0"/>
    <x v="56"/>
  </r>
  <r>
    <x v="35"/>
    <x v="35"/>
    <x v="6"/>
    <m/>
    <n v="819"/>
    <d v="2025-12-17T00:00:00"/>
    <m/>
    <x v="34"/>
    <x v="0"/>
    <x v="56"/>
  </r>
  <r>
    <x v="13"/>
    <x v="13"/>
    <x v="2"/>
    <m/>
    <n v="819"/>
    <d v="2025-12-17T00:00:00"/>
    <m/>
    <x v="34"/>
    <x v="0"/>
    <x v="56"/>
  </r>
  <r>
    <x v="61"/>
    <x v="61"/>
    <x v="6"/>
    <m/>
    <n v="819"/>
    <d v="2025-12-17T00:00:00"/>
    <m/>
    <x v="34"/>
    <x v="0"/>
    <x v="56"/>
  </r>
  <r>
    <x v="3"/>
    <x v="3"/>
    <x v="8"/>
    <m/>
    <n v="819"/>
    <d v="2025-12-17T00:00:00"/>
    <m/>
    <x v="34"/>
    <x v="0"/>
    <x v="56"/>
  </r>
  <r>
    <x v="34"/>
    <x v="34"/>
    <x v="6"/>
    <m/>
    <n v="819"/>
    <d v="2025-12-17T00:00:00"/>
    <m/>
    <x v="34"/>
    <x v="0"/>
    <x v="56"/>
  </r>
  <r>
    <x v="86"/>
    <x v="86"/>
    <x v="6"/>
    <m/>
    <n v="819"/>
    <d v="2025-12-17T00:00:00"/>
    <m/>
    <x v="34"/>
    <x v="0"/>
    <x v="56"/>
  </r>
  <r>
    <x v="8"/>
    <x v="8"/>
    <x v="40"/>
    <m/>
    <n v="818"/>
    <d v="2025-12-17T00:00:00"/>
    <m/>
    <x v="34"/>
    <x v="0"/>
    <x v="54"/>
  </r>
  <r>
    <x v="7"/>
    <x v="7"/>
    <x v="40"/>
    <m/>
    <n v="818"/>
    <d v="2025-12-17T00:00:00"/>
    <m/>
    <x v="34"/>
    <x v="0"/>
    <x v="54"/>
  </r>
  <r>
    <x v="1"/>
    <x v="1"/>
    <x v="0"/>
    <m/>
    <n v="818"/>
    <d v="2025-12-17T00:00:00"/>
    <m/>
    <x v="34"/>
    <x v="0"/>
    <x v="54"/>
  </r>
  <r>
    <x v="2"/>
    <x v="2"/>
    <x v="0"/>
    <m/>
    <n v="818"/>
    <d v="2025-12-17T00:00:00"/>
    <m/>
    <x v="34"/>
    <x v="0"/>
    <x v="54"/>
  </r>
  <r>
    <x v="4"/>
    <x v="4"/>
    <x v="1"/>
    <m/>
    <n v="818"/>
    <d v="2025-12-17T00:00:00"/>
    <m/>
    <x v="34"/>
    <x v="0"/>
    <x v="54"/>
  </r>
  <r>
    <x v="76"/>
    <x v="76"/>
    <x v="6"/>
    <m/>
    <n v="818"/>
    <d v="2025-12-17T00:00:00"/>
    <m/>
    <x v="34"/>
    <x v="0"/>
    <x v="54"/>
  </r>
  <r>
    <x v="3"/>
    <x v="3"/>
    <x v="10"/>
    <m/>
    <n v="818"/>
    <d v="2025-12-17T00:00:00"/>
    <m/>
    <x v="34"/>
    <x v="0"/>
    <x v="54"/>
  </r>
  <r>
    <x v="5"/>
    <x v="5"/>
    <x v="40"/>
    <m/>
    <n v="818"/>
    <d v="2025-12-17T00:00:00"/>
    <m/>
    <x v="34"/>
    <x v="0"/>
    <x v="54"/>
  </r>
  <r>
    <x v="0"/>
    <x v="0"/>
    <x v="13"/>
    <m/>
    <n v="818"/>
    <d v="2025-12-17T00:00:00"/>
    <s v="G-011-01-44548"/>
    <x v="34"/>
    <x v="0"/>
    <x v="54"/>
  </r>
  <r>
    <x v="24"/>
    <x v="24"/>
    <x v="13"/>
    <m/>
    <n v="818"/>
    <d v="2017-12-17T00:00:00"/>
    <m/>
    <x v="6"/>
    <x v="4"/>
    <x v="54"/>
  </r>
  <r>
    <x v="1"/>
    <x v="1"/>
    <x v="0"/>
    <m/>
    <n v="812"/>
    <d v="2025-12-11T00:00:00"/>
    <m/>
    <x v="34"/>
    <x v="0"/>
    <x v="54"/>
  </r>
  <r>
    <x v="2"/>
    <x v="2"/>
    <x v="0"/>
    <m/>
    <n v="812"/>
    <d v="2025-12-11T00:00:00"/>
    <m/>
    <x v="34"/>
    <x v="0"/>
    <x v="54"/>
  </r>
  <r>
    <x v="0"/>
    <x v="0"/>
    <x v="0"/>
    <m/>
    <n v="812"/>
    <d v="2025-12-11T00:00:00"/>
    <s v="G-011-01-44548"/>
    <x v="34"/>
    <x v="0"/>
    <x v="54"/>
  </r>
  <r>
    <x v="1"/>
    <x v="1"/>
    <x v="3"/>
    <m/>
    <n v="807"/>
    <d v="2025-12-05T00:00:00"/>
    <m/>
    <x v="34"/>
    <x v="0"/>
    <x v="58"/>
  </r>
  <r>
    <x v="13"/>
    <x v="13"/>
    <x v="6"/>
    <m/>
    <n v="806"/>
    <d v="2025-12-04T00:00:00"/>
    <m/>
    <x v="34"/>
    <x v="0"/>
    <x v="57"/>
  </r>
  <r>
    <x v="2"/>
    <x v="2"/>
    <x v="6"/>
    <m/>
    <n v="806"/>
    <d v="2025-12-04T00:00:00"/>
    <m/>
    <x v="34"/>
    <x v="0"/>
    <x v="57"/>
  </r>
  <r>
    <x v="1"/>
    <x v="1"/>
    <x v="6"/>
    <m/>
    <n v="806"/>
    <d v="2025-12-04T00:00:00"/>
    <m/>
    <x v="34"/>
    <x v="0"/>
    <x v="57"/>
  </r>
  <r>
    <x v="32"/>
    <x v="32"/>
    <x v="6"/>
    <m/>
    <n v="806"/>
    <d v="2025-12-04T00:00:00"/>
    <m/>
    <x v="34"/>
    <x v="0"/>
    <x v="57"/>
  </r>
  <r>
    <x v="11"/>
    <x v="11"/>
    <x v="6"/>
    <m/>
    <n v="806"/>
    <d v="2025-12-04T00:00:00"/>
    <m/>
    <x v="34"/>
    <x v="0"/>
    <x v="57"/>
  </r>
  <r>
    <x v="14"/>
    <x v="14"/>
    <x v="6"/>
    <m/>
    <n v="806"/>
    <d v="2025-12-04T00:00:00"/>
    <m/>
    <x v="34"/>
    <x v="0"/>
    <x v="57"/>
  </r>
  <r>
    <x v="24"/>
    <x v="24"/>
    <x v="6"/>
    <m/>
    <n v="806"/>
    <d v="2025-12-04T00:00:00"/>
    <m/>
    <x v="35"/>
    <x v="4"/>
    <x v="57"/>
  </r>
  <r>
    <x v="8"/>
    <x v="8"/>
    <x v="6"/>
    <m/>
    <n v="806"/>
    <d v="2025-12-04T00:00:00"/>
    <m/>
    <x v="34"/>
    <x v="0"/>
    <x v="57"/>
  </r>
  <r>
    <x v="10"/>
    <x v="10"/>
    <x v="6"/>
    <m/>
    <n v="806"/>
    <d v="2025-12-04T00:00:00"/>
    <m/>
    <x v="34"/>
    <x v="0"/>
    <x v="57"/>
  </r>
  <r>
    <x v="7"/>
    <x v="7"/>
    <x v="8"/>
    <m/>
    <n v="806"/>
    <d v="2025-12-04T00:00:00"/>
    <m/>
    <x v="34"/>
    <x v="0"/>
    <x v="57"/>
  </r>
  <r>
    <x v="9"/>
    <x v="9"/>
    <x v="6"/>
    <m/>
    <n v="806"/>
    <d v="2025-12-04T00:00:00"/>
    <m/>
    <x v="34"/>
    <x v="0"/>
    <x v="57"/>
  </r>
  <r>
    <x v="5"/>
    <x v="5"/>
    <x v="6"/>
    <m/>
    <n v="806"/>
    <d v="2025-12-04T00:00:00"/>
    <m/>
    <x v="34"/>
    <x v="0"/>
    <x v="57"/>
  </r>
  <r>
    <x v="29"/>
    <x v="29"/>
    <x v="6"/>
    <m/>
    <n v="811"/>
    <d v="2025-12-09T00:00:00"/>
    <m/>
    <x v="34"/>
    <x v="0"/>
    <x v="39"/>
  </r>
  <r>
    <x v="7"/>
    <x v="7"/>
    <x v="6"/>
    <m/>
    <n v="811"/>
    <d v="2025-12-09T00:00:00"/>
    <m/>
    <x v="34"/>
    <x v="0"/>
    <x v="39"/>
  </r>
  <r>
    <x v="10"/>
    <x v="10"/>
    <x v="6"/>
    <m/>
    <n v="811"/>
    <d v="2025-12-09T00:00:00"/>
    <m/>
    <x v="34"/>
    <x v="0"/>
    <x v="39"/>
  </r>
  <r>
    <x v="5"/>
    <x v="5"/>
    <x v="6"/>
    <m/>
    <n v="811"/>
    <d v="2025-12-09T00:00:00"/>
    <m/>
    <x v="34"/>
    <x v="0"/>
    <x v="39"/>
  </r>
  <r>
    <x v="4"/>
    <x v="4"/>
    <x v="6"/>
    <m/>
    <n v="811"/>
    <d v="2025-12-09T00:00:00"/>
    <m/>
    <x v="34"/>
    <x v="0"/>
    <x v="39"/>
  </r>
  <r>
    <x v="3"/>
    <x v="3"/>
    <x v="2"/>
    <m/>
    <n v="811"/>
    <d v="2025-12-09T00:00:00"/>
    <m/>
    <x v="34"/>
    <x v="0"/>
    <x v="39"/>
  </r>
  <r>
    <x v="35"/>
    <x v="35"/>
    <x v="2"/>
    <m/>
    <n v="811"/>
    <d v="2025-12-09T00:00:00"/>
    <m/>
    <x v="34"/>
    <x v="0"/>
    <x v="39"/>
  </r>
  <r>
    <x v="60"/>
    <x v="60"/>
    <x v="6"/>
    <m/>
    <n v="811"/>
    <d v="2025-12-09T00:00:00"/>
    <m/>
    <x v="34"/>
    <x v="0"/>
    <x v="39"/>
  </r>
  <r>
    <x v="59"/>
    <x v="59"/>
    <x v="6"/>
    <m/>
    <n v="811"/>
    <d v="2025-12-09T00:00:00"/>
    <m/>
    <x v="34"/>
    <x v="0"/>
    <x v="39"/>
  </r>
  <r>
    <x v="8"/>
    <x v="8"/>
    <x v="6"/>
    <m/>
    <n v="811"/>
    <d v="2025-12-09T00:00:00"/>
    <m/>
    <x v="34"/>
    <x v="0"/>
    <x v="39"/>
  </r>
  <r>
    <x v="10"/>
    <x v="10"/>
    <x v="6"/>
    <m/>
    <n v="811"/>
    <d v="2025-12-09T00:00:00"/>
    <m/>
    <x v="34"/>
    <x v="0"/>
    <x v="39"/>
  </r>
  <r>
    <x v="7"/>
    <x v="7"/>
    <x v="8"/>
    <m/>
    <n v="811"/>
    <d v="2025-12-09T00:00:00"/>
    <m/>
    <x v="34"/>
    <x v="0"/>
    <x v="39"/>
  </r>
  <r>
    <x v="9"/>
    <x v="9"/>
    <x v="6"/>
    <m/>
    <n v="811"/>
    <d v="2025-12-09T00:00:00"/>
    <m/>
    <x v="34"/>
    <x v="0"/>
    <x v="39"/>
  </r>
  <r>
    <x v="5"/>
    <x v="5"/>
    <x v="6"/>
    <m/>
    <n v="811"/>
    <d v="2025-12-09T00:00:00"/>
    <m/>
    <x v="34"/>
    <x v="0"/>
    <x v="39"/>
  </r>
  <r>
    <x v="11"/>
    <x v="11"/>
    <x v="6"/>
    <m/>
    <n v="810"/>
    <d v="2025-12-09T00:00:00"/>
    <m/>
    <x v="34"/>
    <x v="0"/>
    <x v="39"/>
  </r>
  <r>
    <x v="32"/>
    <x v="32"/>
    <x v="6"/>
    <m/>
    <n v="810"/>
    <d v="2025-12-09T00:00:00"/>
    <m/>
    <x v="34"/>
    <x v="0"/>
    <x v="39"/>
  </r>
  <r>
    <x v="2"/>
    <x v="2"/>
    <x v="52"/>
    <m/>
    <n v="810"/>
    <d v="2025-12-09T00:00:00"/>
    <m/>
    <x v="34"/>
    <x v="0"/>
    <x v="39"/>
  </r>
  <r>
    <x v="1"/>
    <x v="1"/>
    <x v="52"/>
    <m/>
    <n v="810"/>
    <d v="2025-12-09T00:00:00"/>
    <m/>
    <x v="34"/>
    <x v="0"/>
    <x v="39"/>
  </r>
  <r>
    <x v="15"/>
    <x v="15"/>
    <x v="2"/>
    <m/>
    <n v="810"/>
    <d v="2025-12-09T00:00:00"/>
    <m/>
    <x v="34"/>
    <x v="0"/>
    <x v="39"/>
  </r>
  <r>
    <x v="0"/>
    <x v="0"/>
    <x v="52"/>
    <m/>
    <n v="810"/>
    <d v="2025-12-09T00:00:00"/>
    <m/>
    <x v="34"/>
    <x v="0"/>
    <x v="39"/>
  </r>
  <r>
    <x v="2"/>
    <x v="2"/>
    <x v="1"/>
    <m/>
    <n v="810"/>
    <d v="2025-12-09T00:00:00"/>
    <m/>
    <x v="34"/>
    <x v="0"/>
    <x v="39"/>
  </r>
  <r>
    <x v="1"/>
    <x v="1"/>
    <x v="1"/>
    <m/>
    <n v="810"/>
    <d v="2025-12-09T00:00:00"/>
    <m/>
    <x v="34"/>
    <x v="0"/>
    <x v="39"/>
  </r>
  <r>
    <x v="32"/>
    <x v="32"/>
    <x v="6"/>
    <m/>
    <n v="810"/>
    <d v="2025-12-09T00:00:00"/>
    <m/>
    <x v="34"/>
    <x v="0"/>
    <x v="39"/>
  </r>
  <r>
    <x v="11"/>
    <x v="11"/>
    <x v="6"/>
    <m/>
    <n v="810"/>
    <d v="2025-12-09T00:00:00"/>
    <m/>
    <x v="34"/>
    <x v="0"/>
    <x v="39"/>
  </r>
  <r>
    <x v="13"/>
    <x v="13"/>
    <x v="6"/>
    <m/>
    <n v="810"/>
    <d v="2025-12-09T00:00:00"/>
    <m/>
    <x v="34"/>
    <x v="0"/>
    <x v="39"/>
  </r>
  <r>
    <x v="14"/>
    <x v="14"/>
    <x v="6"/>
    <m/>
    <n v="810"/>
    <d v="2025-12-09T00:00:00"/>
    <m/>
    <x v="34"/>
    <x v="0"/>
    <x v="39"/>
  </r>
  <r>
    <x v="24"/>
    <x v="24"/>
    <x v="1"/>
    <m/>
    <n v="810"/>
    <d v="2025-12-09T00:00:00"/>
    <m/>
    <x v="35"/>
    <x v="4"/>
    <x v="39"/>
  </r>
  <r>
    <x v="13"/>
    <x v="13"/>
    <x v="6"/>
    <m/>
    <n v="809"/>
    <d v="2025-12-09T00:00:00"/>
    <m/>
    <x v="34"/>
    <x v="0"/>
    <x v="38"/>
  </r>
  <r>
    <x v="2"/>
    <x v="2"/>
    <x v="6"/>
    <m/>
    <n v="809"/>
    <d v="2025-12-09T00:00:00"/>
    <m/>
    <x v="34"/>
    <x v="0"/>
    <x v="38"/>
  </r>
  <r>
    <x v="1"/>
    <x v="1"/>
    <x v="6"/>
    <m/>
    <n v="809"/>
    <d v="2025-12-09T00:00:00"/>
    <m/>
    <x v="34"/>
    <x v="0"/>
    <x v="38"/>
  </r>
  <r>
    <x v="32"/>
    <x v="32"/>
    <x v="6"/>
    <m/>
    <n v="809"/>
    <d v="2025-12-09T00:00:00"/>
    <m/>
    <x v="34"/>
    <x v="0"/>
    <x v="38"/>
  </r>
  <r>
    <x v="11"/>
    <x v="11"/>
    <x v="6"/>
    <m/>
    <n v="809"/>
    <d v="2025-12-09T00:00:00"/>
    <m/>
    <x v="34"/>
    <x v="0"/>
    <x v="38"/>
  </r>
  <r>
    <x v="14"/>
    <x v="14"/>
    <x v="6"/>
    <m/>
    <n v="809"/>
    <d v="2025-12-09T00:00:00"/>
    <m/>
    <x v="34"/>
    <x v="0"/>
    <x v="38"/>
  </r>
  <r>
    <x v="24"/>
    <x v="24"/>
    <x v="6"/>
    <m/>
    <n v="809"/>
    <d v="2025-12-09T00:00:00"/>
    <m/>
    <x v="35"/>
    <x v="4"/>
    <x v="38"/>
  </r>
  <r>
    <x v="8"/>
    <x v="8"/>
    <x v="6"/>
    <m/>
    <n v="809"/>
    <d v="2025-12-09T00:00:00"/>
    <m/>
    <x v="34"/>
    <x v="0"/>
    <x v="38"/>
  </r>
  <r>
    <x v="10"/>
    <x v="10"/>
    <x v="6"/>
    <m/>
    <n v="809"/>
    <d v="2025-12-09T00:00:00"/>
    <m/>
    <x v="34"/>
    <x v="0"/>
    <x v="38"/>
  </r>
  <r>
    <x v="7"/>
    <x v="7"/>
    <x v="8"/>
    <m/>
    <n v="809"/>
    <d v="2025-12-09T00:00:00"/>
    <m/>
    <x v="34"/>
    <x v="0"/>
    <x v="38"/>
  </r>
  <r>
    <x v="9"/>
    <x v="9"/>
    <x v="6"/>
    <m/>
    <n v="809"/>
    <d v="2025-12-09T00:00:00"/>
    <m/>
    <x v="34"/>
    <x v="0"/>
    <x v="38"/>
  </r>
  <r>
    <x v="5"/>
    <x v="5"/>
    <x v="6"/>
    <m/>
    <n v="809"/>
    <d v="2025-12-09T00:00:00"/>
    <m/>
    <x v="34"/>
    <x v="0"/>
    <x v="38"/>
  </r>
  <r>
    <x v="6"/>
    <x v="6"/>
    <x v="8"/>
    <m/>
    <n v="814"/>
    <d v="2025-12-09T00:00:00"/>
    <m/>
    <x v="34"/>
    <x v="0"/>
    <x v="58"/>
  </r>
  <r>
    <x v="6"/>
    <x v="6"/>
    <x v="2"/>
    <m/>
    <n v="815"/>
    <d v="2025-12-09T00:00:00"/>
    <m/>
    <x v="34"/>
    <x v="0"/>
    <x v="59"/>
  </r>
  <r>
    <x v="13"/>
    <x v="13"/>
    <x v="6"/>
    <m/>
    <n v="803"/>
    <d v="2025-12-01T00:00:00"/>
    <m/>
    <x v="34"/>
    <x v="0"/>
    <x v="59"/>
  </r>
  <r>
    <x v="2"/>
    <x v="2"/>
    <x v="6"/>
    <m/>
    <n v="803"/>
    <d v="2025-12-01T00:00:00"/>
    <m/>
    <x v="34"/>
    <x v="0"/>
    <x v="59"/>
  </r>
  <r>
    <x v="1"/>
    <x v="1"/>
    <x v="6"/>
    <m/>
    <n v="803"/>
    <d v="2025-12-01T00:00:00"/>
    <m/>
    <x v="34"/>
    <x v="0"/>
    <x v="59"/>
  </r>
  <r>
    <x v="32"/>
    <x v="32"/>
    <x v="6"/>
    <m/>
    <n v="803"/>
    <d v="2025-12-01T00:00:00"/>
    <m/>
    <x v="34"/>
    <x v="0"/>
    <x v="59"/>
  </r>
  <r>
    <x v="11"/>
    <x v="11"/>
    <x v="6"/>
    <m/>
    <n v="803"/>
    <d v="2025-12-01T00:00:00"/>
    <m/>
    <x v="34"/>
    <x v="0"/>
    <x v="59"/>
  </r>
  <r>
    <x v="14"/>
    <x v="14"/>
    <x v="6"/>
    <m/>
    <n v="803"/>
    <d v="2025-12-01T00:00:00"/>
    <m/>
    <x v="34"/>
    <x v="0"/>
    <x v="59"/>
  </r>
  <r>
    <x v="24"/>
    <x v="24"/>
    <x v="6"/>
    <m/>
    <n v="803"/>
    <d v="2025-12-01T00:00:00"/>
    <m/>
    <x v="35"/>
    <x v="4"/>
    <x v="59"/>
  </r>
  <r>
    <x v="8"/>
    <x v="8"/>
    <x v="6"/>
    <m/>
    <n v="803"/>
    <d v="2025-12-01T00:00:00"/>
    <m/>
    <x v="34"/>
    <x v="0"/>
    <x v="59"/>
  </r>
  <r>
    <x v="10"/>
    <x v="10"/>
    <x v="6"/>
    <m/>
    <n v="803"/>
    <d v="2025-12-01T00:00:00"/>
    <m/>
    <x v="34"/>
    <x v="0"/>
    <x v="59"/>
  </r>
  <r>
    <x v="7"/>
    <x v="7"/>
    <x v="8"/>
    <m/>
    <n v="803"/>
    <d v="2025-12-01T00:00:00"/>
    <m/>
    <x v="34"/>
    <x v="0"/>
    <x v="59"/>
  </r>
  <r>
    <x v="9"/>
    <x v="9"/>
    <x v="6"/>
    <m/>
    <n v="803"/>
    <d v="2025-12-01T00:00:00"/>
    <m/>
    <x v="34"/>
    <x v="0"/>
    <x v="59"/>
  </r>
  <r>
    <x v="28"/>
    <x v="28"/>
    <x v="6"/>
    <m/>
    <n v="803"/>
    <d v="2025-12-01T00:00:00"/>
    <m/>
    <x v="34"/>
    <x v="0"/>
    <x v="59"/>
  </r>
  <r>
    <x v="13"/>
    <x v="13"/>
    <x v="6"/>
    <m/>
    <n v="801"/>
    <d v="2025-11-26T00:00:00"/>
    <m/>
    <x v="34"/>
    <x v="0"/>
    <x v="60"/>
  </r>
  <r>
    <x v="2"/>
    <x v="2"/>
    <x v="1"/>
    <m/>
    <n v="801"/>
    <d v="2025-11-26T00:00:00"/>
    <m/>
    <x v="34"/>
    <x v="0"/>
    <x v="60"/>
  </r>
  <r>
    <x v="1"/>
    <x v="1"/>
    <x v="1"/>
    <m/>
    <n v="801"/>
    <d v="2025-11-26T00:00:00"/>
    <m/>
    <x v="34"/>
    <x v="0"/>
    <x v="60"/>
  </r>
  <r>
    <x v="32"/>
    <x v="32"/>
    <x v="6"/>
    <m/>
    <n v="801"/>
    <d v="2025-11-26T00:00:00"/>
    <m/>
    <x v="34"/>
    <x v="0"/>
    <x v="60"/>
  </r>
  <r>
    <x v="11"/>
    <x v="11"/>
    <x v="6"/>
    <m/>
    <n v="801"/>
    <d v="2025-11-26T00:00:00"/>
    <m/>
    <x v="34"/>
    <x v="0"/>
    <x v="60"/>
  </r>
  <r>
    <x v="14"/>
    <x v="14"/>
    <x v="6"/>
    <m/>
    <n v="801"/>
    <d v="2025-11-26T00:00:00"/>
    <m/>
    <x v="34"/>
    <x v="0"/>
    <x v="60"/>
  </r>
  <r>
    <x v="24"/>
    <x v="24"/>
    <x v="1"/>
    <m/>
    <n v="801"/>
    <d v="2025-11-26T00:00:00"/>
    <m/>
    <x v="35"/>
    <x v="4"/>
    <x v="60"/>
  </r>
  <r>
    <x v="8"/>
    <x v="8"/>
    <x v="6"/>
    <m/>
    <n v="801"/>
    <d v="2025-11-26T00:00:00"/>
    <m/>
    <x v="34"/>
    <x v="0"/>
    <x v="60"/>
  </r>
  <r>
    <x v="10"/>
    <x v="10"/>
    <x v="6"/>
    <m/>
    <n v="801"/>
    <d v="2025-11-26T00:00:00"/>
    <m/>
    <x v="34"/>
    <x v="0"/>
    <x v="60"/>
  </r>
  <r>
    <x v="7"/>
    <x v="7"/>
    <x v="8"/>
    <m/>
    <n v="801"/>
    <d v="2025-11-26T00:00:00"/>
    <m/>
    <x v="34"/>
    <x v="0"/>
    <x v="60"/>
  </r>
  <r>
    <x v="9"/>
    <x v="9"/>
    <x v="6"/>
    <m/>
    <n v="801"/>
    <d v="2025-11-26T00:00:00"/>
    <m/>
    <x v="34"/>
    <x v="0"/>
    <x v="60"/>
  </r>
  <r>
    <x v="5"/>
    <x v="5"/>
    <x v="6"/>
    <m/>
    <n v="801"/>
    <d v="2025-11-26T00:00:00"/>
    <m/>
    <x v="34"/>
    <x v="0"/>
    <x v="6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94">
  <r>
    <x v="0"/>
    <x v="0"/>
    <n v="3562.2"/>
    <n v="2043"/>
    <n v="1519.1999999999998"/>
  </r>
  <r>
    <x v="1"/>
    <x v="1"/>
    <n v="4475"/>
    <n v="2871"/>
    <n v="1604"/>
  </r>
  <r>
    <x v="2"/>
    <x v="2"/>
    <n v="2838"/>
    <n v="2035.35"/>
    <n v="802.65000000000009"/>
  </r>
  <r>
    <x v="3"/>
    <x v="3"/>
    <n v="0"/>
    <n v="0"/>
    <n v="0"/>
  </r>
  <r>
    <x v="4"/>
    <x v="4"/>
    <n v="3878"/>
    <n v="2928"/>
    <n v="950"/>
  </r>
  <r>
    <x v="5"/>
    <x v="5"/>
    <n v="780"/>
    <n v="780"/>
    <n v="0"/>
  </r>
  <r>
    <x v="6"/>
    <x v="6"/>
    <n v="0"/>
    <n v="0"/>
    <n v="0"/>
  </r>
  <r>
    <x v="7"/>
    <x v="7"/>
    <n v="8"/>
    <n v="3"/>
    <n v="5"/>
  </r>
  <r>
    <x v="8"/>
    <x v="8"/>
    <n v="422"/>
    <n v="132"/>
    <n v="290"/>
  </r>
  <r>
    <x v="9"/>
    <x v="9"/>
    <n v="0"/>
    <n v="0"/>
    <n v="0"/>
  </r>
  <r>
    <x v="10"/>
    <x v="10"/>
    <n v="0"/>
    <n v="0"/>
    <n v="0"/>
  </r>
  <r>
    <x v="11"/>
    <x v="11"/>
    <n v="8"/>
    <n v="6"/>
    <n v="2"/>
  </r>
  <r>
    <x v="12"/>
    <x v="12"/>
    <n v="18"/>
    <n v="13"/>
    <n v="5"/>
  </r>
  <r>
    <x v="13"/>
    <x v="13"/>
    <n v="0"/>
    <n v="0"/>
    <n v="0"/>
  </r>
  <r>
    <x v="14"/>
    <x v="14"/>
    <n v="277"/>
    <n v="133"/>
    <n v="144"/>
  </r>
  <r>
    <x v="15"/>
    <x v="15"/>
    <n v="0"/>
    <n v="0"/>
    <n v="0"/>
  </r>
  <r>
    <x v="16"/>
    <x v="16"/>
    <n v="3"/>
    <n v="3"/>
    <n v="0"/>
  </r>
  <r>
    <x v="17"/>
    <x v="17"/>
    <n v="9"/>
    <n v="6"/>
    <n v="3"/>
  </r>
  <r>
    <x v="18"/>
    <x v="18"/>
    <n v="635"/>
    <n v="341"/>
    <n v="294"/>
  </r>
  <r>
    <x v="19"/>
    <x v="19"/>
    <n v="330"/>
    <n v="321"/>
    <n v="9"/>
  </r>
  <r>
    <x v="20"/>
    <x v="20"/>
    <n v="0"/>
    <n v="0"/>
    <n v="0"/>
  </r>
  <r>
    <x v="21"/>
    <x v="21"/>
    <n v="3"/>
    <n v="0"/>
    <n v="3"/>
  </r>
  <r>
    <x v="22"/>
    <x v="22"/>
    <n v="25"/>
    <n v="10"/>
    <n v="15"/>
  </r>
  <r>
    <x v="23"/>
    <x v="23"/>
    <n v="4"/>
    <n v="0"/>
    <n v="4"/>
  </r>
  <r>
    <x v="24"/>
    <x v="24"/>
    <n v="31"/>
    <n v="22"/>
    <n v="9"/>
  </r>
  <r>
    <x v="25"/>
    <x v="25"/>
    <n v="0"/>
    <n v="0"/>
    <n v="0"/>
  </r>
  <r>
    <x v="26"/>
    <x v="26"/>
    <n v="14"/>
    <n v="10"/>
    <n v="4"/>
  </r>
  <r>
    <x v="27"/>
    <x v="27"/>
    <n v="0"/>
    <n v="0"/>
    <n v="0"/>
  </r>
  <r>
    <x v="28"/>
    <x v="28"/>
    <n v="0"/>
    <n v="0"/>
    <n v="0"/>
  </r>
  <r>
    <x v="29"/>
    <x v="29"/>
    <n v="0"/>
    <n v="0"/>
    <n v="0"/>
  </r>
  <r>
    <x v="30"/>
    <x v="30"/>
    <n v="0"/>
    <n v="0"/>
    <n v="0"/>
  </r>
  <r>
    <x v="31"/>
    <x v="31"/>
    <n v="66"/>
    <n v="48"/>
    <n v="18"/>
  </r>
  <r>
    <x v="32"/>
    <x v="32"/>
    <n v="0"/>
    <n v="0"/>
    <n v="0"/>
  </r>
  <r>
    <x v="33"/>
    <x v="33"/>
    <n v="48"/>
    <n v="48"/>
    <n v="0"/>
  </r>
  <r>
    <x v="34"/>
    <x v="34"/>
    <n v="0"/>
    <n v="0"/>
    <n v="0"/>
  </r>
  <r>
    <x v="35"/>
    <x v="35"/>
    <n v="66"/>
    <n v="41"/>
    <n v="25"/>
  </r>
  <r>
    <x v="36"/>
    <x v="36"/>
    <n v="0"/>
    <n v="0"/>
    <n v="0"/>
  </r>
  <r>
    <x v="37"/>
    <x v="37"/>
    <n v="17"/>
    <n v="13"/>
    <n v="4"/>
  </r>
  <r>
    <x v="38"/>
    <x v="38"/>
    <n v="7"/>
    <n v="7"/>
    <n v="0"/>
  </r>
  <r>
    <x v="39"/>
    <x v="39"/>
    <n v="0"/>
    <n v="0"/>
    <n v="0"/>
  </r>
  <r>
    <x v="40"/>
    <x v="40"/>
    <n v="0"/>
    <n v="0"/>
    <n v="0"/>
  </r>
  <r>
    <x v="41"/>
    <x v="41"/>
    <n v="13"/>
    <n v="6"/>
    <n v="7"/>
  </r>
  <r>
    <x v="42"/>
    <x v="42"/>
    <n v="70.7"/>
    <n v="50"/>
    <n v="20.700000000000003"/>
  </r>
  <r>
    <x v="43"/>
    <x v="43"/>
    <n v="26"/>
    <n v="28"/>
    <n v="-2"/>
  </r>
  <r>
    <x v="44"/>
    <x v="44"/>
    <n v="9"/>
    <n v="5"/>
    <n v="4"/>
  </r>
  <r>
    <x v="45"/>
    <x v="45"/>
    <n v="3"/>
    <n v="3"/>
    <n v="0"/>
  </r>
  <r>
    <x v="46"/>
    <x v="46"/>
    <n v="248"/>
    <n v="153"/>
    <n v="95"/>
  </r>
  <r>
    <x v="47"/>
    <x v="47"/>
    <n v="349"/>
    <n v="192"/>
    <n v="157"/>
  </r>
  <r>
    <x v="48"/>
    <x v="48"/>
    <n v="608"/>
    <n v="354"/>
    <n v="254"/>
  </r>
  <r>
    <x v="49"/>
    <x v="49"/>
    <n v="16715"/>
    <n v="10849"/>
    <n v="5866"/>
  </r>
  <r>
    <x v="50"/>
    <x v="50"/>
    <n v="16637"/>
    <n v="10566"/>
    <n v="6071"/>
  </r>
  <r>
    <x v="51"/>
    <x v="51"/>
    <n v="45"/>
    <n v="47"/>
    <n v="-2"/>
  </r>
  <r>
    <x v="52"/>
    <x v="52"/>
    <n v="2"/>
    <n v="0"/>
    <n v="2"/>
  </r>
  <r>
    <x v="53"/>
    <x v="53"/>
    <n v="2138"/>
    <n v="972"/>
    <n v="1166"/>
  </r>
  <r>
    <x v="54"/>
    <x v="54"/>
    <n v="0"/>
    <n v="0"/>
    <n v="0"/>
  </r>
  <r>
    <x v="55"/>
    <x v="55"/>
    <n v="312"/>
    <n v="186"/>
    <n v="126"/>
  </r>
  <r>
    <x v="56"/>
    <x v="56"/>
    <n v="128"/>
    <n v="98"/>
    <n v="30"/>
  </r>
  <r>
    <x v="57"/>
    <x v="57"/>
    <n v="0"/>
    <n v="0"/>
    <n v="0"/>
  </r>
  <r>
    <x v="58"/>
    <x v="58"/>
    <n v="197"/>
    <n v="156"/>
    <n v="41"/>
  </r>
  <r>
    <x v="59"/>
    <x v="59"/>
    <n v="60"/>
    <n v="60"/>
    <n v="0"/>
  </r>
  <r>
    <x v="60"/>
    <x v="60"/>
    <n v="0"/>
    <n v="0"/>
    <n v="0"/>
  </r>
  <r>
    <x v="61"/>
    <x v="61"/>
    <n v="0"/>
    <n v="0"/>
    <n v="0"/>
  </r>
  <r>
    <x v="62"/>
    <x v="62"/>
    <n v="0"/>
    <n v="0"/>
    <n v="0"/>
  </r>
  <r>
    <x v="63"/>
    <x v="63"/>
    <n v="0"/>
    <n v="0"/>
    <n v="0"/>
  </r>
  <r>
    <x v="64"/>
    <x v="64"/>
    <n v="13"/>
    <n v="10"/>
    <n v="3"/>
  </r>
  <r>
    <x v="65"/>
    <x v="65"/>
    <n v="3"/>
    <n v="3"/>
    <n v="0"/>
  </r>
  <r>
    <x v="66"/>
    <x v="66"/>
    <n v="20"/>
    <n v="12"/>
    <n v="8"/>
  </r>
  <r>
    <x v="67"/>
    <x v="67"/>
    <n v="0"/>
    <n v="0"/>
    <n v="0"/>
  </r>
  <r>
    <x v="68"/>
    <x v="68"/>
    <n v="0"/>
    <n v="0"/>
    <n v="0"/>
  </r>
  <r>
    <x v="69"/>
    <x v="69"/>
    <n v="0"/>
    <n v="0"/>
    <n v="0"/>
  </r>
  <r>
    <x v="70"/>
    <x v="70"/>
    <n v="0"/>
    <n v="0"/>
    <n v="0"/>
  </r>
  <r>
    <x v="71"/>
    <x v="71"/>
    <n v="0"/>
    <n v="0"/>
    <n v="0"/>
  </r>
  <r>
    <x v="72"/>
    <x v="72"/>
    <n v="0"/>
    <n v="0"/>
    <n v="0"/>
  </r>
  <r>
    <x v="73"/>
    <x v="73"/>
    <n v="0"/>
    <n v="0"/>
    <n v="0"/>
  </r>
  <r>
    <x v="74"/>
    <x v="74"/>
    <n v="1"/>
    <n v="1"/>
    <n v="0"/>
  </r>
  <r>
    <x v="75"/>
    <x v="75"/>
    <n v="0"/>
    <n v="0"/>
    <n v="0"/>
  </r>
  <r>
    <x v="76"/>
    <x v="76"/>
    <n v="12"/>
    <n v="0"/>
    <n v="12"/>
  </r>
  <r>
    <x v="77"/>
    <x v="77"/>
    <n v="7"/>
    <n v="7"/>
    <n v="0"/>
  </r>
  <r>
    <x v="78"/>
    <x v="78"/>
    <n v="2"/>
    <n v="2"/>
    <n v="0"/>
  </r>
  <r>
    <x v="79"/>
    <x v="79"/>
    <n v="36"/>
    <n v="20"/>
    <n v="16"/>
  </r>
  <r>
    <x v="80"/>
    <x v="80"/>
    <n v="0"/>
    <n v="0"/>
    <n v="0"/>
  </r>
  <r>
    <x v="73"/>
    <x v="73"/>
    <n v="0"/>
    <n v="0"/>
    <n v="0"/>
  </r>
  <r>
    <x v="69"/>
    <x v="69"/>
    <n v="0"/>
    <n v="0"/>
    <n v="0"/>
  </r>
  <r>
    <x v="71"/>
    <x v="71"/>
    <n v="0"/>
    <n v="0"/>
    <n v="0"/>
  </r>
  <r>
    <x v="74"/>
    <x v="74"/>
    <n v="1"/>
    <n v="1"/>
    <n v="0"/>
  </r>
  <r>
    <x v="70"/>
    <x v="70"/>
    <n v="0"/>
    <n v="0"/>
    <n v="0"/>
  </r>
  <r>
    <x v="72"/>
    <x v="72"/>
    <n v="0"/>
    <n v="0"/>
    <n v="0"/>
  </r>
  <r>
    <x v="81"/>
    <x v="81"/>
    <n v="1"/>
    <n v="1"/>
    <n v="0"/>
  </r>
  <r>
    <x v="82"/>
    <x v="82"/>
    <n v="0"/>
    <n v="0"/>
    <n v="0"/>
  </r>
  <r>
    <x v="83"/>
    <x v="83"/>
    <n v="0"/>
    <n v="0"/>
    <n v="0"/>
  </r>
  <r>
    <x v="84"/>
    <x v="84"/>
    <n v="0"/>
    <n v="0"/>
    <n v="0"/>
  </r>
  <r>
    <x v="85"/>
    <x v="85"/>
    <n v="0"/>
    <n v="0"/>
    <n v="0"/>
  </r>
  <r>
    <x v="86"/>
    <x v="86"/>
    <n v="0"/>
    <n v="0"/>
    <n v="0"/>
  </r>
  <r>
    <x v="87"/>
    <x v="87"/>
    <n v="0"/>
    <n v="0"/>
    <n v="0"/>
  </r>
  <r>
    <x v="88"/>
    <x v="88"/>
    <n v="0"/>
    <n v="0"/>
    <n v="0"/>
  </r>
  <r>
    <x v="89"/>
    <x v="89"/>
    <n v="0"/>
    <n v="0"/>
    <n v="0"/>
  </r>
  <r>
    <x v="90"/>
    <x v="90"/>
    <n v="294"/>
    <n v="175"/>
    <n v="119"/>
  </r>
  <r>
    <x v="91"/>
    <x v="91"/>
    <n v="194"/>
    <n v="103"/>
    <n v="91"/>
  </r>
  <r>
    <x v="92"/>
    <x v="92"/>
    <n v="16"/>
    <n v="6"/>
    <n v="10"/>
  </r>
  <r>
    <x v="93"/>
    <x v="93"/>
    <n v="0"/>
    <n v="0"/>
    <n v="0"/>
  </r>
  <r>
    <x v="94"/>
    <x v="94"/>
    <n v="0"/>
    <n v="0"/>
    <n v="0"/>
  </r>
  <r>
    <x v="95"/>
    <x v="95"/>
    <n v="1"/>
    <n v="0"/>
    <n v="1"/>
  </r>
  <r>
    <x v="96"/>
    <x v="96"/>
    <n v="3"/>
    <n v="3"/>
    <n v="0"/>
  </r>
  <r>
    <x v="97"/>
    <x v="97"/>
    <n v="0"/>
    <n v="0"/>
    <n v="0"/>
  </r>
  <r>
    <x v="98"/>
    <x v="98"/>
    <n v="0"/>
    <n v="0"/>
    <n v="0"/>
  </r>
  <r>
    <x v="99"/>
    <x v="99"/>
    <n v="0"/>
    <n v="0"/>
    <n v="0"/>
  </r>
  <r>
    <x v="100"/>
    <x v="100"/>
    <n v="0"/>
    <n v="0"/>
    <n v="0"/>
  </r>
  <r>
    <x v="101"/>
    <x v="101"/>
    <n v="0"/>
    <n v="0"/>
    <n v="0"/>
  </r>
  <r>
    <x v="102"/>
    <x v="102"/>
    <n v="0"/>
    <n v="0"/>
    <n v="0"/>
  </r>
  <r>
    <x v="103"/>
    <x v="103"/>
    <n v="5"/>
    <n v="3"/>
    <n v="2"/>
  </r>
  <r>
    <x v="104"/>
    <x v="104"/>
    <n v="27"/>
    <n v="12"/>
    <n v="15"/>
  </r>
  <r>
    <x v="105"/>
    <x v="105"/>
    <n v="0"/>
    <n v="0"/>
    <n v="0"/>
  </r>
  <r>
    <x v="106"/>
    <x v="106"/>
    <n v="18"/>
    <n v="11"/>
    <n v="7"/>
  </r>
  <r>
    <x v="107"/>
    <x v="107"/>
    <n v="3"/>
    <n v="0"/>
    <n v="3"/>
  </r>
  <r>
    <x v="108"/>
    <x v="108"/>
    <n v="0"/>
    <n v="0"/>
    <n v="0"/>
  </r>
  <r>
    <x v="109"/>
    <x v="109"/>
    <n v="0"/>
    <n v="0"/>
    <n v="0"/>
  </r>
  <r>
    <x v="110"/>
    <x v="110"/>
    <n v="14"/>
    <n v="11"/>
    <n v="3"/>
  </r>
  <r>
    <x v="111"/>
    <x v="111"/>
    <n v="0"/>
    <n v="0"/>
    <n v="0"/>
  </r>
  <r>
    <x v="112"/>
    <x v="112"/>
    <n v="3"/>
    <n v="0"/>
    <n v="3"/>
  </r>
  <r>
    <x v="113"/>
    <x v="113"/>
    <n v="253"/>
    <n v="181"/>
    <n v="72"/>
  </r>
  <r>
    <x v="114"/>
    <x v="114"/>
    <n v="0"/>
    <n v="0"/>
    <n v="0"/>
  </r>
  <r>
    <x v="115"/>
    <x v="115"/>
    <n v="96"/>
    <n v="69"/>
    <n v="27"/>
  </r>
  <r>
    <x v="116"/>
    <x v="116"/>
    <n v="0"/>
    <n v="2"/>
    <n v="-2"/>
  </r>
  <r>
    <x v="117"/>
    <x v="117"/>
    <n v="0"/>
    <n v="0"/>
    <n v="0"/>
  </r>
  <r>
    <x v="118"/>
    <x v="118"/>
    <n v="42"/>
    <n v="39"/>
    <n v="3"/>
  </r>
  <r>
    <x v="119"/>
    <x v="119"/>
    <n v="13"/>
    <n v="15"/>
    <n v="-2"/>
  </r>
  <r>
    <x v="120"/>
    <x v="120"/>
    <n v="0"/>
    <n v="0"/>
    <n v="0"/>
  </r>
  <r>
    <x v="121"/>
    <x v="121"/>
    <n v="0"/>
    <n v="0"/>
    <n v="0"/>
  </r>
  <r>
    <x v="122"/>
    <x v="122"/>
    <n v="41"/>
    <n v="37"/>
    <n v="4"/>
  </r>
  <r>
    <x v="123"/>
    <x v="123"/>
    <n v="0"/>
    <n v="0"/>
    <n v="0"/>
  </r>
  <r>
    <x v="124"/>
    <x v="124"/>
    <n v="0"/>
    <n v="0"/>
    <n v="0"/>
  </r>
  <r>
    <x v="125"/>
    <x v="125"/>
    <n v="0"/>
    <n v="0"/>
    <n v="0"/>
  </r>
  <r>
    <x v="126"/>
    <x v="126"/>
    <n v="0"/>
    <n v="0"/>
    <n v="0"/>
  </r>
  <r>
    <x v="127"/>
    <x v="127"/>
    <n v="0"/>
    <n v="0"/>
    <n v="0"/>
  </r>
  <r>
    <x v="128"/>
    <x v="128"/>
    <n v="18"/>
    <n v="16"/>
    <n v="2"/>
  </r>
  <r>
    <x v="129"/>
    <x v="129"/>
    <n v="665"/>
    <n v="329"/>
    <n v="336"/>
  </r>
  <r>
    <x v="130"/>
    <x v="130"/>
    <n v="0"/>
    <n v="0"/>
    <n v="0"/>
  </r>
  <r>
    <x v="131"/>
    <x v="131"/>
    <n v="453"/>
    <n v="216"/>
    <n v="237"/>
  </r>
  <r>
    <x v="132"/>
    <x v="132"/>
    <n v="1"/>
    <n v="1"/>
    <n v="0"/>
  </r>
  <r>
    <x v="133"/>
    <x v="133"/>
    <n v="6"/>
    <n v="5"/>
    <n v="1"/>
  </r>
  <r>
    <x v="134"/>
    <x v="134"/>
    <n v="149"/>
    <n v="104"/>
    <n v="45"/>
  </r>
  <r>
    <x v="135"/>
    <x v="135"/>
    <n v="0"/>
    <n v="0"/>
    <n v="0"/>
  </r>
  <r>
    <x v="136"/>
    <x v="136"/>
    <n v="3"/>
    <n v="3"/>
    <n v="0"/>
  </r>
  <r>
    <x v="137"/>
    <x v="137"/>
    <n v="1"/>
    <n v="1"/>
    <n v="0"/>
  </r>
  <r>
    <x v="138"/>
    <x v="138"/>
    <n v="0"/>
    <n v="0"/>
    <n v="0"/>
  </r>
  <r>
    <x v="139"/>
    <x v="139"/>
    <n v="0"/>
    <n v="0"/>
    <n v="0"/>
  </r>
  <r>
    <x v="140"/>
    <x v="140"/>
    <n v="97"/>
    <n v="53"/>
    <n v="44"/>
  </r>
  <r>
    <x v="141"/>
    <x v="141"/>
    <n v="0"/>
    <n v="0"/>
    <n v="0"/>
  </r>
  <r>
    <x v="142"/>
    <x v="142"/>
    <n v="0"/>
    <n v="0"/>
    <n v="0"/>
  </r>
  <r>
    <x v="143"/>
    <x v="143"/>
    <n v="25"/>
    <n v="20"/>
    <n v="5"/>
  </r>
  <r>
    <x v="144"/>
    <x v="144"/>
    <n v="0"/>
    <n v="0"/>
    <n v="0"/>
  </r>
  <r>
    <x v="145"/>
    <x v="145"/>
    <n v="1"/>
    <n v="1"/>
    <n v="0"/>
  </r>
  <r>
    <x v="146"/>
    <x v="146"/>
    <n v="2"/>
    <n v="1"/>
    <n v="1"/>
  </r>
  <r>
    <x v="147"/>
    <x v="147"/>
    <n v="1"/>
    <n v="1"/>
    <n v="0"/>
  </r>
  <r>
    <x v="148"/>
    <x v="148"/>
    <n v="0"/>
    <n v="0"/>
    <n v="0"/>
  </r>
  <r>
    <x v="149"/>
    <x v="149"/>
    <n v="0"/>
    <n v="0"/>
    <n v="0"/>
  </r>
  <r>
    <x v="150"/>
    <x v="150"/>
    <n v="0"/>
    <n v="0"/>
    <n v="0"/>
  </r>
  <r>
    <x v="151"/>
    <x v="151"/>
    <n v="35"/>
    <n v="31"/>
    <n v="4"/>
  </r>
  <r>
    <x v="152"/>
    <x v="152"/>
    <n v="1"/>
    <n v="0"/>
    <n v="1"/>
  </r>
  <r>
    <x v="153"/>
    <x v="153"/>
    <n v="5"/>
    <n v="4"/>
    <n v="1"/>
  </r>
  <r>
    <x v="154"/>
    <x v="154"/>
    <n v="0"/>
    <n v="0"/>
    <n v="0"/>
  </r>
  <r>
    <x v="155"/>
    <x v="155"/>
    <n v="0"/>
    <n v="0"/>
    <n v="0"/>
  </r>
  <r>
    <x v="156"/>
    <x v="156"/>
    <n v="22"/>
    <n v="18"/>
    <n v="4"/>
  </r>
  <r>
    <x v="157"/>
    <x v="157"/>
    <n v="0"/>
    <n v="0"/>
    <n v="0"/>
  </r>
  <r>
    <x v="158"/>
    <x v="158"/>
    <n v="0"/>
    <n v="0"/>
    <n v="0"/>
  </r>
  <r>
    <x v="159"/>
    <x v="159"/>
    <n v="3"/>
    <n v="3"/>
    <n v="0"/>
  </r>
  <r>
    <x v="160"/>
    <x v="160"/>
    <n v="2"/>
    <n v="1"/>
    <n v="1"/>
  </r>
  <r>
    <x v="161"/>
    <x v="161"/>
    <n v="10"/>
    <n v="9"/>
    <n v="1"/>
  </r>
  <r>
    <x v="162"/>
    <x v="162"/>
    <n v="0"/>
    <n v="0"/>
    <n v="0"/>
  </r>
  <r>
    <x v="163"/>
    <x v="163"/>
    <n v="0"/>
    <n v="0"/>
    <n v="0"/>
  </r>
  <r>
    <x v="164"/>
    <x v="164"/>
    <n v="0"/>
    <n v="0"/>
    <n v="0"/>
  </r>
  <r>
    <x v="165"/>
    <x v="165"/>
    <n v="1"/>
    <n v="1"/>
    <n v="0"/>
  </r>
  <r>
    <x v="166"/>
    <x v="166"/>
    <n v="18"/>
    <n v="12"/>
    <n v="6"/>
  </r>
  <r>
    <x v="167"/>
    <x v="167"/>
    <n v="5"/>
    <n v="0"/>
    <n v="5"/>
  </r>
  <r>
    <x v="168"/>
    <x v="168"/>
    <n v="12"/>
    <n v="5"/>
    <n v="7"/>
  </r>
  <r>
    <x v="169"/>
    <x v="169"/>
    <n v="3"/>
    <n v="2"/>
    <n v="1"/>
  </r>
  <r>
    <x v="170"/>
    <x v="170"/>
    <n v="0"/>
    <n v="0"/>
    <n v="0"/>
  </r>
  <r>
    <x v="171"/>
    <x v="171"/>
    <n v="0"/>
    <n v="0"/>
    <n v="0"/>
  </r>
  <r>
    <x v="172"/>
    <x v="172"/>
    <n v="2"/>
    <n v="1"/>
    <n v="1"/>
  </r>
  <r>
    <x v="173"/>
    <x v="173"/>
    <n v="0"/>
    <n v="0"/>
    <n v="0"/>
  </r>
  <r>
    <x v="174"/>
    <x v="174"/>
    <n v="0"/>
    <n v="0"/>
    <n v="0"/>
  </r>
  <r>
    <x v="175"/>
    <x v="175"/>
    <n v="37"/>
    <n v="20"/>
    <n v="17"/>
  </r>
  <r>
    <x v="176"/>
    <x v="176"/>
    <n v="78"/>
    <n v="42"/>
    <n v="36"/>
  </r>
  <r>
    <x v="177"/>
    <x v="177"/>
    <n v="20"/>
    <n v="5.5"/>
    <n v="14.5"/>
  </r>
  <r>
    <x v="178"/>
    <x v="178"/>
    <n v="0"/>
    <n v="0"/>
    <n v="0"/>
  </r>
  <r>
    <x v="178"/>
    <x v="179"/>
    <n v="0"/>
    <n v="0"/>
    <n v="0"/>
  </r>
  <r>
    <x v="178"/>
    <x v="180"/>
    <n v="0"/>
    <n v="0"/>
    <n v="0"/>
  </r>
  <r>
    <x v="178"/>
    <x v="181"/>
    <n v="0"/>
    <n v="0"/>
    <n v="0"/>
  </r>
  <r>
    <x v="178"/>
    <x v="182"/>
    <n v="0"/>
    <n v="0"/>
    <n v="0"/>
  </r>
  <r>
    <x v="178"/>
    <x v="183"/>
    <n v="0"/>
    <n v="0"/>
    <n v="0"/>
  </r>
  <r>
    <x v="178"/>
    <x v="184"/>
    <n v="0"/>
    <n v="0"/>
    <n v="0"/>
  </r>
  <r>
    <x v="178"/>
    <x v="185"/>
    <n v="0"/>
    <n v="0"/>
    <n v="0"/>
  </r>
  <r>
    <x v="178"/>
    <x v="186"/>
    <n v="0"/>
    <n v="0"/>
    <n v="0"/>
  </r>
  <r>
    <x v="179"/>
    <x v="187"/>
    <n v="1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4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outline="1" outlineData="1" compactData="0" multipleFieldFilters="0">
  <location ref="A3:D87" firstHeaderRow="1" firstDataRow="1" firstDataCol="3"/>
  <pivotFields count="16">
    <pivotField axis="axisRow" compact="0" showAll="0" defaultSubtotal="0">
      <items count="96">
        <item x="73"/>
        <item x="26"/>
        <item x="71"/>
        <item x="40"/>
        <item x="27"/>
        <item x="34"/>
        <item x="80"/>
        <item x="46"/>
        <item x="77"/>
        <item x="86"/>
        <item x="50"/>
        <item x="33"/>
        <item x="91"/>
        <item x="35"/>
        <item x="85"/>
        <item x="28"/>
        <item x="70"/>
        <item x="52"/>
        <item x="65"/>
        <item x="53"/>
        <item x="12"/>
        <item x="1"/>
        <item x="47"/>
        <item x="79"/>
        <item x="94"/>
        <item x="55"/>
        <item x="89"/>
        <item x="16"/>
        <item x="74"/>
        <item x="2"/>
        <item x="9"/>
        <item x="11"/>
        <item x="57"/>
        <item x="83"/>
        <item x="36"/>
        <item x="3"/>
        <item x="78"/>
        <item x="88"/>
        <item x="17"/>
        <item x="95"/>
        <item x="43"/>
        <item x="76"/>
        <item x="93"/>
        <item x="75"/>
        <item x="8"/>
        <item x="29"/>
        <item x="67"/>
        <item x="22"/>
        <item x="63"/>
        <item x="49"/>
        <item x="14"/>
        <item x="81"/>
        <item x="13"/>
        <item x="92"/>
        <item x="42"/>
        <item x="5"/>
        <item x="48"/>
        <item x="18"/>
        <item x="15"/>
        <item x="20"/>
        <item x="64"/>
        <item x="41"/>
        <item x="56"/>
        <item x="19"/>
        <item x="0"/>
        <item x="6"/>
        <item x="10"/>
        <item x="54"/>
        <item x="51"/>
        <item x="59"/>
        <item x="60"/>
        <item x="30"/>
        <item x="39"/>
        <item x="66"/>
        <item x="44"/>
        <item x="45"/>
        <item x="72"/>
        <item x="90"/>
        <item x="7"/>
        <item x="4"/>
        <item x="58"/>
        <item x="87"/>
        <item x="23"/>
        <item x="68"/>
        <item x="69"/>
        <item x="82"/>
        <item x="84"/>
        <item x="24"/>
        <item x="38"/>
        <item x="21"/>
        <item x="61"/>
        <item x="62"/>
        <item x="25"/>
        <item x="31"/>
        <item x="32"/>
        <item x="37"/>
      </items>
    </pivotField>
    <pivotField axis="axisRow" compact="0" showAll="0" defaultSubtotal="0">
      <items count="97">
        <item x="61"/>
        <item x="44"/>
        <item x="66"/>
        <item x="83"/>
        <item x="19"/>
        <item x="93"/>
        <item x="18"/>
        <item x="0"/>
        <item x="80"/>
        <item x="52"/>
        <item x="85"/>
        <item x="43"/>
        <item x="67"/>
        <item x="14"/>
        <item x="36"/>
        <item x="42"/>
        <item x="84"/>
        <item x="47"/>
        <item x="77"/>
        <item x="1"/>
        <item x="5"/>
        <item x="8"/>
        <item x="49"/>
        <item x="34"/>
        <item x="63"/>
        <item x="71"/>
        <item x="23"/>
        <item x="20"/>
        <item x="64"/>
        <item x="68"/>
        <item x="54"/>
        <item x="51"/>
        <item x="72"/>
        <item x="48"/>
        <item x="29"/>
        <item x="15"/>
        <item x="81"/>
        <item x="57"/>
        <item x="16"/>
        <item x="94"/>
        <item x="74"/>
        <item x="73"/>
        <item x="27"/>
        <item x="45"/>
        <item x="28"/>
        <item x="12"/>
        <item x="38"/>
        <item x="17"/>
        <item x="33"/>
        <item x="90"/>
        <item x="21"/>
        <item x="78"/>
        <item m="1" x="96"/>
        <item x="55"/>
        <item x="35"/>
        <item x="95"/>
        <item x="76"/>
        <item x="91"/>
        <item x="26"/>
        <item x="59"/>
        <item x="40"/>
        <item x="79"/>
        <item x="86"/>
        <item x="41"/>
        <item x="75"/>
        <item x="46"/>
        <item x="13"/>
        <item x="88"/>
        <item x="65"/>
        <item x="92"/>
        <item x="89"/>
        <item x="56"/>
        <item x="62"/>
        <item x="82"/>
        <item x="69"/>
        <item x="2"/>
        <item x="6"/>
        <item x="9"/>
        <item x="10"/>
        <item x="3"/>
        <item x="70"/>
        <item x="7"/>
        <item x="4"/>
        <item x="58"/>
        <item x="87"/>
        <item x="24"/>
        <item x="22"/>
        <item x="30"/>
        <item x="60"/>
        <item x="11"/>
        <item x="53"/>
        <item x="50"/>
        <item x="39"/>
        <item x="25"/>
        <item x="31"/>
        <item x="32"/>
        <item x="37"/>
      </items>
    </pivotField>
    <pivotField dataField="1" compact="0" showAll="0" defaultSubtotal="0"/>
    <pivotField compact="0" showAll="0" defaultSubtotal="0"/>
    <pivotField compact="0" showAll="0" defaultSubtotal="0"/>
    <pivotField compact="0" showAll="0" defaultSubtotal="0"/>
    <pivotField compact="0" numFmtId="166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axis="axisRow" compact="0" showAll="0" defaultSubtotal="0">
      <items count="66">
        <item h="1" x="39"/>
        <item h="1" x="38"/>
        <item h="1" x="36"/>
        <item h="1" x="37"/>
        <item h="1" x="40"/>
        <item h="1" x="41"/>
        <item h="1" x="52"/>
        <item h="1" x="51"/>
        <item h="1" x="63"/>
        <item h="1" x="49"/>
        <item h="1" x="13"/>
        <item h="1" x="61"/>
        <item h="1" x="47"/>
        <item h="1" x="62"/>
        <item h="1" x="31"/>
        <item h="1" x="17"/>
        <item h="1" x="45"/>
        <item h="1" x="23"/>
        <item h="1" x="33"/>
        <item h="1" x="7"/>
        <item h="1" x="53"/>
        <item h="1" x="0"/>
        <item h="1" x="55"/>
        <item h="1" x="59"/>
        <item h="1" x="64"/>
        <item h="1" x="65"/>
        <item h="1" x="56"/>
        <item h="1" x="58"/>
        <item h="1" x="57"/>
        <item h="1" x="54"/>
        <item h="1" x="19"/>
        <item h="1" x="26"/>
        <item h="1" x="24"/>
        <item h="1" x="1"/>
        <item h="1" x="3"/>
        <item h="1" x="30"/>
        <item h="1" x="32"/>
        <item h="1" x="50"/>
        <item h="1" x="42"/>
        <item h="1" x="22"/>
        <item h="1" x="2"/>
        <item h="1" x="18"/>
        <item h="1" x="12"/>
        <item h="1" x="14"/>
        <item h="1" x="28"/>
        <item h="1" x="34"/>
        <item h="1" x="25"/>
        <item h="1" x="6"/>
        <item h="1" x="43"/>
        <item h="1" x="29"/>
        <item h="1" x="21"/>
        <item h="1" x="9"/>
        <item h="1" x="20"/>
        <item h="1" x="5"/>
        <item h="1" x="10"/>
        <item x="4"/>
        <item h="1" x="15"/>
        <item h="1" x="35"/>
        <item h="1" x="46"/>
        <item h="1" x="44"/>
        <item h="1" x="16"/>
        <item h="1" x="27"/>
        <item h="1" x="60"/>
        <item h="1" x="48"/>
        <item h="1" x="8"/>
        <item h="1" x="11"/>
      </items>
    </pivotField>
    <pivotField compact="0" showAll="0" defaultSubtotal="0"/>
    <pivotField compact="0" showAll="0" defaultSubtotal="0"/>
  </pivotFields>
  <rowFields count="3">
    <field x="13"/>
    <field x="0"/>
    <field x="1"/>
  </rowFields>
  <rowItems count="84">
    <i>
      <x v="55"/>
    </i>
    <i r="1">
      <x v="1"/>
    </i>
    <i r="2">
      <x v="58"/>
    </i>
    <i r="1">
      <x v="3"/>
    </i>
    <i r="2">
      <x v="60"/>
    </i>
    <i r="1">
      <x v="4"/>
    </i>
    <i r="2">
      <x v="42"/>
    </i>
    <i r="1">
      <x v="7"/>
    </i>
    <i r="2">
      <x v="65"/>
    </i>
    <i r="1">
      <x v="14"/>
    </i>
    <i r="2">
      <x v="10"/>
    </i>
    <i r="1">
      <x v="15"/>
    </i>
    <i r="2">
      <x v="44"/>
    </i>
    <i r="1">
      <x v="17"/>
    </i>
    <i r="2">
      <x v="9"/>
    </i>
    <i r="1">
      <x v="19"/>
    </i>
    <i r="2">
      <x v="90"/>
    </i>
    <i r="1">
      <x v="20"/>
    </i>
    <i r="2">
      <x v="45"/>
    </i>
    <i r="1">
      <x v="21"/>
    </i>
    <i r="2">
      <x v="19"/>
    </i>
    <i r="1">
      <x v="25"/>
    </i>
    <i r="2">
      <x v="53"/>
    </i>
    <i r="1">
      <x v="27"/>
    </i>
    <i r="2">
      <x v="38"/>
    </i>
    <i r="1">
      <x v="29"/>
    </i>
    <i r="2">
      <x v="75"/>
    </i>
    <i r="1">
      <x v="34"/>
    </i>
    <i r="2">
      <x v="14"/>
    </i>
    <i r="1">
      <x v="35"/>
    </i>
    <i r="2">
      <x v="79"/>
    </i>
    <i r="1">
      <x v="36"/>
    </i>
    <i r="2">
      <x v="51"/>
    </i>
    <i r="1">
      <x v="38"/>
    </i>
    <i r="2">
      <x v="47"/>
    </i>
    <i r="1">
      <x v="44"/>
    </i>
    <i r="2">
      <x v="21"/>
    </i>
    <i r="1">
      <x v="45"/>
    </i>
    <i r="2">
      <x v="34"/>
    </i>
    <i r="1">
      <x v="47"/>
    </i>
    <i r="2">
      <x v="86"/>
    </i>
    <i r="1">
      <x v="49"/>
    </i>
    <i r="2">
      <x v="22"/>
    </i>
    <i r="1">
      <x v="50"/>
    </i>
    <i r="2">
      <x v="13"/>
    </i>
    <i r="1">
      <x v="52"/>
    </i>
    <i r="2">
      <x v="66"/>
    </i>
    <i r="1">
      <x v="54"/>
    </i>
    <i r="2">
      <x v="15"/>
    </i>
    <i r="1">
      <x v="55"/>
    </i>
    <i r="2">
      <x v="20"/>
    </i>
    <i r="1">
      <x v="57"/>
    </i>
    <i r="2">
      <x v="6"/>
    </i>
    <i r="1">
      <x v="58"/>
    </i>
    <i r="2">
      <x v="35"/>
    </i>
    <i r="1">
      <x v="59"/>
    </i>
    <i r="2">
      <x v="27"/>
    </i>
    <i r="1">
      <x v="61"/>
    </i>
    <i r="2">
      <x v="63"/>
    </i>
    <i r="1">
      <x v="63"/>
    </i>
    <i r="2">
      <x v="4"/>
    </i>
    <i r="1">
      <x v="64"/>
    </i>
    <i r="2">
      <x v="7"/>
    </i>
    <i r="1">
      <x v="65"/>
    </i>
    <i r="2">
      <x v="76"/>
    </i>
    <i r="1">
      <x v="66"/>
    </i>
    <i r="2">
      <x v="78"/>
    </i>
    <i r="1">
      <x v="71"/>
    </i>
    <i r="2">
      <x v="87"/>
    </i>
    <i r="1">
      <x v="72"/>
    </i>
    <i r="2">
      <x v="92"/>
    </i>
    <i r="1">
      <x v="78"/>
    </i>
    <i r="2">
      <x v="81"/>
    </i>
    <i r="1">
      <x v="82"/>
    </i>
    <i r="2">
      <x v="26"/>
    </i>
    <i r="1">
      <x v="83"/>
    </i>
    <i r="2">
      <x v="29"/>
    </i>
    <i r="1">
      <x v="84"/>
    </i>
    <i r="2">
      <x v="74"/>
    </i>
    <i r="1">
      <x v="87"/>
    </i>
    <i r="2">
      <x v="85"/>
    </i>
    <i r="1">
      <x v="88"/>
    </i>
    <i r="2">
      <x v="46"/>
    </i>
    <i t="grand">
      <x/>
    </i>
  </rowItems>
  <colItems count="1">
    <i/>
  </colItems>
  <dataFields count="1">
    <dataField name="Suma de CANTIDAD" fld="2" baseField="0" baseItem="0"/>
  </dataFields>
  <formats count="1017">
    <format dxfId="3731">
      <pivotArea type="all" dataOnly="0" outline="0" fieldPosition="0"/>
    </format>
    <format dxfId="3730">
      <pivotArea outline="0" collapsedLevelsAreSubtotals="1" fieldPosition="0"/>
    </format>
    <format dxfId="3729">
      <pivotArea field="13" type="button" dataOnly="0" labelOnly="1" outline="0" axis="axisRow" fieldPosition="0"/>
    </format>
    <format dxfId="3728">
      <pivotArea field="0" type="button" dataOnly="0" labelOnly="1" outline="0" axis="axisRow" fieldPosition="1"/>
    </format>
    <format dxfId="3727">
      <pivotArea dataOnly="0" labelOnly="1" outline="0" axis="axisValues" fieldPosition="0"/>
    </format>
    <format dxfId="3726">
      <pivotArea dataOnly="0" labelOnly="1" outline="0" fieldPosition="0">
        <references count="1">
          <reference field="13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3725">
      <pivotArea dataOnly="0" labelOnly="1" outline="0" fieldPosition="0">
        <references count="1">
          <reference field="13" count="25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724">
      <pivotArea dataOnly="0" labelOnly="1" outline="0" fieldPosition="0">
        <references count="1">
          <reference field="13" count="14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3723">
      <pivotArea dataOnly="0" labelOnly="1" outline="0" fieldPosition="0">
        <references count="2">
          <reference field="0" count="12">
            <x v="1"/>
            <x v="4"/>
            <x v="13"/>
            <x v="19"/>
            <x v="21"/>
            <x v="29"/>
            <x v="41"/>
            <x v="47"/>
            <x v="71"/>
            <x v="82"/>
            <x v="87"/>
            <x v="89"/>
          </reference>
          <reference field="13" count="1" selected="0">
            <x v="0"/>
          </reference>
        </references>
      </pivotArea>
    </format>
    <format dxfId="3722">
      <pivotArea dataOnly="0" labelOnly="1" outline="0" fieldPosition="0">
        <references count="2">
          <reference field="0" count="16">
            <x v="0"/>
            <x v="4"/>
            <x v="10"/>
            <x v="13"/>
            <x v="19"/>
            <x v="20"/>
            <x v="21"/>
            <x v="25"/>
            <x v="39"/>
            <x v="45"/>
            <x v="47"/>
            <x v="50"/>
            <x v="64"/>
            <x v="71"/>
            <x v="82"/>
            <x v="89"/>
          </reference>
          <reference field="13" count="1" selected="0">
            <x v="2"/>
          </reference>
        </references>
      </pivotArea>
    </format>
    <format dxfId="3721">
      <pivotArea dataOnly="0" labelOnly="1" outline="0" fieldPosition="0">
        <references count="2">
          <reference field="0" count="16">
            <x v="0"/>
            <x v="2"/>
            <x v="3"/>
            <x v="4"/>
            <x v="9"/>
            <x v="19"/>
            <x v="21"/>
            <x v="28"/>
            <x v="36"/>
            <x v="47"/>
            <x v="55"/>
            <x v="56"/>
            <x v="60"/>
            <x v="64"/>
            <x v="67"/>
            <x v="82"/>
          </reference>
          <reference field="13" count="1" selected="0">
            <x v="6"/>
          </reference>
        </references>
      </pivotArea>
    </format>
    <format dxfId="3720">
      <pivotArea dataOnly="0" labelOnly="1" outline="0" fieldPosition="0">
        <references count="2">
          <reference field="0" count="12">
            <x v="0"/>
            <x v="4"/>
            <x v="13"/>
            <x v="19"/>
            <x v="21"/>
            <x v="25"/>
            <x v="28"/>
            <x v="29"/>
            <x v="36"/>
            <x v="47"/>
            <x v="64"/>
            <x v="82"/>
          </reference>
          <reference field="13" count="1" selected="0">
            <x v="9"/>
          </reference>
        </references>
      </pivotArea>
    </format>
    <format dxfId="3719">
      <pivotArea dataOnly="0" labelOnly="1" outline="0" fieldPosition="0">
        <references count="2">
          <reference field="0" count="17">
            <x v="0"/>
            <x v="2"/>
            <x v="3"/>
            <x v="4"/>
            <x v="5"/>
            <x v="11"/>
            <x v="13"/>
            <x v="19"/>
            <x v="21"/>
            <x v="24"/>
            <x v="28"/>
            <x v="47"/>
            <x v="57"/>
            <x v="60"/>
            <x v="63"/>
            <x v="64"/>
            <x v="82"/>
          </reference>
          <reference field="13" count="1" selected="0">
            <x v="12"/>
          </reference>
        </references>
      </pivotArea>
    </format>
    <format dxfId="3718">
      <pivotArea dataOnly="0" labelOnly="1" outline="0" fieldPosition="0">
        <references count="2">
          <reference field="0" count="25">
            <x v="4"/>
            <x v="15"/>
            <x v="16"/>
            <x v="18"/>
            <x v="19"/>
            <x v="21"/>
            <x v="22"/>
            <x v="29"/>
            <x v="31"/>
            <x v="46"/>
            <x v="47"/>
            <x v="57"/>
            <x v="59"/>
            <x v="60"/>
            <x v="63"/>
            <x v="64"/>
            <x v="71"/>
            <x v="73"/>
            <x v="78"/>
            <x v="80"/>
            <x v="82"/>
            <x v="83"/>
            <x v="84"/>
            <x v="87"/>
            <x v="89"/>
          </reference>
          <reference field="13" count="1" selected="0">
            <x v="15"/>
          </reference>
        </references>
      </pivotArea>
    </format>
    <format dxfId="3717">
      <pivotArea dataOnly="0" labelOnly="1" outline="0" fieldPosition="0">
        <references count="2">
          <reference field="0" count="19">
            <x v="1"/>
            <x v="4"/>
            <x v="10"/>
            <x v="15"/>
            <x v="19"/>
            <x v="20"/>
            <x v="21"/>
            <x v="23"/>
            <x v="32"/>
            <x v="41"/>
            <x v="45"/>
            <x v="47"/>
            <x v="50"/>
            <x v="55"/>
            <x v="56"/>
            <x v="57"/>
            <x v="69"/>
            <x v="76"/>
            <x v="82"/>
          </reference>
          <reference field="13" count="1" selected="0">
            <x v="16"/>
          </reference>
        </references>
      </pivotArea>
    </format>
    <format dxfId="3716">
      <pivotArea dataOnly="0" labelOnly="1" outline="0" fieldPosition="0">
        <references count="2">
          <reference field="0" count="22">
            <x v="1"/>
            <x v="4"/>
            <x v="10"/>
            <x v="15"/>
            <x v="20"/>
            <x v="21"/>
            <x v="32"/>
            <x v="43"/>
            <x v="50"/>
            <x v="55"/>
            <x v="56"/>
            <x v="59"/>
            <x v="61"/>
            <x v="63"/>
            <x v="64"/>
            <x v="65"/>
            <x v="69"/>
            <x v="76"/>
            <x v="78"/>
            <x v="82"/>
            <x v="83"/>
            <x v="84"/>
          </reference>
          <reference field="13" count="1" selected="0">
            <x v="18"/>
          </reference>
        </references>
      </pivotArea>
    </format>
    <format dxfId="3715">
      <pivotArea dataOnly="0" labelOnly="1" outline="0" fieldPosition="0">
        <references count="2">
          <reference field="0" count="19">
            <x v="1"/>
            <x v="4"/>
            <x v="15"/>
            <x v="19"/>
            <x v="20"/>
            <x v="21"/>
            <x v="29"/>
            <x v="36"/>
            <x v="47"/>
            <x v="50"/>
            <x v="55"/>
            <x v="56"/>
            <x v="57"/>
            <x v="59"/>
            <x v="63"/>
            <x v="71"/>
            <x v="82"/>
            <x v="87"/>
            <x v="89"/>
          </reference>
          <reference field="13" count="1" selected="0">
            <x v="20"/>
          </reference>
        </references>
      </pivotArea>
    </format>
    <format dxfId="3714">
      <pivotArea dataOnly="0" labelOnly="1" outline="0" fieldPosition="0">
        <references count="2">
          <reference field="0" count="15">
            <x v="1"/>
            <x v="4"/>
            <x v="19"/>
            <x v="21"/>
            <x v="25"/>
            <x v="29"/>
            <x v="36"/>
            <x v="47"/>
            <x v="57"/>
            <x v="63"/>
            <x v="65"/>
            <x v="69"/>
            <x v="71"/>
            <x v="82"/>
            <x v="87"/>
          </reference>
          <reference field="13" count="1" selected="0">
            <x v="22"/>
          </reference>
        </references>
      </pivotArea>
    </format>
    <format dxfId="3713">
      <pivotArea dataOnly="0" labelOnly="1" outline="0" fieldPosition="0">
        <references count="2">
          <reference field="0" count="12">
            <x v="4"/>
            <x v="19"/>
            <x v="21"/>
            <x v="25"/>
            <x v="36"/>
            <x v="47"/>
            <x v="57"/>
            <x v="63"/>
            <x v="64"/>
            <x v="71"/>
            <x v="82"/>
            <x v="87"/>
          </reference>
          <reference field="13" count="1" selected="0">
            <x v="24"/>
          </reference>
        </references>
      </pivotArea>
    </format>
    <format dxfId="3712">
      <pivotArea dataOnly="0" labelOnly="1" outline="0" fieldPosition="0">
        <references count="2">
          <reference field="0" count="10">
            <x v="1"/>
            <x v="4"/>
            <x v="19"/>
            <x v="21"/>
            <x v="36"/>
            <x v="47"/>
            <x v="63"/>
            <x v="64"/>
            <x v="71"/>
            <x v="82"/>
          </reference>
          <reference field="13" count="1" selected="0">
            <x v="27"/>
          </reference>
        </references>
      </pivotArea>
    </format>
    <format dxfId="3711">
      <pivotArea dataOnly="0" labelOnly="1" outline="0" fieldPosition="0">
        <references count="2">
          <reference field="0" count="13">
            <x v="1"/>
            <x v="4"/>
            <x v="15"/>
            <x v="19"/>
            <x v="21"/>
            <x v="36"/>
            <x v="47"/>
            <x v="64"/>
            <x v="71"/>
            <x v="78"/>
            <x v="82"/>
            <x v="87"/>
            <x v="89"/>
          </reference>
          <reference field="13" count="1" selected="0">
            <x v="30"/>
          </reference>
        </references>
      </pivotArea>
    </format>
    <format dxfId="3710">
      <pivotArea dataOnly="0" labelOnly="1" outline="0" fieldPosition="0">
        <references count="2">
          <reference field="0" count="11">
            <x v="1"/>
            <x v="4"/>
            <x v="19"/>
            <x v="21"/>
            <x v="29"/>
            <x v="36"/>
            <x v="47"/>
            <x v="64"/>
            <x v="71"/>
            <x v="82"/>
            <x v="89"/>
          </reference>
          <reference field="13" count="1" selected="0">
            <x v="32"/>
          </reference>
        </references>
      </pivotArea>
    </format>
    <format dxfId="3709">
      <pivotArea dataOnly="0" labelOnly="1" outline="0" fieldPosition="0">
        <references count="2">
          <reference field="0" count="18">
            <x v="0"/>
            <x v="1"/>
            <x v="4"/>
            <x v="15"/>
            <x v="19"/>
            <x v="20"/>
            <x v="21"/>
            <x v="25"/>
            <x v="29"/>
            <x v="36"/>
            <x v="47"/>
            <x v="55"/>
            <x v="57"/>
            <x v="64"/>
            <x v="71"/>
            <x v="82"/>
            <x v="87"/>
            <x v="89"/>
          </reference>
          <reference field="13" count="1" selected="0">
            <x v="35"/>
          </reference>
        </references>
      </pivotArea>
    </format>
    <format dxfId="3708">
      <pivotArea dataOnly="0" labelOnly="1" outline="0" fieldPosition="0">
        <references count="2">
          <reference field="0" count="15">
            <x v="1"/>
            <x v="2"/>
            <x v="3"/>
            <x v="4"/>
            <x v="19"/>
            <x v="21"/>
            <x v="29"/>
            <x v="36"/>
            <x v="47"/>
            <x v="57"/>
            <x v="60"/>
            <x v="64"/>
            <x v="71"/>
            <x v="82"/>
            <x v="87"/>
          </reference>
          <reference field="13" count="1" selected="0">
            <x v="37"/>
          </reference>
        </references>
      </pivotArea>
    </format>
    <format dxfId="3707">
      <pivotArea dataOnly="0" labelOnly="1" outline="0" fieldPosition="0">
        <references count="2">
          <reference field="0" count="20">
            <x v="1"/>
            <x v="3"/>
            <x v="4"/>
            <x v="10"/>
            <x v="19"/>
            <x v="20"/>
            <x v="21"/>
            <x v="29"/>
            <x v="32"/>
            <x v="47"/>
            <x v="50"/>
            <x v="55"/>
            <x v="56"/>
            <x v="64"/>
            <x v="67"/>
            <x v="69"/>
            <x v="71"/>
            <x v="82"/>
            <x v="87"/>
            <x v="89"/>
          </reference>
          <reference field="13" count="1" selected="0">
            <x v="39"/>
          </reference>
        </references>
      </pivotArea>
    </format>
    <format dxfId="3706">
      <pivotArea dataOnly="0" labelOnly="1" outline="0" fieldPosition="0">
        <references count="2">
          <reference field="0" count="25">
            <x v="7"/>
            <x v="10"/>
            <x v="15"/>
            <x v="17"/>
            <x v="20"/>
            <x v="21"/>
            <x v="27"/>
            <x v="34"/>
            <x v="44"/>
            <x v="45"/>
            <x v="47"/>
            <x v="49"/>
            <x v="50"/>
            <x v="55"/>
            <x v="56"/>
            <x v="57"/>
            <x v="59"/>
            <x v="63"/>
            <x v="66"/>
            <x v="68"/>
            <x v="74"/>
            <x v="75"/>
            <x v="82"/>
            <x v="87"/>
            <x v="88"/>
          </reference>
          <reference field="13" count="1" selected="0">
            <x v="43"/>
          </reference>
        </references>
      </pivotArea>
    </format>
    <format dxfId="3705">
      <pivotArea dataOnly="0" labelOnly="1" outline="0" fieldPosition="0">
        <references count="2">
          <reference field="0" count="16">
            <x v="2"/>
            <x v="8"/>
            <x v="10"/>
            <x v="20"/>
            <x v="23"/>
            <x v="45"/>
            <x v="50"/>
            <x v="55"/>
            <x v="56"/>
            <x v="60"/>
            <x v="63"/>
            <x v="65"/>
            <x v="76"/>
            <x v="82"/>
            <x v="87"/>
            <x v="89"/>
          </reference>
          <reference field="13" count="1" selected="0">
            <x v="43"/>
          </reference>
        </references>
      </pivotArea>
    </format>
    <format dxfId="3704">
      <pivotArea dataOnly="0" labelOnly="1" outline="0" fieldPosition="0">
        <references count="2">
          <reference field="0" count="25">
            <x v="3"/>
            <x v="4"/>
            <x v="7"/>
            <x v="10"/>
            <x v="15"/>
            <x v="17"/>
            <x v="20"/>
            <x v="21"/>
            <x v="34"/>
            <x v="36"/>
            <x v="44"/>
            <x v="47"/>
            <x v="50"/>
            <x v="53"/>
            <x v="55"/>
            <x v="56"/>
            <x v="57"/>
            <x v="59"/>
            <x v="63"/>
            <x v="64"/>
            <x v="65"/>
            <x v="66"/>
            <x v="72"/>
            <x v="76"/>
            <x v="82"/>
          </reference>
          <reference field="13" count="1" selected="0">
            <x v="45"/>
          </reference>
        </references>
      </pivotArea>
    </format>
    <format dxfId="3703">
      <pivotArea dataOnly="0" labelOnly="1" outline="0" fieldPosition="0">
        <references count="2">
          <reference field="0" count="25">
            <x v="4"/>
            <x v="10"/>
            <x v="15"/>
            <x v="20"/>
            <x v="21"/>
            <x v="25"/>
            <x v="33"/>
            <x v="35"/>
            <x v="38"/>
            <x v="40"/>
            <x v="47"/>
            <x v="49"/>
            <x v="50"/>
            <x v="52"/>
            <x v="54"/>
            <x v="55"/>
            <x v="56"/>
            <x v="76"/>
            <x v="78"/>
            <x v="82"/>
            <x v="83"/>
            <x v="84"/>
            <x v="87"/>
            <x v="88"/>
            <x v="89"/>
          </reference>
          <reference field="13" count="1" selected="0">
            <x v="46"/>
          </reference>
        </references>
      </pivotArea>
    </format>
    <format dxfId="3702">
      <pivotArea dataOnly="0" labelOnly="1" outline="0" fieldPosition="0">
        <references count="2">
          <reference field="0" count="25">
            <x v="1"/>
            <x v="4"/>
            <x v="8"/>
            <x v="10"/>
            <x v="15"/>
            <x v="20"/>
            <x v="21"/>
            <x v="30"/>
            <x v="36"/>
            <x v="47"/>
            <x v="50"/>
            <x v="55"/>
            <x v="57"/>
            <x v="58"/>
            <x v="59"/>
            <x v="63"/>
            <x v="64"/>
            <x v="70"/>
            <x v="76"/>
            <x v="80"/>
            <x v="82"/>
            <x v="83"/>
            <x v="84"/>
            <x v="85"/>
            <x v="87"/>
          </reference>
          <reference field="13" count="1" selected="0">
            <x v="47"/>
          </reference>
        </references>
      </pivotArea>
    </format>
    <format dxfId="3701">
      <pivotArea dataOnly="0" labelOnly="1" outline="0" fieldPosition="0">
        <references count="2">
          <reference field="0" count="20">
            <x v="2"/>
            <x v="4"/>
            <x v="10"/>
            <x v="15"/>
            <x v="20"/>
            <x v="21"/>
            <x v="25"/>
            <x v="26"/>
            <x v="50"/>
            <x v="55"/>
            <x v="56"/>
            <x v="59"/>
            <x v="60"/>
            <x v="61"/>
            <x v="63"/>
            <x v="65"/>
            <x v="69"/>
            <x v="76"/>
            <x v="82"/>
            <x v="87"/>
          </reference>
          <reference field="13" count="1" selected="0">
            <x v="48"/>
          </reference>
        </references>
      </pivotArea>
    </format>
    <format dxfId="3700">
      <pivotArea dataOnly="0" labelOnly="1" outline="0" fieldPosition="0">
        <references count="2">
          <reference field="0" count="25">
            <x v="29"/>
            <x v="35"/>
            <x v="36"/>
            <x v="37"/>
            <x v="38"/>
            <x v="40"/>
            <x v="45"/>
            <x v="47"/>
            <x v="49"/>
            <x v="50"/>
            <x v="54"/>
            <x v="55"/>
            <x v="56"/>
            <x v="57"/>
            <x v="59"/>
            <x v="60"/>
            <x v="63"/>
            <x v="64"/>
            <x v="68"/>
            <x v="70"/>
            <x v="71"/>
            <x v="74"/>
            <x v="75"/>
            <x v="79"/>
            <x v="82"/>
          </reference>
          <reference field="13" count="1" selected="0">
            <x v="50"/>
          </reference>
        </references>
      </pivotArea>
    </format>
    <format dxfId="3699">
      <pivotArea dataOnly="0" labelOnly="1" outline="0" fieldPosition="0">
        <references count="2">
          <reference field="0" count="25">
            <x v="4"/>
            <x v="5"/>
            <x v="11"/>
            <x v="13"/>
            <x v="16"/>
            <x v="18"/>
            <x v="19"/>
            <x v="21"/>
            <x v="22"/>
            <x v="25"/>
            <x v="27"/>
            <x v="29"/>
            <x v="31"/>
            <x v="35"/>
            <x v="38"/>
            <x v="44"/>
            <x v="46"/>
            <x v="47"/>
            <x v="49"/>
            <x v="51"/>
            <x v="52"/>
            <x v="83"/>
            <x v="84"/>
            <x v="87"/>
            <x v="89"/>
          </reference>
          <reference field="13" count="1" selected="0">
            <x v="50"/>
          </reference>
        </references>
      </pivotArea>
    </format>
    <format dxfId="3698">
      <pivotArea dataOnly="0" labelOnly="1" outline="0" fieldPosition="0">
        <references count="2">
          <reference field="0" count="25">
            <x v="4"/>
            <x v="13"/>
            <x v="21"/>
            <x v="25"/>
            <x v="29"/>
            <x v="35"/>
            <x v="38"/>
            <x v="48"/>
            <x v="54"/>
            <x v="57"/>
            <x v="59"/>
            <x v="62"/>
            <x v="63"/>
            <x v="64"/>
            <x v="67"/>
            <x v="70"/>
            <x v="71"/>
            <x v="79"/>
            <x v="81"/>
            <x v="83"/>
            <x v="86"/>
            <x v="88"/>
            <x v="89"/>
            <x v="90"/>
            <x v="91"/>
          </reference>
          <reference field="13" count="1" selected="0">
            <x v="51"/>
          </reference>
        </references>
      </pivotArea>
    </format>
    <format dxfId="3697">
      <pivotArea dataOnly="0" labelOnly="1" outline="0" fieldPosition="0">
        <references count="2">
          <reference field="0" count="25">
            <x v="1"/>
            <x v="3"/>
            <x v="4"/>
            <x v="15"/>
            <x v="19"/>
            <x v="20"/>
            <x v="21"/>
            <x v="40"/>
            <x v="47"/>
            <x v="49"/>
            <x v="52"/>
            <x v="54"/>
            <x v="57"/>
            <x v="58"/>
            <x v="59"/>
            <x v="63"/>
            <x v="64"/>
            <x v="70"/>
            <x v="71"/>
            <x v="79"/>
            <x v="82"/>
            <x v="83"/>
            <x v="84"/>
            <x v="87"/>
            <x v="89"/>
          </reference>
          <reference field="13" count="1" selected="0">
            <x v="53"/>
          </reference>
        </references>
      </pivotArea>
    </format>
    <format dxfId="3696">
      <pivotArea dataOnly="0" labelOnly="1" outline="0" fieldPosition="0">
        <references count="2">
          <reference field="0" count="25">
            <x v="25"/>
            <x v="27"/>
            <x v="29"/>
            <x v="35"/>
            <x v="36"/>
            <x v="38"/>
            <x v="40"/>
            <x v="44"/>
            <x v="47"/>
            <x v="49"/>
            <x v="50"/>
            <x v="52"/>
            <x v="54"/>
            <x v="55"/>
            <x v="57"/>
            <x v="58"/>
            <x v="59"/>
            <x v="61"/>
            <x v="63"/>
            <x v="64"/>
            <x v="65"/>
            <x v="66"/>
            <x v="70"/>
            <x v="71"/>
            <x v="78"/>
          </reference>
          <reference field="13" count="1" selected="0">
            <x v="54"/>
          </reference>
        </references>
      </pivotArea>
    </format>
    <format dxfId="3695">
      <pivotArea dataOnly="0" labelOnly="1" outline="0" fieldPosition="0">
        <references count="2">
          <reference field="0" count="25">
            <x v="1"/>
            <x v="3"/>
            <x v="4"/>
            <x v="7"/>
            <x v="14"/>
            <x v="15"/>
            <x v="17"/>
            <x v="19"/>
            <x v="20"/>
            <x v="21"/>
            <x v="25"/>
            <x v="27"/>
            <x v="29"/>
            <x v="34"/>
            <x v="36"/>
            <x v="38"/>
            <x v="44"/>
            <x v="45"/>
            <x v="47"/>
            <x v="79"/>
            <x v="82"/>
            <x v="83"/>
            <x v="84"/>
            <x v="87"/>
            <x v="88"/>
          </reference>
          <reference field="13" count="1" selected="0">
            <x v="54"/>
          </reference>
        </references>
      </pivotArea>
    </format>
    <format dxfId="3694">
      <pivotArea dataOnly="0" labelOnly="1" outline="0" fieldPosition="0">
        <references count="2">
          <reference field="0" count="25">
            <x v="3"/>
            <x v="4"/>
            <x v="15"/>
            <x v="21"/>
            <x v="49"/>
            <x v="50"/>
            <x v="52"/>
            <x v="54"/>
            <x v="55"/>
            <x v="57"/>
            <x v="58"/>
            <x v="59"/>
            <x v="61"/>
            <x v="63"/>
            <x v="64"/>
            <x v="65"/>
            <x v="66"/>
            <x v="71"/>
            <x v="72"/>
            <x v="78"/>
            <x v="82"/>
            <x v="83"/>
            <x v="84"/>
            <x v="87"/>
            <x v="88"/>
          </reference>
          <reference field="13" count="1" selected="0">
            <x v="55"/>
          </reference>
        </references>
      </pivotArea>
    </format>
    <format dxfId="3693">
      <pivotArea dataOnly="0" labelOnly="1" outline="0" fieldPosition="0">
        <references count="2">
          <reference field="0" count="25">
            <x v="25"/>
            <x v="27"/>
            <x v="29"/>
            <x v="34"/>
            <x v="35"/>
            <x v="36"/>
            <x v="38"/>
            <x v="40"/>
            <x v="44"/>
            <x v="47"/>
            <x v="49"/>
            <x v="52"/>
            <x v="54"/>
            <x v="57"/>
            <x v="59"/>
            <x v="62"/>
            <x v="63"/>
            <x v="64"/>
            <x v="66"/>
            <x v="70"/>
            <x v="71"/>
            <x v="72"/>
            <x v="80"/>
            <x v="82"/>
            <x v="87"/>
          </reference>
          <reference field="13" count="1" selected="0">
            <x v="56"/>
          </reference>
        </references>
      </pivotArea>
    </format>
    <format dxfId="3692">
      <pivotArea dataOnly="0" labelOnly="1" outline="0" fieldPosition="0">
        <references count="2">
          <reference field="0" count="19">
            <x v="1"/>
            <x v="4"/>
            <x v="6"/>
            <x v="10"/>
            <x v="15"/>
            <x v="20"/>
            <x v="21"/>
            <x v="29"/>
            <x v="47"/>
            <x v="50"/>
            <x v="55"/>
            <x v="57"/>
            <x v="62"/>
            <x v="63"/>
            <x v="64"/>
            <x v="65"/>
            <x v="71"/>
            <x v="88"/>
            <x v="89"/>
          </reference>
          <reference field="13" count="1" selected="0">
            <x v="56"/>
          </reference>
        </references>
      </pivotArea>
    </format>
    <format dxfId="3691">
      <pivotArea dataOnly="0" labelOnly="1" outline="0" fieldPosition="0">
        <references count="2">
          <reference field="0" count="25">
            <x v="1"/>
            <x v="3"/>
            <x v="4"/>
            <x v="7"/>
            <x v="12"/>
            <x v="15"/>
            <x v="17"/>
            <x v="20"/>
            <x v="21"/>
            <x v="29"/>
            <x v="47"/>
            <x v="55"/>
            <x v="57"/>
            <x v="59"/>
            <x v="61"/>
            <x v="63"/>
            <x v="64"/>
            <x v="65"/>
            <x v="71"/>
            <x v="78"/>
            <x v="82"/>
            <x v="83"/>
            <x v="84"/>
            <x v="87"/>
            <x v="89"/>
          </reference>
          <reference field="13" count="1" selected="0">
            <x v="58"/>
          </reference>
        </references>
      </pivotArea>
    </format>
    <format dxfId="3690">
      <pivotArea dataOnly="0" labelOnly="1" outline="0" fieldPosition="0">
        <references count="2">
          <reference field="0" count="25">
            <x v="1"/>
            <x v="4"/>
            <x v="15"/>
            <x v="29"/>
            <x v="34"/>
            <x v="36"/>
            <x v="44"/>
            <x v="45"/>
            <x v="47"/>
            <x v="50"/>
            <x v="55"/>
            <x v="57"/>
            <x v="59"/>
            <x v="60"/>
            <x v="63"/>
            <x v="64"/>
            <x v="65"/>
            <x v="66"/>
            <x v="71"/>
            <x v="72"/>
            <x v="77"/>
            <x v="78"/>
            <x v="82"/>
            <x v="87"/>
            <x v="88"/>
          </reference>
          <reference field="13" count="1" selected="0">
            <x v="60"/>
          </reference>
        </references>
      </pivotArea>
    </format>
    <format dxfId="3689">
      <pivotArea dataOnly="0" labelOnly="1" outline="0" fieldPosition="0">
        <references count="2">
          <reference field="0" count="21">
            <x v="1"/>
            <x v="3"/>
            <x v="4"/>
            <x v="6"/>
            <x v="13"/>
            <x v="15"/>
            <x v="19"/>
            <x v="20"/>
            <x v="21"/>
            <x v="29"/>
            <x v="36"/>
            <x v="47"/>
            <x v="50"/>
            <x v="55"/>
            <x v="57"/>
            <x v="59"/>
            <x v="63"/>
            <x v="71"/>
            <x v="82"/>
            <x v="87"/>
            <x v="89"/>
          </reference>
          <reference field="13" count="1" selected="0">
            <x v="61"/>
          </reference>
        </references>
      </pivotArea>
    </format>
    <format dxfId="3688">
      <pivotArea dataOnly="0" labelOnly="1" outline="0" fieldPosition="0">
        <references count="2">
          <reference field="0" count="13">
            <x v="29"/>
            <x v="42"/>
            <x v="55"/>
            <x v="57"/>
            <x v="59"/>
            <x v="61"/>
            <x v="62"/>
            <x v="63"/>
            <x v="64"/>
            <x v="65"/>
            <x v="71"/>
            <x v="82"/>
            <x v="87"/>
          </reference>
          <reference field="13" count="1" selected="0">
            <x v="62"/>
          </reference>
        </references>
      </pivotArea>
    </format>
    <format dxfId="3687">
      <pivotArea dataOnly="0" labelOnly="1" outline="0" fieldPosition="0">
        <references count="1">
          <reference field="13" count="1">
            <x v="0"/>
          </reference>
        </references>
      </pivotArea>
    </format>
    <format dxfId="3686">
      <pivotArea dataOnly="0" labelOnly="1" outline="0" fieldPosition="0">
        <references count="1">
          <reference field="13" count="1">
            <x v="1"/>
          </reference>
        </references>
      </pivotArea>
    </format>
    <format dxfId="3685">
      <pivotArea dataOnly="0" labelOnly="1" outline="0" fieldPosition="0">
        <references count="1">
          <reference field="13" count="1">
            <x v="2"/>
          </reference>
        </references>
      </pivotArea>
    </format>
    <format dxfId="3684">
      <pivotArea dataOnly="0" labelOnly="1" outline="0" fieldPosition="0">
        <references count="1">
          <reference field="13" count="1">
            <x v="3"/>
          </reference>
        </references>
      </pivotArea>
    </format>
    <format dxfId="3683">
      <pivotArea dataOnly="0" labelOnly="1" outline="0" fieldPosition="0">
        <references count="1">
          <reference field="13" count="1">
            <x v="4"/>
          </reference>
        </references>
      </pivotArea>
    </format>
    <format dxfId="3682">
      <pivotArea dataOnly="0" labelOnly="1" outline="0" fieldPosition="0">
        <references count="1">
          <reference field="13" count="1">
            <x v="5"/>
          </reference>
        </references>
      </pivotArea>
    </format>
    <format dxfId="3681">
      <pivotArea dataOnly="0" labelOnly="1" outline="0" fieldPosition="0">
        <references count="1">
          <reference field="13" count="1">
            <x v="6"/>
          </reference>
        </references>
      </pivotArea>
    </format>
    <format dxfId="3680">
      <pivotArea dataOnly="0" labelOnly="1" outline="0" fieldPosition="0">
        <references count="1">
          <reference field="13" count="1">
            <x v="7"/>
          </reference>
        </references>
      </pivotArea>
    </format>
    <format dxfId="3679">
      <pivotArea dataOnly="0" labelOnly="1" outline="0" fieldPosition="0">
        <references count="1">
          <reference field="13" count="1">
            <x v="8"/>
          </reference>
        </references>
      </pivotArea>
    </format>
    <format dxfId="3678">
      <pivotArea dataOnly="0" labelOnly="1" outline="0" fieldPosition="0">
        <references count="1">
          <reference field="13" count="1">
            <x v="9"/>
          </reference>
        </references>
      </pivotArea>
    </format>
    <format dxfId="3677">
      <pivotArea dataOnly="0" labelOnly="1" outline="0" fieldPosition="0">
        <references count="1">
          <reference field="13" count="1">
            <x v="10"/>
          </reference>
        </references>
      </pivotArea>
    </format>
    <format dxfId="3676">
      <pivotArea dataOnly="0" labelOnly="1" outline="0" fieldPosition="0">
        <references count="1">
          <reference field="13" count="1">
            <x v="11"/>
          </reference>
        </references>
      </pivotArea>
    </format>
    <format dxfId="3675">
      <pivotArea dataOnly="0" labelOnly="1" outline="0" fieldPosition="0">
        <references count="1">
          <reference field="13" count="1">
            <x v="12"/>
          </reference>
        </references>
      </pivotArea>
    </format>
    <format dxfId="3674">
      <pivotArea dataOnly="0" labelOnly="1" outline="0" fieldPosition="0">
        <references count="1">
          <reference field="13" count="1">
            <x v="13"/>
          </reference>
        </references>
      </pivotArea>
    </format>
    <format dxfId="3673">
      <pivotArea dataOnly="0" labelOnly="1" outline="0" fieldPosition="0">
        <references count="1">
          <reference field="13" count="1">
            <x v="14"/>
          </reference>
        </references>
      </pivotArea>
    </format>
    <format dxfId="3672">
      <pivotArea dataOnly="0" labelOnly="1" outline="0" fieldPosition="0">
        <references count="1">
          <reference field="13" count="1">
            <x v="15"/>
          </reference>
        </references>
      </pivotArea>
    </format>
    <format dxfId="3671">
      <pivotArea dataOnly="0" labelOnly="1" outline="0" fieldPosition="0">
        <references count="1">
          <reference field="13" count="1">
            <x v="16"/>
          </reference>
        </references>
      </pivotArea>
    </format>
    <format dxfId="3670">
      <pivotArea dataOnly="0" labelOnly="1" outline="0" fieldPosition="0">
        <references count="1">
          <reference field="13" count="1">
            <x v="17"/>
          </reference>
        </references>
      </pivotArea>
    </format>
    <format dxfId="3669">
      <pivotArea dataOnly="0" labelOnly="1" outline="0" fieldPosition="0">
        <references count="1">
          <reference field="13" count="1">
            <x v="18"/>
          </reference>
        </references>
      </pivotArea>
    </format>
    <format dxfId="3668">
      <pivotArea dataOnly="0" labelOnly="1" outline="0" fieldPosition="0">
        <references count="1">
          <reference field="13" count="1">
            <x v="19"/>
          </reference>
        </references>
      </pivotArea>
    </format>
    <format dxfId="3667">
      <pivotArea dataOnly="0" labelOnly="1" outline="0" fieldPosition="0">
        <references count="1">
          <reference field="13" count="1">
            <x v="20"/>
          </reference>
        </references>
      </pivotArea>
    </format>
    <format dxfId="3666">
      <pivotArea dataOnly="0" labelOnly="1" outline="0" fieldPosition="0">
        <references count="1">
          <reference field="13" count="1">
            <x v="21"/>
          </reference>
        </references>
      </pivotArea>
    </format>
    <format dxfId="3665">
      <pivotArea dataOnly="0" labelOnly="1" outline="0" fieldPosition="0">
        <references count="1">
          <reference field="13" count="1">
            <x v="22"/>
          </reference>
        </references>
      </pivotArea>
    </format>
    <format dxfId="3664">
      <pivotArea dataOnly="0" labelOnly="1" outline="0" fieldPosition="0">
        <references count="1">
          <reference field="13" count="1">
            <x v="23"/>
          </reference>
        </references>
      </pivotArea>
    </format>
    <format dxfId="3663">
      <pivotArea dataOnly="0" labelOnly="1" outline="0" fieldPosition="0">
        <references count="1">
          <reference field="13" count="1">
            <x v="24"/>
          </reference>
        </references>
      </pivotArea>
    </format>
    <format dxfId="3662">
      <pivotArea dataOnly="0" labelOnly="1" outline="0" fieldPosition="0">
        <references count="1">
          <reference field="13" count="1">
            <x v="25"/>
          </reference>
        </references>
      </pivotArea>
    </format>
    <format dxfId="3661">
      <pivotArea dataOnly="0" labelOnly="1" outline="0" fieldPosition="0">
        <references count="1">
          <reference field="13" count="1">
            <x v="26"/>
          </reference>
        </references>
      </pivotArea>
    </format>
    <format dxfId="3660">
      <pivotArea dataOnly="0" labelOnly="1" outline="0" fieldPosition="0">
        <references count="1">
          <reference field="13" count="1">
            <x v="27"/>
          </reference>
        </references>
      </pivotArea>
    </format>
    <format dxfId="3659">
      <pivotArea dataOnly="0" labelOnly="1" outline="0" fieldPosition="0">
        <references count="1">
          <reference field="13" count="1">
            <x v="28"/>
          </reference>
        </references>
      </pivotArea>
    </format>
    <format dxfId="3658">
      <pivotArea dataOnly="0" labelOnly="1" outline="0" fieldPosition="0">
        <references count="1">
          <reference field="13" count="1">
            <x v="29"/>
          </reference>
        </references>
      </pivotArea>
    </format>
    <format dxfId="3657">
      <pivotArea dataOnly="0" labelOnly="1" outline="0" fieldPosition="0">
        <references count="1">
          <reference field="13" count="1">
            <x v="30"/>
          </reference>
        </references>
      </pivotArea>
    </format>
    <format dxfId="3656">
      <pivotArea dataOnly="0" labelOnly="1" outline="0" fieldPosition="0">
        <references count="1">
          <reference field="13" count="1">
            <x v="31"/>
          </reference>
        </references>
      </pivotArea>
    </format>
    <format dxfId="3655">
      <pivotArea dataOnly="0" labelOnly="1" outline="0" fieldPosition="0">
        <references count="1">
          <reference field="13" count="1">
            <x v="32"/>
          </reference>
        </references>
      </pivotArea>
    </format>
    <format dxfId="3654">
      <pivotArea dataOnly="0" labelOnly="1" outline="0" fieldPosition="0">
        <references count="1">
          <reference field="13" count="1">
            <x v="33"/>
          </reference>
        </references>
      </pivotArea>
    </format>
    <format dxfId="3653">
      <pivotArea dataOnly="0" labelOnly="1" outline="0" fieldPosition="0">
        <references count="1">
          <reference field="13" count="1">
            <x v="34"/>
          </reference>
        </references>
      </pivotArea>
    </format>
    <format dxfId="3652">
      <pivotArea dataOnly="0" labelOnly="1" outline="0" fieldPosition="0">
        <references count="1">
          <reference field="13" count="1">
            <x v="35"/>
          </reference>
        </references>
      </pivotArea>
    </format>
    <format dxfId="3651">
      <pivotArea dataOnly="0" labelOnly="1" outline="0" fieldPosition="0">
        <references count="1">
          <reference field="13" count="1">
            <x v="36"/>
          </reference>
        </references>
      </pivotArea>
    </format>
    <format dxfId="3650">
      <pivotArea dataOnly="0" labelOnly="1" outline="0" fieldPosition="0">
        <references count="1">
          <reference field="13" count="1">
            <x v="37"/>
          </reference>
        </references>
      </pivotArea>
    </format>
    <format dxfId="3649">
      <pivotArea dataOnly="0" labelOnly="1" outline="0" fieldPosition="0">
        <references count="1">
          <reference field="13" count="1">
            <x v="38"/>
          </reference>
        </references>
      </pivotArea>
    </format>
    <format dxfId="3648">
      <pivotArea dataOnly="0" labelOnly="1" outline="0" fieldPosition="0">
        <references count="1">
          <reference field="13" count="1">
            <x v="39"/>
          </reference>
        </references>
      </pivotArea>
    </format>
    <format dxfId="3647">
      <pivotArea dataOnly="0" labelOnly="1" outline="0" fieldPosition="0">
        <references count="1">
          <reference field="13" count="1">
            <x v="40"/>
          </reference>
        </references>
      </pivotArea>
    </format>
    <format dxfId="3646">
      <pivotArea dataOnly="0" labelOnly="1" outline="0" fieldPosition="0">
        <references count="1">
          <reference field="13" count="1">
            <x v="41"/>
          </reference>
        </references>
      </pivotArea>
    </format>
    <format dxfId="3645">
      <pivotArea dataOnly="0" labelOnly="1" outline="0" fieldPosition="0">
        <references count="1">
          <reference field="13" count="1">
            <x v="42"/>
          </reference>
        </references>
      </pivotArea>
    </format>
    <format dxfId="3644">
      <pivotArea dataOnly="0" labelOnly="1" outline="0" fieldPosition="0">
        <references count="1">
          <reference field="13" count="1">
            <x v="43"/>
          </reference>
        </references>
      </pivotArea>
    </format>
    <format dxfId="3643">
      <pivotArea dataOnly="0" labelOnly="1" outline="0" fieldPosition="0">
        <references count="1">
          <reference field="13" count="1">
            <x v="44"/>
          </reference>
        </references>
      </pivotArea>
    </format>
    <format dxfId="3642">
      <pivotArea dataOnly="0" labelOnly="1" outline="0" fieldPosition="0">
        <references count="1">
          <reference field="13" count="1">
            <x v="45"/>
          </reference>
        </references>
      </pivotArea>
    </format>
    <format dxfId="3641">
      <pivotArea dataOnly="0" labelOnly="1" outline="0" fieldPosition="0">
        <references count="1">
          <reference field="13" count="1">
            <x v="46"/>
          </reference>
        </references>
      </pivotArea>
    </format>
    <format dxfId="3640">
      <pivotArea dataOnly="0" labelOnly="1" outline="0" fieldPosition="0">
        <references count="1">
          <reference field="13" count="1">
            <x v="47"/>
          </reference>
        </references>
      </pivotArea>
    </format>
    <format dxfId="3639">
      <pivotArea dataOnly="0" labelOnly="1" outline="0" fieldPosition="0">
        <references count="1">
          <reference field="13" count="1">
            <x v="48"/>
          </reference>
        </references>
      </pivotArea>
    </format>
    <format dxfId="3638">
      <pivotArea dataOnly="0" labelOnly="1" outline="0" fieldPosition="0">
        <references count="1">
          <reference field="13" count="1">
            <x v="49"/>
          </reference>
        </references>
      </pivotArea>
    </format>
    <format dxfId="3637">
      <pivotArea dataOnly="0" labelOnly="1" outline="0" fieldPosition="0">
        <references count="1">
          <reference field="13" count="1">
            <x v="50"/>
          </reference>
        </references>
      </pivotArea>
    </format>
    <format dxfId="3636">
      <pivotArea dataOnly="0" labelOnly="1" outline="0" fieldPosition="0">
        <references count="1">
          <reference field="13" count="1">
            <x v="51"/>
          </reference>
        </references>
      </pivotArea>
    </format>
    <format dxfId="3635">
      <pivotArea dataOnly="0" labelOnly="1" outline="0" fieldPosition="0">
        <references count="1">
          <reference field="13" count="1">
            <x v="52"/>
          </reference>
        </references>
      </pivotArea>
    </format>
    <format dxfId="3634">
      <pivotArea dataOnly="0" labelOnly="1" outline="0" fieldPosition="0">
        <references count="1">
          <reference field="13" count="1">
            <x v="53"/>
          </reference>
        </references>
      </pivotArea>
    </format>
    <format dxfId="3633">
      <pivotArea dataOnly="0" labelOnly="1" outline="0" fieldPosition="0">
        <references count="1">
          <reference field="13" count="1">
            <x v="54"/>
          </reference>
        </references>
      </pivotArea>
    </format>
    <format dxfId="3632">
      <pivotArea dataOnly="0" labelOnly="1" outline="0" fieldPosition="0">
        <references count="1">
          <reference field="13" count="1">
            <x v="55"/>
          </reference>
        </references>
      </pivotArea>
    </format>
    <format dxfId="3631">
      <pivotArea dataOnly="0" labelOnly="1" outline="0" fieldPosition="0">
        <references count="1">
          <reference field="13" count="1">
            <x v="56"/>
          </reference>
        </references>
      </pivotArea>
    </format>
    <format dxfId="3630">
      <pivotArea dataOnly="0" labelOnly="1" outline="0" fieldPosition="0">
        <references count="1">
          <reference field="13" count="1">
            <x v="57"/>
          </reference>
        </references>
      </pivotArea>
    </format>
    <format dxfId="3629">
      <pivotArea dataOnly="0" labelOnly="1" outline="0" fieldPosition="0">
        <references count="1">
          <reference field="13" count="1">
            <x v="58"/>
          </reference>
        </references>
      </pivotArea>
    </format>
    <format dxfId="3628">
      <pivotArea dataOnly="0" labelOnly="1" outline="0" fieldPosition="0">
        <references count="1">
          <reference field="13" count="1">
            <x v="59"/>
          </reference>
        </references>
      </pivotArea>
    </format>
    <format dxfId="3627">
      <pivotArea dataOnly="0" labelOnly="1" outline="0" fieldPosition="0">
        <references count="1">
          <reference field="13" count="1">
            <x v="60"/>
          </reference>
        </references>
      </pivotArea>
    </format>
    <format dxfId="3626">
      <pivotArea dataOnly="0" labelOnly="1" outline="0" fieldPosition="0">
        <references count="1">
          <reference field="13" count="1">
            <x v="61"/>
          </reference>
        </references>
      </pivotArea>
    </format>
    <format dxfId="3625">
      <pivotArea dataOnly="0" labelOnly="1" outline="0" fieldPosition="0">
        <references count="1">
          <reference field="13" count="1">
            <x v="62"/>
          </reference>
        </references>
      </pivotArea>
    </format>
    <format dxfId="3624">
      <pivotArea dataOnly="0" labelOnly="1" outline="0" fieldPosition="0">
        <references count="1">
          <reference field="13" count="1">
            <x v="63"/>
          </reference>
        </references>
      </pivotArea>
    </format>
    <format dxfId="3623">
      <pivotArea dataOnly="0" labelOnly="1" grandRow="1" outline="0" fieldPosition="0"/>
    </format>
    <format dxfId="3622">
      <pivotArea dataOnly="0" labelOnly="1" outline="0" fieldPosition="0">
        <references count="2">
          <reference field="0" count="1">
            <x v="1"/>
          </reference>
          <reference field="13" count="1" selected="0">
            <x v="0"/>
          </reference>
        </references>
      </pivotArea>
    </format>
    <format dxfId="3621">
      <pivotArea dataOnly="0" labelOnly="1" outline="0" fieldPosition="0">
        <references count="2">
          <reference field="0" count="1">
            <x v="4"/>
          </reference>
          <reference field="13" count="1" selected="0">
            <x v="0"/>
          </reference>
        </references>
      </pivotArea>
    </format>
    <format dxfId="3620">
      <pivotArea dataOnly="0" labelOnly="1" outline="0" fieldPosition="0">
        <references count="2">
          <reference field="0" count="1">
            <x v="19"/>
          </reference>
          <reference field="13" count="1" selected="0">
            <x v="0"/>
          </reference>
        </references>
      </pivotArea>
    </format>
    <format dxfId="3619">
      <pivotArea dataOnly="0" labelOnly="1" outline="0" fieldPosition="0">
        <references count="2">
          <reference field="0" count="1">
            <x v="21"/>
          </reference>
          <reference field="13" count="1" selected="0">
            <x v="0"/>
          </reference>
        </references>
      </pivotArea>
    </format>
    <format dxfId="3618">
      <pivotArea dataOnly="0" labelOnly="1" outline="0" fieldPosition="0">
        <references count="2">
          <reference field="0" count="1">
            <x v="29"/>
          </reference>
          <reference field="13" count="1" selected="0">
            <x v="0"/>
          </reference>
        </references>
      </pivotArea>
    </format>
    <format dxfId="3617">
      <pivotArea dataOnly="0" labelOnly="1" outline="0" fieldPosition="0">
        <references count="2">
          <reference field="0" count="1">
            <x v="47"/>
          </reference>
          <reference field="13" count="1" selected="0">
            <x v="0"/>
          </reference>
        </references>
      </pivotArea>
    </format>
    <format dxfId="3616">
      <pivotArea dataOnly="0" labelOnly="1" outline="0" fieldPosition="0">
        <references count="2">
          <reference field="0" count="1">
            <x v="71"/>
          </reference>
          <reference field="13" count="1" selected="0">
            <x v="0"/>
          </reference>
        </references>
      </pivotArea>
    </format>
    <format dxfId="3615">
      <pivotArea dataOnly="0" labelOnly="1" outline="0" fieldPosition="0">
        <references count="2">
          <reference field="0" count="1">
            <x v="82"/>
          </reference>
          <reference field="13" count="1" selected="0">
            <x v="0"/>
          </reference>
        </references>
      </pivotArea>
    </format>
    <format dxfId="3614">
      <pivotArea dataOnly="0" labelOnly="1" outline="0" fieldPosition="0">
        <references count="2">
          <reference field="0" count="1">
            <x v="87"/>
          </reference>
          <reference field="13" count="1" selected="0">
            <x v="0"/>
          </reference>
        </references>
      </pivotArea>
    </format>
    <format dxfId="3613">
      <pivotArea dataOnly="0" labelOnly="1" outline="0" fieldPosition="0">
        <references count="2">
          <reference field="0" count="1">
            <x v="89"/>
          </reference>
          <reference field="13" count="1" selected="0">
            <x v="0"/>
          </reference>
        </references>
      </pivotArea>
    </format>
    <format dxfId="3612">
      <pivotArea dataOnly="0" labelOnly="1" outline="0" fieldPosition="0">
        <references count="2">
          <reference field="0" count="1">
            <x v="4"/>
          </reference>
          <reference field="13" count="1" selected="0">
            <x v="1"/>
          </reference>
        </references>
      </pivotArea>
    </format>
    <format dxfId="3611">
      <pivotArea dataOnly="0" labelOnly="1" outline="0" fieldPosition="0">
        <references count="2">
          <reference field="0" count="1">
            <x v="13"/>
          </reference>
          <reference field="13" count="1" selected="0">
            <x v="1"/>
          </reference>
        </references>
      </pivotArea>
    </format>
    <format dxfId="3610">
      <pivotArea dataOnly="0" labelOnly="1" outline="0" fieldPosition="0">
        <references count="2">
          <reference field="0" count="1">
            <x v="19"/>
          </reference>
          <reference field="13" count="1" selected="0">
            <x v="1"/>
          </reference>
        </references>
      </pivotArea>
    </format>
    <format dxfId="3609">
      <pivotArea dataOnly="0" labelOnly="1" outline="0" fieldPosition="0">
        <references count="2">
          <reference field="0" count="1">
            <x v="21"/>
          </reference>
          <reference field="13" count="1" selected="0">
            <x v="1"/>
          </reference>
        </references>
      </pivotArea>
    </format>
    <format dxfId="3608">
      <pivotArea dataOnly="0" labelOnly="1" outline="0" fieldPosition="0">
        <references count="2">
          <reference field="0" count="1">
            <x v="47"/>
          </reference>
          <reference field="13" count="1" selected="0">
            <x v="1"/>
          </reference>
        </references>
      </pivotArea>
    </format>
    <format dxfId="3607">
      <pivotArea dataOnly="0" labelOnly="1" outline="0" fieldPosition="0">
        <references count="2">
          <reference field="0" count="1">
            <x v="71"/>
          </reference>
          <reference field="13" count="1" selected="0">
            <x v="1"/>
          </reference>
        </references>
      </pivotArea>
    </format>
    <format dxfId="3606">
      <pivotArea dataOnly="0" labelOnly="1" outline="0" fieldPosition="0">
        <references count="2">
          <reference field="0" count="1">
            <x v="82"/>
          </reference>
          <reference field="13" count="1" selected="0">
            <x v="1"/>
          </reference>
        </references>
      </pivotArea>
    </format>
    <format dxfId="3605">
      <pivotArea dataOnly="0" labelOnly="1" outline="0" fieldPosition="0">
        <references count="2">
          <reference field="0" count="1">
            <x v="89"/>
          </reference>
          <reference field="13" count="1" selected="0">
            <x v="1"/>
          </reference>
        </references>
      </pivotArea>
    </format>
    <format dxfId="3604">
      <pivotArea dataOnly="0" labelOnly="1" outline="0" fieldPosition="0">
        <references count="2">
          <reference field="0" count="1">
            <x v="4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2">
          <reference field="0" count="1">
            <x v="19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2">
          <reference field="0" count="1">
            <x v="21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2">
          <reference field="0" count="1">
            <x v="41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2">
          <reference field="0" count="1">
            <x v="47"/>
          </reference>
          <reference field="13" count="1" selected="0">
            <x v="2"/>
          </reference>
        </references>
      </pivotArea>
    </format>
    <format dxfId="3599">
      <pivotArea dataOnly="0" labelOnly="1" outline="0" fieldPosition="0">
        <references count="2">
          <reference field="0" count="1">
            <x v="71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2">
          <reference field="0" count="1">
            <x v="82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2">
          <reference field="0" count="1">
            <x v="89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2">
          <reference field="0" count="1">
            <x v="4"/>
          </reference>
          <reference field="13" count="1" selected="0">
            <x v="3"/>
          </reference>
        </references>
      </pivotArea>
    </format>
    <format dxfId="3595">
      <pivotArea dataOnly="0" labelOnly="1" outline="0" fieldPosition="0">
        <references count="2">
          <reference field="0" count="1">
            <x v="13"/>
          </reference>
          <reference field="13" count="1" selected="0">
            <x v="3"/>
          </reference>
        </references>
      </pivotArea>
    </format>
    <format dxfId="3594">
      <pivotArea dataOnly="0" labelOnly="1" outline="0" fieldPosition="0">
        <references count="2">
          <reference field="0" count="1">
            <x v="19"/>
          </reference>
          <reference field="13" count="1" selected="0">
            <x v="3"/>
          </reference>
        </references>
      </pivotArea>
    </format>
    <format dxfId="3593">
      <pivotArea dataOnly="0" labelOnly="1" outline="0" fieldPosition="0">
        <references count="2">
          <reference field="0" count="1">
            <x v="21"/>
          </reference>
          <reference field="13" count="1" selected="0">
            <x v="3"/>
          </reference>
        </references>
      </pivotArea>
    </format>
    <format dxfId="3592">
      <pivotArea dataOnly="0" labelOnly="1" outline="0" fieldPosition="0">
        <references count="2">
          <reference field="0" count="1">
            <x v="47"/>
          </reference>
          <reference field="13" count="1" selected="0">
            <x v="3"/>
          </reference>
        </references>
      </pivotArea>
    </format>
    <format dxfId="3591">
      <pivotArea dataOnly="0" labelOnly="1" outline="0" fieldPosition="0">
        <references count="2">
          <reference field="0" count="1">
            <x v="71"/>
          </reference>
          <reference field="13" count="1" selected="0">
            <x v="3"/>
          </reference>
        </references>
      </pivotArea>
    </format>
    <format dxfId="3590">
      <pivotArea dataOnly="0" labelOnly="1" outline="0" fieldPosition="0">
        <references count="2">
          <reference field="0" count="1">
            <x v="82"/>
          </reference>
          <reference field="13" count="1" selected="0">
            <x v="3"/>
          </reference>
        </references>
      </pivotArea>
    </format>
    <format dxfId="3589">
      <pivotArea dataOnly="0" labelOnly="1" outline="0" fieldPosition="0">
        <references count="2">
          <reference field="0" count="1">
            <x v="89"/>
          </reference>
          <reference field="13" count="1" selected="0">
            <x v="3"/>
          </reference>
        </references>
      </pivotArea>
    </format>
    <format dxfId="3588">
      <pivotArea dataOnly="0" labelOnly="1" outline="0" fieldPosition="0">
        <references count="2">
          <reference field="0" count="1">
            <x v="4"/>
          </reference>
          <reference field="13" count="1" selected="0">
            <x v="4"/>
          </reference>
        </references>
      </pivotArea>
    </format>
    <format dxfId="3587">
      <pivotArea dataOnly="0" labelOnly="1" outline="0" fieldPosition="0">
        <references count="2">
          <reference field="0" count="1">
            <x v="19"/>
          </reference>
          <reference field="13" count="1" selected="0">
            <x v="4"/>
          </reference>
        </references>
      </pivotArea>
    </format>
    <format dxfId="3586">
      <pivotArea dataOnly="0" labelOnly="1" outline="0" fieldPosition="0">
        <references count="2">
          <reference field="0" count="1">
            <x v="21"/>
          </reference>
          <reference field="13" count="1" selected="0">
            <x v="4"/>
          </reference>
        </references>
      </pivotArea>
    </format>
    <format dxfId="3585">
      <pivotArea dataOnly="0" labelOnly="1" outline="0" fieldPosition="0">
        <references count="2">
          <reference field="0" count="1">
            <x v="25"/>
          </reference>
          <reference field="13" count="1" selected="0">
            <x v="4"/>
          </reference>
        </references>
      </pivotArea>
    </format>
    <format dxfId="3584">
      <pivotArea dataOnly="0" labelOnly="1" outline="0" fieldPosition="0">
        <references count="2">
          <reference field="0" count="1">
            <x v="47"/>
          </reference>
          <reference field="13" count="1" selected="0">
            <x v="4"/>
          </reference>
        </references>
      </pivotArea>
    </format>
    <format dxfId="3583">
      <pivotArea dataOnly="0" labelOnly="1" outline="0" fieldPosition="0">
        <references count="2">
          <reference field="0" count="1">
            <x v="64"/>
          </reference>
          <reference field="13" count="1" selected="0">
            <x v="4"/>
          </reference>
        </references>
      </pivotArea>
    </format>
    <format dxfId="3582">
      <pivotArea dataOnly="0" labelOnly="1" outline="0" fieldPosition="0">
        <references count="2">
          <reference field="0" count="1">
            <x v="71"/>
          </reference>
          <reference field="13" count="1" selected="0">
            <x v="4"/>
          </reference>
        </references>
      </pivotArea>
    </format>
    <format dxfId="3581">
      <pivotArea dataOnly="0" labelOnly="1" outline="0" fieldPosition="0">
        <references count="2">
          <reference field="0" count="1">
            <x v="82"/>
          </reference>
          <reference field="13" count="1" selected="0">
            <x v="4"/>
          </reference>
        </references>
      </pivotArea>
    </format>
    <format dxfId="3580">
      <pivotArea dataOnly="0" labelOnly="1" outline="0" fieldPosition="0">
        <references count="2">
          <reference field="0" count="1">
            <x v="89"/>
          </reference>
          <reference field="13" count="1" selected="0">
            <x v="4"/>
          </reference>
        </references>
      </pivotArea>
    </format>
    <format dxfId="3579">
      <pivotArea dataOnly="0" labelOnly="1" outline="0" fieldPosition="0">
        <references count="2">
          <reference field="0" count="1">
            <x v="0"/>
          </reference>
          <reference field="13" count="1" selected="0">
            <x v="5"/>
          </reference>
        </references>
      </pivotArea>
    </format>
    <format dxfId="3578">
      <pivotArea dataOnly="0" labelOnly="1" outline="0" fieldPosition="0">
        <references count="2">
          <reference field="0" count="1">
            <x v="64"/>
          </reference>
          <reference field="13" count="1" selected="0">
            <x v="5"/>
          </reference>
        </references>
      </pivotArea>
    </format>
    <format dxfId="3577">
      <pivotArea dataOnly="0" labelOnly="1" outline="0" fieldPosition="0">
        <references count="2">
          <reference field="0" count="1">
            <x v="10"/>
          </reference>
          <reference field="13" count="1" selected="0">
            <x v="6"/>
          </reference>
        </references>
      </pivotArea>
    </format>
    <format dxfId="3576">
      <pivotArea dataOnly="0" labelOnly="1" outline="0" fieldPosition="0">
        <references count="2">
          <reference field="0" count="1">
            <x v="20"/>
          </reference>
          <reference field="13" count="1" selected="0">
            <x v="6"/>
          </reference>
        </references>
      </pivotArea>
    </format>
    <format dxfId="3575">
      <pivotArea dataOnly="0" labelOnly="1" outline="0" fieldPosition="0">
        <references count="2">
          <reference field="0" count="1">
            <x v="39"/>
          </reference>
          <reference field="13" count="1" selected="0">
            <x v="6"/>
          </reference>
        </references>
      </pivotArea>
    </format>
    <format dxfId="3574">
      <pivotArea dataOnly="0" labelOnly="1" outline="0" fieldPosition="0">
        <references count="2">
          <reference field="0" count="1">
            <x v="45"/>
          </reference>
          <reference field="13" count="1" selected="0">
            <x v="6"/>
          </reference>
        </references>
      </pivotArea>
    </format>
    <format dxfId="3573">
      <pivotArea dataOnly="0" labelOnly="1" outline="0" fieldPosition="0">
        <references count="2">
          <reference field="0" count="1">
            <x v="50"/>
          </reference>
          <reference field="13" count="1" selected="0">
            <x v="6"/>
          </reference>
        </references>
      </pivotArea>
    </format>
    <format dxfId="3572">
      <pivotArea dataOnly="0" labelOnly="1" outline="0" fieldPosition="0">
        <references count="2">
          <reference field="0" count="1">
            <x v="55"/>
          </reference>
          <reference field="13" count="1" selected="0">
            <x v="6"/>
          </reference>
        </references>
      </pivotArea>
    </format>
    <format dxfId="3571">
      <pivotArea dataOnly="0" labelOnly="1" outline="0" fieldPosition="0">
        <references count="2">
          <reference field="0" count="1">
            <x v="56"/>
          </reference>
          <reference field="13" count="1" selected="0">
            <x v="6"/>
          </reference>
        </references>
      </pivotArea>
    </format>
    <format dxfId="3570">
      <pivotArea dataOnly="0" labelOnly="1" outline="0" fieldPosition="0">
        <references count="2">
          <reference field="0" count="1">
            <x v="67"/>
          </reference>
          <reference field="13" count="1" selected="0">
            <x v="6"/>
          </reference>
        </references>
      </pivotArea>
    </format>
    <format dxfId="3569">
      <pivotArea dataOnly="0" labelOnly="1" outline="0" fieldPosition="0">
        <references count="2">
          <reference field="0" count="1">
            <x v="82"/>
          </reference>
          <reference field="13" count="1" selected="0">
            <x v="6"/>
          </reference>
        </references>
      </pivotArea>
    </format>
    <format dxfId="3568">
      <pivotArea dataOnly="0" labelOnly="1" outline="0" fieldPosition="0">
        <references count="2">
          <reference field="0" count="1">
            <x v="0"/>
          </reference>
          <reference field="13" count="1" selected="0">
            <x v="7"/>
          </reference>
        </references>
      </pivotArea>
    </format>
    <format dxfId="3567">
      <pivotArea dataOnly="0" labelOnly="1" outline="0" fieldPosition="0">
        <references count="2">
          <reference field="0" count="1">
            <x v="3"/>
          </reference>
          <reference field="13" count="1" selected="0">
            <x v="7"/>
          </reference>
        </references>
      </pivotArea>
    </format>
    <format dxfId="3566">
      <pivotArea dataOnly="0" labelOnly="1" outline="0" fieldPosition="0">
        <references count="2">
          <reference field="0" count="1">
            <x v="19"/>
          </reference>
          <reference field="13" count="1" selected="0">
            <x v="7"/>
          </reference>
        </references>
      </pivotArea>
    </format>
    <format dxfId="3565">
      <pivotArea dataOnly="0" labelOnly="1" outline="0" fieldPosition="0">
        <references count="2">
          <reference field="0" count="1">
            <x v="21"/>
          </reference>
          <reference field="13" count="1" selected="0">
            <x v="7"/>
          </reference>
        </references>
      </pivotArea>
    </format>
    <format dxfId="3564">
      <pivotArea dataOnly="0" labelOnly="1" outline="0" fieldPosition="0">
        <references count="2">
          <reference field="0" count="1">
            <x v="28"/>
          </reference>
          <reference field="13" count="1" selected="0">
            <x v="7"/>
          </reference>
        </references>
      </pivotArea>
    </format>
    <format dxfId="3563">
      <pivotArea dataOnly="0" labelOnly="1" outline="0" fieldPosition="0">
        <references count="2">
          <reference field="0" count="1">
            <x v="47"/>
          </reference>
          <reference field="13" count="1" selected="0">
            <x v="7"/>
          </reference>
        </references>
      </pivotArea>
    </format>
    <format dxfId="3562">
      <pivotArea dataOnly="0" labelOnly="1" outline="0" fieldPosition="0">
        <references count="2">
          <reference field="0" count="1">
            <x v="64"/>
          </reference>
          <reference field="13" count="1" selected="0">
            <x v="7"/>
          </reference>
        </references>
      </pivotArea>
    </format>
    <format dxfId="3561">
      <pivotArea dataOnly="0" labelOnly="1" outline="0" fieldPosition="0">
        <references count="2">
          <reference field="0" count="1">
            <x v="82"/>
          </reference>
          <reference field="13" count="1" selected="0">
            <x v="7"/>
          </reference>
        </references>
      </pivotArea>
    </format>
    <format dxfId="3560">
      <pivotArea dataOnly="0" labelOnly="1" outline="0" fieldPosition="0">
        <references count="2">
          <reference field="0" count="1">
            <x v="2"/>
          </reference>
          <reference field="13" count="1" selected="0">
            <x v="8"/>
          </reference>
        </references>
      </pivotArea>
    </format>
    <format dxfId="3559">
      <pivotArea dataOnly="0" labelOnly="1" outline="0" fieldPosition="0">
        <references count="2">
          <reference field="0" count="1">
            <x v="3"/>
          </reference>
          <reference field="13" count="1" selected="0">
            <x v="8"/>
          </reference>
        </references>
      </pivotArea>
    </format>
    <format dxfId="3558">
      <pivotArea dataOnly="0" labelOnly="1" outline="0" fieldPosition="0">
        <references count="2">
          <reference field="0" count="1">
            <x v="4"/>
          </reference>
          <reference field="13" count="1" selected="0">
            <x v="8"/>
          </reference>
        </references>
      </pivotArea>
    </format>
    <format dxfId="3557">
      <pivotArea dataOnly="0" labelOnly="1" outline="0" fieldPosition="0">
        <references count="2">
          <reference field="0" count="1">
            <x v="19"/>
          </reference>
          <reference field="13" count="1" selected="0">
            <x v="8"/>
          </reference>
        </references>
      </pivotArea>
    </format>
    <format dxfId="3556">
      <pivotArea dataOnly="0" labelOnly="1" outline="0" fieldPosition="0">
        <references count="2">
          <reference field="0" count="1">
            <x v="21"/>
          </reference>
          <reference field="13" count="1" selected="0">
            <x v="8"/>
          </reference>
        </references>
      </pivotArea>
    </format>
    <format dxfId="3555">
      <pivotArea dataOnly="0" labelOnly="1" outline="0" fieldPosition="0">
        <references count="2">
          <reference field="0" count="1">
            <x v="36"/>
          </reference>
          <reference field="13" count="1" selected="0">
            <x v="8"/>
          </reference>
        </references>
      </pivotArea>
    </format>
    <format dxfId="3554">
      <pivotArea dataOnly="0" labelOnly="1" outline="0" fieldPosition="0">
        <references count="2">
          <reference field="0" count="1">
            <x v="47"/>
          </reference>
          <reference field="13" count="1" selected="0">
            <x v="8"/>
          </reference>
        </references>
      </pivotArea>
    </format>
    <format dxfId="3553">
      <pivotArea dataOnly="0" labelOnly="1" outline="0" fieldPosition="0">
        <references count="2">
          <reference field="0" count="1">
            <x v="60"/>
          </reference>
          <reference field="13" count="1" selected="0">
            <x v="8"/>
          </reference>
        </references>
      </pivotArea>
    </format>
    <format dxfId="3552">
      <pivotArea dataOnly="0" labelOnly="1" outline="0" fieldPosition="0">
        <references count="2">
          <reference field="0" count="1">
            <x v="82"/>
          </reference>
          <reference field="13" count="1" selected="0">
            <x v="8"/>
          </reference>
        </references>
      </pivotArea>
    </format>
    <format dxfId="3551">
      <pivotArea dataOnly="0" labelOnly="1" outline="0" fieldPosition="0">
        <references count="2">
          <reference field="0" count="1">
            <x v="0"/>
          </reference>
          <reference field="13" count="1" selected="0">
            <x v="9"/>
          </reference>
        </references>
      </pivotArea>
    </format>
    <format dxfId="3550">
      <pivotArea dataOnly="0" labelOnly="1" outline="0" fieldPosition="0">
        <references count="2">
          <reference field="0" count="1">
            <x v="9"/>
          </reference>
          <reference field="13" count="1" selected="0">
            <x v="9"/>
          </reference>
        </references>
      </pivotArea>
    </format>
    <format dxfId="3549">
      <pivotArea dataOnly="0" labelOnly="1" outline="0" fieldPosition="0">
        <references count="2">
          <reference field="0" count="1">
            <x v="19"/>
          </reference>
          <reference field="13" count="1" selected="0">
            <x v="9"/>
          </reference>
        </references>
      </pivotArea>
    </format>
    <format dxfId="3548">
      <pivotArea dataOnly="0" labelOnly="1" outline="0" fieldPosition="0">
        <references count="2">
          <reference field="0" count="1">
            <x v="21"/>
          </reference>
          <reference field="13" count="1" selected="0">
            <x v="9"/>
          </reference>
        </references>
      </pivotArea>
    </format>
    <format dxfId="3547">
      <pivotArea dataOnly="0" labelOnly="1" outline="0" fieldPosition="0">
        <references count="2">
          <reference field="0" count="1">
            <x v="28"/>
          </reference>
          <reference field="13" count="1" selected="0">
            <x v="9"/>
          </reference>
        </references>
      </pivotArea>
    </format>
    <format dxfId="3546">
      <pivotArea dataOnly="0" labelOnly="1" outline="0" fieldPosition="0">
        <references count="2">
          <reference field="0" count="1">
            <x v="47"/>
          </reference>
          <reference field="13" count="1" selected="0">
            <x v="9"/>
          </reference>
        </references>
      </pivotArea>
    </format>
    <format dxfId="3545">
      <pivotArea dataOnly="0" labelOnly="1" outline="0" fieldPosition="0">
        <references count="2">
          <reference field="0" count="1">
            <x v="64"/>
          </reference>
          <reference field="13" count="1" selected="0">
            <x v="9"/>
          </reference>
        </references>
      </pivotArea>
    </format>
    <format dxfId="3544">
      <pivotArea dataOnly="0" labelOnly="1" outline="0" fieldPosition="0">
        <references count="2">
          <reference field="0" count="1">
            <x v="82"/>
          </reference>
          <reference field="13" count="1" selected="0">
            <x v="9"/>
          </reference>
        </references>
      </pivotArea>
    </format>
    <format dxfId="3543">
      <pivotArea dataOnly="0" labelOnly="1" outline="0" fieldPosition="0">
        <references count="2">
          <reference field="0" count="1">
            <x v="4"/>
          </reference>
          <reference field="13" count="1" selected="0">
            <x v="10"/>
          </reference>
        </references>
      </pivotArea>
    </format>
    <format dxfId="3542">
      <pivotArea dataOnly="0" labelOnly="1" outline="0" fieldPosition="0">
        <references count="2">
          <reference field="0" count="1">
            <x v="19"/>
          </reference>
          <reference field="13" count="1" selected="0">
            <x v="10"/>
          </reference>
        </references>
      </pivotArea>
    </format>
    <format dxfId="3541">
      <pivotArea dataOnly="0" labelOnly="1" outline="0" fieldPosition="0">
        <references count="2">
          <reference field="0" count="1">
            <x v="21"/>
          </reference>
          <reference field="13" count="1" selected="0">
            <x v="10"/>
          </reference>
        </references>
      </pivotArea>
    </format>
    <format dxfId="3540">
      <pivotArea dataOnly="0" labelOnly="1" outline="0" fieldPosition="0">
        <references count="2">
          <reference field="0" count="1">
            <x v="25"/>
          </reference>
          <reference field="13" count="1" selected="0">
            <x v="10"/>
          </reference>
        </references>
      </pivotArea>
    </format>
    <format dxfId="3539">
      <pivotArea dataOnly="0" labelOnly="1" outline="0" fieldPosition="0">
        <references count="2">
          <reference field="0" count="1">
            <x v="36"/>
          </reference>
          <reference field="13" count="1" selected="0">
            <x v="10"/>
          </reference>
        </references>
      </pivotArea>
    </format>
    <format dxfId="3538">
      <pivotArea dataOnly="0" labelOnly="1" outline="0" fieldPosition="0">
        <references count="2">
          <reference field="0" count="1">
            <x v="47"/>
          </reference>
          <reference field="13" count="1" selected="0">
            <x v="10"/>
          </reference>
        </references>
      </pivotArea>
    </format>
    <format dxfId="3537">
      <pivotArea dataOnly="0" labelOnly="1" outline="0" fieldPosition="0">
        <references count="2">
          <reference field="0" count="1">
            <x v="82"/>
          </reference>
          <reference field="13" count="1" selected="0">
            <x v="10"/>
          </reference>
        </references>
      </pivotArea>
    </format>
    <format dxfId="3536">
      <pivotArea dataOnly="0" labelOnly="1" outline="0" fieldPosition="0">
        <references count="2">
          <reference field="0" count="1">
            <x v="0"/>
          </reference>
          <reference field="13" count="1" selected="0">
            <x v="11"/>
          </reference>
        </references>
      </pivotArea>
    </format>
    <format dxfId="3535">
      <pivotArea dataOnly="0" labelOnly="1" outline="0" fieldPosition="0">
        <references count="2">
          <reference field="0" count="1">
            <x v="13"/>
          </reference>
          <reference field="13" count="1" selected="0">
            <x v="11"/>
          </reference>
        </references>
      </pivotArea>
    </format>
    <format dxfId="3534">
      <pivotArea dataOnly="0" labelOnly="1" outline="0" fieldPosition="0">
        <references count="2">
          <reference field="0" count="1">
            <x v="19"/>
          </reference>
          <reference field="13" count="1" selected="0">
            <x v="11"/>
          </reference>
        </references>
      </pivotArea>
    </format>
    <format dxfId="3533">
      <pivotArea dataOnly="0" labelOnly="1" outline="0" fieldPosition="0">
        <references count="2">
          <reference field="0" count="1">
            <x v="21"/>
          </reference>
          <reference field="13" count="1" selected="0">
            <x v="11"/>
          </reference>
        </references>
      </pivotArea>
    </format>
    <format dxfId="3532">
      <pivotArea dataOnly="0" labelOnly="1" outline="0" fieldPosition="0">
        <references count="2">
          <reference field="0" count="1">
            <x v="28"/>
          </reference>
          <reference field="13" count="1" selected="0">
            <x v="11"/>
          </reference>
        </references>
      </pivotArea>
    </format>
    <format dxfId="3531">
      <pivotArea dataOnly="0" labelOnly="1" outline="0" fieldPosition="0">
        <references count="2">
          <reference field="0" count="1">
            <x v="47"/>
          </reference>
          <reference field="13" count="1" selected="0">
            <x v="11"/>
          </reference>
        </references>
      </pivotArea>
    </format>
    <format dxfId="3530">
      <pivotArea dataOnly="0" labelOnly="1" outline="0" fieldPosition="0">
        <references count="2">
          <reference field="0" count="1">
            <x v="82"/>
          </reference>
          <reference field="13" count="1" selected="0">
            <x v="11"/>
          </reference>
        </references>
      </pivotArea>
    </format>
    <format dxfId="3529">
      <pivotArea dataOnly="0" labelOnly="1" outline="0" fieldPosition="0">
        <references count="2">
          <reference field="0" count="1">
            <x v="0"/>
          </reference>
          <reference field="13" count="1" selected="0">
            <x v="12"/>
          </reference>
        </references>
      </pivotArea>
    </format>
    <format dxfId="3528">
      <pivotArea dataOnly="0" labelOnly="1" outline="0" fieldPosition="0">
        <references count="2">
          <reference field="0" count="1">
            <x v="13"/>
          </reference>
          <reference field="13" count="1" selected="0">
            <x v="12"/>
          </reference>
        </references>
      </pivotArea>
    </format>
    <format dxfId="3527">
      <pivotArea dataOnly="0" labelOnly="1" outline="0" fieldPosition="0">
        <references count="2">
          <reference field="0" count="1">
            <x v="19"/>
          </reference>
          <reference field="13" count="1" selected="0">
            <x v="12"/>
          </reference>
        </references>
      </pivotArea>
    </format>
    <format dxfId="3526">
      <pivotArea dataOnly="0" labelOnly="1" outline="0" fieldPosition="0">
        <references count="2">
          <reference field="0" count="1">
            <x v="21"/>
          </reference>
          <reference field="13" count="1" selected="0">
            <x v="12"/>
          </reference>
        </references>
      </pivotArea>
    </format>
    <format dxfId="3525">
      <pivotArea dataOnly="0" labelOnly="1" outline="0" fieldPosition="0">
        <references count="2">
          <reference field="0" count="1">
            <x v="28"/>
          </reference>
          <reference field="13" count="1" selected="0">
            <x v="12"/>
          </reference>
        </references>
      </pivotArea>
    </format>
    <format dxfId="3524">
      <pivotArea dataOnly="0" labelOnly="1" outline="0" fieldPosition="0">
        <references count="2">
          <reference field="0" count="1">
            <x v="29"/>
          </reference>
          <reference field="13" count="1" selected="0">
            <x v="12"/>
          </reference>
        </references>
      </pivotArea>
    </format>
    <format dxfId="3523">
      <pivotArea dataOnly="0" labelOnly="1" outline="0" fieldPosition="0">
        <references count="2">
          <reference field="0" count="1">
            <x v="47"/>
          </reference>
          <reference field="13" count="1" selected="0">
            <x v="12"/>
          </reference>
        </references>
      </pivotArea>
    </format>
    <format dxfId="3522">
      <pivotArea dataOnly="0" labelOnly="1" outline="0" fieldPosition="0">
        <references count="2">
          <reference field="0" count="1">
            <x v="57"/>
          </reference>
          <reference field="13" count="1" selected="0">
            <x v="12"/>
          </reference>
        </references>
      </pivotArea>
    </format>
    <format dxfId="3521">
      <pivotArea dataOnly="0" labelOnly="1" outline="0" fieldPosition="0">
        <references count="2">
          <reference field="0" count="1">
            <x v="63"/>
          </reference>
          <reference field="13" count="1" selected="0">
            <x v="12"/>
          </reference>
        </references>
      </pivotArea>
    </format>
    <format dxfId="3520">
      <pivotArea dataOnly="0" labelOnly="1" outline="0" fieldPosition="0">
        <references count="2">
          <reference field="0" count="1">
            <x v="82"/>
          </reference>
          <reference field="13" count="1" selected="0">
            <x v="12"/>
          </reference>
        </references>
      </pivotArea>
    </format>
    <format dxfId="3519">
      <pivotArea dataOnly="0" labelOnly="1" outline="0" fieldPosition="0">
        <references count="2">
          <reference field="0" count="1">
            <x v="0"/>
          </reference>
          <reference field="13" count="1" selected="0">
            <x v="13"/>
          </reference>
        </references>
      </pivotArea>
    </format>
    <format dxfId="3518">
      <pivotArea dataOnly="0" labelOnly="1" outline="0" fieldPosition="0">
        <references count="2">
          <reference field="0" count="1">
            <x v="13"/>
          </reference>
          <reference field="13" count="1" selected="0">
            <x v="13"/>
          </reference>
        </references>
      </pivotArea>
    </format>
    <format dxfId="3517">
      <pivotArea dataOnly="0" labelOnly="1" outline="0" fieldPosition="0">
        <references count="2">
          <reference field="0" count="1">
            <x v="19"/>
          </reference>
          <reference field="13" count="1" selected="0">
            <x v="13"/>
          </reference>
        </references>
      </pivotArea>
    </format>
    <format dxfId="3516">
      <pivotArea dataOnly="0" labelOnly="1" outline="0" fieldPosition="0">
        <references count="2">
          <reference field="0" count="1">
            <x v="21"/>
          </reference>
          <reference field="13" count="1" selected="0">
            <x v="13"/>
          </reference>
        </references>
      </pivotArea>
    </format>
    <format dxfId="3515">
      <pivotArea dataOnly="0" labelOnly="1" outline="0" fieldPosition="0">
        <references count="2">
          <reference field="0" count="1">
            <x v="24"/>
          </reference>
          <reference field="13" count="1" selected="0">
            <x v="13"/>
          </reference>
        </references>
      </pivotArea>
    </format>
    <format dxfId="3514">
      <pivotArea dataOnly="0" labelOnly="1" outline="0" fieldPosition="0">
        <references count="2">
          <reference field="0" count="1">
            <x v="47"/>
          </reference>
          <reference field="13" count="1" selected="0">
            <x v="13"/>
          </reference>
        </references>
      </pivotArea>
    </format>
    <format dxfId="3513">
      <pivotArea dataOnly="0" labelOnly="1" outline="0" fieldPosition="0">
        <references count="2">
          <reference field="0" count="1">
            <x v="64"/>
          </reference>
          <reference field="13" count="1" selected="0">
            <x v="13"/>
          </reference>
        </references>
      </pivotArea>
    </format>
    <format dxfId="3512">
      <pivotArea dataOnly="0" labelOnly="1" outline="0" fieldPosition="0">
        <references count="2">
          <reference field="0" count="1">
            <x v="82"/>
          </reference>
          <reference field="13" count="1" selected="0">
            <x v="13"/>
          </reference>
        </references>
      </pivotArea>
    </format>
    <format dxfId="3511">
      <pivotArea dataOnly="0" labelOnly="1" outline="0" fieldPosition="0">
        <references count="2">
          <reference field="0" count="1">
            <x v="0"/>
          </reference>
          <reference field="13" count="1" selected="0">
            <x v="14"/>
          </reference>
        </references>
      </pivotArea>
    </format>
    <format dxfId="3510">
      <pivotArea dataOnly="0" labelOnly="1" outline="0" fieldPosition="0">
        <references count="2">
          <reference field="0" count="1">
            <x v="2"/>
          </reference>
          <reference field="13" count="1" selected="0">
            <x v="14"/>
          </reference>
        </references>
      </pivotArea>
    </format>
    <format dxfId="3509">
      <pivotArea dataOnly="0" labelOnly="1" outline="0" fieldPosition="0">
        <references count="2">
          <reference field="0" count="1">
            <x v="3"/>
          </reference>
          <reference field="13" count="1" selected="0">
            <x v="14"/>
          </reference>
        </references>
      </pivotArea>
    </format>
    <format dxfId="3508">
      <pivotArea dataOnly="0" labelOnly="1" outline="0" fieldPosition="0">
        <references count="2">
          <reference field="0" count="1">
            <x v="19"/>
          </reference>
          <reference field="13" count="1" selected="0">
            <x v="14"/>
          </reference>
        </references>
      </pivotArea>
    </format>
    <format dxfId="3507">
      <pivotArea dataOnly="0" labelOnly="1" outline="0" fieldPosition="0">
        <references count="2">
          <reference field="0" count="1">
            <x v="21"/>
          </reference>
          <reference field="13" count="1" selected="0">
            <x v="14"/>
          </reference>
        </references>
      </pivotArea>
    </format>
    <format dxfId="3506">
      <pivotArea dataOnly="0" labelOnly="1" outline="0" fieldPosition="0">
        <references count="2">
          <reference field="0" count="1">
            <x v="28"/>
          </reference>
          <reference field="13" count="1" selected="0">
            <x v="14"/>
          </reference>
        </references>
      </pivotArea>
    </format>
    <format dxfId="3505">
      <pivotArea dataOnly="0" labelOnly="1" outline="0" fieldPosition="0">
        <references count="2">
          <reference field="0" count="1">
            <x v="47"/>
          </reference>
          <reference field="13" count="1" selected="0">
            <x v="14"/>
          </reference>
        </references>
      </pivotArea>
    </format>
    <format dxfId="3504">
      <pivotArea dataOnly="0" labelOnly="1" outline="0" fieldPosition="0">
        <references count="2">
          <reference field="0" count="1">
            <x v="60"/>
          </reference>
          <reference field="13" count="1" selected="0">
            <x v="14"/>
          </reference>
        </references>
      </pivotArea>
    </format>
    <format dxfId="3503">
      <pivotArea dataOnly="0" labelOnly="1" outline="0" fieldPosition="0">
        <references count="2">
          <reference field="0" count="1">
            <x v="64"/>
          </reference>
          <reference field="13" count="1" selected="0">
            <x v="14"/>
          </reference>
        </references>
      </pivotArea>
    </format>
    <format dxfId="3502">
      <pivotArea dataOnly="0" labelOnly="1" outline="0" fieldPosition="0">
        <references count="2">
          <reference field="0" count="1">
            <x v="82"/>
          </reference>
          <reference field="13" count="1" selected="0">
            <x v="14"/>
          </reference>
        </references>
      </pivotArea>
    </format>
    <format dxfId="3501">
      <pivotArea dataOnly="0" labelOnly="1" outline="0" fieldPosition="0">
        <references count="2">
          <reference field="0" count="1">
            <x v="4"/>
          </reference>
          <reference field="13" count="1" selected="0">
            <x v="15"/>
          </reference>
        </references>
      </pivotArea>
    </format>
    <format dxfId="3500">
      <pivotArea dataOnly="0" labelOnly="1" outline="0" fieldPosition="0">
        <references count="2">
          <reference field="0" count="1">
            <x v="5"/>
          </reference>
          <reference field="13" count="1" selected="0">
            <x v="15"/>
          </reference>
        </references>
      </pivotArea>
    </format>
    <format dxfId="3499">
      <pivotArea dataOnly="0" labelOnly="1" outline="0" fieldPosition="0">
        <references count="2">
          <reference field="0" count="1">
            <x v="11"/>
          </reference>
          <reference field="13" count="1" selected="0">
            <x v="15"/>
          </reference>
        </references>
      </pivotArea>
    </format>
    <format dxfId="3498">
      <pivotArea dataOnly="0" labelOnly="1" outline="0" fieldPosition="0">
        <references count="2">
          <reference field="0" count="1">
            <x v="13"/>
          </reference>
          <reference field="13" count="1" selected="0">
            <x v="15"/>
          </reference>
        </references>
      </pivotArea>
    </format>
    <format dxfId="3497">
      <pivotArea dataOnly="0" labelOnly="1" outline="0" fieldPosition="0">
        <references count="2">
          <reference field="0" count="1">
            <x v="15"/>
          </reference>
          <reference field="13" count="1" selected="0">
            <x v="15"/>
          </reference>
        </references>
      </pivotArea>
    </format>
    <format dxfId="3496">
      <pivotArea dataOnly="0" labelOnly="1" outline="0" fieldPosition="0">
        <references count="2">
          <reference field="0" count="1">
            <x v="16"/>
          </reference>
          <reference field="13" count="1" selected="0">
            <x v="15"/>
          </reference>
        </references>
      </pivotArea>
    </format>
    <format dxfId="3495">
      <pivotArea dataOnly="0" labelOnly="1" outline="0" fieldPosition="0">
        <references count="2">
          <reference field="0" count="1">
            <x v="18"/>
          </reference>
          <reference field="13" count="1" selected="0">
            <x v="15"/>
          </reference>
        </references>
      </pivotArea>
    </format>
    <format dxfId="3494">
      <pivotArea dataOnly="0" labelOnly="1" outline="0" fieldPosition="0">
        <references count="2">
          <reference field="0" count="1">
            <x v="19"/>
          </reference>
          <reference field="13" count="1" selected="0">
            <x v="15"/>
          </reference>
        </references>
      </pivotArea>
    </format>
    <format dxfId="3493">
      <pivotArea dataOnly="0" labelOnly="1" outline="0" fieldPosition="0">
        <references count="2">
          <reference field="0" count="1">
            <x v="21"/>
          </reference>
          <reference field="13" count="1" selected="0">
            <x v="15"/>
          </reference>
        </references>
      </pivotArea>
    </format>
    <format dxfId="3492">
      <pivotArea dataOnly="0" labelOnly="1" outline="0" fieldPosition="0">
        <references count="2">
          <reference field="0" count="1">
            <x v="22"/>
          </reference>
          <reference field="13" count="1" selected="0">
            <x v="15"/>
          </reference>
        </references>
      </pivotArea>
    </format>
    <format dxfId="3491">
      <pivotArea dataOnly="0" labelOnly="1" outline="0" fieldPosition="0">
        <references count="2">
          <reference field="0" count="1">
            <x v="29"/>
          </reference>
          <reference field="13" count="1" selected="0">
            <x v="15"/>
          </reference>
        </references>
      </pivotArea>
    </format>
    <format dxfId="3490">
      <pivotArea dataOnly="0" labelOnly="1" outline="0" fieldPosition="0">
        <references count="2">
          <reference field="0" count="1">
            <x v="31"/>
          </reference>
          <reference field="13" count="1" selected="0">
            <x v="15"/>
          </reference>
        </references>
      </pivotArea>
    </format>
    <format dxfId="3489">
      <pivotArea dataOnly="0" labelOnly="1" outline="0" fieldPosition="0">
        <references count="2">
          <reference field="0" count="1">
            <x v="46"/>
          </reference>
          <reference field="13" count="1" selected="0">
            <x v="15"/>
          </reference>
        </references>
      </pivotArea>
    </format>
    <format dxfId="3488">
      <pivotArea dataOnly="0" labelOnly="1" outline="0" fieldPosition="0">
        <references count="2">
          <reference field="0" count="1">
            <x v="47"/>
          </reference>
          <reference field="13" count="1" selected="0">
            <x v="15"/>
          </reference>
        </references>
      </pivotArea>
    </format>
    <format dxfId="3487">
      <pivotArea dataOnly="0" labelOnly="1" outline="0" fieldPosition="0">
        <references count="2">
          <reference field="0" count="1">
            <x v="57"/>
          </reference>
          <reference field="13" count="1" selected="0">
            <x v="15"/>
          </reference>
        </references>
      </pivotArea>
    </format>
    <format dxfId="3486">
      <pivotArea dataOnly="0" labelOnly="1" outline="0" fieldPosition="0">
        <references count="2">
          <reference field="0" count="1">
            <x v="59"/>
          </reference>
          <reference field="13" count="1" selected="0">
            <x v="15"/>
          </reference>
        </references>
      </pivotArea>
    </format>
    <format dxfId="3485">
      <pivotArea dataOnly="0" labelOnly="1" outline="0" fieldPosition="0">
        <references count="2">
          <reference field="0" count="1">
            <x v="60"/>
          </reference>
          <reference field="13" count="1" selected="0">
            <x v="15"/>
          </reference>
        </references>
      </pivotArea>
    </format>
    <format dxfId="3484">
      <pivotArea dataOnly="0" labelOnly="1" outline="0" fieldPosition="0">
        <references count="2">
          <reference field="0" count="1">
            <x v="63"/>
          </reference>
          <reference field="13" count="1" selected="0">
            <x v="15"/>
          </reference>
        </references>
      </pivotArea>
    </format>
    <format dxfId="3483">
      <pivotArea dataOnly="0" labelOnly="1" outline="0" fieldPosition="0">
        <references count="2">
          <reference field="0" count="1">
            <x v="64"/>
          </reference>
          <reference field="13" count="1" selected="0">
            <x v="15"/>
          </reference>
        </references>
      </pivotArea>
    </format>
    <format dxfId="3482">
      <pivotArea dataOnly="0" labelOnly="1" outline="0" fieldPosition="0">
        <references count="2">
          <reference field="0" count="1">
            <x v="71"/>
          </reference>
          <reference field="13" count="1" selected="0">
            <x v="15"/>
          </reference>
        </references>
      </pivotArea>
    </format>
    <format dxfId="3481">
      <pivotArea dataOnly="0" labelOnly="1" outline="0" fieldPosition="0">
        <references count="2">
          <reference field="0" count="1">
            <x v="73"/>
          </reference>
          <reference field="13" count="1" selected="0">
            <x v="15"/>
          </reference>
        </references>
      </pivotArea>
    </format>
    <format dxfId="3480">
      <pivotArea dataOnly="0" labelOnly="1" outline="0" fieldPosition="0">
        <references count="2">
          <reference field="0" count="1">
            <x v="78"/>
          </reference>
          <reference field="13" count="1" selected="0">
            <x v="15"/>
          </reference>
        </references>
      </pivotArea>
    </format>
    <format dxfId="3479">
      <pivotArea dataOnly="0" labelOnly="1" outline="0" fieldPosition="0">
        <references count="2">
          <reference field="0" count="1">
            <x v="80"/>
          </reference>
          <reference field="13" count="1" selected="0">
            <x v="15"/>
          </reference>
        </references>
      </pivotArea>
    </format>
    <format dxfId="3478">
      <pivotArea dataOnly="0" labelOnly="1" outline="0" fieldPosition="0">
        <references count="2">
          <reference field="0" count="1">
            <x v="82"/>
          </reference>
          <reference field="13" count="1" selected="0">
            <x v="15"/>
          </reference>
        </references>
      </pivotArea>
    </format>
    <format dxfId="3477">
      <pivotArea dataOnly="0" labelOnly="1" outline="0" fieldPosition="0">
        <references count="2">
          <reference field="0" count="1">
            <x v="83"/>
          </reference>
          <reference field="13" count="1" selected="0">
            <x v="15"/>
          </reference>
        </references>
      </pivotArea>
    </format>
    <format dxfId="3476">
      <pivotArea dataOnly="0" labelOnly="1" outline="0" fieldPosition="0">
        <references count="2">
          <reference field="0" count="1">
            <x v="84"/>
          </reference>
          <reference field="13" count="1" selected="0">
            <x v="15"/>
          </reference>
        </references>
      </pivotArea>
    </format>
    <format dxfId="3475">
      <pivotArea dataOnly="0" labelOnly="1" outline="0" fieldPosition="0">
        <references count="2">
          <reference field="0" count="1">
            <x v="87"/>
          </reference>
          <reference field="13" count="1" selected="0">
            <x v="15"/>
          </reference>
        </references>
      </pivotArea>
    </format>
    <format dxfId="3474">
      <pivotArea dataOnly="0" labelOnly="1" outline="0" fieldPosition="0">
        <references count="2">
          <reference field="0" count="1">
            <x v="89"/>
          </reference>
          <reference field="13" count="1" selected="0">
            <x v="15"/>
          </reference>
        </references>
      </pivotArea>
    </format>
    <format dxfId="3473">
      <pivotArea dataOnly="0" labelOnly="1" outline="0" fieldPosition="0">
        <references count="2">
          <reference field="0" count="1">
            <x v="4"/>
          </reference>
          <reference field="13" count="1" selected="0">
            <x v="16"/>
          </reference>
        </references>
      </pivotArea>
    </format>
    <format dxfId="3472">
      <pivotArea dataOnly="0" labelOnly="1" outline="0" fieldPosition="0">
        <references count="2">
          <reference field="0" count="1">
            <x v="19"/>
          </reference>
          <reference field="13" count="1" selected="0">
            <x v="16"/>
          </reference>
        </references>
      </pivotArea>
    </format>
    <format dxfId="3471">
      <pivotArea dataOnly="0" labelOnly="1" outline="0" fieldPosition="0">
        <references count="2">
          <reference field="0" count="1">
            <x v="21"/>
          </reference>
          <reference field="13" count="1" selected="0">
            <x v="16"/>
          </reference>
        </references>
      </pivotArea>
    </format>
    <format dxfId="3470">
      <pivotArea dataOnly="0" labelOnly="1" outline="0" fieldPosition="0">
        <references count="2">
          <reference field="0" count="1">
            <x v="41"/>
          </reference>
          <reference field="13" count="1" selected="0">
            <x v="16"/>
          </reference>
        </references>
      </pivotArea>
    </format>
    <format dxfId="3469">
      <pivotArea dataOnly="0" labelOnly="1" outline="0" fieldPosition="0">
        <references count="2">
          <reference field="0" count="1">
            <x v="10"/>
          </reference>
          <reference field="13" count="1" selected="0">
            <x v="17"/>
          </reference>
        </references>
      </pivotArea>
    </format>
    <format dxfId="3468">
      <pivotArea dataOnly="0" labelOnly="1" outline="0" fieldPosition="0">
        <references count="2">
          <reference field="0" count="1">
            <x v="20"/>
          </reference>
          <reference field="13" count="1" selected="0">
            <x v="17"/>
          </reference>
        </references>
      </pivotArea>
    </format>
    <format dxfId="3467">
      <pivotArea dataOnly="0" labelOnly="1" outline="0" fieldPosition="0">
        <references count="2">
          <reference field="0" count="1">
            <x v="32"/>
          </reference>
          <reference field="13" count="1" selected="0">
            <x v="17"/>
          </reference>
        </references>
      </pivotArea>
    </format>
    <format dxfId="3466">
      <pivotArea dataOnly="0" labelOnly="1" outline="0" fieldPosition="0">
        <references count="2">
          <reference field="0" count="1">
            <x v="50"/>
          </reference>
          <reference field="13" count="1" selected="0">
            <x v="17"/>
          </reference>
        </references>
      </pivotArea>
    </format>
    <format dxfId="3465">
      <pivotArea dataOnly="0" labelOnly="1" outline="0" fieldPosition="0">
        <references count="2">
          <reference field="0" count="1">
            <x v="55"/>
          </reference>
          <reference field="13" count="1" selected="0">
            <x v="17"/>
          </reference>
        </references>
      </pivotArea>
    </format>
    <format dxfId="3464">
      <pivotArea dataOnly="0" labelOnly="1" outline="0" fieldPosition="0">
        <references count="2">
          <reference field="0" count="1">
            <x v="56"/>
          </reference>
          <reference field="13" count="1" selected="0">
            <x v="17"/>
          </reference>
        </references>
      </pivotArea>
    </format>
    <format dxfId="3463">
      <pivotArea dataOnly="0" labelOnly="1" outline="0" fieldPosition="0">
        <references count="2">
          <reference field="0" count="1">
            <x v="69"/>
          </reference>
          <reference field="13" count="1" selected="0">
            <x v="17"/>
          </reference>
        </references>
      </pivotArea>
    </format>
    <format dxfId="3462">
      <pivotArea dataOnly="0" labelOnly="1" outline="0" fieldPosition="0">
        <references count="2">
          <reference field="0" count="1">
            <x v="76"/>
          </reference>
          <reference field="13" count="1" selected="0">
            <x v="17"/>
          </reference>
        </references>
      </pivotArea>
    </format>
    <format dxfId="3461">
      <pivotArea dataOnly="0" labelOnly="1" outline="0" fieldPosition="0">
        <references count="2">
          <reference field="0" count="1">
            <x v="82"/>
          </reference>
          <reference field="13" count="1" selected="0">
            <x v="17"/>
          </reference>
        </references>
      </pivotArea>
    </format>
    <format dxfId="3460">
      <pivotArea dataOnly="0" labelOnly="1" outline="0" fieldPosition="0">
        <references count="2">
          <reference field="0" count="1">
            <x v="1"/>
          </reference>
          <reference field="13" count="1" selected="0">
            <x v="18"/>
          </reference>
        </references>
      </pivotArea>
    </format>
    <format dxfId="3459">
      <pivotArea dataOnly="0" labelOnly="1" outline="0" fieldPosition="0">
        <references count="2">
          <reference field="0" count="1">
            <x v="4"/>
          </reference>
          <reference field="13" count="1" selected="0">
            <x v="18"/>
          </reference>
        </references>
      </pivotArea>
    </format>
    <format dxfId="3458">
      <pivotArea dataOnly="0" labelOnly="1" outline="0" fieldPosition="0">
        <references count="2">
          <reference field="0" count="1">
            <x v="10"/>
          </reference>
          <reference field="13" count="1" selected="0">
            <x v="18"/>
          </reference>
        </references>
      </pivotArea>
    </format>
    <format dxfId="3457">
      <pivotArea dataOnly="0" labelOnly="1" outline="0" fieldPosition="0">
        <references count="2">
          <reference field="0" count="1">
            <x v="15"/>
          </reference>
          <reference field="13" count="1" selected="0">
            <x v="18"/>
          </reference>
        </references>
      </pivotArea>
    </format>
    <format dxfId="3456">
      <pivotArea dataOnly="0" labelOnly="1" outline="0" fieldPosition="0">
        <references count="2">
          <reference field="0" count="1">
            <x v="20"/>
          </reference>
          <reference field="13" count="1" selected="0">
            <x v="18"/>
          </reference>
        </references>
      </pivotArea>
    </format>
    <format dxfId="3455">
      <pivotArea dataOnly="0" labelOnly="1" outline="0" fieldPosition="0">
        <references count="2">
          <reference field="0" count="1">
            <x v="21"/>
          </reference>
          <reference field="13" count="1" selected="0">
            <x v="18"/>
          </reference>
        </references>
      </pivotArea>
    </format>
    <format dxfId="3454">
      <pivotArea dataOnly="0" labelOnly="1" outline="0" fieldPosition="0">
        <references count="2">
          <reference field="0" count="1">
            <x v="23"/>
          </reference>
          <reference field="13" count="1" selected="0">
            <x v="18"/>
          </reference>
        </references>
      </pivotArea>
    </format>
    <format dxfId="3453">
      <pivotArea dataOnly="0" labelOnly="1" outline="0" fieldPosition="0">
        <references count="2">
          <reference field="0" count="1">
            <x v="45"/>
          </reference>
          <reference field="13" count="1" selected="0">
            <x v="18"/>
          </reference>
        </references>
      </pivotArea>
    </format>
    <format dxfId="3452">
      <pivotArea dataOnly="0" labelOnly="1" outline="0" fieldPosition="0">
        <references count="2">
          <reference field="0" count="1">
            <x v="47"/>
          </reference>
          <reference field="13" count="1" selected="0">
            <x v="18"/>
          </reference>
        </references>
      </pivotArea>
    </format>
    <format dxfId="3451">
      <pivotArea dataOnly="0" labelOnly="1" outline="0" fieldPosition="0">
        <references count="2">
          <reference field="0" count="1">
            <x v="50"/>
          </reference>
          <reference field="13" count="1" selected="0">
            <x v="18"/>
          </reference>
        </references>
      </pivotArea>
    </format>
    <format dxfId="3450">
      <pivotArea dataOnly="0" labelOnly="1" outline="0" fieldPosition="0">
        <references count="2">
          <reference field="0" count="1">
            <x v="55"/>
          </reference>
          <reference field="13" count="1" selected="0">
            <x v="18"/>
          </reference>
        </references>
      </pivotArea>
    </format>
    <format dxfId="3449">
      <pivotArea dataOnly="0" labelOnly="1" outline="0" fieldPosition="0">
        <references count="2">
          <reference field="0" count="1">
            <x v="56"/>
          </reference>
          <reference field="13" count="1" selected="0">
            <x v="18"/>
          </reference>
        </references>
      </pivotArea>
    </format>
    <format dxfId="3448">
      <pivotArea dataOnly="0" labelOnly="1" outline="0" fieldPosition="0">
        <references count="2">
          <reference field="0" count="1">
            <x v="57"/>
          </reference>
          <reference field="13" count="1" selected="0">
            <x v="18"/>
          </reference>
        </references>
      </pivotArea>
    </format>
    <format dxfId="3447">
      <pivotArea dataOnly="0" labelOnly="1" outline="0" fieldPosition="0">
        <references count="2">
          <reference field="0" count="1">
            <x v="59"/>
          </reference>
          <reference field="13" count="1" selected="0">
            <x v="18"/>
          </reference>
        </references>
      </pivotArea>
    </format>
    <format dxfId="3446">
      <pivotArea dataOnly="0" labelOnly="1" outline="0" fieldPosition="0">
        <references count="2">
          <reference field="0" count="1">
            <x v="61"/>
          </reference>
          <reference field="13" count="1" selected="0">
            <x v="18"/>
          </reference>
        </references>
      </pivotArea>
    </format>
    <format dxfId="3445">
      <pivotArea dataOnly="0" labelOnly="1" outline="0" fieldPosition="0">
        <references count="2">
          <reference field="0" count="1">
            <x v="63"/>
          </reference>
          <reference field="13" count="1" selected="0">
            <x v="18"/>
          </reference>
        </references>
      </pivotArea>
    </format>
    <format dxfId="3444">
      <pivotArea dataOnly="0" labelOnly="1" outline="0" fieldPosition="0">
        <references count="2">
          <reference field="0" count="1">
            <x v="64"/>
          </reference>
          <reference field="13" count="1" selected="0">
            <x v="18"/>
          </reference>
        </references>
      </pivotArea>
    </format>
    <format dxfId="3443">
      <pivotArea dataOnly="0" labelOnly="1" outline="0" fieldPosition="0">
        <references count="2">
          <reference field="0" count="1">
            <x v="65"/>
          </reference>
          <reference field="13" count="1" selected="0">
            <x v="18"/>
          </reference>
        </references>
      </pivotArea>
    </format>
    <format dxfId="3442">
      <pivotArea dataOnly="0" labelOnly="1" outline="0" fieldPosition="0">
        <references count="2">
          <reference field="0" count="1">
            <x v="76"/>
          </reference>
          <reference field="13" count="1" selected="0">
            <x v="18"/>
          </reference>
        </references>
      </pivotArea>
    </format>
    <format dxfId="3441">
      <pivotArea dataOnly="0" labelOnly="1" outline="0" fieldPosition="0">
        <references count="2">
          <reference field="0" count="1">
            <x v="78"/>
          </reference>
          <reference field="13" count="1" selected="0">
            <x v="18"/>
          </reference>
        </references>
      </pivotArea>
    </format>
    <format dxfId="3440">
      <pivotArea dataOnly="0" labelOnly="1" outline="0" fieldPosition="0">
        <references count="2">
          <reference field="0" count="1">
            <x v="82"/>
          </reference>
          <reference field="13" count="1" selected="0">
            <x v="18"/>
          </reference>
        </references>
      </pivotArea>
    </format>
    <format dxfId="3439">
      <pivotArea dataOnly="0" labelOnly="1" outline="0" fieldPosition="0">
        <references count="2">
          <reference field="0" count="1">
            <x v="83"/>
          </reference>
          <reference field="13" count="1" selected="0">
            <x v="18"/>
          </reference>
        </references>
      </pivotArea>
    </format>
    <format dxfId="3438">
      <pivotArea dataOnly="0" labelOnly="1" outline="0" fieldPosition="0">
        <references count="2">
          <reference field="0" count="1">
            <x v="84"/>
          </reference>
          <reference field="13" count="1" selected="0">
            <x v="18"/>
          </reference>
        </references>
      </pivotArea>
    </format>
    <format dxfId="3437">
      <pivotArea dataOnly="0" labelOnly="1" outline="0" fieldPosition="0">
        <references count="2">
          <reference field="0" count="1">
            <x v="1"/>
          </reference>
          <reference field="13" count="1" selected="0">
            <x v="19"/>
          </reference>
        </references>
      </pivotArea>
    </format>
    <format dxfId="3436">
      <pivotArea dataOnly="0" labelOnly="1" outline="0" fieldPosition="0">
        <references count="2">
          <reference field="0" count="1">
            <x v="4"/>
          </reference>
          <reference field="13" count="1" selected="0">
            <x v="19"/>
          </reference>
        </references>
      </pivotArea>
    </format>
    <format dxfId="3435">
      <pivotArea dataOnly="0" labelOnly="1" outline="0" fieldPosition="0">
        <references count="2">
          <reference field="0" count="1">
            <x v="10"/>
          </reference>
          <reference field="13" count="1" selected="0">
            <x v="19"/>
          </reference>
        </references>
      </pivotArea>
    </format>
    <format dxfId="3434">
      <pivotArea dataOnly="0" labelOnly="1" outline="0" fieldPosition="0">
        <references count="2">
          <reference field="0" count="1">
            <x v="15"/>
          </reference>
          <reference field="13" count="1" selected="0">
            <x v="19"/>
          </reference>
        </references>
      </pivotArea>
    </format>
    <format dxfId="3433">
      <pivotArea dataOnly="0" labelOnly="1" outline="0" fieldPosition="0">
        <references count="2">
          <reference field="0" count="1">
            <x v="20"/>
          </reference>
          <reference field="13" count="1" selected="0">
            <x v="19"/>
          </reference>
        </references>
      </pivotArea>
    </format>
    <format dxfId="3432">
      <pivotArea dataOnly="0" labelOnly="1" outline="0" fieldPosition="0">
        <references count="2">
          <reference field="0" count="1">
            <x v="21"/>
          </reference>
          <reference field="13" count="1" selected="0">
            <x v="19"/>
          </reference>
        </references>
      </pivotArea>
    </format>
    <format dxfId="3431">
      <pivotArea dataOnly="0" labelOnly="1" outline="0" fieldPosition="0">
        <references count="2">
          <reference field="0" count="1">
            <x v="32"/>
          </reference>
          <reference field="13" count="1" selected="0">
            <x v="19"/>
          </reference>
        </references>
      </pivotArea>
    </format>
    <format dxfId="3430">
      <pivotArea dataOnly="0" labelOnly="1" outline="0" fieldPosition="0">
        <references count="2">
          <reference field="0" count="1">
            <x v="43"/>
          </reference>
          <reference field="13" count="1" selected="0">
            <x v="19"/>
          </reference>
        </references>
      </pivotArea>
    </format>
    <format dxfId="3429">
      <pivotArea dataOnly="0" labelOnly="1" outline="0" fieldPosition="0">
        <references count="2">
          <reference field="0" count="1">
            <x v="50"/>
          </reference>
          <reference field="13" count="1" selected="0">
            <x v="19"/>
          </reference>
        </references>
      </pivotArea>
    </format>
    <format dxfId="3428">
      <pivotArea dataOnly="0" labelOnly="1" outline="0" fieldPosition="0">
        <references count="2">
          <reference field="0" count="1">
            <x v="55"/>
          </reference>
          <reference field="13" count="1" selected="0">
            <x v="19"/>
          </reference>
        </references>
      </pivotArea>
    </format>
    <format dxfId="3427">
      <pivotArea dataOnly="0" labelOnly="1" outline="0" fieldPosition="0">
        <references count="2">
          <reference field="0" count="1">
            <x v="56"/>
          </reference>
          <reference field="13" count="1" selected="0">
            <x v="19"/>
          </reference>
        </references>
      </pivotArea>
    </format>
    <format dxfId="3426">
      <pivotArea dataOnly="0" labelOnly="1" outline="0" fieldPosition="0">
        <references count="2">
          <reference field="0" count="1">
            <x v="65"/>
          </reference>
          <reference field="13" count="1" selected="0">
            <x v="19"/>
          </reference>
        </references>
      </pivotArea>
    </format>
    <format dxfId="3425">
      <pivotArea dataOnly="0" labelOnly="1" outline="0" fieldPosition="0">
        <references count="2">
          <reference field="0" count="1">
            <x v="69"/>
          </reference>
          <reference field="13" count="1" selected="0">
            <x v="19"/>
          </reference>
        </references>
      </pivotArea>
    </format>
    <format dxfId="3424">
      <pivotArea dataOnly="0" labelOnly="1" outline="0" fieldPosition="0">
        <references count="2">
          <reference field="0" count="1">
            <x v="76"/>
          </reference>
          <reference field="13" count="1" selected="0">
            <x v="19"/>
          </reference>
        </references>
      </pivotArea>
    </format>
    <format dxfId="3423">
      <pivotArea dataOnly="0" labelOnly="1" outline="0" fieldPosition="0">
        <references count="2">
          <reference field="0" count="1">
            <x v="78"/>
          </reference>
          <reference field="13" count="1" selected="0">
            <x v="19"/>
          </reference>
        </references>
      </pivotArea>
    </format>
    <format dxfId="3422">
      <pivotArea dataOnly="0" labelOnly="1" outline="0" fieldPosition="0">
        <references count="2">
          <reference field="0" count="1">
            <x v="21"/>
          </reference>
          <reference field="13" count="1" selected="0">
            <x v="20"/>
          </reference>
        </references>
      </pivotArea>
    </format>
    <format dxfId="3421">
      <pivotArea dataOnly="0" labelOnly="1" outline="0" fieldPosition="0">
        <references count="2">
          <reference field="0" count="1">
            <x v="1"/>
          </reference>
          <reference field="13" count="1" selected="0">
            <x v="21"/>
          </reference>
        </references>
      </pivotArea>
    </format>
    <format dxfId="3420">
      <pivotArea dataOnly="0" labelOnly="1" outline="0" fieldPosition="0">
        <references count="2">
          <reference field="0" count="1">
            <x v="4"/>
          </reference>
          <reference field="13" count="1" selected="0">
            <x v="21"/>
          </reference>
        </references>
      </pivotArea>
    </format>
    <format dxfId="3419">
      <pivotArea dataOnly="0" labelOnly="1" outline="0" fieldPosition="0">
        <references count="2">
          <reference field="0" count="1">
            <x v="19"/>
          </reference>
          <reference field="13" count="1" selected="0">
            <x v="21"/>
          </reference>
        </references>
      </pivotArea>
    </format>
    <format dxfId="3418">
      <pivotArea dataOnly="0" labelOnly="1" outline="0" fieldPosition="0">
        <references count="2">
          <reference field="0" count="1">
            <x v="21"/>
          </reference>
          <reference field="13" count="1" selected="0">
            <x v="21"/>
          </reference>
        </references>
      </pivotArea>
    </format>
    <format dxfId="3417">
      <pivotArea dataOnly="0" labelOnly="1" outline="0" fieldPosition="0">
        <references count="2">
          <reference field="0" count="1">
            <x v="29"/>
          </reference>
          <reference field="13" count="1" selected="0">
            <x v="21"/>
          </reference>
        </references>
      </pivotArea>
    </format>
    <format dxfId="3416">
      <pivotArea dataOnly="0" labelOnly="1" outline="0" fieldPosition="0">
        <references count="2">
          <reference field="0" count="1">
            <x v="47"/>
          </reference>
          <reference field="13" count="1" selected="0">
            <x v="21"/>
          </reference>
        </references>
      </pivotArea>
    </format>
    <format dxfId="3415">
      <pivotArea dataOnly="0" labelOnly="1" outline="0" fieldPosition="0">
        <references count="2">
          <reference field="0" count="1">
            <x v="57"/>
          </reference>
          <reference field="13" count="1" selected="0">
            <x v="21"/>
          </reference>
        </references>
      </pivotArea>
    </format>
    <format dxfId="3414">
      <pivotArea dataOnly="0" labelOnly="1" outline="0" fieldPosition="0">
        <references count="2">
          <reference field="0" count="1">
            <x v="63"/>
          </reference>
          <reference field="13" count="1" selected="0">
            <x v="21"/>
          </reference>
        </references>
      </pivotArea>
    </format>
    <format dxfId="3413">
      <pivotArea dataOnly="0" labelOnly="1" outline="0" fieldPosition="0">
        <references count="2">
          <reference field="0" count="1">
            <x v="71"/>
          </reference>
          <reference field="13" count="1" selected="0">
            <x v="21"/>
          </reference>
        </references>
      </pivotArea>
    </format>
    <format dxfId="3412">
      <pivotArea dataOnly="0" labelOnly="1" outline="0" fieldPosition="0">
        <references count="2">
          <reference field="0" count="1">
            <x v="82"/>
          </reference>
          <reference field="13" count="1" selected="0">
            <x v="21"/>
          </reference>
        </references>
      </pivotArea>
    </format>
    <format dxfId="3411">
      <pivotArea dataOnly="0" labelOnly="1" outline="0" fieldPosition="0">
        <references count="2">
          <reference field="0" count="1">
            <x v="87"/>
          </reference>
          <reference field="13" count="1" selected="0">
            <x v="21"/>
          </reference>
        </references>
      </pivotArea>
    </format>
    <format dxfId="3410">
      <pivotArea dataOnly="0" labelOnly="1" outline="0" fieldPosition="0">
        <references count="2">
          <reference field="0" count="1">
            <x v="89"/>
          </reference>
          <reference field="13" count="1" selected="0">
            <x v="21"/>
          </reference>
        </references>
      </pivotArea>
    </format>
    <format dxfId="3409">
      <pivotArea dataOnly="0" labelOnly="1" outline="0" fieldPosition="0">
        <references count="2">
          <reference field="0" count="1">
            <x v="1"/>
          </reference>
          <reference field="13" count="1" selected="0">
            <x v="22"/>
          </reference>
        </references>
      </pivotArea>
    </format>
    <format dxfId="3408">
      <pivotArea dataOnly="0" labelOnly="1" outline="0" fieldPosition="0">
        <references count="2">
          <reference field="0" count="1">
            <x v="4"/>
          </reference>
          <reference field="13" count="1" selected="0">
            <x v="22"/>
          </reference>
        </references>
      </pivotArea>
    </format>
    <format dxfId="3407">
      <pivotArea dataOnly="0" labelOnly="1" outline="0" fieldPosition="0">
        <references count="2">
          <reference field="0" count="1">
            <x v="15"/>
          </reference>
          <reference field="13" count="1" selected="0">
            <x v="22"/>
          </reference>
        </references>
      </pivotArea>
    </format>
    <format dxfId="3406">
      <pivotArea dataOnly="0" labelOnly="1" outline="0" fieldPosition="0">
        <references count="2">
          <reference field="0" count="1">
            <x v="19"/>
          </reference>
          <reference field="13" count="1" selected="0">
            <x v="22"/>
          </reference>
        </references>
      </pivotArea>
    </format>
    <format dxfId="3405">
      <pivotArea dataOnly="0" labelOnly="1" outline="0" fieldPosition="0">
        <references count="2">
          <reference field="0" count="1">
            <x v="20"/>
          </reference>
          <reference field="13" count="1" selected="0">
            <x v="22"/>
          </reference>
        </references>
      </pivotArea>
    </format>
    <format dxfId="3404">
      <pivotArea dataOnly="0" labelOnly="1" outline="0" fieldPosition="0">
        <references count="2">
          <reference field="0" count="1">
            <x v="21"/>
          </reference>
          <reference field="13" count="1" selected="0">
            <x v="22"/>
          </reference>
        </references>
      </pivotArea>
    </format>
    <format dxfId="3403">
      <pivotArea dataOnly="0" labelOnly="1" outline="0" fieldPosition="0">
        <references count="2">
          <reference field="0" count="1">
            <x v="36"/>
          </reference>
          <reference field="13" count="1" selected="0">
            <x v="22"/>
          </reference>
        </references>
      </pivotArea>
    </format>
    <format dxfId="3402">
      <pivotArea dataOnly="0" labelOnly="1" outline="0" fieldPosition="0">
        <references count="2">
          <reference field="0" count="1">
            <x v="47"/>
          </reference>
          <reference field="13" count="1" selected="0">
            <x v="22"/>
          </reference>
        </references>
      </pivotArea>
    </format>
    <format dxfId="3401">
      <pivotArea dataOnly="0" labelOnly="1" outline="0" fieldPosition="0">
        <references count="2">
          <reference field="0" count="1">
            <x v="50"/>
          </reference>
          <reference field="13" count="1" selected="0">
            <x v="22"/>
          </reference>
        </references>
      </pivotArea>
    </format>
    <format dxfId="3400">
      <pivotArea dataOnly="0" labelOnly="1" outline="0" fieldPosition="0">
        <references count="2">
          <reference field="0" count="1">
            <x v="55"/>
          </reference>
          <reference field="13" count="1" selected="0">
            <x v="22"/>
          </reference>
        </references>
      </pivotArea>
    </format>
    <format dxfId="3399">
      <pivotArea dataOnly="0" labelOnly="1" outline="0" fieldPosition="0">
        <references count="2">
          <reference field="0" count="1">
            <x v="56"/>
          </reference>
          <reference field="13" count="1" selected="0">
            <x v="22"/>
          </reference>
        </references>
      </pivotArea>
    </format>
    <format dxfId="3398">
      <pivotArea dataOnly="0" labelOnly="1" outline="0" fieldPosition="0">
        <references count="2">
          <reference field="0" count="1">
            <x v="59"/>
          </reference>
          <reference field="13" count="1" selected="0">
            <x v="22"/>
          </reference>
        </references>
      </pivotArea>
    </format>
    <format dxfId="3397">
      <pivotArea dataOnly="0" labelOnly="1" outline="0" fieldPosition="0">
        <references count="2">
          <reference field="0" count="1">
            <x v="63"/>
          </reference>
          <reference field="13" count="1" selected="0">
            <x v="22"/>
          </reference>
        </references>
      </pivotArea>
    </format>
    <format dxfId="3396">
      <pivotArea dataOnly="0" labelOnly="1" outline="0" fieldPosition="0">
        <references count="2">
          <reference field="0" count="1">
            <x v="65"/>
          </reference>
          <reference field="13" count="1" selected="0">
            <x v="22"/>
          </reference>
        </references>
      </pivotArea>
    </format>
    <format dxfId="3395">
      <pivotArea dataOnly="0" labelOnly="1" outline="0" fieldPosition="0">
        <references count="2">
          <reference field="0" count="1">
            <x v="69"/>
          </reference>
          <reference field="13" count="1" selected="0">
            <x v="22"/>
          </reference>
        </references>
      </pivotArea>
    </format>
    <format dxfId="3394">
      <pivotArea dataOnly="0" labelOnly="1" outline="0" fieldPosition="0">
        <references count="2">
          <reference field="0" count="1">
            <x v="71"/>
          </reference>
          <reference field="13" count="1" selected="0">
            <x v="22"/>
          </reference>
        </references>
      </pivotArea>
    </format>
    <format dxfId="3393">
      <pivotArea dataOnly="0" labelOnly="1" outline="0" fieldPosition="0">
        <references count="2">
          <reference field="0" count="1">
            <x v="82"/>
          </reference>
          <reference field="13" count="1" selected="0">
            <x v="22"/>
          </reference>
        </references>
      </pivotArea>
    </format>
    <format dxfId="3392">
      <pivotArea dataOnly="0" labelOnly="1" outline="0" fieldPosition="0">
        <references count="2">
          <reference field="0" count="1">
            <x v="1"/>
          </reference>
          <reference field="13" count="1" selected="0">
            <x v="23"/>
          </reference>
        </references>
      </pivotArea>
    </format>
    <format dxfId="3391">
      <pivotArea dataOnly="0" labelOnly="1" outline="0" fieldPosition="0">
        <references count="2">
          <reference field="0" count="1">
            <x v="4"/>
          </reference>
          <reference field="13" count="1" selected="0">
            <x v="23"/>
          </reference>
        </references>
      </pivotArea>
    </format>
    <format dxfId="3390">
      <pivotArea dataOnly="0" labelOnly="1" outline="0" fieldPosition="0">
        <references count="2">
          <reference field="0" count="1">
            <x v="19"/>
          </reference>
          <reference field="13" count="1" selected="0">
            <x v="23"/>
          </reference>
        </references>
      </pivotArea>
    </format>
    <format dxfId="3389">
      <pivotArea dataOnly="0" labelOnly="1" outline="0" fieldPosition="0">
        <references count="2">
          <reference field="0" count="1">
            <x v="21"/>
          </reference>
          <reference field="13" count="1" selected="0">
            <x v="23"/>
          </reference>
        </references>
      </pivotArea>
    </format>
    <format dxfId="3388">
      <pivotArea dataOnly="0" labelOnly="1" outline="0" fieldPosition="0">
        <references count="2">
          <reference field="0" count="1">
            <x v="29"/>
          </reference>
          <reference field="13" count="1" selected="0">
            <x v="23"/>
          </reference>
        </references>
      </pivotArea>
    </format>
    <format dxfId="3387">
      <pivotArea dataOnly="0" labelOnly="1" outline="0" fieldPosition="0">
        <references count="2">
          <reference field="0" count="1">
            <x v="36"/>
          </reference>
          <reference field="13" count="1" selected="0">
            <x v="23"/>
          </reference>
        </references>
      </pivotArea>
    </format>
    <format dxfId="3386">
      <pivotArea dataOnly="0" labelOnly="1" outline="0" fieldPosition="0">
        <references count="2">
          <reference field="0" count="1">
            <x v="47"/>
          </reference>
          <reference field="13" count="1" selected="0">
            <x v="23"/>
          </reference>
        </references>
      </pivotArea>
    </format>
    <format dxfId="3385">
      <pivotArea dataOnly="0" labelOnly="1" outline="0" fieldPosition="0">
        <references count="2">
          <reference field="0" count="1">
            <x v="57"/>
          </reference>
          <reference field="13" count="1" selected="0">
            <x v="23"/>
          </reference>
        </references>
      </pivotArea>
    </format>
    <format dxfId="3384">
      <pivotArea dataOnly="0" labelOnly="1" outline="0" fieldPosition="0">
        <references count="2">
          <reference field="0" count="1">
            <x v="63"/>
          </reference>
          <reference field="13" count="1" selected="0">
            <x v="23"/>
          </reference>
        </references>
      </pivotArea>
    </format>
    <format dxfId="3383">
      <pivotArea dataOnly="0" labelOnly="1" outline="0" fieldPosition="0">
        <references count="2">
          <reference field="0" count="1">
            <x v="71"/>
          </reference>
          <reference field="13" count="1" selected="0">
            <x v="23"/>
          </reference>
        </references>
      </pivotArea>
    </format>
    <format dxfId="3382">
      <pivotArea dataOnly="0" labelOnly="1" outline="0" fieldPosition="0">
        <references count="2">
          <reference field="0" count="1">
            <x v="82"/>
          </reference>
          <reference field="13" count="1" selected="0">
            <x v="23"/>
          </reference>
        </references>
      </pivotArea>
    </format>
    <format dxfId="3381">
      <pivotArea dataOnly="0" labelOnly="1" outline="0" fieldPosition="0">
        <references count="2">
          <reference field="0" count="1">
            <x v="87"/>
          </reference>
          <reference field="13" count="1" selected="0">
            <x v="23"/>
          </reference>
        </references>
      </pivotArea>
    </format>
    <format dxfId="3380">
      <pivotArea dataOnly="0" labelOnly="1" outline="0" fieldPosition="0">
        <references count="2">
          <reference field="0" count="1">
            <x v="4"/>
          </reference>
          <reference field="13" count="1" selected="0">
            <x v="24"/>
          </reference>
        </references>
      </pivotArea>
    </format>
    <format dxfId="3379">
      <pivotArea dataOnly="0" labelOnly="1" outline="0" fieldPosition="0">
        <references count="2">
          <reference field="0" count="1">
            <x v="19"/>
          </reference>
          <reference field="13" count="1" selected="0">
            <x v="24"/>
          </reference>
        </references>
      </pivotArea>
    </format>
    <format dxfId="3378">
      <pivotArea dataOnly="0" labelOnly="1" outline="0" fieldPosition="0">
        <references count="2">
          <reference field="0" count="1">
            <x v="21"/>
          </reference>
          <reference field="13" count="1" selected="0">
            <x v="24"/>
          </reference>
        </references>
      </pivotArea>
    </format>
    <format dxfId="3377">
      <pivotArea dataOnly="0" labelOnly="1" outline="0" fieldPosition="0">
        <references count="2">
          <reference field="0" count="1">
            <x v="25"/>
          </reference>
          <reference field="13" count="1" selected="0">
            <x v="24"/>
          </reference>
        </references>
      </pivotArea>
    </format>
    <format dxfId="3376">
      <pivotArea dataOnly="0" labelOnly="1" outline="0" fieldPosition="0">
        <references count="2">
          <reference field="0" count="1">
            <x v="29"/>
          </reference>
          <reference field="13" count="1" selected="0">
            <x v="24"/>
          </reference>
        </references>
      </pivotArea>
    </format>
    <format dxfId="3375">
      <pivotArea dataOnly="0" labelOnly="1" outline="0" fieldPosition="0">
        <references count="2">
          <reference field="0" count="1">
            <x v="36"/>
          </reference>
          <reference field="13" count="1" selected="0">
            <x v="24"/>
          </reference>
        </references>
      </pivotArea>
    </format>
    <format dxfId="3374">
      <pivotArea dataOnly="0" labelOnly="1" outline="0" fieldPosition="0">
        <references count="2">
          <reference field="0" count="1">
            <x v="47"/>
          </reference>
          <reference field="13" count="1" selected="0">
            <x v="24"/>
          </reference>
        </references>
      </pivotArea>
    </format>
    <format dxfId="3373">
      <pivotArea dataOnly="0" labelOnly="1" outline="0" fieldPosition="0">
        <references count="2">
          <reference field="0" count="1">
            <x v="71"/>
          </reference>
          <reference field="13" count="1" selected="0">
            <x v="24"/>
          </reference>
        </references>
      </pivotArea>
    </format>
    <format dxfId="3372">
      <pivotArea dataOnly="0" labelOnly="1" outline="0" fieldPosition="0">
        <references count="2">
          <reference field="0" count="1">
            <x v="82"/>
          </reference>
          <reference field="13" count="1" selected="0">
            <x v="24"/>
          </reference>
        </references>
      </pivotArea>
    </format>
    <format dxfId="3371">
      <pivotArea dataOnly="0" labelOnly="1" outline="0" fieldPosition="0">
        <references count="2">
          <reference field="0" count="1">
            <x v="87"/>
          </reference>
          <reference field="13" count="1" selected="0">
            <x v="24"/>
          </reference>
        </references>
      </pivotArea>
    </format>
    <format dxfId="3370">
      <pivotArea dataOnly="0" labelOnly="1" outline="0" fieldPosition="0">
        <references count="2">
          <reference field="0" count="1">
            <x v="4"/>
          </reference>
          <reference field="13" count="1" selected="0">
            <x v="25"/>
          </reference>
        </references>
      </pivotArea>
    </format>
    <format dxfId="3369">
      <pivotArea dataOnly="0" labelOnly="1" outline="0" fieldPosition="0">
        <references count="2">
          <reference field="0" count="1">
            <x v="19"/>
          </reference>
          <reference field="13" count="1" selected="0">
            <x v="25"/>
          </reference>
        </references>
      </pivotArea>
    </format>
    <format dxfId="3368">
      <pivotArea dataOnly="0" labelOnly="1" outline="0" fieldPosition="0">
        <references count="2">
          <reference field="0" count="1">
            <x v="25"/>
          </reference>
          <reference field="13" count="1" selected="0">
            <x v="25"/>
          </reference>
        </references>
      </pivotArea>
    </format>
    <format dxfId="3367">
      <pivotArea dataOnly="0" labelOnly="1" outline="0" fieldPosition="0">
        <references count="2">
          <reference field="0" count="1">
            <x v="36"/>
          </reference>
          <reference field="13" count="1" selected="0">
            <x v="25"/>
          </reference>
        </references>
      </pivotArea>
    </format>
    <format dxfId="3366">
      <pivotArea dataOnly="0" labelOnly="1" outline="0" fieldPosition="0">
        <references count="2">
          <reference field="0" count="1">
            <x v="47"/>
          </reference>
          <reference field="13" count="1" selected="0">
            <x v="25"/>
          </reference>
        </references>
      </pivotArea>
    </format>
    <format dxfId="3365">
      <pivotArea dataOnly="0" labelOnly="1" outline="0" fieldPosition="0">
        <references count="2">
          <reference field="0" count="1">
            <x v="71"/>
          </reference>
          <reference field="13" count="1" selected="0">
            <x v="25"/>
          </reference>
        </references>
      </pivotArea>
    </format>
    <format dxfId="3364">
      <pivotArea dataOnly="0" labelOnly="1" outline="0" fieldPosition="0">
        <references count="2">
          <reference field="0" count="1">
            <x v="82"/>
          </reference>
          <reference field="13" count="1" selected="0">
            <x v="25"/>
          </reference>
        </references>
      </pivotArea>
    </format>
    <format dxfId="3363">
      <pivotArea dataOnly="0" labelOnly="1" outline="0" fieldPosition="0">
        <references count="2">
          <reference field="0" count="1">
            <x v="87"/>
          </reference>
          <reference field="13" count="1" selected="0">
            <x v="25"/>
          </reference>
        </references>
      </pivotArea>
    </format>
    <format dxfId="3362">
      <pivotArea dataOnly="0" labelOnly="1" outline="0" fieldPosition="0">
        <references count="2">
          <reference field="0" count="1">
            <x v="4"/>
          </reference>
          <reference field="13" count="1" selected="0">
            <x v="26"/>
          </reference>
        </references>
      </pivotArea>
    </format>
    <format dxfId="3361">
      <pivotArea dataOnly="0" labelOnly="1" outline="0" fieldPosition="0">
        <references count="2">
          <reference field="0" count="1">
            <x v="19"/>
          </reference>
          <reference field="13" count="1" selected="0">
            <x v="26"/>
          </reference>
        </references>
      </pivotArea>
    </format>
    <format dxfId="3360">
      <pivotArea dataOnly="0" labelOnly="1" outline="0" fieldPosition="0">
        <references count="2">
          <reference field="0" count="1">
            <x v="21"/>
          </reference>
          <reference field="13" count="1" selected="0">
            <x v="26"/>
          </reference>
        </references>
      </pivotArea>
    </format>
    <format dxfId="3359">
      <pivotArea dataOnly="0" labelOnly="1" outline="0" fieldPosition="0">
        <references count="2">
          <reference field="0" count="1">
            <x v="25"/>
          </reference>
          <reference field="13" count="1" selected="0">
            <x v="26"/>
          </reference>
        </references>
      </pivotArea>
    </format>
    <format dxfId="3358">
      <pivotArea dataOnly="0" labelOnly="1" outline="0" fieldPosition="0">
        <references count="2">
          <reference field="0" count="1">
            <x v="36"/>
          </reference>
          <reference field="13" count="1" selected="0">
            <x v="26"/>
          </reference>
        </references>
      </pivotArea>
    </format>
    <format dxfId="3357">
      <pivotArea dataOnly="0" labelOnly="1" outline="0" fieldPosition="0">
        <references count="2">
          <reference field="0" count="1">
            <x v="47"/>
          </reference>
          <reference field="13" count="1" selected="0">
            <x v="26"/>
          </reference>
        </references>
      </pivotArea>
    </format>
    <format dxfId="3356">
      <pivotArea dataOnly="0" labelOnly="1" outline="0" fieldPosition="0">
        <references count="2">
          <reference field="0" count="1">
            <x v="57"/>
          </reference>
          <reference field="13" count="1" selected="0">
            <x v="26"/>
          </reference>
        </references>
      </pivotArea>
    </format>
    <format dxfId="3355">
      <pivotArea dataOnly="0" labelOnly="1" outline="0" fieldPosition="0">
        <references count="2">
          <reference field="0" count="1">
            <x v="63"/>
          </reference>
          <reference field="13" count="1" selected="0">
            <x v="26"/>
          </reference>
        </references>
      </pivotArea>
    </format>
    <format dxfId="3354">
      <pivotArea dataOnly="0" labelOnly="1" outline="0" fieldPosition="0">
        <references count="2">
          <reference field="0" count="1">
            <x v="64"/>
          </reference>
          <reference field="13" count="1" selected="0">
            <x v="26"/>
          </reference>
        </references>
      </pivotArea>
    </format>
    <format dxfId="3353">
      <pivotArea dataOnly="0" labelOnly="1" outline="0" fieldPosition="0">
        <references count="2">
          <reference field="0" count="1">
            <x v="71"/>
          </reference>
          <reference field="13" count="1" selected="0">
            <x v="26"/>
          </reference>
        </references>
      </pivotArea>
    </format>
    <format dxfId="3352">
      <pivotArea dataOnly="0" labelOnly="1" outline="0" fieldPosition="0">
        <references count="2">
          <reference field="0" count="1">
            <x v="82"/>
          </reference>
          <reference field="13" count="1" selected="0">
            <x v="26"/>
          </reference>
        </references>
      </pivotArea>
    </format>
    <format dxfId="3351">
      <pivotArea dataOnly="0" labelOnly="1" outline="0" fieldPosition="0">
        <references count="2">
          <reference field="0" count="1">
            <x v="4"/>
          </reference>
          <reference field="13" count="1" selected="0">
            <x v="27"/>
          </reference>
        </references>
      </pivotArea>
    </format>
    <format dxfId="3350">
      <pivotArea dataOnly="0" labelOnly="1" outline="0" fieldPosition="0">
        <references count="2">
          <reference field="0" count="1">
            <x v="19"/>
          </reference>
          <reference field="13" count="1" selected="0">
            <x v="27"/>
          </reference>
        </references>
      </pivotArea>
    </format>
    <format dxfId="3349">
      <pivotArea dataOnly="0" labelOnly="1" outline="0" fieldPosition="0">
        <references count="2">
          <reference field="0" count="1">
            <x v="21"/>
          </reference>
          <reference field="13" count="1" selected="0">
            <x v="27"/>
          </reference>
        </references>
      </pivotArea>
    </format>
    <format dxfId="3348">
      <pivotArea dataOnly="0" labelOnly="1" outline="0" fieldPosition="0">
        <references count="2">
          <reference field="0" count="1">
            <x v="25"/>
          </reference>
          <reference field="13" count="1" selected="0">
            <x v="27"/>
          </reference>
        </references>
      </pivotArea>
    </format>
    <format dxfId="3347">
      <pivotArea dataOnly="0" labelOnly="1" outline="0" fieldPosition="0">
        <references count="2">
          <reference field="0" count="1">
            <x v="36"/>
          </reference>
          <reference field="13" count="1" selected="0">
            <x v="27"/>
          </reference>
        </references>
      </pivotArea>
    </format>
    <format dxfId="3346">
      <pivotArea dataOnly="0" labelOnly="1" outline="0" fieldPosition="0">
        <references count="2">
          <reference field="0" count="1">
            <x v="47"/>
          </reference>
          <reference field="13" count="1" selected="0">
            <x v="27"/>
          </reference>
        </references>
      </pivotArea>
    </format>
    <format dxfId="3345">
      <pivotArea dataOnly="0" labelOnly="1" outline="0" fieldPosition="0">
        <references count="2">
          <reference field="0" count="1">
            <x v="63"/>
          </reference>
          <reference field="13" count="1" selected="0">
            <x v="27"/>
          </reference>
        </references>
      </pivotArea>
    </format>
    <format dxfId="3344">
      <pivotArea dataOnly="0" labelOnly="1" outline="0" fieldPosition="0">
        <references count="2">
          <reference field="0" count="1">
            <x v="64"/>
          </reference>
          <reference field="13" count="1" selected="0">
            <x v="27"/>
          </reference>
        </references>
      </pivotArea>
    </format>
    <format dxfId="3343">
      <pivotArea dataOnly="0" labelOnly="1" outline="0" fieldPosition="0">
        <references count="2">
          <reference field="0" count="1">
            <x v="71"/>
          </reference>
          <reference field="13" count="1" selected="0">
            <x v="27"/>
          </reference>
        </references>
      </pivotArea>
    </format>
    <format dxfId="3342">
      <pivotArea dataOnly="0" labelOnly="1" outline="0" fieldPosition="0">
        <references count="2">
          <reference field="0" count="1">
            <x v="82"/>
          </reference>
          <reference field="13" count="1" selected="0">
            <x v="27"/>
          </reference>
        </references>
      </pivotArea>
    </format>
    <format dxfId="3341">
      <pivotArea dataOnly="0" labelOnly="1" outline="0" fieldPosition="0">
        <references count="2">
          <reference field="0" count="1">
            <x v="1"/>
          </reference>
          <reference field="13" count="1" selected="0">
            <x v="28"/>
          </reference>
        </references>
      </pivotArea>
    </format>
    <format dxfId="3340">
      <pivotArea dataOnly="0" labelOnly="1" outline="0" fieldPosition="0">
        <references count="2">
          <reference field="0" count="1">
            <x v="4"/>
          </reference>
          <reference field="13" count="1" selected="0">
            <x v="28"/>
          </reference>
        </references>
      </pivotArea>
    </format>
    <format dxfId="3339">
      <pivotArea dataOnly="0" labelOnly="1" outline="0" fieldPosition="0">
        <references count="2">
          <reference field="0" count="1">
            <x v="19"/>
          </reference>
          <reference field="13" count="1" selected="0">
            <x v="28"/>
          </reference>
        </references>
      </pivotArea>
    </format>
    <format dxfId="3338">
      <pivotArea dataOnly="0" labelOnly="1" outline="0" fieldPosition="0">
        <references count="2">
          <reference field="0" count="1">
            <x v="21"/>
          </reference>
          <reference field="13" count="1" selected="0">
            <x v="28"/>
          </reference>
        </references>
      </pivotArea>
    </format>
    <format dxfId="3337">
      <pivotArea dataOnly="0" labelOnly="1" outline="0" fieldPosition="0">
        <references count="2">
          <reference field="0" count="1">
            <x v="36"/>
          </reference>
          <reference field="13" count="1" selected="0">
            <x v="28"/>
          </reference>
        </references>
      </pivotArea>
    </format>
    <format dxfId="3336">
      <pivotArea dataOnly="0" labelOnly="1" outline="0" fieldPosition="0">
        <references count="2">
          <reference field="0" count="1">
            <x v="47"/>
          </reference>
          <reference field="13" count="1" selected="0">
            <x v="28"/>
          </reference>
        </references>
      </pivotArea>
    </format>
    <format dxfId="3335">
      <pivotArea dataOnly="0" labelOnly="1" outline="0" fieldPosition="0">
        <references count="2">
          <reference field="0" count="1">
            <x v="63"/>
          </reference>
          <reference field="13" count="1" selected="0">
            <x v="28"/>
          </reference>
        </references>
      </pivotArea>
    </format>
    <format dxfId="3334">
      <pivotArea dataOnly="0" labelOnly="1" outline="0" fieldPosition="0">
        <references count="2">
          <reference field="0" count="1">
            <x v="64"/>
          </reference>
          <reference field="13" count="1" selected="0">
            <x v="28"/>
          </reference>
        </references>
      </pivotArea>
    </format>
    <format dxfId="3333">
      <pivotArea dataOnly="0" labelOnly="1" outline="0" fieldPosition="0">
        <references count="2">
          <reference field="0" count="1">
            <x v="71"/>
          </reference>
          <reference field="13" count="1" selected="0">
            <x v="28"/>
          </reference>
        </references>
      </pivotArea>
    </format>
    <format dxfId="3332">
      <pivotArea dataOnly="0" labelOnly="1" outline="0" fieldPosition="0">
        <references count="2">
          <reference field="0" count="1">
            <x v="82"/>
          </reference>
          <reference field="13" count="1" selected="0">
            <x v="28"/>
          </reference>
        </references>
      </pivotArea>
    </format>
    <format dxfId="3331">
      <pivotArea dataOnly="0" labelOnly="1" outline="0" fieldPosition="0">
        <references count="2">
          <reference field="0" count="1">
            <x v="1"/>
          </reference>
          <reference field="13" count="1" selected="0">
            <x v="29"/>
          </reference>
        </references>
      </pivotArea>
    </format>
    <format dxfId="3330">
      <pivotArea dataOnly="0" labelOnly="1" outline="0" fieldPosition="0">
        <references count="2">
          <reference field="0" count="1">
            <x v="4"/>
          </reference>
          <reference field="13" count="1" selected="0">
            <x v="29"/>
          </reference>
        </references>
      </pivotArea>
    </format>
    <format dxfId="3329">
      <pivotArea dataOnly="0" labelOnly="1" outline="0" fieldPosition="0">
        <references count="2">
          <reference field="0" count="1">
            <x v="19"/>
          </reference>
          <reference field="13" count="1" selected="0">
            <x v="29"/>
          </reference>
        </references>
      </pivotArea>
    </format>
    <format dxfId="3328">
      <pivotArea dataOnly="0" labelOnly="1" outline="0" fieldPosition="0">
        <references count="2">
          <reference field="0" count="1">
            <x v="21"/>
          </reference>
          <reference field="13" count="1" selected="0">
            <x v="29"/>
          </reference>
        </references>
      </pivotArea>
    </format>
    <format dxfId="3327">
      <pivotArea dataOnly="0" labelOnly="1" outline="0" fieldPosition="0">
        <references count="2">
          <reference field="0" count="1">
            <x v="36"/>
          </reference>
          <reference field="13" count="1" selected="0">
            <x v="29"/>
          </reference>
        </references>
      </pivotArea>
    </format>
    <format dxfId="3326">
      <pivotArea dataOnly="0" labelOnly="1" outline="0" fieldPosition="0">
        <references count="2">
          <reference field="0" count="1">
            <x v="47"/>
          </reference>
          <reference field="13" count="1" selected="0">
            <x v="29"/>
          </reference>
        </references>
      </pivotArea>
    </format>
    <format dxfId="3325">
      <pivotArea dataOnly="0" labelOnly="1" outline="0" fieldPosition="0">
        <references count="2">
          <reference field="0" count="1">
            <x v="63"/>
          </reference>
          <reference field="13" count="1" selected="0">
            <x v="29"/>
          </reference>
        </references>
      </pivotArea>
    </format>
    <format dxfId="3324">
      <pivotArea dataOnly="0" labelOnly="1" outline="0" fieldPosition="0">
        <references count="2">
          <reference field="0" count="1">
            <x v="71"/>
          </reference>
          <reference field="13" count="1" selected="0">
            <x v="29"/>
          </reference>
        </references>
      </pivotArea>
    </format>
    <format dxfId="3323">
      <pivotArea dataOnly="0" labelOnly="1" outline="0" fieldPosition="0">
        <references count="2">
          <reference field="0" count="1">
            <x v="82"/>
          </reference>
          <reference field="13" count="1" selected="0">
            <x v="29"/>
          </reference>
        </references>
      </pivotArea>
    </format>
    <format dxfId="3322">
      <pivotArea dataOnly="0" labelOnly="1" outline="0" fieldPosition="0">
        <references count="2">
          <reference field="0" count="1">
            <x v="1"/>
          </reference>
          <reference field="13" count="1" selected="0">
            <x v="30"/>
          </reference>
        </references>
      </pivotArea>
    </format>
    <format dxfId="3321">
      <pivotArea dataOnly="0" labelOnly="1" outline="0" fieldPosition="0">
        <references count="2">
          <reference field="0" count="1">
            <x v="4"/>
          </reference>
          <reference field="13" count="1" selected="0">
            <x v="30"/>
          </reference>
        </references>
      </pivotArea>
    </format>
    <format dxfId="3320">
      <pivotArea dataOnly="0" labelOnly="1" outline="0" fieldPosition="0">
        <references count="2">
          <reference field="0" count="1">
            <x v="19"/>
          </reference>
          <reference field="13" count="1" selected="0">
            <x v="30"/>
          </reference>
        </references>
      </pivotArea>
    </format>
    <format dxfId="3319">
      <pivotArea dataOnly="0" labelOnly="1" outline="0" fieldPosition="0">
        <references count="2">
          <reference field="0" count="1">
            <x v="21"/>
          </reference>
          <reference field="13" count="1" selected="0">
            <x v="30"/>
          </reference>
        </references>
      </pivotArea>
    </format>
    <format dxfId="3318">
      <pivotArea dataOnly="0" labelOnly="1" outline="0" fieldPosition="0">
        <references count="2">
          <reference field="0" count="1">
            <x v="47"/>
          </reference>
          <reference field="13" count="1" selected="0">
            <x v="30"/>
          </reference>
        </references>
      </pivotArea>
    </format>
    <format dxfId="3317">
      <pivotArea dataOnly="0" labelOnly="1" outline="0" fieldPosition="0">
        <references count="2">
          <reference field="0" count="1">
            <x v="64"/>
          </reference>
          <reference field="13" count="1" selected="0">
            <x v="30"/>
          </reference>
        </references>
      </pivotArea>
    </format>
    <format dxfId="3316">
      <pivotArea dataOnly="0" labelOnly="1" outline="0" fieldPosition="0">
        <references count="2">
          <reference field="0" count="1">
            <x v="71"/>
          </reference>
          <reference field="13" count="1" selected="0">
            <x v="30"/>
          </reference>
        </references>
      </pivotArea>
    </format>
    <format dxfId="3315">
      <pivotArea dataOnly="0" labelOnly="1" outline="0" fieldPosition="0">
        <references count="2">
          <reference field="0" count="1">
            <x v="82"/>
          </reference>
          <reference field="13" count="1" selected="0">
            <x v="30"/>
          </reference>
        </references>
      </pivotArea>
    </format>
    <format dxfId="3314">
      <pivotArea dataOnly="0" labelOnly="1" outline="0" fieldPosition="0">
        <references count="2">
          <reference field="0" count="1">
            <x v="89"/>
          </reference>
          <reference field="13" count="1" selected="0">
            <x v="30"/>
          </reference>
        </references>
      </pivotArea>
    </format>
    <format dxfId="3313">
      <pivotArea dataOnly="0" labelOnly="1" outline="0" fieldPosition="0">
        <references count="2">
          <reference field="0" count="1">
            <x v="1"/>
          </reference>
          <reference field="13" count="1" selected="0">
            <x v="31"/>
          </reference>
        </references>
      </pivotArea>
    </format>
    <format dxfId="3312">
      <pivotArea dataOnly="0" labelOnly="1" outline="0" fieldPosition="0">
        <references count="2">
          <reference field="0" count="1">
            <x v="4"/>
          </reference>
          <reference field="13" count="1" selected="0">
            <x v="31"/>
          </reference>
        </references>
      </pivotArea>
    </format>
    <format dxfId="3311">
      <pivotArea dataOnly="0" labelOnly="1" outline="0" fieldPosition="0">
        <references count="2">
          <reference field="0" count="1">
            <x v="19"/>
          </reference>
          <reference field="13" count="1" selected="0">
            <x v="31"/>
          </reference>
        </references>
      </pivotArea>
    </format>
    <format dxfId="3310">
      <pivotArea dataOnly="0" labelOnly="1" outline="0" fieldPosition="0">
        <references count="2">
          <reference field="0" count="1">
            <x v="21"/>
          </reference>
          <reference field="13" count="1" selected="0">
            <x v="31"/>
          </reference>
        </references>
      </pivotArea>
    </format>
    <format dxfId="3309">
      <pivotArea dataOnly="0" labelOnly="1" outline="0" fieldPosition="0">
        <references count="2">
          <reference field="0" count="1">
            <x v="36"/>
          </reference>
          <reference field="13" count="1" selected="0">
            <x v="31"/>
          </reference>
        </references>
      </pivotArea>
    </format>
    <format dxfId="3308">
      <pivotArea dataOnly="0" labelOnly="1" outline="0" fieldPosition="0">
        <references count="2">
          <reference field="0" count="1">
            <x v="47"/>
          </reference>
          <reference field="13" count="1" selected="0">
            <x v="31"/>
          </reference>
        </references>
      </pivotArea>
    </format>
    <format dxfId="3307">
      <pivotArea dataOnly="0" labelOnly="1" outline="0" fieldPosition="0">
        <references count="2">
          <reference field="0" count="1">
            <x v="64"/>
          </reference>
          <reference field="13" count="1" selected="0">
            <x v="31"/>
          </reference>
        </references>
      </pivotArea>
    </format>
    <format dxfId="3306">
      <pivotArea dataOnly="0" labelOnly="1" outline="0" fieldPosition="0">
        <references count="2">
          <reference field="0" count="1">
            <x v="71"/>
          </reference>
          <reference field="13" count="1" selected="0">
            <x v="31"/>
          </reference>
        </references>
      </pivotArea>
    </format>
    <format dxfId="3305">
      <pivotArea dataOnly="0" labelOnly="1" outline="0" fieldPosition="0">
        <references count="2">
          <reference field="0" count="1">
            <x v="78"/>
          </reference>
          <reference field="13" count="1" selected="0">
            <x v="31"/>
          </reference>
        </references>
      </pivotArea>
    </format>
    <format dxfId="3304">
      <pivotArea dataOnly="0" labelOnly="1" outline="0" fieldPosition="0">
        <references count="2">
          <reference field="0" count="1">
            <x v="82"/>
          </reference>
          <reference field="13" count="1" selected="0">
            <x v="31"/>
          </reference>
        </references>
      </pivotArea>
    </format>
    <format dxfId="3303">
      <pivotArea dataOnly="0" labelOnly="1" outline="0" fieldPosition="0">
        <references count="2">
          <reference field="0" count="1">
            <x v="87"/>
          </reference>
          <reference field="13" count="1" selected="0">
            <x v="31"/>
          </reference>
        </references>
      </pivotArea>
    </format>
    <format dxfId="3302">
      <pivotArea dataOnly="0" labelOnly="1" outline="0" fieldPosition="0">
        <references count="2">
          <reference field="0" count="1">
            <x v="89"/>
          </reference>
          <reference field="13" count="1" selected="0">
            <x v="31"/>
          </reference>
        </references>
      </pivotArea>
    </format>
    <format dxfId="3301">
      <pivotArea dataOnly="0" labelOnly="1" outline="0" fieldPosition="0">
        <references count="2">
          <reference field="0" count="1">
            <x v="1"/>
          </reference>
          <reference field="13" count="1" selected="0">
            <x v="32"/>
          </reference>
        </references>
      </pivotArea>
    </format>
    <format dxfId="3300">
      <pivotArea dataOnly="0" labelOnly="1" outline="0" fieldPosition="0">
        <references count="2">
          <reference field="0" count="1">
            <x v="4"/>
          </reference>
          <reference field="13" count="1" selected="0">
            <x v="32"/>
          </reference>
        </references>
      </pivotArea>
    </format>
    <format dxfId="3299">
      <pivotArea dataOnly="0" labelOnly="1" outline="0" fieldPosition="0">
        <references count="2">
          <reference field="0" count="1">
            <x v="15"/>
          </reference>
          <reference field="13" count="1" selected="0">
            <x v="32"/>
          </reference>
        </references>
      </pivotArea>
    </format>
    <format dxfId="3298">
      <pivotArea dataOnly="0" labelOnly="1" outline="0" fieldPosition="0">
        <references count="2">
          <reference field="0" count="1">
            <x v="19"/>
          </reference>
          <reference field="13" count="1" selected="0">
            <x v="32"/>
          </reference>
        </references>
      </pivotArea>
    </format>
    <format dxfId="3297">
      <pivotArea dataOnly="0" labelOnly="1" outline="0" fieldPosition="0">
        <references count="2">
          <reference field="0" count="1">
            <x v="21"/>
          </reference>
          <reference field="13" count="1" selected="0">
            <x v="32"/>
          </reference>
        </references>
      </pivotArea>
    </format>
    <format dxfId="3296">
      <pivotArea dataOnly="0" labelOnly="1" outline="0" fieldPosition="0">
        <references count="2">
          <reference field="0" count="1">
            <x v="29"/>
          </reference>
          <reference field="13" count="1" selected="0">
            <x v="32"/>
          </reference>
        </references>
      </pivotArea>
    </format>
    <format dxfId="3295">
      <pivotArea dataOnly="0" labelOnly="1" outline="0" fieldPosition="0">
        <references count="2">
          <reference field="0" count="1">
            <x v="47"/>
          </reference>
          <reference field="13" count="1" selected="0">
            <x v="32"/>
          </reference>
        </references>
      </pivotArea>
    </format>
    <format dxfId="3294">
      <pivotArea dataOnly="0" labelOnly="1" outline="0" fieldPosition="0">
        <references count="2">
          <reference field="0" count="1">
            <x v="71"/>
          </reference>
          <reference field="13" count="1" selected="0">
            <x v="32"/>
          </reference>
        </references>
      </pivotArea>
    </format>
    <format dxfId="3293">
      <pivotArea dataOnly="0" labelOnly="1" outline="0" fieldPosition="0">
        <references count="2">
          <reference field="0" count="1">
            <x v="82"/>
          </reference>
          <reference field="13" count="1" selected="0">
            <x v="32"/>
          </reference>
        </references>
      </pivotArea>
    </format>
    <format dxfId="3292">
      <pivotArea dataOnly="0" labelOnly="1" outline="0" fieldPosition="0">
        <references count="2">
          <reference field="0" count="1">
            <x v="89"/>
          </reference>
          <reference field="13" count="1" selected="0">
            <x v="32"/>
          </reference>
        </references>
      </pivotArea>
    </format>
    <format dxfId="3291">
      <pivotArea dataOnly="0" labelOnly="1" outline="0" fieldPosition="0">
        <references count="2">
          <reference field="0" count="1">
            <x v="1"/>
          </reference>
          <reference field="13" count="1" selected="0">
            <x v="33"/>
          </reference>
        </references>
      </pivotArea>
    </format>
    <format dxfId="3290">
      <pivotArea dataOnly="0" labelOnly="1" outline="0" fieldPosition="0">
        <references count="2">
          <reference field="0" count="1">
            <x v="4"/>
          </reference>
          <reference field="13" count="1" selected="0">
            <x v="33"/>
          </reference>
        </references>
      </pivotArea>
    </format>
    <format dxfId="3289">
      <pivotArea dataOnly="0" labelOnly="1" outline="0" fieldPosition="0">
        <references count="2">
          <reference field="0" count="1">
            <x v="19"/>
          </reference>
          <reference field="13" count="1" selected="0">
            <x v="33"/>
          </reference>
        </references>
      </pivotArea>
    </format>
    <format dxfId="3288">
      <pivotArea dataOnly="0" labelOnly="1" outline="0" fieldPosition="0">
        <references count="2">
          <reference field="0" count="1">
            <x v="21"/>
          </reference>
          <reference field="13" count="1" selected="0">
            <x v="33"/>
          </reference>
        </references>
      </pivotArea>
    </format>
    <format dxfId="3287">
      <pivotArea dataOnly="0" labelOnly="1" outline="0" fieldPosition="0">
        <references count="2">
          <reference field="0" count="1">
            <x v="36"/>
          </reference>
          <reference field="13" count="1" selected="0">
            <x v="33"/>
          </reference>
        </references>
      </pivotArea>
    </format>
    <format dxfId="3286">
      <pivotArea dataOnly="0" labelOnly="1" outline="0" fieldPosition="0">
        <references count="2">
          <reference field="0" count="1">
            <x v="47"/>
          </reference>
          <reference field="13" count="1" selected="0">
            <x v="33"/>
          </reference>
        </references>
      </pivotArea>
    </format>
    <format dxfId="3285">
      <pivotArea dataOnly="0" labelOnly="1" outline="0" fieldPosition="0">
        <references count="2">
          <reference field="0" count="1">
            <x v="64"/>
          </reference>
          <reference field="13" count="1" selected="0">
            <x v="33"/>
          </reference>
        </references>
      </pivotArea>
    </format>
    <format dxfId="3284">
      <pivotArea dataOnly="0" labelOnly="1" outline="0" fieldPosition="0">
        <references count="2">
          <reference field="0" count="1">
            <x v="71"/>
          </reference>
          <reference field="13" count="1" selected="0">
            <x v="33"/>
          </reference>
        </references>
      </pivotArea>
    </format>
    <format dxfId="3283">
      <pivotArea dataOnly="0" labelOnly="1" outline="0" fieldPosition="0">
        <references count="2">
          <reference field="0" count="1">
            <x v="82"/>
          </reference>
          <reference field="13" count="1" selected="0">
            <x v="33"/>
          </reference>
        </references>
      </pivotArea>
    </format>
    <format dxfId="3282">
      <pivotArea dataOnly="0" labelOnly="1" outline="0" fieldPosition="0">
        <references count="2">
          <reference field="0" count="1">
            <x v="1"/>
          </reference>
          <reference field="13" count="1" selected="0">
            <x v="34"/>
          </reference>
        </references>
      </pivotArea>
    </format>
    <format dxfId="3281">
      <pivotArea dataOnly="0" labelOnly="1" outline="0" fieldPosition="0">
        <references count="2">
          <reference field="0" count="1">
            <x v="4"/>
          </reference>
          <reference field="13" count="1" selected="0">
            <x v="34"/>
          </reference>
        </references>
      </pivotArea>
    </format>
    <format dxfId="3280">
      <pivotArea dataOnly="0" labelOnly="1" outline="0" fieldPosition="0">
        <references count="2">
          <reference field="0" count="1">
            <x v="19"/>
          </reference>
          <reference field="13" count="1" selected="0">
            <x v="34"/>
          </reference>
        </references>
      </pivotArea>
    </format>
    <format dxfId="3279">
      <pivotArea dataOnly="0" labelOnly="1" outline="0" fieldPosition="0">
        <references count="2">
          <reference field="0" count="1">
            <x v="21"/>
          </reference>
          <reference field="13" count="1" selected="0">
            <x v="34"/>
          </reference>
        </references>
      </pivotArea>
    </format>
    <format dxfId="3278">
      <pivotArea dataOnly="0" labelOnly="1" outline="0" fieldPosition="0">
        <references count="2">
          <reference field="0" count="1">
            <x v="47"/>
          </reference>
          <reference field="13" count="1" selected="0">
            <x v="34"/>
          </reference>
        </references>
      </pivotArea>
    </format>
    <format dxfId="3277">
      <pivotArea dataOnly="0" labelOnly="1" outline="0" fieldPosition="0">
        <references count="2">
          <reference field="0" count="1">
            <x v="71"/>
          </reference>
          <reference field="13" count="1" selected="0">
            <x v="34"/>
          </reference>
        </references>
      </pivotArea>
    </format>
    <format dxfId="3276">
      <pivotArea dataOnly="0" labelOnly="1" outline="0" fieldPosition="0">
        <references count="2">
          <reference field="0" count="1">
            <x v="82"/>
          </reference>
          <reference field="13" count="1" selected="0">
            <x v="34"/>
          </reference>
        </references>
      </pivotArea>
    </format>
    <format dxfId="3275">
      <pivotArea dataOnly="0" labelOnly="1" outline="0" fieldPosition="0">
        <references count="2">
          <reference field="0" count="1">
            <x v="89"/>
          </reference>
          <reference field="13" count="1" selected="0">
            <x v="34"/>
          </reference>
        </references>
      </pivotArea>
    </format>
    <format dxfId="3274">
      <pivotArea dataOnly="0" labelOnly="1" outline="0" fieldPosition="0">
        <references count="2">
          <reference field="0" count="1">
            <x v="4"/>
          </reference>
          <reference field="13" count="1" selected="0">
            <x v="35"/>
          </reference>
        </references>
      </pivotArea>
    </format>
    <format dxfId="3273">
      <pivotArea dataOnly="0" labelOnly="1" outline="0" fieldPosition="0">
        <references count="2">
          <reference field="0" count="1">
            <x v="19"/>
          </reference>
          <reference field="13" count="1" selected="0">
            <x v="35"/>
          </reference>
        </references>
      </pivotArea>
    </format>
    <format dxfId="3272">
      <pivotArea dataOnly="0" labelOnly="1" outline="0" fieldPosition="0">
        <references count="2">
          <reference field="0" count="1">
            <x v="21"/>
          </reference>
          <reference field="13" count="1" selected="0">
            <x v="35"/>
          </reference>
        </references>
      </pivotArea>
    </format>
    <format dxfId="3271">
      <pivotArea dataOnly="0" labelOnly="1" outline="0" fieldPosition="0">
        <references count="2">
          <reference field="0" count="1">
            <x v="25"/>
          </reference>
          <reference field="13" count="1" selected="0">
            <x v="35"/>
          </reference>
        </references>
      </pivotArea>
    </format>
    <format dxfId="3270">
      <pivotArea dataOnly="0" labelOnly="1" outline="0" fieldPosition="0">
        <references count="2">
          <reference field="0" count="1">
            <x v="47"/>
          </reference>
          <reference field="13" count="1" selected="0">
            <x v="35"/>
          </reference>
        </references>
      </pivotArea>
    </format>
    <format dxfId="3269">
      <pivotArea dataOnly="0" labelOnly="1" outline="0" fieldPosition="0">
        <references count="2">
          <reference field="0" count="1">
            <x v="71"/>
          </reference>
          <reference field="13" count="1" selected="0">
            <x v="35"/>
          </reference>
        </references>
      </pivotArea>
    </format>
    <format dxfId="3268">
      <pivotArea dataOnly="0" labelOnly="1" outline="0" fieldPosition="0">
        <references count="2">
          <reference field="0" count="1">
            <x v="82"/>
          </reference>
          <reference field="13" count="1" selected="0">
            <x v="35"/>
          </reference>
        </references>
      </pivotArea>
    </format>
    <format dxfId="3267">
      <pivotArea dataOnly="0" labelOnly="1" outline="0" fieldPosition="0">
        <references count="2">
          <reference field="0" count="1">
            <x v="89"/>
          </reference>
          <reference field="13" count="1" selected="0">
            <x v="35"/>
          </reference>
        </references>
      </pivotArea>
    </format>
    <format dxfId="3266">
      <pivotArea dataOnly="0" labelOnly="1" outline="0" fieldPosition="0">
        <references count="2">
          <reference field="0" count="1">
            <x v="0"/>
          </reference>
          <reference field="13" count="1" selected="0">
            <x v="36"/>
          </reference>
        </references>
      </pivotArea>
    </format>
    <format dxfId="3265">
      <pivotArea dataOnly="0" labelOnly="1" outline="0" fieldPosition="0">
        <references count="2">
          <reference field="0" count="1">
            <x v="1"/>
          </reference>
          <reference field="13" count="1" selected="0">
            <x v="36"/>
          </reference>
        </references>
      </pivotArea>
    </format>
    <format dxfId="3264">
      <pivotArea dataOnly="0" labelOnly="1" outline="0" fieldPosition="0">
        <references count="2">
          <reference field="0" count="1">
            <x v="4"/>
          </reference>
          <reference field="13" count="1" selected="0">
            <x v="36"/>
          </reference>
        </references>
      </pivotArea>
    </format>
    <format dxfId="3263">
      <pivotArea dataOnly="0" labelOnly="1" outline="0" fieldPosition="0">
        <references count="2">
          <reference field="0" count="1">
            <x v="19"/>
          </reference>
          <reference field="13" count="1" selected="0">
            <x v="36"/>
          </reference>
        </references>
      </pivotArea>
    </format>
    <format dxfId="3262">
      <pivotArea dataOnly="0" labelOnly="1" outline="0" fieldPosition="0">
        <references count="2">
          <reference field="0" count="1">
            <x v="21"/>
          </reference>
          <reference field="13" count="1" selected="0">
            <x v="36"/>
          </reference>
        </references>
      </pivotArea>
    </format>
    <format dxfId="3261">
      <pivotArea dataOnly="0" labelOnly="1" outline="0" fieldPosition="0">
        <references count="2">
          <reference field="0" count="1">
            <x v="29"/>
          </reference>
          <reference field="13" count="1" selected="0">
            <x v="36"/>
          </reference>
        </references>
      </pivotArea>
    </format>
    <format dxfId="3260">
      <pivotArea dataOnly="0" labelOnly="1" outline="0" fieldPosition="0">
        <references count="2">
          <reference field="0" count="1">
            <x v="36"/>
          </reference>
          <reference field="13" count="1" selected="0">
            <x v="36"/>
          </reference>
        </references>
      </pivotArea>
    </format>
    <format dxfId="3259">
      <pivotArea dataOnly="0" labelOnly="1" outline="0" fieldPosition="0">
        <references count="2">
          <reference field="0" count="1">
            <x v="47"/>
          </reference>
          <reference field="13" count="1" selected="0">
            <x v="36"/>
          </reference>
        </references>
      </pivotArea>
    </format>
    <format dxfId="3258">
      <pivotArea dataOnly="0" labelOnly="1" outline="0" fieldPosition="0">
        <references count="2">
          <reference field="0" count="1">
            <x v="64"/>
          </reference>
          <reference field="13" count="1" selected="0">
            <x v="36"/>
          </reference>
        </references>
      </pivotArea>
    </format>
    <format dxfId="3257">
      <pivotArea dataOnly="0" labelOnly="1" outline="0" fieldPosition="0">
        <references count="2">
          <reference field="0" count="1">
            <x v="71"/>
          </reference>
          <reference field="13" count="1" selected="0">
            <x v="36"/>
          </reference>
        </references>
      </pivotArea>
    </format>
    <format dxfId="3256">
      <pivotArea dataOnly="0" labelOnly="1" outline="0" fieldPosition="0">
        <references count="2">
          <reference field="0" count="1">
            <x v="82"/>
          </reference>
          <reference field="13" count="1" selected="0">
            <x v="36"/>
          </reference>
        </references>
      </pivotArea>
    </format>
    <format dxfId="3255">
      <pivotArea dataOnly="0" labelOnly="1" outline="0" fieldPosition="0">
        <references count="2">
          <reference field="0" count="1">
            <x v="87"/>
          </reference>
          <reference field="13" count="1" selected="0">
            <x v="36"/>
          </reference>
        </references>
      </pivotArea>
    </format>
    <format dxfId="3254">
      <pivotArea dataOnly="0" labelOnly="1" outline="0" fieldPosition="0">
        <references count="2">
          <reference field="0" count="1">
            <x v="15"/>
          </reference>
          <reference field="13" count="1" selected="0">
            <x v="37"/>
          </reference>
        </references>
      </pivotArea>
    </format>
    <format dxfId="3253">
      <pivotArea dataOnly="0" labelOnly="1" outline="0" fieldPosition="0">
        <references count="2">
          <reference field="0" count="1">
            <x v="20"/>
          </reference>
          <reference field="13" count="1" selected="0">
            <x v="37"/>
          </reference>
        </references>
      </pivotArea>
    </format>
    <format dxfId="3252">
      <pivotArea dataOnly="0" labelOnly="1" outline="0" fieldPosition="0">
        <references count="2">
          <reference field="0" count="1">
            <x v="21"/>
          </reference>
          <reference field="13" count="1" selected="0">
            <x v="37"/>
          </reference>
        </references>
      </pivotArea>
    </format>
    <format dxfId="3251">
      <pivotArea dataOnly="0" labelOnly="1" outline="0" fieldPosition="0">
        <references count="2">
          <reference field="0" count="1">
            <x v="36"/>
          </reference>
          <reference field="13" count="1" selected="0">
            <x v="37"/>
          </reference>
        </references>
      </pivotArea>
    </format>
    <format dxfId="3250">
      <pivotArea dataOnly="0" labelOnly="1" outline="0" fieldPosition="0">
        <references count="2">
          <reference field="0" count="1">
            <x v="47"/>
          </reference>
          <reference field="13" count="1" selected="0">
            <x v="37"/>
          </reference>
        </references>
      </pivotArea>
    </format>
    <format dxfId="3249">
      <pivotArea dataOnly="0" labelOnly="1" outline="0" fieldPosition="0">
        <references count="2">
          <reference field="0" count="1">
            <x v="55"/>
          </reference>
          <reference field="13" count="1" selected="0">
            <x v="37"/>
          </reference>
        </references>
      </pivotArea>
    </format>
    <format dxfId="3248">
      <pivotArea dataOnly="0" labelOnly="1" outline="0" fieldPosition="0">
        <references count="2">
          <reference field="0" count="1">
            <x v="57"/>
          </reference>
          <reference field="13" count="1" selected="0">
            <x v="37"/>
          </reference>
        </references>
      </pivotArea>
    </format>
    <format dxfId="3247">
      <pivotArea dataOnly="0" labelOnly="1" outline="0" fieldPosition="0">
        <references count="2">
          <reference field="0" count="1">
            <x v="64"/>
          </reference>
          <reference field="13" count="1" selected="0">
            <x v="37"/>
          </reference>
        </references>
      </pivotArea>
    </format>
    <format dxfId="3246">
      <pivotArea dataOnly="0" labelOnly="1" outline="0" fieldPosition="0">
        <references count="2">
          <reference field="0" count="1">
            <x v="82"/>
          </reference>
          <reference field="13" count="1" selected="0">
            <x v="37"/>
          </reference>
        </references>
      </pivotArea>
    </format>
    <format dxfId="3245">
      <pivotArea dataOnly="0" labelOnly="1" outline="0" fieldPosition="0">
        <references count="2">
          <reference field="0" count="1">
            <x v="2"/>
          </reference>
          <reference field="13" count="1" selected="0">
            <x v="38"/>
          </reference>
        </references>
      </pivotArea>
    </format>
    <format dxfId="3244">
      <pivotArea dataOnly="0" labelOnly="1" outline="0" fieldPosition="0">
        <references count="2">
          <reference field="0" count="1">
            <x v="3"/>
          </reference>
          <reference field="13" count="1" selected="0">
            <x v="38"/>
          </reference>
        </references>
      </pivotArea>
    </format>
    <format dxfId="3243">
      <pivotArea dataOnly="0" labelOnly="1" outline="0" fieldPosition="0">
        <references count="2">
          <reference field="0" count="1">
            <x v="4"/>
          </reference>
          <reference field="13" count="1" selected="0">
            <x v="38"/>
          </reference>
        </references>
      </pivotArea>
    </format>
    <format dxfId="3242">
      <pivotArea dataOnly="0" labelOnly="1" outline="0" fieldPosition="0">
        <references count="2">
          <reference field="0" count="1">
            <x v="19"/>
          </reference>
          <reference field="13" count="1" selected="0">
            <x v="38"/>
          </reference>
        </references>
      </pivotArea>
    </format>
    <format dxfId="3241">
      <pivotArea dataOnly="0" labelOnly="1" outline="0" fieldPosition="0">
        <references count="2">
          <reference field="0" count="1">
            <x v="21"/>
          </reference>
          <reference field="13" count="1" selected="0">
            <x v="38"/>
          </reference>
        </references>
      </pivotArea>
    </format>
    <format dxfId="3240">
      <pivotArea dataOnly="0" labelOnly="1" outline="0" fieldPosition="0">
        <references count="2">
          <reference field="0" count="1">
            <x v="29"/>
          </reference>
          <reference field="13" count="1" selected="0">
            <x v="38"/>
          </reference>
        </references>
      </pivotArea>
    </format>
    <format dxfId="3239">
      <pivotArea dataOnly="0" labelOnly="1" outline="0" fieldPosition="0">
        <references count="2">
          <reference field="0" count="1">
            <x v="36"/>
          </reference>
          <reference field="13" count="1" selected="0">
            <x v="38"/>
          </reference>
        </references>
      </pivotArea>
    </format>
    <format dxfId="3238">
      <pivotArea dataOnly="0" labelOnly="1" outline="0" fieldPosition="0">
        <references count="2">
          <reference field="0" count="1">
            <x v="47"/>
          </reference>
          <reference field="13" count="1" selected="0">
            <x v="38"/>
          </reference>
        </references>
      </pivotArea>
    </format>
    <format dxfId="3237">
      <pivotArea dataOnly="0" labelOnly="1" outline="0" fieldPosition="0">
        <references count="2">
          <reference field="0" count="1">
            <x v="60"/>
          </reference>
          <reference field="13" count="1" selected="0">
            <x v="38"/>
          </reference>
        </references>
      </pivotArea>
    </format>
    <format dxfId="3236">
      <pivotArea dataOnly="0" labelOnly="1" outline="0" fieldPosition="0">
        <references count="2">
          <reference field="0" count="1">
            <x v="64"/>
          </reference>
          <reference field="13" count="1" selected="0">
            <x v="38"/>
          </reference>
        </references>
      </pivotArea>
    </format>
    <format dxfId="3235">
      <pivotArea dataOnly="0" labelOnly="1" outline="0" fieldPosition="0">
        <references count="2">
          <reference field="0" count="1">
            <x v="71"/>
          </reference>
          <reference field="13" count="1" selected="0">
            <x v="38"/>
          </reference>
        </references>
      </pivotArea>
    </format>
    <format dxfId="3234">
      <pivotArea dataOnly="0" labelOnly="1" outline="0" fieldPosition="0">
        <references count="2">
          <reference field="0" count="1">
            <x v="82"/>
          </reference>
          <reference field="13" count="1" selected="0">
            <x v="38"/>
          </reference>
        </references>
      </pivotArea>
    </format>
    <format dxfId="3233">
      <pivotArea dataOnly="0" labelOnly="1" outline="0" fieldPosition="0">
        <references count="2">
          <reference field="0" count="1">
            <x v="87"/>
          </reference>
          <reference field="13" count="1" selected="0">
            <x v="38"/>
          </reference>
        </references>
      </pivotArea>
    </format>
    <format dxfId="3232">
      <pivotArea dataOnly="0" labelOnly="1" outline="0" fieldPosition="0">
        <references count="2">
          <reference field="0" count="1">
            <x v="1"/>
          </reference>
          <reference field="13" count="1" selected="0">
            <x v="39"/>
          </reference>
        </references>
      </pivotArea>
    </format>
    <format dxfId="3231">
      <pivotArea dataOnly="0" labelOnly="1" outline="0" fieldPosition="0">
        <references count="2">
          <reference field="0" count="1">
            <x v="4"/>
          </reference>
          <reference field="13" count="1" selected="0">
            <x v="39"/>
          </reference>
        </references>
      </pivotArea>
    </format>
    <format dxfId="3230">
      <pivotArea dataOnly="0" labelOnly="1" outline="0" fieldPosition="0">
        <references count="2">
          <reference field="0" count="1">
            <x v="19"/>
          </reference>
          <reference field="13" count="1" selected="0">
            <x v="39"/>
          </reference>
        </references>
      </pivotArea>
    </format>
    <format dxfId="3229">
      <pivotArea dataOnly="0" labelOnly="1" outline="0" fieldPosition="0">
        <references count="2">
          <reference field="0" count="1">
            <x v="21"/>
          </reference>
          <reference field="13" count="1" selected="0">
            <x v="39"/>
          </reference>
        </references>
      </pivotArea>
    </format>
    <format dxfId="3228">
      <pivotArea dataOnly="0" labelOnly="1" outline="0" fieldPosition="0">
        <references count="2">
          <reference field="0" count="1">
            <x v="29"/>
          </reference>
          <reference field="13" count="1" selected="0">
            <x v="39"/>
          </reference>
        </references>
      </pivotArea>
    </format>
    <format dxfId="3227">
      <pivotArea dataOnly="0" labelOnly="1" outline="0" fieldPosition="0">
        <references count="2">
          <reference field="0" count="1">
            <x v="36"/>
          </reference>
          <reference field="13" count="1" selected="0">
            <x v="39"/>
          </reference>
        </references>
      </pivotArea>
    </format>
    <format dxfId="3226">
      <pivotArea dataOnly="0" labelOnly="1" outline="0" fieldPosition="0">
        <references count="2">
          <reference field="0" count="1">
            <x v="47"/>
          </reference>
          <reference field="13" count="1" selected="0">
            <x v="39"/>
          </reference>
        </references>
      </pivotArea>
    </format>
    <format dxfId="3225">
      <pivotArea dataOnly="0" labelOnly="1" outline="0" fieldPosition="0">
        <references count="2">
          <reference field="0" count="1">
            <x v="57"/>
          </reference>
          <reference field="13" count="1" selected="0">
            <x v="39"/>
          </reference>
        </references>
      </pivotArea>
    </format>
    <format dxfId="3224">
      <pivotArea dataOnly="0" labelOnly="1" outline="0" fieldPosition="0">
        <references count="2">
          <reference field="0" count="1">
            <x v="64"/>
          </reference>
          <reference field="13" count="1" selected="0">
            <x v="39"/>
          </reference>
        </references>
      </pivotArea>
    </format>
    <format dxfId="3223">
      <pivotArea dataOnly="0" labelOnly="1" outline="0" fieldPosition="0">
        <references count="2">
          <reference field="0" count="1">
            <x v="71"/>
          </reference>
          <reference field="13" count="1" selected="0">
            <x v="39"/>
          </reference>
        </references>
      </pivotArea>
    </format>
    <format dxfId="3222">
      <pivotArea dataOnly="0" labelOnly="1" outline="0" fieldPosition="0">
        <references count="2">
          <reference field="0" count="1">
            <x v="82"/>
          </reference>
          <reference field="13" count="1" selected="0">
            <x v="39"/>
          </reference>
        </references>
      </pivotArea>
    </format>
    <format dxfId="3221">
      <pivotArea dataOnly="0" labelOnly="1" outline="0" fieldPosition="0">
        <references count="2">
          <reference field="0" count="1">
            <x v="87"/>
          </reference>
          <reference field="13" count="1" selected="0">
            <x v="39"/>
          </reference>
        </references>
      </pivotArea>
    </format>
    <format dxfId="3220">
      <pivotArea dataOnly="0" labelOnly="1" outline="0" fieldPosition="0">
        <references count="2">
          <reference field="0" count="1">
            <x v="89"/>
          </reference>
          <reference field="13" count="1" selected="0">
            <x v="39"/>
          </reference>
        </references>
      </pivotArea>
    </format>
    <format dxfId="3219">
      <pivotArea dataOnly="0" labelOnly="1" outline="0" fieldPosition="0">
        <references count="2">
          <reference field="0" count="1">
            <x v="1"/>
          </reference>
          <reference field="13" count="1" selected="0">
            <x v="40"/>
          </reference>
        </references>
      </pivotArea>
    </format>
    <format dxfId="3218">
      <pivotArea dataOnly="0" labelOnly="1" outline="0" fieldPosition="0">
        <references count="2">
          <reference field="0" count="1">
            <x v="4"/>
          </reference>
          <reference field="13" count="1" selected="0">
            <x v="40"/>
          </reference>
        </references>
      </pivotArea>
    </format>
    <format dxfId="3217">
      <pivotArea dataOnly="0" labelOnly="1" outline="0" fieldPosition="0">
        <references count="2">
          <reference field="0" count="1">
            <x v="19"/>
          </reference>
          <reference field="13" count="1" selected="0">
            <x v="40"/>
          </reference>
        </references>
      </pivotArea>
    </format>
    <format dxfId="3216">
      <pivotArea dataOnly="0" labelOnly="1" outline="0" fieldPosition="0">
        <references count="2">
          <reference field="0" count="1">
            <x v="21"/>
          </reference>
          <reference field="13" count="1" selected="0">
            <x v="40"/>
          </reference>
        </references>
      </pivotArea>
    </format>
    <format dxfId="3215">
      <pivotArea dataOnly="0" labelOnly="1" outline="0" fieldPosition="0">
        <references count="2">
          <reference field="0" count="1">
            <x v="29"/>
          </reference>
          <reference field="13" count="1" selected="0">
            <x v="40"/>
          </reference>
        </references>
      </pivotArea>
    </format>
    <format dxfId="3214">
      <pivotArea dataOnly="0" labelOnly="1" outline="0" fieldPosition="0">
        <references count="2">
          <reference field="0" count="1">
            <x v="47"/>
          </reference>
          <reference field="13" count="1" selected="0">
            <x v="40"/>
          </reference>
        </references>
      </pivotArea>
    </format>
    <format dxfId="3213">
      <pivotArea dataOnly="0" labelOnly="1" outline="0" fieldPosition="0">
        <references count="2">
          <reference field="0" count="1">
            <x v="64"/>
          </reference>
          <reference field="13" count="1" selected="0">
            <x v="40"/>
          </reference>
        </references>
      </pivotArea>
    </format>
    <format dxfId="3212">
      <pivotArea dataOnly="0" labelOnly="1" outline="0" fieldPosition="0">
        <references count="2">
          <reference field="0" count="1">
            <x v="71"/>
          </reference>
          <reference field="13" count="1" selected="0">
            <x v="40"/>
          </reference>
        </references>
      </pivotArea>
    </format>
    <format dxfId="3211">
      <pivotArea dataOnly="0" labelOnly="1" outline="0" fieldPosition="0">
        <references count="2">
          <reference field="0" count="1">
            <x v="82"/>
          </reference>
          <reference field="13" count="1" selected="0">
            <x v="40"/>
          </reference>
        </references>
      </pivotArea>
    </format>
    <format dxfId="3210">
      <pivotArea dataOnly="0" labelOnly="1" outline="0" fieldPosition="0">
        <references count="2">
          <reference field="0" count="1">
            <x v="89"/>
          </reference>
          <reference field="13" count="1" selected="0">
            <x v="40"/>
          </reference>
        </references>
      </pivotArea>
    </format>
    <format dxfId="3209">
      <pivotArea dataOnly="0" labelOnly="1" outline="0" fieldPosition="0">
        <references count="2">
          <reference field="0" count="1">
            <x v="64"/>
          </reference>
          <reference field="13" count="1" selected="0">
            <x v="41"/>
          </reference>
        </references>
      </pivotArea>
    </format>
    <format dxfId="3208">
      <pivotArea dataOnly="0" labelOnly="1" outline="0" fieldPosition="0">
        <references count="2">
          <reference field="0" count="1">
            <x v="10"/>
          </reference>
          <reference field="13" count="1" selected="0">
            <x v="42"/>
          </reference>
        </references>
      </pivotArea>
    </format>
    <format dxfId="3207">
      <pivotArea dataOnly="0" labelOnly="1" outline="0" fieldPosition="0">
        <references count="2">
          <reference field="0" count="1">
            <x v="20"/>
          </reference>
          <reference field="13" count="1" selected="0">
            <x v="42"/>
          </reference>
        </references>
      </pivotArea>
    </format>
    <format dxfId="3206">
      <pivotArea dataOnly="0" labelOnly="1" outline="0" fieldPosition="0">
        <references count="2">
          <reference field="0" count="1">
            <x v="32"/>
          </reference>
          <reference field="13" count="1" selected="0">
            <x v="42"/>
          </reference>
        </references>
      </pivotArea>
    </format>
    <format dxfId="3205">
      <pivotArea dataOnly="0" labelOnly="1" outline="0" fieldPosition="0">
        <references count="2">
          <reference field="0" count="1">
            <x v="50"/>
          </reference>
          <reference field="13" count="1" selected="0">
            <x v="42"/>
          </reference>
        </references>
      </pivotArea>
    </format>
    <format dxfId="3204">
      <pivotArea dataOnly="0" labelOnly="1" outline="0" fieldPosition="0">
        <references count="2">
          <reference field="0" count="1">
            <x v="55"/>
          </reference>
          <reference field="13" count="1" selected="0">
            <x v="42"/>
          </reference>
        </references>
      </pivotArea>
    </format>
    <format dxfId="3203">
      <pivotArea dataOnly="0" labelOnly="1" outline="0" fieldPosition="0">
        <references count="2">
          <reference field="0" count="1">
            <x v="56"/>
          </reference>
          <reference field="13" count="1" selected="0">
            <x v="42"/>
          </reference>
        </references>
      </pivotArea>
    </format>
    <format dxfId="3202">
      <pivotArea dataOnly="0" labelOnly="1" outline="0" fieldPosition="0">
        <references count="2">
          <reference field="0" count="1">
            <x v="67"/>
          </reference>
          <reference field="13" count="1" selected="0">
            <x v="42"/>
          </reference>
        </references>
      </pivotArea>
    </format>
    <format dxfId="3201">
      <pivotArea dataOnly="0" labelOnly="1" outline="0" fieldPosition="0">
        <references count="2">
          <reference field="0" count="1">
            <x v="69"/>
          </reference>
          <reference field="13" count="1" selected="0">
            <x v="42"/>
          </reference>
        </references>
      </pivotArea>
    </format>
    <format dxfId="3200">
      <pivotArea dataOnly="0" labelOnly="1" outline="0" fieldPosition="0">
        <references count="2">
          <reference field="0" count="1">
            <x v="82"/>
          </reference>
          <reference field="13" count="1" selected="0">
            <x v="42"/>
          </reference>
        </references>
      </pivotArea>
    </format>
    <format dxfId="3199">
      <pivotArea dataOnly="0" labelOnly="1" outline="0" fieldPosition="0">
        <references count="2">
          <reference field="0" count="1">
            <x v="3"/>
          </reference>
          <reference field="13" count="1" selected="0">
            <x v="43"/>
          </reference>
        </references>
      </pivotArea>
    </format>
    <format dxfId="3198">
      <pivotArea dataOnly="0" labelOnly="1" outline="0" fieldPosition="0">
        <references count="2">
          <reference field="0" count="1">
            <x v="4"/>
          </reference>
          <reference field="13" count="1" selected="0">
            <x v="43"/>
          </reference>
        </references>
      </pivotArea>
    </format>
    <format dxfId="3197">
      <pivotArea dataOnly="0" labelOnly="1" outline="0" fieldPosition="0">
        <references count="2">
          <reference field="0" count="1">
            <x v="7"/>
          </reference>
          <reference field="13" count="1" selected="0">
            <x v="43"/>
          </reference>
        </references>
      </pivotArea>
    </format>
    <format dxfId="3196">
      <pivotArea dataOnly="0" labelOnly="1" outline="0" fieldPosition="0">
        <references count="2">
          <reference field="0" count="1">
            <x v="10"/>
          </reference>
          <reference field="13" count="1" selected="0">
            <x v="43"/>
          </reference>
        </references>
      </pivotArea>
    </format>
    <format dxfId="3195">
      <pivotArea dataOnly="0" labelOnly="1" outline="0" fieldPosition="0">
        <references count="2">
          <reference field="0" count="1">
            <x v="15"/>
          </reference>
          <reference field="13" count="1" selected="0">
            <x v="43"/>
          </reference>
        </references>
      </pivotArea>
    </format>
    <format dxfId="3194">
      <pivotArea dataOnly="0" labelOnly="1" outline="0" fieldPosition="0">
        <references count="2">
          <reference field="0" count="1">
            <x v="17"/>
          </reference>
          <reference field="13" count="1" selected="0">
            <x v="43"/>
          </reference>
        </references>
      </pivotArea>
    </format>
    <format dxfId="3193">
      <pivotArea dataOnly="0" labelOnly="1" outline="0" fieldPosition="0">
        <references count="2">
          <reference field="0" count="1">
            <x v="20"/>
          </reference>
          <reference field="13" count="1" selected="0">
            <x v="43"/>
          </reference>
        </references>
      </pivotArea>
    </format>
    <format dxfId="3192">
      <pivotArea dataOnly="0" labelOnly="1" outline="0" fieldPosition="0">
        <references count="2">
          <reference field="0" count="1">
            <x v="21"/>
          </reference>
          <reference field="13" count="1" selected="0">
            <x v="43"/>
          </reference>
        </references>
      </pivotArea>
    </format>
    <format dxfId="3191">
      <pivotArea dataOnly="0" labelOnly="1" outline="0" fieldPosition="0">
        <references count="2">
          <reference field="0" count="1">
            <x v="27"/>
          </reference>
          <reference field="13" count="1" selected="0">
            <x v="43"/>
          </reference>
        </references>
      </pivotArea>
    </format>
    <format dxfId="3190">
      <pivotArea dataOnly="0" labelOnly="1" outline="0" fieldPosition="0">
        <references count="2">
          <reference field="0" count="1">
            <x v="34"/>
          </reference>
          <reference field="13" count="1" selected="0">
            <x v="43"/>
          </reference>
        </references>
      </pivotArea>
    </format>
    <format dxfId="3189">
      <pivotArea dataOnly="0" labelOnly="1" outline="0" fieldPosition="0">
        <references count="2">
          <reference field="0" count="1">
            <x v="44"/>
          </reference>
          <reference field="13" count="1" selected="0">
            <x v="43"/>
          </reference>
        </references>
      </pivotArea>
    </format>
    <format dxfId="3188">
      <pivotArea dataOnly="0" labelOnly="1" outline="0" fieldPosition="0">
        <references count="2">
          <reference field="0" count="1">
            <x v="45"/>
          </reference>
          <reference field="13" count="1" selected="0">
            <x v="43"/>
          </reference>
        </references>
      </pivotArea>
    </format>
    <format dxfId="3187">
      <pivotArea dataOnly="0" labelOnly="1" outline="0" fieldPosition="0">
        <references count="2">
          <reference field="0" count="1">
            <x v="47"/>
          </reference>
          <reference field="13" count="1" selected="0">
            <x v="43"/>
          </reference>
        </references>
      </pivotArea>
    </format>
    <format dxfId="3186">
      <pivotArea dataOnly="0" labelOnly="1" outline="0" fieldPosition="0">
        <references count="2">
          <reference field="0" count="1">
            <x v="49"/>
          </reference>
          <reference field="13" count="1" selected="0">
            <x v="43"/>
          </reference>
        </references>
      </pivotArea>
    </format>
    <format dxfId="3185">
      <pivotArea dataOnly="0" labelOnly="1" outline="0" fieldPosition="0">
        <references count="2">
          <reference field="0" count="1">
            <x v="50"/>
          </reference>
          <reference field="13" count="1" selected="0">
            <x v="43"/>
          </reference>
        </references>
      </pivotArea>
    </format>
    <format dxfId="3184">
      <pivotArea dataOnly="0" labelOnly="1" outline="0" fieldPosition="0">
        <references count="2">
          <reference field="0" count="1">
            <x v="55"/>
          </reference>
          <reference field="13" count="1" selected="0">
            <x v="43"/>
          </reference>
        </references>
      </pivotArea>
    </format>
    <format dxfId="3183">
      <pivotArea dataOnly="0" labelOnly="1" outline="0" fieldPosition="0">
        <references count="2">
          <reference field="0" count="1">
            <x v="56"/>
          </reference>
          <reference field="13" count="1" selected="0">
            <x v="43"/>
          </reference>
        </references>
      </pivotArea>
    </format>
    <format dxfId="3182">
      <pivotArea dataOnly="0" labelOnly="1" outline="0" fieldPosition="0">
        <references count="2">
          <reference field="0" count="1">
            <x v="57"/>
          </reference>
          <reference field="13" count="1" selected="0">
            <x v="43"/>
          </reference>
        </references>
      </pivotArea>
    </format>
    <format dxfId="3181">
      <pivotArea dataOnly="0" labelOnly="1" outline="0" fieldPosition="0">
        <references count="2">
          <reference field="0" count="1">
            <x v="59"/>
          </reference>
          <reference field="13" count="1" selected="0">
            <x v="43"/>
          </reference>
        </references>
      </pivotArea>
    </format>
    <format dxfId="3180">
      <pivotArea dataOnly="0" labelOnly="1" outline="0" fieldPosition="0">
        <references count="2">
          <reference field="0" count="1">
            <x v="63"/>
          </reference>
          <reference field="13" count="1" selected="0">
            <x v="43"/>
          </reference>
        </references>
      </pivotArea>
    </format>
    <format dxfId="3179">
      <pivotArea dataOnly="0" labelOnly="1" outline="0" fieldPosition="0">
        <references count="2">
          <reference field="0" count="1">
            <x v="66"/>
          </reference>
          <reference field="13" count="1" selected="0">
            <x v="43"/>
          </reference>
        </references>
      </pivotArea>
    </format>
    <format dxfId="3178">
      <pivotArea dataOnly="0" labelOnly="1" outline="0" fieldPosition="0">
        <references count="2">
          <reference field="0" count="1">
            <x v="68"/>
          </reference>
          <reference field="13" count="1" selected="0">
            <x v="43"/>
          </reference>
        </references>
      </pivotArea>
    </format>
    <format dxfId="3177">
      <pivotArea dataOnly="0" labelOnly="1" outline="0" fieldPosition="0">
        <references count="2">
          <reference field="0" count="1">
            <x v="74"/>
          </reference>
          <reference field="13" count="1" selected="0">
            <x v="43"/>
          </reference>
        </references>
      </pivotArea>
    </format>
    <format dxfId="3176">
      <pivotArea dataOnly="0" labelOnly="1" outline="0" fieldPosition="0">
        <references count="2">
          <reference field="0" count="1">
            <x v="75"/>
          </reference>
          <reference field="13" count="1" selected="0">
            <x v="43"/>
          </reference>
        </references>
      </pivotArea>
    </format>
    <format dxfId="3175">
      <pivotArea dataOnly="0" labelOnly="1" outline="0" fieldPosition="0">
        <references count="2">
          <reference field="0" count="1">
            <x v="82"/>
          </reference>
          <reference field="13" count="1" selected="0">
            <x v="43"/>
          </reference>
        </references>
      </pivotArea>
    </format>
    <format dxfId="3174">
      <pivotArea dataOnly="0" labelOnly="1" outline="0" fieldPosition="0">
        <references count="2">
          <reference field="0" count="1">
            <x v="87"/>
          </reference>
          <reference field="13" count="1" selected="0">
            <x v="43"/>
          </reference>
        </references>
      </pivotArea>
    </format>
    <format dxfId="3173">
      <pivotArea dataOnly="0" labelOnly="1" outline="0" fieldPosition="0">
        <references count="2">
          <reference field="0" count="1">
            <x v="88"/>
          </reference>
          <reference field="13" count="1" selected="0">
            <x v="43"/>
          </reference>
        </references>
      </pivotArea>
    </format>
    <format dxfId="3172">
      <pivotArea dataOnly="0" labelOnly="1" outline="0" fieldPosition="0">
        <references count="2">
          <reference field="0" count="1">
            <x v="89"/>
          </reference>
          <reference field="13" count="1" selected="0">
            <x v="43"/>
          </reference>
        </references>
      </pivotArea>
    </format>
    <format dxfId="3171">
      <pivotArea dataOnly="0" labelOnly="1" outline="0" fieldPosition="0">
        <references count="2">
          <reference field="0" count="1">
            <x v="2"/>
          </reference>
          <reference field="13" count="1" selected="0">
            <x v="44"/>
          </reference>
        </references>
      </pivotArea>
    </format>
    <format dxfId="3170">
      <pivotArea dataOnly="0" labelOnly="1" outline="0" fieldPosition="0">
        <references count="2">
          <reference field="0" count="1">
            <x v="8"/>
          </reference>
          <reference field="13" count="1" selected="0">
            <x v="44"/>
          </reference>
        </references>
      </pivotArea>
    </format>
    <format dxfId="3169">
      <pivotArea dataOnly="0" labelOnly="1" outline="0" fieldPosition="0">
        <references count="2">
          <reference field="0" count="1">
            <x v="10"/>
          </reference>
          <reference field="13" count="1" selected="0">
            <x v="44"/>
          </reference>
        </references>
      </pivotArea>
    </format>
    <format dxfId="3168">
      <pivotArea dataOnly="0" labelOnly="1" outline="0" fieldPosition="0">
        <references count="2">
          <reference field="0" count="1">
            <x v="20"/>
          </reference>
          <reference field="13" count="1" selected="0">
            <x v="44"/>
          </reference>
        </references>
      </pivotArea>
    </format>
    <format dxfId="3167">
      <pivotArea dataOnly="0" labelOnly="1" outline="0" fieldPosition="0">
        <references count="2">
          <reference field="0" count="1">
            <x v="23"/>
          </reference>
          <reference field="13" count="1" selected="0">
            <x v="44"/>
          </reference>
        </references>
      </pivotArea>
    </format>
    <format dxfId="3166">
      <pivotArea dataOnly="0" labelOnly="1" outline="0" fieldPosition="0">
        <references count="2">
          <reference field="0" count="1">
            <x v="45"/>
          </reference>
          <reference field="13" count="1" selected="0">
            <x v="44"/>
          </reference>
        </references>
      </pivotArea>
    </format>
    <format dxfId="3165">
      <pivotArea dataOnly="0" labelOnly="1" outline="0" fieldPosition="0">
        <references count="2">
          <reference field="0" count="1">
            <x v="50"/>
          </reference>
          <reference field="13" count="1" selected="0">
            <x v="44"/>
          </reference>
        </references>
      </pivotArea>
    </format>
    <format dxfId="3164">
      <pivotArea dataOnly="0" labelOnly="1" outline="0" fieldPosition="0">
        <references count="2">
          <reference field="0" count="1">
            <x v="55"/>
          </reference>
          <reference field="13" count="1" selected="0">
            <x v="44"/>
          </reference>
        </references>
      </pivotArea>
    </format>
    <format dxfId="3163">
      <pivotArea dataOnly="0" labelOnly="1" outline="0" fieldPosition="0">
        <references count="2">
          <reference field="0" count="1">
            <x v="56"/>
          </reference>
          <reference field="13" count="1" selected="0">
            <x v="44"/>
          </reference>
        </references>
      </pivotArea>
    </format>
    <format dxfId="3162">
      <pivotArea dataOnly="0" labelOnly="1" outline="0" fieldPosition="0">
        <references count="2">
          <reference field="0" count="1">
            <x v="60"/>
          </reference>
          <reference field="13" count="1" selected="0">
            <x v="44"/>
          </reference>
        </references>
      </pivotArea>
    </format>
    <format dxfId="3161">
      <pivotArea dataOnly="0" labelOnly="1" outline="0" fieldPosition="0">
        <references count="2">
          <reference field="0" count="1">
            <x v="63"/>
          </reference>
          <reference field="13" count="1" selected="0">
            <x v="44"/>
          </reference>
        </references>
      </pivotArea>
    </format>
    <format dxfId="3160">
      <pivotArea dataOnly="0" labelOnly="1" outline="0" fieldPosition="0">
        <references count="2">
          <reference field="0" count="1">
            <x v="65"/>
          </reference>
          <reference field="13" count="1" selected="0">
            <x v="44"/>
          </reference>
        </references>
      </pivotArea>
    </format>
    <format dxfId="3159">
      <pivotArea dataOnly="0" labelOnly="1" outline="0" fieldPosition="0">
        <references count="2">
          <reference field="0" count="1">
            <x v="76"/>
          </reference>
          <reference field="13" count="1" selected="0">
            <x v="44"/>
          </reference>
        </references>
      </pivotArea>
    </format>
    <format dxfId="3158">
      <pivotArea dataOnly="0" labelOnly="1" outline="0" fieldPosition="0">
        <references count="2">
          <reference field="0" count="1">
            <x v="82"/>
          </reference>
          <reference field="13" count="1" selected="0">
            <x v="44"/>
          </reference>
        </references>
      </pivotArea>
    </format>
    <format dxfId="3157">
      <pivotArea dataOnly="0" labelOnly="1" outline="0" fieldPosition="0">
        <references count="2">
          <reference field="0" count="1">
            <x v="87"/>
          </reference>
          <reference field="13" count="1" selected="0">
            <x v="44"/>
          </reference>
        </references>
      </pivotArea>
    </format>
    <format dxfId="3156">
      <pivotArea dataOnly="0" labelOnly="1" outline="0" fieldPosition="0">
        <references count="2">
          <reference field="0" count="1">
            <x v="10"/>
          </reference>
          <reference field="13" count="1" selected="0">
            <x v="45"/>
          </reference>
        </references>
      </pivotArea>
    </format>
    <format dxfId="3155">
      <pivotArea dataOnly="0" labelOnly="1" outline="0" fieldPosition="0">
        <references count="2">
          <reference field="0" count="1">
            <x v="20"/>
          </reference>
          <reference field="13" count="1" selected="0">
            <x v="45"/>
          </reference>
        </references>
      </pivotArea>
    </format>
    <format dxfId="3154">
      <pivotArea dataOnly="0" labelOnly="1" outline="0" fieldPosition="0">
        <references count="2">
          <reference field="0" count="1">
            <x v="23"/>
          </reference>
          <reference field="13" count="1" selected="0">
            <x v="45"/>
          </reference>
        </references>
      </pivotArea>
    </format>
    <format dxfId="3153">
      <pivotArea dataOnly="0" labelOnly="1" outline="0" fieldPosition="0">
        <references count="2">
          <reference field="0" count="1">
            <x v="45"/>
          </reference>
          <reference field="13" count="1" selected="0">
            <x v="45"/>
          </reference>
        </references>
      </pivotArea>
    </format>
    <format dxfId="3152">
      <pivotArea dataOnly="0" labelOnly="1" outline="0" fieldPosition="0">
        <references count="2">
          <reference field="0" count="1">
            <x v="50"/>
          </reference>
          <reference field="13" count="1" selected="0">
            <x v="45"/>
          </reference>
        </references>
      </pivotArea>
    </format>
    <format dxfId="3151">
      <pivotArea dataOnly="0" labelOnly="1" outline="0" fieldPosition="0">
        <references count="2">
          <reference field="0" count="1">
            <x v="55"/>
          </reference>
          <reference field="13" count="1" selected="0">
            <x v="45"/>
          </reference>
        </references>
      </pivotArea>
    </format>
    <format dxfId="3150">
      <pivotArea dataOnly="0" labelOnly="1" outline="0" fieldPosition="0">
        <references count="2">
          <reference field="0" count="1">
            <x v="56"/>
          </reference>
          <reference field="13" count="1" selected="0">
            <x v="45"/>
          </reference>
        </references>
      </pivotArea>
    </format>
    <format dxfId="3149">
      <pivotArea dataOnly="0" labelOnly="1" outline="0" fieldPosition="0">
        <references count="2">
          <reference field="0" count="1">
            <x v="63"/>
          </reference>
          <reference field="13" count="1" selected="0">
            <x v="45"/>
          </reference>
        </references>
      </pivotArea>
    </format>
    <format dxfId="3148">
      <pivotArea dataOnly="0" labelOnly="1" outline="0" fieldPosition="0">
        <references count="2">
          <reference field="0" count="1">
            <x v="65"/>
          </reference>
          <reference field="13" count="1" selected="0">
            <x v="45"/>
          </reference>
        </references>
      </pivotArea>
    </format>
    <format dxfId="3147">
      <pivotArea dataOnly="0" labelOnly="1" outline="0" fieldPosition="0">
        <references count="2">
          <reference field="0" count="1">
            <x v="76"/>
          </reference>
          <reference field="13" count="1" selected="0">
            <x v="45"/>
          </reference>
        </references>
      </pivotArea>
    </format>
    <format dxfId="3146">
      <pivotArea dataOnly="0" labelOnly="1" outline="0" fieldPosition="0">
        <references count="2">
          <reference field="0" count="1">
            <x v="82"/>
          </reference>
          <reference field="13" count="1" selected="0">
            <x v="45"/>
          </reference>
        </references>
      </pivotArea>
    </format>
    <format dxfId="3145">
      <pivotArea dataOnly="0" labelOnly="1" outline="0" fieldPosition="0">
        <references count="2">
          <reference field="0" count="1">
            <x v="3"/>
          </reference>
          <reference field="13" count="1" selected="0">
            <x v="46"/>
          </reference>
        </references>
      </pivotArea>
    </format>
    <format dxfId="3144">
      <pivotArea dataOnly="0" labelOnly="1" outline="0" fieldPosition="0">
        <references count="2">
          <reference field="0" count="1">
            <x v="4"/>
          </reference>
          <reference field="13" count="1" selected="0">
            <x v="46"/>
          </reference>
        </references>
      </pivotArea>
    </format>
    <format dxfId="3143">
      <pivotArea dataOnly="0" labelOnly="1" outline="0" fieldPosition="0">
        <references count="2">
          <reference field="0" count="1">
            <x v="7"/>
          </reference>
          <reference field="13" count="1" selected="0">
            <x v="46"/>
          </reference>
        </references>
      </pivotArea>
    </format>
    <format dxfId="3142">
      <pivotArea dataOnly="0" labelOnly="1" outline="0" fieldPosition="0">
        <references count="2">
          <reference field="0" count="1">
            <x v="10"/>
          </reference>
          <reference field="13" count="1" selected="0">
            <x v="46"/>
          </reference>
        </references>
      </pivotArea>
    </format>
    <format dxfId="3141">
      <pivotArea dataOnly="0" labelOnly="1" outline="0" fieldPosition="0">
        <references count="2">
          <reference field="0" count="1">
            <x v="15"/>
          </reference>
          <reference field="13" count="1" selected="0">
            <x v="46"/>
          </reference>
        </references>
      </pivotArea>
    </format>
    <format dxfId="3140">
      <pivotArea dataOnly="0" labelOnly="1" outline="0" fieldPosition="0">
        <references count="2">
          <reference field="0" count="1">
            <x v="17"/>
          </reference>
          <reference field="13" count="1" selected="0">
            <x v="46"/>
          </reference>
        </references>
      </pivotArea>
    </format>
    <format dxfId="3139">
      <pivotArea dataOnly="0" labelOnly="1" outline="0" fieldPosition="0">
        <references count="2">
          <reference field="0" count="1">
            <x v="20"/>
          </reference>
          <reference field="13" count="1" selected="0">
            <x v="46"/>
          </reference>
        </references>
      </pivotArea>
    </format>
    <format dxfId="3138">
      <pivotArea dataOnly="0" labelOnly="1" outline="0" fieldPosition="0">
        <references count="2">
          <reference field="0" count="1">
            <x v="21"/>
          </reference>
          <reference field="13" count="1" selected="0">
            <x v="46"/>
          </reference>
        </references>
      </pivotArea>
    </format>
    <format dxfId="3137">
      <pivotArea dataOnly="0" labelOnly="1" outline="0" fieldPosition="0">
        <references count="2">
          <reference field="0" count="1">
            <x v="34"/>
          </reference>
          <reference field="13" count="1" selected="0">
            <x v="46"/>
          </reference>
        </references>
      </pivotArea>
    </format>
    <format dxfId="3136">
      <pivotArea dataOnly="0" labelOnly="1" outline="0" fieldPosition="0">
        <references count="2">
          <reference field="0" count="1">
            <x v="36"/>
          </reference>
          <reference field="13" count="1" selected="0">
            <x v="46"/>
          </reference>
        </references>
      </pivotArea>
    </format>
    <format dxfId="3135">
      <pivotArea dataOnly="0" labelOnly="1" outline="0" fieldPosition="0">
        <references count="2">
          <reference field="0" count="1">
            <x v="44"/>
          </reference>
          <reference field="13" count="1" selected="0">
            <x v="46"/>
          </reference>
        </references>
      </pivotArea>
    </format>
    <format dxfId="3134">
      <pivotArea dataOnly="0" labelOnly="1" outline="0" fieldPosition="0">
        <references count="2">
          <reference field="0" count="1">
            <x v="47"/>
          </reference>
          <reference field="13" count="1" selected="0">
            <x v="46"/>
          </reference>
        </references>
      </pivotArea>
    </format>
    <format dxfId="3133">
      <pivotArea dataOnly="0" labelOnly="1" outline="0" fieldPosition="0">
        <references count="2">
          <reference field="0" count="1">
            <x v="50"/>
          </reference>
          <reference field="13" count="1" selected="0">
            <x v="46"/>
          </reference>
        </references>
      </pivotArea>
    </format>
    <format dxfId="3132">
      <pivotArea dataOnly="0" labelOnly="1" outline="0" fieldPosition="0">
        <references count="2">
          <reference field="0" count="1">
            <x v="53"/>
          </reference>
          <reference field="13" count="1" selected="0">
            <x v="46"/>
          </reference>
        </references>
      </pivotArea>
    </format>
    <format dxfId="3131">
      <pivotArea dataOnly="0" labelOnly="1" outline="0" fieldPosition="0">
        <references count="2">
          <reference field="0" count="1">
            <x v="55"/>
          </reference>
          <reference field="13" count="1" selected="0">
            <x v="46"/>
          </reference>
        </references>
      </pivotArea>
    </format>
    <format dxfId="3130">
      <pivotArea dataOnly="0" labelOnly="1" outline="0" fieldPosition="0">
        <references count="2">
          <reference field="0" count="1">
            <x v="56"/>
          </reference>
          <reference field="13" count="1" selected="0">
            <x v="46"/>
          </reference>
        </references>
      </pivotArea>
    </format>
    <format dxfId="3129">
      <pivotArea dataOnly="0" labelOnly="1" outline="0" fieldPosition="0">
        <references count="2">
          <reference field="0" count="1">
            <x v="57"/>
          </reference>
          <reference field="13" count="1" selected="0">
            <x v="46"/>
          </reference>
        </references>
      </pivotArea>
    </format>
    <format dxfId="3128">
      <pivotArea dataOnly="0" labelOnly="1" outline="0" fieldPosition="0">
        <references count="2">
          <reference field="0" count="1">
            <x v="59"/>
          </reference>
          <reference field="13" count="1" selected="0">
            <x v="46"/>
          </reference>
        </references>
      </pivotArea>
    </format>
    <format dxfId="3127">
      <pivotArea dataOnly="0" labelOnly="1" outline="0" fieldPosition="0">
        <references count="2">
          <reference field="0" count="1">
            <x v="63"/>
          </reference>
          <reference field="13" count="1" selected="0">
            <x v="46"/>
          </reference>
        </references>
      </pivotArea>
    </format>
    <format dxfId="3126">
      <pivotArea dataOnly="0" labelOnly="1" outline="0" fieldPosition="0">
        <references count="2">
          <reference field="0" count="1">
            <x v="64"/>
          </reference>
          <reference field="13" count="1" selected="0">
            <x v="46"/>
          </reference>
        </references>
      </pivotArea>
    </format>
    <format dxfId="3125">
      <pivotArea dataOnly="0" labelOnly="1" outline="0" fieldPosition="0">
        <references count="2">
          <reference field="0" count="1">
            <x v="65"/>
          </reference>
          <reference field="13" count="1" selected="0">
            <x v="46"/>
          </reference>
        </references>
      </pivotArea>
    </format>
    <format dxfId="3124">
      <pivotArea dataOnly="0" labelOnly="1" outline="0" fieldPosition="0">
        <references count="2">
          <reference field="0" count="1">
            <x v="66"/>
          </reference>
          <reference field="13" count="1" selected="0">
            <x v="46"/>
          </reference>
        </references>
      </pivotArea>
    </format>
    <format dxfId="3123">
      <pivotArea dataOnly="0" labelOnly="1" outline="0" fieldPosition="0">
        <references count="2">
          <reference field="0" count="1">
            <x v="72"/>
          </reference>
          <reference field="13" count="1" selected="0">
            <x v="46"/>
          </reference>
        </references>
      </pivotArea>
    </format>
    <format dxfId="3122">
      <pivotArea dataOnly="0" labelOnly="1" outline="0" fieldPosition="0">
        <references count="2">
          <reference field="0" count="1">
            <x v="76"/>
          </reference>
          <reference field="13" count="1" selected="0">
            <x v="46"/>
          </reference>
        </references>
      </pivotArea>
    </format>
    <format dxfId="3121">
      <pivotArea dataOnly="0" labelOnly="1" outline="0" fieldPosition="0">
        <references count="2">
          <reference field="0" count="1">
            <x v="78"/>
          </reference>
          <reference field="13" count="1" selected="0">
            <x v="46"/>
          </reference>
        </references>
      </pivotArea>
    </format>
    <format dxfId="3120">
      <pivotArea dataOnly="0" labelOnly="1" outline="0" fieldPosition="0">
        <references count="2">
          <reference field="0" count="1">
            <x v="82"/>
          </reference>
          <reference field="13" count="1" selected="0">
            <x v="46"/>
          </reference>
        </references>
      </pivotArea>
    </format>
    <format dxfId="3119">
      <pivotArea dataOnly="0" labelOnly="1" outline="0" fieldPosition="0">
        <references count="2">
          <reference field="0" count="1">
            <x v="83"/>
          </reference>
          <reference field="13" count="1" selected="0">
            <x v="46"/>
          </reference>
        </references>
      </pivotArea>
    </format>
    <format dxfId="3118">
      <pivotArea dataOnly="0" labelOnly="1" outline="0" fieldPosition="0">
        <references count="2">
          <reference field="0" count="1">
            <x v="84"/>
          </reference>
          <reference field="13" count="1" selected="0">
            <x v="46"/>
          </reference>
        </references>
      </pivotArea>
    </format>
    <format dxfId="3117">
      <pivotArea dataOnly="0" labelOnly="1" outline="0" fieldPosition="0">
        <references count="2">
          <reference field="0" count="1">
            <x v="87"/>
          </reference>
          <reference field="13" count="1" selected="0">
            <x v="46"/>
          </reference>
        </references>
      </pivotArea>
    </format>
    <format dxfId="3116">
      <pivotArea dataOnly="0" labelOnly="1" outline="0" fieldPosition="0">
        <references count="2">
          <reference field="0" count="1">
            <x v="88"/>
          </reference>
          <reference field="13" count="1" selected="0">
            <x v="46"/>
          </reference>
        </references>
      </pivotArea>
    </format>
    <format dxfId="3115">
      <pivotArea dataOnly="0" labelOnly="1" outline="0" fieldPosition="0">
        <references count="2">
          <reference field="0" count="1">
            <x v="89"/>
          </reference>
          <reference field="13" count="1" selected="0">
            <x v="46"/>
          </reference>
        </references>
      </pivotArea>
    </format>
    <format dxfId="3114">
      <pivotArea dataOnly="0" labelOnly="1" outline="0" fieldPosition="0">
        <references count="2">
          <reference field="0" count="1">
            <x v="4"/>
          </reference>
          <reference field="13" count="1" selected="0">
            <x v="47"/>
          </reference>
        </references>
      </pivotArea>
    </format>
    <format dxfId="3113">
      <pivotArea dataOnly="0" labelOnly="1" outline="0" fieldPosition="0">
        <references count="2">
          <reference field="0" count="1">
            <x v="10"/>
          </reference>
          <reference field="13" count="1" selected="0">
            <x v="47"/>
          </reference>
        </references>
      </pivotArea>
    </format>
    <format dxfId="3112">
      <pivotArea dataOnly="0" labelOnly="1" outline="0" fieldPosition="0">
        <references count="2">
          <reference field="0" count="1">
            <x v="15"/>
          </reference>
          <reference field="13" count="1" selected="0">
            <x v="47"/>
          </reference>
        </references>
      </pivotArea>
    </format>
    <format dxfId="3111">
      <pivotArea dataOnly="0" labelOnly="1" outline="0" fieldPosition="0">
        <references count="2">
          <reference field="0" count="1">
            <x v="20"/>
          </reference>
          <reference field="13" count="1" selected="0">
            <x v="47"/>
          </reference>
        </references>
      </pivotArea>
    </format>
    <format dxfId="3110">
      <pivotArea dataOnly="0" labelOnly="1" outline="0" fieldPosition="0">
        <references count="2">
          <reference field="0" count="1">
            <x v="21"/>
          </reference>
          <reference field="13" count="1" selected="0">
            <x v="47"/>
          </reference>
        </references>
      </pivotArea>
    </format>
    <format dxfId="3109">
      <pivotArea dataOnly="0" labelOnly="1" outline="0" fieldPosition="0">
        <references count="2">
          <reference field="0" count="1">
            <x v="25"/>
          </reference>
          <reference field="13" count="1" selected="0">
            <x v="47"/>
          </reference>
        </references>
      </pivotArea>
    </format>
    <format dxfId="3108">
      <pivotArea dataOnly="0" labelOnly="1" outline="0" fieldPosition="0">
        <references count="2">
          <reference field="0" count="1">
            <x v="33"/>
          </reference>
          <reference field="13" count="1" selected="0">
            <x v="47"/>
          </reference>
        </references>
      </pivotArea>
    </format>
    <format dxfId="3107">
      <pivotArea dataOnly="0" labelOnly="1" outline="0" fieldPosition="0">
        <references count="2">
          <reference field="0" count="1">
            <x v="35"/>
          </reference>
          <reference field="13" count="1" selected="0">
            <x v="47"/>
          </reference>
        </references>
      </pivotArea>
    </format>
    <format dxfId="3106">
      <pivotArea dataOnly="0" labelOnly="1" outline="0" fieldPosition="0">
        <references count="2">
          <reference field="0" count="1">
            <x v="38"/>
          </reference>
          <reference field="13" count="1" selected="0">
            <x v="47"/>
          </reference>
        </references>
      </pivotArea>
    </format>
    <format dxfId="3105">
      <pivotArea dataOnly="0" labelOnly="1" outline="0" fieldPosition="0">
        <references count="2">
          <reference field="0" count="1">
            <x v="40"/>
          </reference>
          <reference field="13" count="1" selected="0">
            <x v="47"/>
          </reference>
        </references>
      </pivotArea>
    </format>
    <format dxfId="3104">
      <pivotArea dataOnly="0" labelOnly="1" outline="0" fieldPosition="0">
        <references count="2">
          <reference field="0" count="1">
            <x v="47"/>
          </reference>
          <reference field="13" count="1" selected="0">
            <x v="47"/>
          </reference>
        </references>
      </pivotArea>
    </format>
    <format dxfId="3103">
      <pivotArea dataOnly="0" labelOnly="1" outline="0" fieldPosition="0">
        <references count="2">
          <reference field="0" count="1">
            <x v="49"/>
          </reference>
          <reference field="13" count="1" selected="0">
            <x v="47"/>
          </reference>
        </references>
      </pivotArea>
    </format>
    <format dxfId="3102">
      <pivotArea dataOnly="0" labelOnly="1" outline="0" fieldPosition="0">
        <references count="2">
          <reference field="0" count="1">
            <x v="50"/>
          </reference>
          <reference field="13" count="1" selected="0">
            <x v="47"/>
          </reference>
        </references>
      </pivotArea>
    </format>
    <format dxfId="3101">
      <pivotArea dataOnly="0" labelOnly="1" outline="0" fieldPosition="0">
        <references count="2">
          <reference field="0" count="1">
            <x v="52"/>
          </reference>
          <reference field="13" count="1" selected="0">
            <x v="47"/>
          </reference>
        </references>
      </pivotArea>
    </format>
    <format dxfId="3100">
      <pivotArea dataOnly="0" labelOnly="1" outline="0" fieldPosition="0">
        <references count="2">
          <reference field="0" count="1">
            <x v="54"/>
          </reference>
          <reference field="13" count="1" selected="0">
            <x v="47"/>
          </reference>
        </references>
      </pivotArea>
    </format>
    <format dxfId="3099">
      <pivotArea dataOnly="0" labelOnly="1" outline="0" fieldPosition="0">
        <references count="2">
          <reference field="0" count="1">
            <x v="55"/>
          </reference>
          <reference field="13" count="1" selected="0">
            <x v="47"/>
          </reference>
        </references>
      </pivotArea>
    </format>
    <format dxfId="3098">
      <pivotArea dataOnly="0" labelOnly="1" outline="0" fieldPosition="0">
        <references count="2">
          <reference field="0" count="1">
            <x v="56"/>
          </reference>
          <reference field="13" count="1" selected="0">
            <x v="47"/>
          </reference>
        </references>
      </pivotArea>
    </format>
    <format dxfId="3097">
      <pivotArea dataOnly="0" labelOnly="1" outline="0" fieldPosition="0">
        <references count="2">
          <reference field="0" count="1">
            <x v="57"/>
          </reference>
          <reference field="13" count="1" selected="0">
            <x v="47"/>
          </reference>
        </references>
      </pivotArea>
    </format>
    <format dxfId="3096">
      <pivotArea dataOnly="0" labelOnly="1" outline="0" fieldPosition="0">
        <references count="2">
          <reference field="0" count="1">
            <x v="58"/>
          </reference>
          <reference field="13" count="1" selected="0">
            <x v="47"/>
          </reference>
        </references>
      </pivotArea>
    </format>
    <format dxfId="3095">
      <pivotArea dataOnly="0" labelOnly="1" outline="0" fieldPosition="0">
        <references count="2">
          <reference field="0" count="1">
            <x v="59"/>
          </reference>
          <reference field="13" count="1" selected="0">
            <x v="47"/>
          </reference>
        </references>
      </pivotArea>
    </format>
    <format dxfId="3094">
      <pivotArea dataOnly="0" labelOnly="1" outline="0" fieldPosition="0">
        <references count="2">
          <reference field="0" count="1">
            <x v="63"/>
          </reference>
          <reference field="13" count="1" selected="0">
            <x v="47"/>
          </reference>
        </references>
      </pivotArea>
    </format>
    <format dxfId="3093">
      <pivotArea dataOnly="0" labelOnly="1" outline="0" fieldPosition="0">
        <references count="2">
          <reference field="0" count="1">
            <x v="64"/>
          </reference>
          <reference field="13" count="1" selected="0">
            <x v="47"/>
          </reference>
        </references>
      </pivotArea>
    </format>
    <format dxfId="3092">
      <pivotArea dataOnly="0" labelOnly="1" outline="0" fieldPosition="0">
        <references count="2">
          <reference field="0" count="1">
            <x v="70"/>
          </reference>
          <reference field="13" count="1" selected="0">
            <x v="47"/>
          </reference>
        </references>
      </pivotArea>
    </format>
    <format dxfId="3091">
      <pivotArea dataOnly="0" labelOnly="1" outline="0" fieldPosition="0">
        <references count="2">
          <reference field="0" count="1">
            <x v="76"/>
          </reference>
          <reference field="13" count="1" selected="0">
            <x v="47"/>
          </reference>
        </references>
      </pivotArea>
    </format>
    <format dxfId="3090">
      <pivotArea dataOnly="0" labelOnly="1" outline="0" fieldPosition="0">
        <references count="2">
          <reference field="0" count="1">
            <x v="80"/>
          </reference>
          <reference field="13" count="1" selected="0">
            <x v="47"/>
          </reference>
        </references>
      </pivotArea>
    </format>
    <format dxfId="3089">
      <pivotArea dataOnly="0" labelOnly="1" outline="0" fieldPosition="0">
        <references count="2">
          <reference field="0" count="1">
            <x v="82"/>
          </reference>
          <reference field="13" count="1" selected="0">
            <x v="47"/>
          </reference>
        </references>
      </pivotArea>
    </format>
    <format dxfId="3088">
      <pivotArea dataOnly="0" labelOnly="1" outline="0" fieldPosition="0">
        <references count="2">
          <reference field="0" count="1">
            <x v="83"/>
          </reference>
          <reference field="13" count="1" selected="0">
            <x v="47"/>
          </reference>
        </references>
      </pivotArea>
    </format>
    <format dxfId="3087">
      <pivotArea dataOnly="0" labelOnly="1" outline="0" fieldPosition="0">
        <references count="2">
          <reference field="0" count="1">
            <x v="84"/>
          </reference>
          <reference field="13" count="1" selected="0">
            <x v="47"/>
          </reference>
        </references>
      </pivotArea>
    </format>
    <format dxfId="3086">
      <pivotArea dataOnly="0" labelOnly="1" outline="0" fieldPosition="0">
        <references count="2">
          <reference field="0" count="1">
            <x v="85"/>
          </reference>
          <reference field="13" count="1" selected="0">
            <x v="47"/>
          </reference>
        </references>
      </pivotArea>
    </format>
    <format dxfId="3085">
      <pivotArea dataOnly="0" labelOnly="1" outline="0" fieldPosition="0">
        <references count="2">
          <reference field="0" count="1">
            <x v="87"/>
          </reference>
          <reference field="13" count="1" selected="0">
            <x v="47"/>
          </reference>
        </references>
      </pivotArea>
    </format>
    <format dxfId="3084">
      <pivotArea dataOnly="0" labelOnly="1" outline="0" fieldPosition="0">
        <references count="2">
          <reference field="0" count="1">
            <x v="1"/>
          </reference>
          <reference field="13" count="1" selected="0">
            <x v="48"/>
          </reference>
        </references>
      </pivotArea>
    </format>
    <format dxfId="3083">
      <pivotArea dataOnly="0" labelOnly="1" outline="0" fieldPosition="0">
        <references count="2">
          <reference field="0" count="1">
            <x v="4"/>
          </reference>
          <reference field="13" count="1" selected="0">
            <x v="48"/>
          </reference>
        </references>
      </pivotArea>
    </format>
    <format dxfId="3082">
      <pivotArea dataOnly="0" labelOnly="1" outline="0" fieldPosition="0">
        <references count="2">
          <reference field="0" count="1">
            <x v="8"/>
          </reference>
          <reference field="13" count="1" selected="0">
            <x v="48"/>
          </reference>
        </references>
      </pivotArea>
    </format>
    <format dxfId="3081">
      <pivotArea dataOnly="0" labelOnly="1" outline="0" fieldPosition="0">
        <references count="2">
          <reference field="0" count="1">
            <x v="10"/>
          </reference>
          <reference field="13" count="1" selected="0">
            <x v="48"/>
          </reference>
        </references>
      </pivotArea>
    </format>
    <format dxfId="3080">
      <pivotArea dataOnly="0" labelOnly="1" outline="0" fieldPosition="0">
        <references count="2">
          <reference field="0" count="1">
            <x v="15"/>
          </reference>
          <reference field="13" count="1" selected="0">
            <x v="48"/>
          </reference>
        </references>
      </pivotArea>
    </format>
    <format dxfId="3079">
      <pivotArea dataOnly="0" labelOnly="1" outline="0" fieldPosition="0">
        <references count="2">
          <reference field="0" count="1">
            <x v="20"/>
          </reference>
          <reference field="13" count="1" selected="0">
            <x v="48"/>
          </reference>
        </references>
      </pivotArea>
    </format>
    <format dxfId="3078">
      <pivotArea dataOnly="0" labelOnly="1" outline="0" fieldPosition="0">
        <references count="2">
          <reference field="0" count="1">
            <x v="21"/>
          </reference>
          <reference field="13" count="1" selected="0">
            <x v="48"/>
          </reference>
        </references>
      </pivotArea>
    </format>
    <format dxfId="3077">
      <pivotArea dataOnly="0" labelOnly="1" outline="0" fieldPosition="0">
        <references count="2">
          <reference field="0" count="1">
            <x v="30"/>
          </reference>
          <reference field="13" count="1" selected="0">
            <x v="48"/>
          </reference>
        </references>
      </pivotArea>
    </format>
    <format dxfId="3076">
      <pivotArea dataOnly="0" labelOnly="1" outline="0" fieldPosition="0">
        <references count="2">
          <reference field="0" count="1">
            <x v="36"/>
          </reference>
          <reference field="13" count="1" selected="0">
            <x v="48"/>
          </reference>
        </references>
      </pivotArea>
    </format>
    <format dxfId="3075">
      <pivotArea dataOnly="0" labelOnly="1" outline="0" fieldPosition="0">
        <references count="2">
          <reference field="0" count="1">
            <x v="47"/>
          </reference>
          <reference field="13" count="1" selected="0">
            <x v="48"/>
          </reference>
        </references>
      </pivotArea>
    </format>
    <format dxfId="3074">
      <pivotArea dataOnly="0" labelOnly="1" outline="0" fieldPosition="0">
        <references count="2">
          <reference field="0" count="1">
            <x v="50"/>
          </reference>
          <reference field="13" count="1" selected="0">
            <x v="48"/>
          </reference>
        </references>
      </pivotArea>
    </format>
    <format dxfId="3073">
      <pivotArea dataOnly="0" labelOnly="1" outline="0" fieldPosition="0">
        <references count="2">
          <reference field="0" count="1">
            <x v="55"/>
          </reference>
          <reference field="13" count="1" selected="0">
            <x v="48"/>
          </reference>
        </references>
      </pivotArea>
    </format>
    <format dxfId="3072">
      <pivotArea dataOnly="0" labelOnly="1" outline="0" fieldPosition="0">
        <references count="2">
          <reference field="0" count="1">
            <x v="56"/>
          </reference>
          <reference field="13" count="1" selected="0">
            <x v="48"/>
          </reference>
        </references>
      </pivotArea>
    </format>
    <format dxfId="3071">
      <pivotArea dataOnly="0" labelOnly="1" outline="0" fieldPosition="0">
        <references count="2">
          <reference field="0" count="1">
            <x v="59"/>
          </reference>
          <reference field="13" count="1" selected="0">
            <x v="48"/>
          </reference>
        </references>
      </pivotArea>
    </format>
    <format dxfId="3070">
      <pivotArea dataOnly="0" labelOnly="1" outline="0" fieldPosition="0">
        <references count="2">
          <reference field="0" count="1">
            <x v="61"/>
          </reference>
          <reference field="13" count="1" selected="0">
            <x v="48"/>
          </reference>
        </references>
      </pivotArea>
    </format>
    <format dxfId="3069">
      <pivotArea dataOnly="0" labelOnly="1" outline="0" fieldPosition="0">
        <references count="2">
          <reference field="0" count="1">
            <x v="63"/>
          </reference>
          <reference field="13" count="1" selected="0">
            <x v="48"/>
          </reference>
        </references>
      </pivotArea>
    </format>
    <format dxfId="3068">
      <pivotArea dataOnly="0" labelOnly="1" outline="0" fieldPosition="0">
        <references count="2">
          <reference field="0" count="1">
            <x v="65"/>
          </reference>
          <reference field="13" count="1" selected="0">
            <x v="48"/>
          </reference>
        </references>
      </pivotArea>
    </format>
    <format dxfId="3067">
      <pivotArea dataOnly="0" labelOnly="1" outline="0" fieldPosition="0">
        <references count="2">
          <reference field="0" count="1">
            <x v="76"/>
          </reference>
          <reference field="13" count="1" selected="0">
            <x v="48"/>
          </reference>
        </references>
      </pivotArea>
    </format>
    <format dxfId="3066">
      <pivotArea dataOnly="0" labelOnly="1" outline="0" fieldPosition="0">
        <references count="2">
          <reference field="0" count="1">
            <x v="82"/>
          </reference>
          <reference field="13" count="1" selected="0">
            <x v="48"/>
          </reference>
        </references>
      </pivotArea>
    </format>
    <format dxfId="3065">
      <pivotArea dataOnly="0" labelOnly="1" outline="0" fieldPosition="0">
        <references count="2">
          <reference field="0" count="1">
            <x v="87"/>
          </reference>
          <reference field="13" count="1" selected="0">
            <x v="48"/>
          </reference>
        </references>
      </pivotArea>
    </format>
    <format dxfId="3064">
      <pivotArea dataOnly="0" labelOnly="1" outline="0" fieldPosition="0">
        <references count="2">
          <reference field="0" count="1">
            <x v="2"/>
          </reference>
          <reference field="13" count="1" selected="0">
            <x v="49"/>
          </reference>
        </references>
      </pivotArea>
    </format>
    <format dxfId="3063">
      <pivotArea dataOnly="0" labelOnly="1" outline="0" fieldPosition="0">
        <references count="2">
          <reference field="0" count="1">
            <x v="10"/>
          </reference>
          <reference field="13" count="1" selected="0">
            <x v="49"/>
          </reference>
        </references>
      </pivotArea>
    </format>
    <format dxfId="3062">
      <pivotArea dataOnly="0" labelOnly="1" outline="0" fieldPosition="0">
        <references count="2">
          <reference field="0" count="1">
            <x v="20"/>
          </reference>
          <reference field="13" count="1" selected="0">
            <x v="49"/>
          </reference>
        </references>
      </pivotArea>
    </format>
    <format dxfId="3061">
      <pivotArea dataOnly="0" labelOnly="1" outline="0" fieldPosition="0">
        <references count="2">
          <reference field="0" count="1">
            <x v="50"/>
          </reference>
          <reference field="13" count="1" selected="0">
            <x v="49"/>
          </reference>
        </references>
      </pivotArea>
    </format>
    <format dxfId="3060">
      <pivotArea dataOnly="0" labelOnly="1" outline="0" fieldPosition="0">
        <references count="2">
          <reference field="0" count="1">
            <x v="55"/>
          </reference>
          <reference field="13" count="1" selected="0">
            <x v="49"/>
          </reference>
        </references>
      </pivotArea>
    </format>
    <format dxfId="3059">
      <pivotArea dataOnly="0" labelOnly="1" outline="0" fieldPosition="0">
        <references count="2">
          <reference field="0" count="1">
            <x v="56"/>
          </reference>
          <reference field="13" count="1" selected="0">
            <x v="49"/>
          </reference>
        </references>
      </pivotArea>
    </format>
    <format dxfId="3058">
      <pivotArea dataOnly="0" labelOnly="1" outline="0" fieldPosition="0">
        <references count="2">
          <reference field="0" count="1">
            <x v="60"/>
          </reference>
          <reference field="13" count="1" selected="0">
            <x v="49"/>
          </reference>
        </references>
      </pivotArea>
    </format>
    <format dxfId="3057">
      <pivotArea dataOnly="0" labelOnly="1" outline="0" fieldPosition="0">
        <references count="2">
          <reference field="0" count="1">
            <x v="69"/>
          </reference>
          <reference field="13" count="1" selected="0">
            <x v="49"/>
          </reference>
        </references>
      </pivotArea>
    </format>
    <format dxfId="3056">
      <pivotArea dataOnly="0" labelOnly="1" outline="0" fieldPosition="0">
        <references count="2">
          <reference field="0" count="1">
            <x v="76"/>
          </reference>
          <reference field="13" count="1" selected="0">
            <x v="49"/>
          </reference>
        </references>
      </pivotArea>
    </format>
    <format dxfId="3055">
      <pivotArea dataOnly="0" labelOnly="1" outline="0" fieldPosition="0">
        <references count="2">
          <reference field="0" count="1">
            <x v="82"/>
          </reference>
          <reference field="13" count="1" selected="0">
            <x v="49"/>
          </reference>
        </references>
      </pivotArea>
    </format>
    <format dxfId="3054">
      <pivotArea dataOnly="0" labelOnly="1" outline="0" fieldPosition="0">
        <references count="2">
          <reference field="0" count="1">
            <x v="4"/>
          </reference>
          <reference field="13" count="1" selected="0">
            <x v="50"/>
          </reference>
        </references>
      </pivotArea>
    </format>
    <format dxfId="3053">
      <pivotArea dataOnly="0" labelOnly="1" outline="0" fieldPosition="0">
        <references count="2">
          <reference field="0" count="1">
            <x v="10"/>
          </reference>
          <reference field="13" count="1" selected="0">
            <x v="50"/>
          </reference>
        </references>
      </pivotArea>
    </format>
    <format dxfId="3052">
      <pivotArea dataOnly="0" labelOnly="1" outline="0" fieldPosition="0">
        <references count="2">
          <reference field="0" count="1">
            <x v="15"/>
          </reference>
          <reference field="13" count="1" selected="0">
            <x v="50"/>
          </reference>
        </references>
      </pivotArea>
    </format>
    <format dxfId="3051">
      <pivotArea dataOnly="0" labelOnly="1" outline="0" fieldPosition="0">
        <references count="2">
          <reference field="0" count="1">
            <x v="20"/>
          </reference>
          <reference field="13" count="1" selected="0">
            <x v="50"/>
          </reference>
        </references>
      </pivotArea>
    </format>
    <format dxfId="3050">
      <pivotArea dataOnly="0" labelOnly="1" outline="0" fieldPosition="0">
        <references count="2">
          <reference field="0" count="1">
            <x v="21"/>
          </reference>
          <reference field="13" count="1" selected="0">
            <x v="50"/>
          </reference>
        </references>
      </pivotArea>
    </format>
    <format dxfId="3049">
      <pivotArea dataOnly="0" labelOnly="1" outline="0" fieldPosition="0">
        <references count="2">
          <reference field="0" count="1">
            <x v="25"/>
          </reference>
          <reference field="13" count="1" selected="0">
            <x v="50"/>
          </reference>
        </references>
      </pivotArea>
    </format>
    <format dxfId="3048">
      <pivotArea dataOnly="0" labelOnly="1" outline="0" fieldPosition="0">
        <references count="2">
          <reference field="0" count="1">
            <x v="26"/>
          </reference>
          <reference field="13" count="1" selected="0">
            <x v="50"/>
          </reference>
        </references>
      </pivotArea>
    </format>
    <format dxfId="3047">
      <pivotArea dataOnly="0" labelOnly="1" outline="0" fieldPosition="0">
        <references count="2">
          <reference field="0" count="1">
            <x v="29"/>
          </reference>
          <reference field="13" count="1" selected="0">
            <x v="50"/>
          </reference>
        </references>
      </pivotArea>
    </format>
    <format dxfId="3046">
      <pivotArea dataOnly="0" labelOnly="1" outline="0" fieldPosition="0">
        <references count="2">
          <reference field="0" count="1">
            <x v="35"/>
          </reference>
          <reference field="13" count="1" selected="0">
            <x v="50"/>
          </reference>
        </references>
      </pivotArea>
    </format>
    <format dxfId="3045">
      <pivotArea dataOnly="0" labelOnly="1" outline="0" fieldPosition="0">
        <references count="2">
          <reference field="0" count="1">
            <x v="36"/>
          </reference>
          <reference field="13" count="1" selected="0">
            <x v="50"/>
          </reference>
        </references>
      </pivotArea>
    </format>
    <format dxfId="3044">
      <pivotArea dataOnly="0" labelOnly="1" outline="0" fieldPosition="0">
        <references count="2">
          <reference field="0" count="1">
            <x v="37"/>
          </reference>
          <reference field="13" count="1" selected="0">
            <x v="50"/>
          </reference>
        </references>
      </pivotArea>
    </format>
    <format dxfId="3043">
      <pivotArea dataOnly="0" labelOnly="1" outline="0" fieldPosition="0">
        <references count="2">
          <reference field="0" count="1">
            <x v="38"/>
          </reference>
          <reference field="13" count="1" selected="0">
            <x v="50"/>
          </reference>
        </references>
      </pivotArea>
    </format>
    <format dxfId="3042">
      <pivotArea dataOnly="0" labelOnly="1" outline="0" fieldPosition="0">
        <references count="2">
          <reference field="0" count="1">
            <x v="40"/>
          </reference>
          <reference field="13" count="1" selected="0">
            <x v="50"/>
          </reference>
        </references>
      </pivotArea>
    </format>
    <format dxfId="3041">
      <pivotArea dataOnly="0" labelOnly="1" outline="0" fieldPosition="0">
        <references count="2">
          <reference field="0" count="1">
            <x v="45"/>
          </reference>
          <reference field="13" count="1" selected="0">
            <x v="50"/>
          </reference>
        </references>
      </pivotArea>
    </format>
    <format dxfId="3040">
      <pivotArea dataOnly="0" labelOnly="1" outline="0" fieldPosition="0">
        <references count="2">
          <reference field="0" count="1">
            <x v="47"/>
          </reference>
          <reference field="13" count="1" selected="0">
            <x v="50"/>
          </reference>
        </references>
      </pivotArea>
    </format>
    <format dxfId="3039">
      <pivotArea dataOnly="0" labelOnly="1" outline="0" fieldPosition="0">
        <references count="2">
          <reference field="0" count="1">
            <x v="49"/>
          </reference>
          <reference field="13" count="1" selected="0">
            <x v="50"/>
          </reference>
        </references>
      </pivotArea>
    </format>
    <format dxfId="3038">
      <pivotArea dataOnly="0" labelOnly="1" outline="0" fieldPosition="0">
        <references count="2">
          <reference field="0" count="1">
            <x v="50"/>
          </reference>
          <reference field="13" count="1" selected="0">
            <x v="50"/>
          </reference>
        </references>
      </pivotArea>
    </format>
    <format dxfId="3037">
      <pivotArea dataOnly="0" labelOnly="1" outline="0" fieldPosition="0">
        <references count="2">
          <reference field="0" count="1">
            <x v="54"/>
          </reference>
          <reference field="13" count="1" selected="0">
            <x v="50"/>
          </reference>
        </references>
      </pivotArea>
    </format>
    <format dxfId="3036">
      <pivotArea dataOnly="0" labelOnly="1" outline="0" fieldPosition="0">
        <references count="2">
          <reference field="0" count="1">
            <x v="55"/>
          </reference>
          <reference field="13" count="1" selected="0">
            <x v="50"/>
          </reference>
        </references>
      </pivotArea>
    </format>
    <format dxfId="3035">
      <pivotArea dataOnly="0" labelOnly="1" outline="0" fieldPosition="0">
        <references count="2">
          <reference field="0" count="1">
            <x v="56"/>
          </reference>
          <reference field="13" count="1" selected="0">
            <x v="50"/>
          </reference>
        </references>
      </pivotArea>
    </format>
    <format dxfId="3034">
      <pivotArea dataOnly="0" labelOnly="1" outline="0" fieldPosition="0">
        <references count="2">
          <reference field="0" count="1">
            <x v="57"/>
          </reference>
          <reference field="13" count="1" selected="0">
            <x v="50"/>
          </reference>
        </references>
      </pivotArea>
    </format>
    <format dxfId="3033">
      <pivotArea dataOnly="0" labelOnly="1" outline="0" fieldPosition="0">
        <references count="2">
          <reference field="0" count="1">
            <x v="59"/>
          </reference>
          <reference field="13" count="1" selected="0">
            <x v="50"/>
          </reference>
        </references>
      </pivotArea>
    </format>
    <format dxfId="3032">
      <pivotArea dataOnly="0" labelOnly="1" outline="0" fieldPosition="0">
        <references count="2">
          <reference field="0" count="1">
            <x v="60"/>
          </reference>
          <reference field="13" count="1" selected="0">
            <x v="50"/>
          </reference>
        </references>
      </pivotArea>
    </format>
    <format dxfId="3031">
      <pivotArea dataOnly="0" labelOnly="1" outline="0" fieldPosition="0">
        <references count="2">
          <reference field="0" count="1">
            <x v="63"/>
          </reference>
          <reference field="13" count="1" selected="0">
            <x v="50"/>
          </reference>
        </references>
      </pivotArea>
    </format>
    <format dxfId="3030">
      <pivotArea dataOnly="0" labelOnly="1" outline="0" fieldPosition="0">
        <references count="2">
          <reference field="0" count="1">
            <x v="64"/>
          </reference>
          <reference field="13" count="1" selected="0">
            <x v="50"/>
          </reference>
        </references>
      </pivotArea>
    </format>
    <format dxfId="3029">
      <pivotArea dataOnly="0" labelOnly="1" outline="0" fieldPosition="0">
        <references count="2">
          <reference field="0" count="1">
            <x v="68"/>
          </reference>
          <reference field="13" count="1" selected="0">
            <x v="50"/>
          </reference>
        </references>
      </pivotArea>
    </format>
    <format dxfId="3028">
      <pivotArea dataOnly="0" labelOnly="1" outline="0" fieldPosition="0">
        <references count="2">
          <reference field="0" count="1">
            <x v="70"/>
          </reference>
          <reference field="13" count="1" selected="0">
            <x v="50"/>
          </reference>
        </references>
      </pivotArea>
    </format>
    <format dxfId="3027">
      <pivotArea dataOnly="0" labelOnly="1" outline="0" fieldPosition="0">
        <references count="2">
          <reference field="0" count="1">
            <x v="71"/>
          </reference>
          <reference field="13" count="1" selected="0">
            <x v="50"/>
          </reference>
        </references>
      </pivotArea>
    </format>
    <format dxfId="3026">
      <pivotArea dataOnly="0" labelOnly="1" outline="0" fieldPosition="0">
        <references count="2">
          <reference field="0" count="1">
            <x v="74"/>
          </reference>
          <reference field="13" count="1" selected="0">
            <x v="50"/>
          </reference>
        </references>
      </pivotArea>
    </format>
    <format dxfId="3025">
      <pivotArea dataOnly="0" labelOnly="1" outline="0" fieldPosition="0">
        <references count="2">
          <reference field="0" count="1">
            <x v="75"/>
          </reference>
          <reference field="13" count="1" selected="0">
            <x v="50"/>
          </reference>
        </references>
      </pivotArea>
    </format>
    <format dxfId="3024">
      <pivotArea dataOnly="0" labelOnly="1" outline="0" fieldPosition="0">
        <references count="2">
          <reference field="0" count="1">
            <x v="79"/>
          </reference>
          <reference field="13" count="1" selected="0">
            <x v="50"/>
          </reference>
        </references>
      </pivotArea>
    </format>
    <format dxfId="3023">
      <pivotArea dataOnly="0" labelOnly="1" outline="0" fieldPosition="0">
        <references count="2">
          <reference field="0" count="1">
            <x v="82"/>
          </reference>
          <reference field="13" count="1" selected="0">
            <x v="50"/>
          </reference>
        </references>
      </pivotArea>
    </format>
    <format dxfId="3022">
      <pivotArea dataOnly="0" labelOnly="1" outline="0" fieldPosition="0">
        <references count="2">
          <reference field="0" count="1">
            <x v="83"/>
          </reference>
          <reference field="13" count="1" selected="0">
            <x v="50"/>
          </reference>
        </references>
      </pivotArea>
    </format>
    <format dxfId="3021">
      <pivotArea dataOnly="0" labelOnly="1" outline="0" fieldPosition="0">
        <references count="2">
          <reference field="0" count="1">
            <x v="84"/>
          </reference>
          <reference field="13" count="1" selected="0">
            <x v="50"/>
          </reference>
        </references>
      </pivotArea>
    </format>
    <format dxfId="3020">
      <pivotArea dataOnly="0" labelOnly="1" outline="0" fieldPosition="0">
        <references count="2">
          <reference field="0" count="1">
            <x v="87"/>
          </reference>
          <reference field="13" count="1" selected="0">
            <x v="50"/>
          </reference>
        </references>
      </pivotArea>
    </format>
    <format dxfId="3019">
      <pivotArea dataOnly="0" labelOnly="1" outline="0" fieldPosition="0">
        <references count="2">
          <reference field="0" count="1">
            <x v="89"/>
          </reference>
          <reference field="13" count="1" selected="0">
            <x v="50"/>
          </reference>
        </references>
      </pivotArea>
    </format>
    <format dxfId="3018">
      <pivotArea dataOnly="0" labelOnly="1" outline="0" fieldPosition="0">
        <references count="2">
          <reference field="0" count="1">
            <x v="4"/>
          </reference>
          <reference field="13" count="1" selected="0">
            <x v="51"/>
          </reference>
        </references>
      </pivotArea>
    </format>
    <format dxfId="3017">
      <pivotArea dataOnly="0" labelOnly="1" outline="0" fieldPosition="0">
        <references count="2">
          <reference field="0" count="1">
            <x v="5"/>
          </reference>
          <reference field="13" count="1" selected="0">
            <x v="51"/>
          </reference>
        </references>
      </pivotArea>
    </format>
    <format dxfId="3016">
      <pivotArea dataOnly="0" labelOnly="1" outline="0" fieldPosition="0">
        <references count="2">
          <reference field="0" count="1">
            <x v="11"/>
          </reference>
          <reference field="13" count="1" selected="0">
            <x v="51"/>
          </reference>
        </references>
      </pivotArea>
    </format>
    <format dxfId="3015">
      <pivotArea dataOnly="0" labelOnly="1" outline="0" fieldPosition="0">
        <references count="2">
          <reference field="0" count="1">
            <x v="13"/>
          </reference>
          <reference field="13" count="1" selected="0">
            <x v="51"/>
          </reference>
        </references>
      </pivotArea>
    </format>
    <format dxfId="3014">
      <pivotArea dataOnly="0" labelOnly="1" outline="0" fieldPosition="0">
        <references count="2">
          <reference field="0" count="1">
            <x v="16"/>
          </reference>
          <reference field="13" count="1" selected="0">
            <x v="51"/>
          </reference>
        </references>
      </pivotArea>
    </format>
    <format dxfId="3013">
      <pivotArea dataOnly="0" labelOnly="1" outline="0" fieldPosition="0">
        <references count="2">
          <reference field="0" count="1">
            <x v="18"/>
          </reference>
          <reference field="13" count="1" selected="0">
            <x v="51"/>
          </reference>
        </references>
      </pivotArea>
    </format>
    <format dxfId="3012">
      <pivotArea dataOnly="0" labelOnly="1" outline="0" fieldPosition="0">
        <references count="2">
          <reference field="0" count="1">
            <x v="19"/>
          </reference>
          <reference field="13" count="1" selected="0">
            <x v="51"/>
          </reference>
        </references>
      </pivotArea>
    </format>
    <format dxfId="3011">
      <pivotArea dataOnly="0" labelOnly="1" outline="0" fieldPosition="0">
        <references count="2">
          <reference field="0" count="1">
            <x v="21"/>
          </reference>
          <reference field="13" count="1" selected="0">
            <x v="51"/>
          </reference>
        </references>
      </pivotArea>
    </format>
    <format dxfId="3010">
      <pivotArea dataOnly="0" labelOnly="1" outline="0" fieldPosition="0">
        <references count="2">
          <reference field="0" count="1">
            <x v="22"/>
          </reference>
          <reference field="13" count="1" selected="0">
            <x v="51"/>
          </reference>
        </references>
      </pivotArea>
    </format>
    <format dxfId="3009">
      <pivotArea dataOnly="0" labelOnly="1" outline="0" fieldPosition="0">
        <references count="2">
          <reference field="0" count="1">
            <x v="25"/>
          </reference>
          <reference field="13" count="1" selected="0">
            <x v="51"/>
          </reference>
        </references>
      </pivotArea>
    </format>
    <format dxfId="3008">
      <pivotArea dataOnly="0" labelOnly="1" outline="0" fieldPosition="0">
        <references count="2">
          <reference field="0" count="1">
            <x v="27"/>
          </reference>
          <reference field="13" count="1" selected="0">
            <x v="51"/>
          </reference>
        </references>
      </pivotArea>
    </format>
    <format dxfId="3007">
      <pivotArea dataOnly="0" labelOnly="1" outline="0" fieldPosition="0">
        <references count="2">
          <reference field="0" count="1">
            <x v="29"/>
          </reference>
          <reference field="13" count="1" selected="0">
            <x v="51"/>
          </reference>
        </references>
      </pivotArea>
    </format>
    <format dxfId="3006">
      <pivotArea dataOnly="0" labelOnly="1" outline="0" fieldPosition="0">
        <references count="2">
          <reference field="0" count="1">
            <x v="31"/>
          </reference>
          <reference field="13" count="1" selected="0">
            <x v="51"/>
          </reference>
        </references>
      </pivotArea>
    </format>
    <format dxfId="3005">
      <pivotArea dataOnly="0" labelOnly="1" outline="0" fieldPosition="0">
        <references count="2">
          <reference field="0" count="1">
            <x v="35"/>
          </reference>
          <reference field="13" count="1" selected="0">
            <x v="51"/>
          </reference>
        </references>
      </pivotArea>
    </format>
    <format dxfId="3004">
      <pivotArea dataOnly="0" labelOnly="1" outline="0" fieldPosition="0">
        <references count="2">
          <reference field="0" count="1">
            <x v="38"/>
          </reference>
          <reference field="13" count="1" selected="0">
            <x v="51"/>
          </reference>
        </references>
      </pivotArea>
    </format>
    <format dxfId="3003">
      <pivotArea dataOnly="0" labelOnly="1" outline="0" fieldPosition="0">
        <references count="2">
          <reference field="0" count="1">
            <x v="44"/>
          </reference>
          <reference field="13" count="1" selected="0">
            <x v="51"/>
          </reference>
        </references>
      </pivotArea>
    </format>
    <format dxfId="3002">
      <pivotArea dataOnly="0" labelOnly="1" outline="0" fieldPosition="0">
        <references count="2">
          <reference field="0" count="1">
            <x v="46"/>
          </reference>
          <reference field="13" count="1" selected="0">
            <x v="51"/>
          </reference>
        </references>
      </pivotArea>
    </format>
    <format dxfId="3001">
      <pivotArea dataOnly="0" labelOnly="1" outline="0" fieldPosition="0">
        <references count="2">
          <reference field="0" count="1">
            <x v="47"/>
          </reference>
          <reference field="13" count="1" selected="0">
            <x v="51"/>
          </reference>
        </references>
      </pivotArea>
    </format>
    <format dxfId="3000">
      <pivotArea dataOnly="0" labelOnly="1" outline="0" fieldPosition="0">
        <references count="2">
          <reference field="0" count="1">
            <x v="49"/>
          </reference>
          <reference field="13" count="1" selected="0">
            <x v="51"/>
          </reference>
        </references>
      </pivotArea>
    </format>
    <format dxfId="2999">
      <pivotArea dataOnly="0" labelOnly="1" outline="0" fieldPosition="0">
        <references count="2">
          <reference field="0" count="1">
            <x v="51"/>
          </reference>
          <reference field="13" count="1" selected="0">
            <x v="51"/>
          </reference>
        </references>
      </pivotArea>
    </format>
    <format dxfId="2998">
      <pivotArea dataOnly="0" labelOnly="1" outline="0" fieldPosition="0">
        <references count="2">
          <reference field="0" count="1">
            <x v="52"/>
          </reference>
          <reference field="13" count="1" selected="0">
            <x v="51"/>
          </reference>
        </references>
      </pivotArea>
    </format>
    <format dxfId="2997">
      <pivotArea dataOnly="0" labelOnly="1" outline="0" fieldPosition="0">
        <references count="2">
          <reference field="0" count="1">
            <x v="54"/>
          </reference>
          <reference field="13" count="1" selected="0">
            <x v="51"/>
          </reference>
        </references>
      </pivotArea>
    </format>
    <format dxfId="2996">
      <pivotArea dataOnly="0" labelOnly="1" outline="0" fieldPosition="0">
        <references count="2">
          <reference field="0" count="1">
            <x v="57"/>
          </reference>
          <reference field="13" count="1" selected="0">
            <x v="51"/>
          </reference>
        </references>
      </pivotArea>
    </format>
    <format dxfId="2995">
      <pivotArea dataOnly="0" labelOnly="1" outline="0" fieldPosition="0">
        <references count="2">
          <reference field="0" count="1">
            <x v="59"/>
          </reference>
          <reference field="13" count="1" selected="0">
            <x v="51"/>
          </reference>
        </references>
      </pivotArea>
    </format>
    <format dxfId="2994">
      <pivotArea dataOnly="0" labelOnly="1" outline="0" fieldPosition="0">
        <references count="2">
          <reference field="0" count="1">
            <x v="63"/>
          </reference>
          <reference field="13" count="1" selected="0">
            <x v="51"/>
          </reference>
        </references>
      </pivotArea>
    </format>
    <format dxfId="2993">
      <pivotArea dataOnly="0" labelOnly="1" outline="0" fieldPosition="0">
        <references count="2">
          <reference field="0" count="1">
            <x v="64"/>
          </reference>
          <reference field="13" count="1" selected="0">
            <x v="51"/>
          </reference>
        </references>
      </pivotArea>
    </format>
    <format dxfId="2992">
      <pivotArea dataOnly="0" labelOnly="1" outline="0" fieldPosition="0">
        <references count="2">
          <reference field="0" count="1">
            <x v="67"/>
          </reference>
          <reference field="13" count="1" selected="0">
            <x v="51"/>
          </reference>
        </references>
      </pivotArea>
    </format>
    <format dxfId="2991">
      <pivotArea dataOnly="0" labelOnly="1" outline="0" fieldPosition="0">
        <references count="2">
          <reference field="0" count="1">
            <x v="70"/>
          </reference>
          <reference field="13" count="1" selected="0">
            <x v="51"/>
          </reference>
        </references>
      </pivotArea>
    </format>
    <format dxfId="2990">
      <pivotArea dataOnly="0" labelOnly="1" outline="0" fieldPosition="0">
        <references count="2">
          <reference field="0" count="1">
            <x v="71"/>
          </reference>
          <reference field="13" count="1" selected="0">
            <x v="51"/>
          </reference>
        </references>
      </pivotArea>
    </format>
    <format dxfId="2989">
      <pivotArea dataOnly="0" labelOnly="1" outline="0" fieldPosition="0">
        <references count="2">
          <reference field="0" count="1">
            <x v="79"/>
          </reference>
          <reference field="13" count="1" selected="0">
            <x v="51"/>
          </reference>
        </references>
      </pivotArea>
    </format>
    <format dxfId="2988">
      <pivotArea dataOnly="0" labelOnly="1" outline="0" fieldPosition="0">
        <references count="2">
          <reference field="0" count="1">
            <x v="81"/>
          </reference>
          <reference field="13" count="1" selected="0">
            <x v="51"/>
          </reference>
        </references>
      </pivotArea>
    </format>
    <format dxfId="2987">
      <pivotArea dataOnly="0" labelOnly="1" outline="0" fieldPosition="0">
        <references count="2">
          <reference field="0" count="1">
            <x v="83"/>
          </reference>
          <reference field="13" count="1" selected="0">
            <x v="51"/>
          </reference>
        </references>
      </pivotArea>
    </format>
    <format dxfId="2986">
      <pivotArea dataOnly="0" labelOnly="1" outline="0" fieldPosition="0">
        <references count="2">
          <reference field="0" count="1">
            <x v="86"/>
          </reference>
          <reference field="13" count="1" selected="0">
            <x v="51"/>
          </reference>
        </references>
      </pivotArea>
    </format>
    <format dxfId="2985">
      <pivotArea dataOnly="0" labelOnly="1" outline="0" fieldPosition="0">
        <references count="2">
          <reference field="0" count="1">
            <x v="88"/>
          </reference>
          <reference field="13" count="1" selected="0">
            <x v="51"/>
          </reference>
        </references>
      </pivotArea>
    </format>
    <format dxfId="2984">
      <pivotArea dataOnly="0" labelOnly="1" outline="0" fieldPosition="0">
        <references count="2">
          <reference field="0" count="1">
            <x v="89"/>
          </reference>
          <reference field="13" count="1" selected="0">
            <x v="51"/>
          </reference>
        </references>
      </pivotArea>
    </format>
    <format dxfId="2983">
      <pivotArea dataOnly="0" labelOnly="1" outline="0" fieldPosition="0">
        <references count="2">
          <reference field="0" count="1">
            <x v="48"/>
          </reference>
          <reference field="13" count="1" selected="0">
            <x v="52"/>
          </reference>
        </references>
      </pivotArea>
    </format>
    <format dxfId="2982">
      <pivotArea dataOnly="0" labelOnly="1" outline="0" fieldPosition="0">
        <references count="2">
          <reference field="0" count="1">
            <x v="62"/>
          </reference>
          <reference field="13" count="1" selected="0">
            <x v="52"/>
          </reference>
        </references>
      </pivotArea>
    </format>
    <format dxfId="2981">
      <pivotArea dataOnly="0" labelOnly="1" outline="0" fieldPosition="0">
        <references count="2">
          <reference field="0" count="1">
            <x v="90"/>
          </reference>
          <reference field="13" count="1" selected="0">
            <x v="52"/>
          </reference>
        </references>
      </pivotArea>
    </format>
    <format dxfId="2980">
      <pivotArea dataOnly="0" labelOnly="1" outline="0" fieldPosition="0">
        <references count="2">
          <reference field="0" count="1">
            <x v="91"/>
          </reference>
          <reference field="13" count="1" selected="0">
            <x v="52"/>
          </reference>
        </references>
      </pivotArea>
    </format>
    <format dxfId="2979">
      <pivotArea dataOnly="0" labelOnly="1" outline="0" fieldPosition="0">
        <references count="2">
          <reference field="0" count="1">
            <x v="4"/>
          </reference>
          <reference field="13" count="1" selected="0">
            <x v="53"/>
          </reference>
        </references>
      </pivotArea>
    </format>
    <format dxfId="2978">
      <pivotArea dataOnly="0" labelOnly="1" outline="0" fieldPosition="0">
        <references count="2">
          <reference field="0" count="1">
            <x v="13"/>
          </reference>
          <reference field="13" count="1" selected="0">
            <x v="53"/>
          </reference>
        </references>
      </pivotArea>
    </format>
    <format dxfId="2977">
      <pivotArea dataOnly="0" labelOnly="1" outline="0" fieldPosition="0">
        <references count="2">
          <reference field="0" count="1">
            <x v="21"/>
          </reference>
          <reference field="13" count="1" selected="0">
            <x v="53"/>
          </reference>
        </references>
      </pivotArea>
    </format>
    <format dxfId="2976">
      <pivotArea dataOnly="0" labelOnly="1" outline="0" fieldPosition="0">
        <references count="2">
          <reference field="0" count="1">
            <x v="25"/>
          </reference>
          <reference field="13" count="1" selected="0">
            <x v="53"/>
          </reference>
        </references>
      </pivotArea>
    </format>
    <format dxfId="2975">
      <pivotArea dataOnly="0" labelOnly="1" outline="0" fieldPosition="0">
        <references count="2">
          <reference field="0" count="1">
            <x v="29"/>
          </reference>
          <reference field="13" count="1" selected="0">
            <x v="53"/>
          </reference>
        </references>
      </pivotArea>
    </format>
    <format dxfId="2974">
      <pivotArea dataOnly="0" labelOnly="1" outline="0" fieldPosition="0">
        <references count="2">
          <reference field="0" count="1">
            <x v="35"/>
          </reference>
          <reference field="13" count="1" selected="0">
            <x v="53"/>
          </reference>
        </references>
      </pivotArea>
    </format>
    <format dxfId="2973">
      <pivotArea dataOnly="0" labelOnly="1" outline="0" fieldPosition="0">
        <references count="2">
          <reference field="0" count="1">
            <x v="38"/>
          </reference>
          <reference field="13" count="1" selected="0">
            <x v="53"/>
          </reference>
        </references>
      </pivotArea>
    </format>
    <format dxfId="2972">
      <pivotArea dataOnly="0" labelOnly="1" outline="0" fieldPosition="0">
        <references count="2">
          <reference field="0" count="1">
            <x v="40"/>
          </reference>
          <reference field="13" count="1" selected="0">
            <x v="53"/>
          </reference>
        </references>
      </pivotArea>
    </format>
    <format dxfId="2971">
      <pivotArea dataOnly="0" labelOnly="1" outline="0" fieldPosition="0">
        <references count="2">
          <reference field="0" count="1">
            <x v="47"/>
          </reference>
          <reference field="13" count="1" selected="0">
            <x v="53"/>
          </reference>
        </references>
      </pivotArea>
    </format>
    <format dxfId="2970">
      <pivotArea dataOnly="0" labelOnly="1" outline="0" fieldPosition="0">
        <references count="2">
          <reference field="0" count="1">
            <x v="49"/>
          </reference>
          <reference field="13" count="1" selected="0">
            <x v="53"/>
          </reference>
        </references>
      </pivotArea>
    </format>
    <format dxfId="2969">
      <pivotArea dataOnly="0" labelOnly="1" outline="0" fieldPosition="0">
        <references count="2">
          <reference field="0" count="1">
            <x v="52"/>
          </reference>
          <reference field="13" count="1" selected="0">
            <x v="53"/>
          </reference>
        </references>
      </pivotArea>
    </format>
    <format dxfId="2968">
      <pivotArea dataOnly="0" labelOnly="1" outline="0" fieldPosition="0">
        <references count="2">
          <reference field="0" count="1">
            <x v="54"/>
          </reference>
          <reference field="13" count="1" selected="0">
            <x v="53"/>
          </reference>
        </references>
      </pivotArea>
    </format>
    <format dxfId="2967">
      <pivotArea dataOnly="0" labelOnly="1" outline="0" fieldPosition="0">
        <references count="2">
          <reference field="0" count="1">
            <x v="57"/>
          </reference>
          <reference field="13" count="1" selected="0">
            <x v="53"/>
          </reference>
        </references>
      </pivotArea>
    </format>
    <format dxfId="2966">
      <pivotArea dataOnly="0" labelOnly="1" outline="0" fieldPosition="0">
        <references count="2">
          <reference field="0" count="1">
            <x v="58"/>
          </reference>
          <reference field="13" count="1" selected="0">
            <x v="53"/>
          </reference>
        </references>
      </pivotArea>
    </format>
    <format dxfId="2965">
      <pivotArea dataOnly="0" labelOnly="1" outline="0" fieldPosition="0">
        <references count="2">
          <reference field="0" count="1">
            <x v="59"/>
          </reference>
          <reference field="13" count="1" selected="0">
            <x v="53"/>
          </reference>
        </references>
      </pivotArea>
    </format>
    <format dxfId="2964">
      <pivotArea dataOnly="0" labelOnly="1" outline="0" fieldPosition="0">
        <references count="2">
          <reference field="0" count="1">
            <x v="63"/>
          </reference>
          <reference field="13" count="1" selected="0">
            <x v="53"/>
          </reference>
        </references>
      </pivotArea>
    </format>
    <format dxfId="2963">
      <pivotArea dataOnly="0" labelOnly="1" outline="0" fieldPosition="0">
        <references count="2">
          <reference field="0" count="1">
            <x v="64"/>
          </reference>
          <reference field="13" count="1" selected="0">
            <x v="53"/>
          </reference>
        </references>
      </pivotArea>
    </format>
    <format dxfId="2962">
      <pivotArea dataOnly="0" labelOnly="1" outline="0" fieldPosition="0">
        <references count="2">
          <reference field="0" count="1">
            <x v="70"/>
          </reference>
          <reference field="13" count="1" selected="0">
            <x v="53"/>
          </reference>
        </references>
      </pivotArea>
    </format>
    <format dxfId="2961">
      <pivotArea dataOnly="0" labelOnly="1" outline="0" fieldPosition="0">
        <references count="2">
          <reference field="0" count="1">
            <x v="71"/>
          </reference>
          <reference field="13" count="1" selected="0">
            <x v="53"/>
          </reference>
        </references>
      </pivotArea>
    </format>
    <format dxfId="2960">
      <pivotArea dataOnly="0" labelOnly="1" outline="0" fieldPosition="0">
        <references count="2">
          <reference field="0" count="1">
            <x v="79"/>
          </reference>
          <reference field="13" count="1" selected="0">
            <x v="53"/>
          </reference>
        </references>
      </pivotArea>
    </format>
    <format dxfId="2959">
      <pivotArea dataOnly="0" labelOnly="1" outline="0" fieldPosition="0">
        <references count="2">
          <reference field="0" count="1">
            <x v="82"/>
          </reference>
          <reference field="13" count="1" selected="0">
            <x v="53"/>
          </reference>
        </references>
      </pivotArea>
    </format>
    <format dxfId="2958">
      <pivotArea dataOnly="0" labelOnly="1" outline="0" fieldPosition="0">
        <references count="2">
          <reference field="0" count="1">
            <x v="83"/>
          </reference>
          <reference field="13" count="1" selected="0">
            <x v="53"/>
          </reference>
        </references>
      </pivotArea>
    </format>
    <format dxfId="2957">
      <pivotArea dataOnly="0" labelOnly="1" outline="0" fieldPosition="0">
        <references count="2">
          <reference field="0" count="1">
            <x v="84"/>
          </reference>
          <reference field="13" count="1" selected="0">
            <x v="53"/>
          </reference>
        </references>
      </pivotArea>
    </format>
    <format dxfId="2956">
      <pivotArea dataOnly="0" labelOnly="1" outline="0" fieldPosition="0">
        <references count="2">
          <reference field="0" count="1">
            <x v="87"/>
          </reference>
          <reference field="13" count="1" selected="0">
            <x v="53"/>
          </reference>
        </references>
      </pivotArea>
    </format>
    <format dxfId="2955">
      <pivotArea dataOnly="0" labelOnly="1" outline="0" fieldPosition="0">
        <references count="2">
          <reference field="0" count="1">
            <x v="89"/>
          </reference>
          <reference field="13" count="1" selected="0">
            <x v="53"/>
          </reference>
        </references>
      </pivotArea>
    </format>
    <format dxfId="2954">
      <pivotArea dataOnly="0" labelOnly="1" outline="0" fieldPosition="0">
        <references count="2">
          <reference field="0" count="1">
            <x v="1"/>
          </reference>
          <reference field="13" count="1" selected="0">
            <x v="54"/>
          </reference>
        </references>
      </pivotArea>
    </format>
    <format dxfId="2953">
      <pivotArea dataOnly="0" labelOnly="1" outline="0" fieldPosition="0">
        <references count="2">
          <reference field="0" count="1">
            <x v="3"/>
          </reference>
          <reference field="13" count="1" selected="0">
            <x v="54"/>
          </reference>
        </references>
      </pivotArea>
    </format>
    <format dxfId="2952">
      <pivotArea dataOnly="0" labelOnly="1" outline="0" fieldPosition="0">
        <references count="2">
          <reference field="0" count="1">
            <x v="4"/>
          </reference>
          <reference field="13" count="1" selected="0">
            <x v="54"/>
          </reference>
        </references>
      </pivotArea>
    </format>
    <format dxfId="2951">
      <pivotArea dataOnly="0" labelOnly="1" outline="0" fieldPosition="0">
        <references count="2">
          <reference field="0" count="1">
            <x v="15"/>
          </reference>
          <reference field="13" count="1" selected="0">
            <x v="54"/>
          </reference>
        </references>
      </pivotArea>
    </format>
    <format dxfId="2950">
      <pivotArea dataOnly="0" labelOnly="1" outline="0" fieldPosition="0">
        <references count="2">
          <reference field="0" count="1">
            <x v="19"/>
          </reference>
          <reference field="13" count="1" selected="0">
            <x v="54"/>
          </reference>
        </references>
      </pivotArea>
    </format>
    <format dxfId="2949">
      <pivotArea dataOnly="0" labelOnly="1" outline="0" fieldPosition="0">
        <references count="2">
          <reference field="0" count="1">
            <x v="20"/>
          </reference>
          <reference field="13" count="1" selected="0">
            <x v="54"/>
          </reference>
        </references>
      </pivotArea>
    </format>
    <format dxfId="2948">
      <pivotArea dataOnly="0" labelOnly="1" outline="0" fieldPosition="0">
        <references count="2">
          <reference field="0" count="1">
            <x v="21"/>
          </reference>
          <reference field="13" count="1" selected="0">
            <x v="54"/>
          </reference>
        </references>
      </pivotArea>
    </format>
    <format dxfId="2947">
      <pivotArea dataOnly="0" labelOnly="1" outline="0" fieldPosition="0">
        <references count="2">
          <reference field="0" count="1">
            <x v="25"/>
          </reference>
          <reference field="13" count="1" selected="0">
            <x v="54"/>
          </reference>
        </references>
      </pivotArea>
    </format>
    <format dxfId="2946">
      <pivotArea dataOnly="0" labelOnly="1" outline="0" fieldPosition="0">
        <references count="2">
          <reference field="0" count="1">
            <x v="27"/>
          </reference>
          <reference field="13" count="1" selected="0">
            <x v="54"/>
          </reference>
        </references>
      </pivotArea>
    </format>
    <format dxfId="2945">
      <pivotArea dataOnly="0" labelOnly="1" outline="0" fieldPosition="0">
        <references count="2">
          <reference field="0" count="1">
            <x v="29"/>
          </reference>
          <reference field="13" count="1" selected="0">
            <x v="54"/>
          </reference>
        </references>
      </pivotArea>
    </format>
    <format dxfId="2944">
      <pivotArea dataOnly="0" labelOnly="1" outline="0" fieldPosition="0">
        <references count="2">
          <reference field="0" count="1">
            <x v="35"/>
          </reference>
          <reference field="13" count="1" selected="0">
            <x v="54"/>
          </reference>
        </references>
      </pivotArea>
    </format>
    <format dxfId="2943">
      <pivotArea dataOnly="0" labelOnly="1" outline="0" fieldPosition="0">
        <references count="2">
          <reference field="0" count="1">
            <x v="36"/>
          </reference>
          <reference field="13" count="1" selected="0">
            <x v="54"/>
          </reference>
        </references>
      </pivotArea>
    </format>
    <format dxfId="2942">
      <pivotArea dataOnly="0" labelOnly="1" outline="0" fieldPosition="0">
        <references count="2">
          <reference field="0" count="1">
            <x v="38"/>
          </reference>
          <reference field="13" count="1" selected="0">
            <x v="54"/>
          </reference>
        </references>
      </pivotArea>
    </format>
    <format dxfId="2941">
      <pivotArea dataOnly="0" labelOnly="1" outline="0" fieldPosition="0">
        <references count="2">
          <reference field="0" count="1">
            <x v="40"/>
          </reference>
          <reference field="13" count="1" selected="0">
            <x v="54"/>
          </reference>
        </references>
      </pivotArea>
    </format>
    <format dxfId="2940">
      <pivotArea dataOnly="0" labelOnly="1" outline="0" fieldPosition="0">
        <references count="2">
          <reference field="0" count="1">
            <x v="44"/>
          </reference>
          <reference field="13" count="1" selected="0">
            <x v="54"/>
          </reference>
        </references>
      </pivotArea>
    </format>
    <format dxfId="2939">
      <pivotArea dataOnly="0" labelOnly="1" outline="0" fieldPosition="0">
        <references count="2">
          <reference field="0" count="1">
            <x v="47"/>
          </reference>
          <reference field="13" count="1" selected="0">
            <x v="54"/>
          </reference>
        </references>
      </pivotArea>
    </format>
    <format dxfId="2938">
      <pivotArea dataOnly="0" labelOnly="1" outline="0" fieldPosition="0">
        <references count="2">
          <reference field="0" count="1">
            <x v="49"/>
          </reference>
          <reference field="13" count="1" selected="0">
            <x v="54"/>
          </reference>
        </references>
      </pivotArea>
    </format>
    <format dxfId="2937">
      <pivotArea dataOnly="0" labelOnly="1" outline="0" fieldPosition="0">
        <references count="2">
          <reference field="0" count="1">
            <x v="50"/>
          </reference>
          <reference field="13" count="1" selected="0">
            <x v="54"/>
          </reference>
        </references>
      </pivotArea>
    </format>
    <format dxfId="2936">
      <pivotArea dataOnly="0" labelOnly="1" outline="0" fieldPosition="0">
        <references count="2">
          <reference field="0" count="1">
            <x v="52"/>
          </reference>
          <reference field="13" count="1" selected="0">
            <x v="54"/>
          </reference>
        </references>
      </pivotArea>
    </format>
    <format dxfId="2935">
      <pivotArea dataOnly="0" labelOnly="1" outline="0" fieldPosition="0">
        <references count="2">
          <reference field="0" count="1">
            <x v="54"/>
          </reference>
          <reference field="13" count="1" selected="0">
            <x v="54"/>
          </reference>
        </references>
      </pivotArea>
    </format>
    <format dxfId="2934">
      <pivotArea dataOnly="0" labelOnly="1" outline="0" fieldPosition="0">
        <references count="2">
          <reference field="0" count="1">
            <x v="55"/>
          </reference>
          <reference field="13" count="1" selected="0">
            <x v="54"/>
          </reference>
        </references>
      </pivotArea>
    </format>
    <format dxfId="2933">
      <pivotArea dataOnly="0" labelOnly="1" outline="0" fieldPosition="0">
        <references count="2">
          <reference field="0" count="1">
            <x v="57"/>
          </reference>
          <reference field="13" count="1" selected="0">
            <x v="54"/>
          </reference>
        </references>
      </pivotArea>
    </format>
    <format dxfId="2932">
      <pivotArea dataOnly="0" labelOnly="1" outline="0" fieldPosition="0">
        <references count="2">
          <reference field="0" count="1">
            <x v="58"/>
          </reference>
          <reference field="13" count="1" selected="0">
            <x v="54"/>
          </reference>
        </references>
      </pivotArea>
    </format>
    <format dxfId="2931">
      <pivotArea dataOnly="0" labelOnly="1" outline="0" fieldPosition="0">
        <references count="2">
          <reference field="0" count="1">
            <x v="59"/>
          </reference>
          <reference field="13" count="1" selected="0">
            <x v="54"/>
          </reference>
        </references>
      </pivotArea>
    </format>
    <format dxfId="2930">
      <pivotArea dataOnly="0" labelOnly="1" outline="0" fieldPosition="0">
        <references count="2">
          <reference field="0" count="1">
            <x v="61"/>
          </reference>
          <reference field="13" count="1" selected="0">
            <x v="54"/>
          </reference>
        </references>
      </pivotArea>
    </format>
    <format dxfId="2929">
      <pivotArea dataOnly="0" labelOnly="1" outline="0" fieldPosition="0">
        <references count="2">
          <reference field="0" count="1">
            <x v="63"/>
          </reference>
          <reference field="13" count="1" selected="0">
            <x v="54"/>
          </reference>
        </references>
      </pivotArea>
    </format>
    <format dxfId="2928">
      <pivotArea dataOnly="0" labelOnly="1" outline="0" fieldPosition="0">
        <references count="2">
          <reference field="0" count="1">
            <x v="64"/>
          </reference>
          <reference field="13" count="1" selected="0">
            <x v="54"/>
          </reference>
        </references>
      </pivotArea>
    </format>
    <format dxfId="2927">
      <pivotArea dataOnly="0" labelOnly="1" outline="0" fieldPosition="0">
        <references count="2">
          <reference field="0" count="1">
            <x v="65"/>
          </reference>
          <reference field="13" count="1" selected="0">
            <x v="54"/>
          </reference>
        </references>
      </pivotArea>
    </format>
    <format dxfId="2926">
      <pivotArea dataOnly="0" labelOnly="1" outline="0" fieldPosition="0">
        <references count="2">
          <reference field="0" count="1">
            <x v="66"/>
          </reference>
          <reference field="13" count="1" selected="0">
            <x v="54"/>
          </reference>
        </references>
      </pivotArea>
    </format>
    <format dxfId="2925">
      <pivotArea dataOnly="0" labelOnly="1" outline="0" fieldPosition="0">
        <references count="2">
          <reference field="0" count="1">
            <x v="70"/>
          </reference>
          <reference field="13" count="1" selected="0">
            <x v="54"/>
          </reference>
        </references>
      </pivotArea>
    </format>
    <format dxfId="2924">
      <pivotArea dataOnly="0" labelOnly="1" outline="0" fieldPosition="0">
        <references count="2">
          <reference field="0" count="1">
            <x v="71"/>
          </reference>
          <reference field="13" count="1" selected="0">
            <x v="54"/>
          </reference>
        </references>
      </pivotArea>
    </format>
    <format dxfId="2923">
      <pivotArea dataOnly="0" labelOnly="1" outline="0" fieldPosition="0">
        <references count="2">
          <reference field="0" count="1">
            <x v="78"/>
          </reference>
          <reference field="13" count="1" selected="0">
            <x v="54"/>
          </reference>
        </references>
      </pivotArea>
    </format>
    <format dxfId="2922">
      <pivotArea dataOnly="0" labelOnly="1" outline="0" fieldPosition="0">
        <references count="2">
          <reference field="0" count="1">
            <x v="79"/>
          </reference>
          <reference field="13" count="1" selected="0">
            <x v="54"/>
          </reference>
        </references>
      </pivotArea>
    </format>
    <format dxfId="2921">
      <pivotArea dataOnly="0" labelOnly="1" outline="0" fieldPosition="0">
        <references count="2">
          <reference field="0" count="1">
            <x v="82"/>
          </reference>
          <reference field="13" count="1" selected="0">
            <x v="54"/>
          </reference>
        </references>
      </pivotArea>
    </format>
    <format dxfId="2920">
      <pivotArea dataOnly="0" labelOnly="1" outline="0" fieldPosition="0">
        <references count="2">
          <reference field="0" count="1">
            <x v="83"/>
          </reference>
          <reference field="13" count="1" selected="0">
            <x v="54"/>
          </reference>
        </references>
      </pivotArea>
    </format>
    <format dxfId="2919">
      <pivotArea dataOnly="0" labelOnly="1" outline="0" fieldPosition="0">
        <references count="2">
          <reference field="0" count="1">
            <x v="84"/>
          </reference>
          <reference field="13" count="1" selected="0">
            <x v="54"/>
          </reference>
        </references>
      </pivotArea>
    </format>
    <format dxfId="2918">
      <pivotArea dataOnly="0" labelOnly="1" outline="0" fieldPosition="0">
        <references count="2">
          <reference field="0" count="1">
            <x v="87"/>
          </reference>
          <reference field="13" count="1" selected="0">
            <x v="54"/>
          </reference>
        </references>
      </pivotArea>
    </format>
    <format dxfId="2917">
      <pivotArea dataOnly="0" labelOnly="1" outline="0" fieldPosition="0">
        <references count="2">
          <reference field="0" count="1">
            <x v="88"/>
          </reference>
          <reference field="13" count="1" selected="0">
            <x v="54"/>
          </reference>
        </references>
      </pivotArea>
    </format>
    <format dxfId="2916">
      <pivotArea dataOnly="0" labelOnly="1" outline="0" fieldPosition="0">
        <references count="2">
          <reference field="0" count="1">
            <x v="1"/>
          </reference>
          <reference field="13" count="1" selected="0">
            <x v="55"/>
          </reference>
        </references>
      </pivotArea>
    </format>
    <format dxfId="2915">
      <pivotArea dataOnly="0" labelOnly="1" outline="0" fieldPosition="0">
        <references count="2">
          <reference field="0" count="1">
            <x v="3"/>
          </reference>
          <reference field="13" count="1" selected="0">
            <x v="55"/>
          </reference>
        </references>
      </pivotArea>
    </format>
    <format dxfId="2914">
      <pivotArea dataOnly="0" labelOnly="1" outline="0" fieldPosition="0">
        <references count="2">
          <reference field="0" count="1">
            <x v="4"/>
          </reference>
          <reference field="13" count="1" selected="0">
            <x v="55"/>
          </reference>
        </references>
      </pivotArea>
    </format>
    <format dxfId="2913">
      <pivotArea dataOnly="0" labelOnly="1" outline="0" fieldPosition="0">
        <references count="2">
          <reference field="0" count="1">
            <x v="7"/>
          </reference>
          <reference field="13" count="1" selected="0">
            <x v="55"/>
          </reference>
        </references>
      </pivotArea>
    </format>
    <format dxfId="2912">
      <pivotArea dataOnly="0" labelOnly="1" outline="0" fieldPosition="0">
        <references count="2">
          <reference field="0" count="1">
            <x v="14"/>
          </reference>
          <reference field="13" count="1" selected="0">
            <x v="55"/>
          </reference>
        </references>
      </pivotArea>
    </format>
    <format dxfId="2911">
      <pivotArea dataOnly="0" labelOnly="1" outline="0" fieldPosition="0">
        <references count="2">
          <reference field="0" count="1">
            <x v="15"/>
          </reference>
          <reference field="13" count="1" selected="0">
            <x v="55"/>
          </reference>
        </references>
      </pivotArea>
    </format>
    <format dxfId="2910">
      <pivotArea dataOnly="0" labelOnly="1" outline="0" fieldPosition="0">
        <references count="2">
          <reference field="0" count="1">
            <x v="17"/>
          </reference>
          <reference field="13" count="1" selected="0">
            <x v="55"/>
          </reference>
        </references>
      </pivotArea>
    </format>
    <format dxfId="2909">
      <pivotArea dataOnly="0" labelOnly="1" outline="0" fieldPosition="0">
        <references count="2">
          <reference field="0" count="1">
            <x v="19"/>
          </reference>
          <reference field="13" count="1" selected="0">
            <x v="55"/>
          </reference>
        </references>
      </pivotArea>
    </format>
    <format dxfId="2908">
      <pivotArea dataOnly="0" labelOnly="1" outline="0" fieldPosition="0">
        <references count="2">
          <reference field="0" count="1">
            <x v="20"/>
          </reference>
          <reference field="13" count="1" selected="0">
            <x v="55"/>
          </reference>
        </references>
      </pivotArea>
    </format>
    <format dxfId="2907">
      <pivotArea dataOnly="0" labelOnly="1" outline="0" fieldPosition="0">
        <references count="2">
          <reference field="0" count="1">
            <x v="21"/>
          </reference>
          <reference field="13" count="1" selected="0">
            <x v="55"/>
          </reference>
        </references>
      </pivotArea>
    </format>
    <format dxfId="2906">
      <pivotArea dataOnly="0" labelOnly="1" outline="0" fieldPosition="0">
        <references count="2">
          <reference field="0" count="1">
            <x v="25"/>
          </reference>
          <reference field="13" count="1" selected="0">
            <x v="55"/>
          </reference>
        </references>
      </pivotArea>
    </format>
    <format dxfId="2905">
      <pivotArea dataOnly="0" labelOnly="1" outline="0" fieldPosition="0">
        <references count="2">
          <reference field="0" count="1">
            <x v="27"/>
          </reference>
          <reference field="13" count="1" selected="0">
            <x v="55"/>
          </reference>
        </references>
      </pivotArea>
    </format>
    <format dxfId="2904">
      <pivotArea dataOnly="0" labelOnly="1" outline="0" fieldPosition="0">
        <references count="2">
          <reference field="0" count="1">
            <x v="29"/>
          </reference>
          <reference field="13" count="1" selected="0">
            <x v="55"/>
          </reference>
        </references>
      </pivotArea>
    </format>
    <format dxfId="2903">
      <pivotArea dataOnly="0" labelOnly="1" outline="0" fieldPosition="0">
        <references count="2">
          <reference field="0" count="1">
            <x v="34"/>
          </reference>
          <reference field="13" count="1" selected="0">
            <x v="55"/>
          </reference>
        </references>
      </pivotArea>
    </format>
    <format dxfId="2902">
      <pivotArea dataOnly="0" labelOnly="1" outline="0" fieldPosition="0">
        <references count="2">
          <reference field="0" count="1">
            <x v="36"/>
          </reference>
          <reference field="13" count="1" selected="0">
            <x v="55"/>
          </reference>
        </references>
      </pivotArea>
    </format>
    <format dxfId="2901">
      <pivotArea dataOnly="0" labelOnly="1" outline="0" fieldPosition="0">
        <references count="2">
          <reference field="0" count="1">
            <x v="38"/>
          </reference>
          <reference field="13" count="1" selected="0">
            <x v="55"/>
          </reference>
        </references>
      </pivotArea>
    </format>
    <format dxfId="2900">
      <pivotArea dataOnly="0" labelOnly="1" outline="0" fieldPosition="0">
        <references count="2">
          <reference field="0" count="1">
            <x v="44"/>
          </reference>
          <reference field="13" count="1" selected="0">
            <x v="55"/>
          </reference>
        </references>
      </pivotArea>
    </format>
    <format dxfId="2899">
      <pivotArea dataOnly="0" labelOnly="1" outline="0" fieldPosition="0">
        <references count="2">
          <reference field="0" count="1">
            <x v="45"/>
          </reference>
          <reference field="13" count="1" selected="0">
            <x v="55"/>
          </reference>
        </references>
      </pivotArea>
    </format>
    <format dxfId="2898">
      <pivotArea dataOnly="0" labelOnly="1" outline="0" fieldPosition="0">
        <references count="2">
          <reference field="0" count="1">
            <x v="47"/>
          </reference>
          <reference field="13" count="1" selected="0">
            <x v="55"/>
          </reference>
        </references>
      </pivotArea>
    </format>
    <format dxfId="2897">
      <pivotArea dataOnly="0" labelOnly="1" outline="0" fieldPosition="0">
        <references count="2">
          <reference field="0" count="1">
            <x v="49"/>
          </reference>
          <reference field="13" count="1" selected="0">
            <x v="55"/>
          </reference>
        </references>
      </pivotArea>
    </format>
    <format dxfId="2896">
      <pivotArea dataOnly="0" labelOnly="1" outline="0" fieldPosition="0">
        <references count="2">
          <reference field="0" count="1">
            <x v="50"/>
          </reference>
          <reference field="13" count="1" selected="0">
            <x v="55"/>
          </reference>
        </references>
      </pivotArea>
    </format>
    <format dxfId="2895">
      <pivotArea dataOnly="0" labelOnly="1" outline="0" fieldPosition="0">
        <references count="2">
          <reference field="0" count="1">
            <x v="52"/>
          </reference>
          <reference field="13" count="1" selected="0">
            <x v="55"/>
          </reference>
        </references>
      </pivotArea>
    </format>
    <format dxfId="2894">
      <pivotArea dataOnly="0" labelOnly="1" outline="0" fieldPosition="0">
        <references count="2">
          <reference field="0" count="1">
            <x v="54"/>
          </reference>
          <reference field="13" count="1" selected="0">
            <x v="55"/>
          </reference>
        </references>
      </pivotArea>
    </format>
    <format dxfId="2893">
      <pivotArea dataOnly="0" labelOnly="1" outline="0" fieldPosition="0">
        <references count="2">
          <reference field="0" count="1">
            <x v="55"/>
          </reference>
          <reference field="13" count="1" selected="0">
            <x v="55"/>
          </reference>
        </references>
      </pivotArea>
    </format>
    <format dxfId="2892">
      <pivotArea dataOnly="0" labelOnly="1" outline="0" fieldPosition="0">
        <references count="2">
          <reference field="0" count="1">
            <x v="57"/>
          </reference>
          <reference field="13" count="1" selected="0">
            <x v="55"/>
          </reference>
        </references>
      </pivotArea>
    </format>
    <format dxfId="2891">
      <pivotArea dataOnly="0" labelOnly="1" outline="0" fieldPosition="0">
        <references count="2">
          <reference field="0" count="1">
            <x v="58"/>
          </reference>
          <reference field="13" count="1" selected="0">
            <x v="55"/>
          </reference>
        </references>
      </pivotArea>
    </format>
    <format dxfId="2890">
      <pivotArea dataOnly="0" labelOnly="1" outline="0" fieldPosition="0">
        <references count="2">
          <reference field="0" count="1">
            <x v="59"/>
          </reference>
          <reference field="13" count="1" selected="0">
            <x v="55"/>
          </reference>
        </references>
      </pivotArea>
    </format>
    <format dxfId="2889">
      <pivotArea dataOnly="0" labelOnly="1" outline="0" fieldPosition="0">
        <references count="2">
          <reference field="0" count="1">
            <x v="61"/>
          </reference>
          <reference field="13" count="1" selected="0">
            <x v="55"/>
          </reference>
        </references>
      </pivotArea>
    </format>
    <format dxfId="2888">
      <pivotArea dataOnly="0" labelOnly="1" outline="0" fieldPosition="0">
        <references count="2">
          <reference field="0" count="1">
            <x v="63"/>
          </reference>
          <reference field="13" count="1" selected="0">
            <x v="55"/>
          </reference>
        </references>
      </pivotArea>
    </format>
    <format dxfId="2887">
      <pivotArea dataOnly="0" labelOnly="1" outline="0" fieldPosition="0">
        <references count="2">
          <reference field="0" count="1">
            <x v="64"/>
          </reference>
          <reference field="13" count="1" selected="0">
            <x v="55"/>
          </reference>
        </references>
      </pivotArea>
    </format>
    <format dxfId="2886">
      <pivotArea dataOnly="0" labelOnly="1" outline="0" fieldPosition="0">
        <references count="2">
          <reference field="0" count="1">
            <x v="65"/>
          </reference>
          <reference field="13" count="1" selected="0">
            <x v="55"/>
          </reference>
        </references>
      </pivotArea>
    </format>
    <format dxfId="2885">
      <pivotArea dataOnly="0" labelOnly="1" outline="0" fieldPosition="0">
        <references count="2">
          <reference field="0" count="1">
            <x v="66"/>
          </reference>
          <reference field="13" count="1" selected="0">
            <x v="55"/>
          </reference>
        </references>
      </pivotArea>
    </format>
    <format dxfId="2884">
      <pivotArea dataOnly="0" labelOnly="1" outline="0" fieldPosition="0">
        <references count="2">
          <reference field="0" count="1">
            <x v="71"/>
          </reference>
          <reference field="13" count="1" selected="0">
            <x v="55"/>
          </reference>
        </references>
      </pivotArea>
    </format>
    <format dxfId="2883">
      <pivotArea dataOnly="0" labelOnly="1" outline="0" fieldPosition="0">
        <references count="2">
          <reference field="0" count="1">
            <x v="72"/>
          </reference>
          <reference field="13" count="1" selected="0">
            <x v="55"/>
          </reference>
        </references>
      </pivotArea>
    </format>
    <format dxfId="2882">
      <pivotArea dataOnly="0" labelOnly="1" outline="0" fieldPosition="0">
        <references count="2">
          <reference field="0" count="1">
            <x v="78"/>
          </reference>
          <reference field="13" count="1" selected="0">
            <x v="55"/>
          </reference>
        </references>
      </pivotArea>
    </format>
    <format dxfId="2881">
      <pivotArea dataOnly="0" labelOnly="1" outline="0" fieldPosition="0">
        <references count="2">
          <reference field="0" count="1">
            <x v="82"/>
          </reference>
          <reference field="13" count="1" selected="0">
            <x v="55"/>
          </reference>
        </references>
      </pivotArea>
    </format>
    <format dxfId="2880">
      <pivotArea dataOnly="0" labelOnly="1" outline="0" fieldPosition="0">
        <references count="2">
          <reference field="0" count="1">
            <x v="83"/>
          </reference>
          <reference field="13" count="1" selected="0">
            <x v="55"/>
          </reference>
        </references>
      </pivotArea>
    </format>
    <format dxfId="2879">
      <pivotArea dataOnly="0" labelOnly="1" outline="0" fieldPosition="0">
        <references count="2">
          <reference field="0" count="1">
            <x v="84"/>
          </reference>
          <reference field="13" count="1" selected="0">
            <x v="55"/>
          </reference>
        </references>
      </pivotArea>
    </format>
    <format dxfId="2878">
      <pivotArea dataOnly="0" labelOnly="1" outline="0" fieldPosition="0">
        <references count="2">
          <reference field="0" count="1">
            <x v="87"/>
          </reference>
          <reference field="13" count="1" selected="0">
            <x v="55"/>
          </reference>
        </references>
      </pivotArea>
    </format>
    <format dxfId="2877">
      <pivotArea dataOnly="0" labelOnly="1" outline="0" fieldPosition="0">
        <references count="2">
          <reference field="0" count="1">
            <x v="88"/>
          </reference>
          <reference field="13" count="1" selected="0">
            <x v="55"/>
          </reference>
        </references>
      </pivotArea>
    </format>
    <format dxfId="2876">
      <pivotArea dataOnly="0" labelOnly="1" outline="0" fieldPosition="0">
        <references count="2">
          <reference field="0" count="1">
            <x v="3"/>
          </reference>
          <reference field="13" count="1" selected="0">
            <x v="56"/>
          </reference>
        </references>
      </pivotArea>
    </format>
    <format dxfId="2875">
      <pivotArea dataOnly="0" labelOnly="1" outline="0" fieldPosition="0">
        <references count="2">
          <reference field="0" count="1">
            <x v="4"/>
          </reference>
          <reference field="13" count="1" selected="0">
            <x v="56"/>
          </reference>
        </references>
      </pivotArea>
    </format>
    <format dxfId="2874">
      <pivotArea dataOnly="0" labelOnly="1" outline="0" fieldPosition="0">
        <references count="2">
          <reference field="0" count="1">
            <x v="15"/>
          </reference>
          <reference field="13" count="1" selected="0">
            <x v="56"/>
          </reference>
        </references>
      </pivotArea>
    </format>
    <format dxfId="2873">
      <pivotArea dataOnly="0" labelOnly="1" outline="0" fieldPosition="0">
        <references count="2">
          <reference field="0" count="1">
            <x v="21"/>
          </reference>
          <reference field="13" count="1" selected="0">
            <x v="56"/>
          </reference>
        </references>
      </pivotArea>
    </format>
    <format dxfId="2872">
      <pivotArea dataOnly="0" labelOnly="1" outline="0" fieldPosition="0">
        <references count="2">
          <reference field="0" count="1">
            <x v="25"/>
          </reference>
          <reference field="13" count="1" selected="0">
            <x v="56"/>
          </reference>
        </references>
      </pivotArea>
    </format>
    <format dxfId="2871">
      <pivotArea dataOnly="0" labelOnly="1" outline="0" fieldPosition="0">
        <references count="2">
          <reference field="0" count="1">
            <x v="27"/>
          </reference>
          <reference field="13" count="1" selected="0">
            <x v="56"/>
          </reference>
        </references>
      </pivotArea>
    </format>
    <format dxfId="2870">
      <pivotArea dataOnly="0" labelOnly="1" outline="0" fieldPosition="0">
        <references count="2">
          <reference field="0" count="1">
            <x v="29"/>
          </reference>
          <reference field="13" count="1" selected="0">
            <x v="56"/>
          </reference>
        </references>
      </pivotArea>
    </format>
    <format dxfId="2869">
      <pivotArea dataOnly="0" labelOnly="1" outline="0" fieldPosition="0">
        <references count="2">
          <reference field="0" count="1">
            <x v="34"/>
          </reference>
          <reference field="13" count="1" selected="0">
            <x v="56"/>
          </reference>
        </references>
      </pivotArea>
    </format>
    <format dxfId="2868">
      <pivotArea dataOnly="0" labelOnly="1" outline="0" fieldPosition="0">
        <references count="2">
          <reference field="0" count="1">
            <x v="35"/>
          </reference>
          <reference field="13" count="1" selected="0">
            <x v="56"/>
          </reference>
        </references>
      </pivotArea>
    </format>
    <format dxfId="2867">
      <pivotArea dataOnly="0" labelOnly="1" outline="0" fieldPosition="0">
        <references count="2">
          <reference field="0" count="1">
            <x v="36"/>
          </reference>
          <reference field="13" count="1" selected="0">
            <x v="56"/>
          </reference>
        </references>
      </pivotArea>
    </format>
    <format dxfId="2866">
      <pivotArea dataOnly="0" labelOnly="1" outline="0" fieldPosition="0">
        <references count="2">
          <reference field="0" count="1">
            <x v="38"/>
          </reference>
          <reference field="13" count="1" selected="0">
            <x v="56"/>
          </reference>
        </references>
      </pivotArea>
    </format>
    <format dxfId="2865">
      <pivotArea dataOnly="0" labelOnly="1" outline="0" fieldPosition="0">
        <references count="2">
          <reference field="0" count="1">
            <x v="40"/>
          </reference>
          <reference field="13" count="1" selected="0">
            <x v="56"/>
          </reference>
        </references>
      </pivotArea>
    </format>
    <format dxfId="2864">
      <pivotArea dataOnly="0" labelOnly="1" outline="0" fieldPosition="0">
        <references count="2">
          <reference field="0" count="1">
            <x v="44"/>
          </reference>
          <reference field="13" count="1" selected="0">
            <x v="56"/>
          </reference>
        </references>
      </pivotArea>
    </format>
    <format dxfId="2863">
      <pivotArea dataOnly="0" labelOnly="1" outline="0" fieldPosition="0">
        <references count="2">
          <reference field="0" count="1">
            <x v="47"/>
          </reference>
          <reference field="13" count="1" selected="0">
            <x v="56"/>
          </reference>
        </references>
      </pivotArea>
    </format>
    <format dxfId="2862">
      <pivotArea dataOnly="0" labelOnly="1" outline="0" fieldPosition="0">
        <references count="2">
          <reference field="0" count="1">
            <x v="49"/>
          </reference>
          <reference field="13" count="1" selected="0">
            <x v="56"/>
          </reference>
        </references>
      </pivotArea>
    </format>
    <format dxfId="2861">
      <pivotArea dataOnly="0" labelOnly="1" outline="0" fieldPosition="0">
        <references count="2">
          <reference field="0" count="1">
            <x v="52"/>
          </reference>
          <reference field="13" count="1" selected="0">
            <x v="56"/>
          </reference>
        </references>
      </pivotArea>
    </format>
    <format dxfId="2860">
      <pivotArea dataOnly="0" labelOnly="1" outline="0" fieldPosition="0">
        <references count="2">
          <reference field="0" count="1">
            <x v="54"/>
          </reference>
          <reference field="13" count="1" selected="0">
            <x v="56"/>
          </reference>
        </references>
      </pivotArea>
    </format>
    <format dxfId="2859">
      <pivotArea dataOnly="0" labelOnly="1" outline="0" fieldPosition="0">
        <references count="2">
          <reference field="0" count="1">
            <x v="57"/>
          </reference>
          <reference field="13" count="1" selected="0">
            <x v="56"/>
          </reference>
        </references>
      </pivotArea>
    </format>
    <format dxfId="2858">
      <pivotArea dataOnly="0" labelOnly="1" outline="0" fieldPosition="0">
        <references count="2">
          <reference field="0" count="1">
            <x v="59"/>
          </reference>
          <reference field="13" count="1" selected="0">
            <x v="56"/>
          </reference>
        </references>
      </pivotArea>
    </format>
    <format dxfId="2857">
      <pivotArea dataOnly="0" labelOnly="1" outline="0" fieldPosition="0">
        <references count="2">
          <reference field="0" count="1">
            <x v="62"/>
          </reference>
          <reference field="13" count="1" selected="0">
            <x v="56"/>
          </reference>
        </references>
      </pivotArea>
    </format>
    <format dxfId="2856">
      <pivotArea dataOnly="0" labelOnly="1" outline="0" fieldPosition="0">
        <references count="2">
          <reference field="0" count="1">
            <x v="63"/>
          </reference>
          <reference field="13" count="1" selected="0">
            <x v="56"/>
          </reference>
        </references>
      </pivotArea>
    </format>
    <format dxfId="2855">
      <pivotArea dataOnly="0" labelOnly="1" outline="0" fieldPosition="0">
        <references count="2">
          <reference field="0" count="1">
            <x v="64"/>
          </reference>
          <reference field="13" count="1" selected="0">
            <x v="56"/>
          </reference>
        </references>
      </pivotArea>
    </format>
    <format dxfId="2854">
      <pivotArea dataOnly="0" labelOnly="1" outline="0" fieldPosition="0">
        <references count="2">
          <reference field="0" count="1">
            <x v="66"/>
          </reference>
          <reference field="13" count="1" selected="0">
            <x v="56"/>
          </reference>
        </references>
      </pivotArea>
    </format>
    <format dxfId="2853">
      <pivotArea dataOnly="0" labelOnly="1" outline="0" fieldPosition="0">
        <references count="2">
          <reference field="0" count="1">
            <x v="70"/>
          </reference>
          <reference field="13" count="1" selected="0">
            <x v="56"/>
          </reference>
        </references>
      </pivotArea>
    </format>
    <format dxfId="2852">
      <pivotArea dataOnly="0" labelOnly="1" outline="0" fieldPosition="0">
        <references count="2">
          <reference field="0" count="1">
            <x v="71"/>
          </reference>
          <reference field="13" count="1" selected="0">
            <x v="56"/>
          </reference>
        </references>
      </pivotArea>
    </format>
    <format dxfId="2851">
      <pivotArea dataOnly="0" labelOnly="1" outline="0" fieldPosition="0">
        <references count="2">
          <reference field="0" count="1">
            <x v="72"/>
          </reference>
          <reference field="13" count="1" selected="0">
            <x v="56"/>
          </reference>
        </references>
      </pivotArea>
    </format>
    <format dxfId="2850">
      <pivotArea dataOnly="0" labelOnly="1" outline="0" fieldPosition="0">
        <references count="2">
          <reference field="0" count="1">
            <x v="80"/>
          </reference>
          <reference field="13" count="1" selected="0">
            <x v="56"/>
          </reference>
        </references>
      </pivotArea>
    </format>
    <format dxfId="2849">
      <pivotArea dataOnly="0" labelOnly="1" outline="0" fieldPosition="0">
        <references count="2">
          <reference field="0" count="1">
            <x v="82"/>
          </reference>
          <reference field="13" count="1" selected="0">
            <x v="56"/>
          </reference>
        </references>
      </pivotArea>
    </format>
    <format dxfId="2848">
      <pivotArea dataOnly="0" labelOnly="1" outline="0" fieldPosition="0">
        <references count="2">
          <reference field="0" count="1">
            <x v="87"/>
          </reference>
          <reference field="13" count="1" selected="0">
            <x v="56"/>
          </reference>
        </references>
      </pivotArea>
    </format>
    <format dxfId="2847">
      <pivotArea dataOnly="0" labelOnly="1" outline="0" fieldPosition="0">
        <references count="2">
          <reference field="0" count="1">
            <x v="88"/>
          </reference>
          <reference field="13" count="1" selected="0">
            <x v="56"/>
          </reference>
        </references>
      </pivotArea>
    </format>
    <format dxfId="2846">
      <pivotArea dataOnly="0" labelOnly="1" outline="0" fieldPosition="0">
        <references count="2">
          <reference field="0" count="1">
            <x v="89"/>
          </reference>
          <reference field="13" count="1" selected="0">
            <x v="56"/>
          </reference>
        </references>
      </pivotArea>
    </format>
    <format dxfId="2845">
      <pivotArea dataOnly="0" labelOnly="1" outline="0" fieldPosition="0">
        <references count="2">
          <reference field="0" count="1">
            <x v="1"/>
          </reference>
          <reference field="13" count="1" selected="0">
            <x v="57"/>
          </reference>
        </references>
      </pivotArea>
    </format>
    <format dxfId="2844">
      <pivotArea dataOnly="0" labelOnly="1" outline="0" fieldPosition="0">
        <references count="2">
          <reference field="0" count="1">
            <x v="4"/>
          </reference>
          <reference field="13" count="1" selected="0">
            <x v="57"/>
          </reference>
        </references>
      </pivotArea>
    </format>
    <format dxfId="2843">
      <pivotArea dataOnly="0" labelOnly="1" outline="0" fieldPosition="0">
        <references count="2">
          <reference field="0" count="1">
            <x v="15"/>
          </reference>
          <reference field="13" count="1" selected="0">
            <x v="57"/>
          </reference>
        </references>
      </pivotArea>
    </format>
    <format dxfId="2842">
      <pivotArea dataOnly="0" labelOnly="1" outline="0" fieldPosition="0">
        <references count="2">
          <reference field="0" count="1">
            <x v="20"/>
          </reference>
          <reference field="13" count="1" selected="0">
            <x v="57"/>
          </reference>
        </references>
      </pivotArea>
    </format>
    <format dxfId="2841">
      <pivotArea dataOnly="0" labelOnly="1" outline="0" fieldPosition="0">
        <references count="2">
          <reference field="0" count="1">
            <x v="21"/>
          </reference>
          <reference field="13" count="1" selected="0">
            <x v="57"/>
          </reference>
        </references>
      </pivotArea>
    </format>
    <format dxfId="2840">
      <pivotArea dataOnly="0" labelOnly="1" outline="0" fieldPosition="0">
        <references count="2">
          <reference field="0" count="1">
            <x v="29"/>
          </reference>
          <reference field="13" count="1" selected="0">
            <x v="57"/>
          </reference>
        </references>
      </pivotArea>
    </format>
    <format dxfId="2839">
      <pivotArea dataOnly="0" labelOnly="1" outline="0" fieldPosition="0">
        <references count="2">
          <reference field="0" count="1">
            <x v="47"/>
          </reference>
          <reference field="13" count="1" selected="0">
            <x v="57"/>
          </reference>
        </references>
      </pivotArea>
    </format>
    <format dxfId="2838">
      <pivotArea dataOnly="0" labelOnly="1" outline="0" fieldPosition="0">
        <references count="2">
          <reference field="0" count="1">
            <x v="55"/>
          </reference>
          <reference field="13" count="1" selected="0">
            <x v="57"/>
          </reference>
        </references>
      </pivotArea>
    </format>
    <format dxfId="2837">
      <pivotArea dataOnly="0" labelOnly="1" outline="0" fieldPosition="0">
        <references count="2">
          <reference field="0" count="1">
            <x v="57"/>
          </reference>
          <reference field="13" count="1" selected="0">
            <x v="57"/>
          </reference>
        </references>
      </pivotArea>
    </format>
    <format dxfId="2836">
      <pivotArea dataOnly="0" labelOnly="1" outline="0" fieldPosition="0">
        <references count="2">
          <reference field="0" count="1">
            <x v="62"/>
          </reference>
          <reference field="13" count="1" selected="0">
            <x v="57"/>
          </reference>
        </references>
      </pivotArea>
    </format>
    <format dxfId="2835">
      <pivotArea dataOnly="0" labelOnly="1" outline="0" fieldPosition="0">
        <references count="2">
          <reference field="0" count="1">
            <x v="63"/>
          </reference>
          <reference field="13" count="1" selected="0">
            <x v="57"/>
          </reference>
        </references>
      </pivotArea>
    </format>
    <format dxfId="2834">
      <pivotArea dataOnly="0" labelOnly="1" outline="0" fieldPosition="0">
        <references count="2">
          <reference field="0" count="1">
            <x v="64"/>
          </reference>
          <reference field="13" count="1" selected="0">
            <x v="57"/>
          </reference>
        </references>
      </pivotArea>
    </format>
    <format dxfId="2833">
      <pivotArea dataOnly="0" labelOnly="1" outline="0" fieldPosition="0">
        <references count="2">
          <reference field="0" count="1">
            <x v="65"/>
          </reference>
          <reference field="13" count="1" selected="0">
            <x v="57"/>
          </reference>
        </references>
      </pivotArea>
    </format>
    <format dxfId="2832">
      <pivotArea dataOnly="0" labelOnly="1" outline="0" fieldPosition="0">
        <references count="2">
          <reference field="0" count="1">
            <x v="71"/>
          </reference>
          <reference field="13" count="1" selected="0">
            <x v="57"/>
          </reference>
        </references>
      </pivotArea>
    </format>
    <format dxfId="2831">
      <pivotArea dataOnly="0" labelOnly="1" outline="0" fieldPosition="0">
        <references count="2">
          <reference field="0" count="1">
            <x v="89"/>
          </reference>
          <reference field="13" count="1" selected="0">
            <x v="57"/>
          </reference>
        </references>
      </pivotArea>
    </format>
    <format dxfId="2830">
      <pivotArea dataOnly="0" labelOnly="1" outline="0" fieldPosition="0">
        <references count="2">
          <reference field="0" count="1">
            <x v="1"/>
          </reference>
          <reference field="13" count="1" selected="0">
            <x v="58"/>
          </reference>
        </references>
      </pivotArea>
    </format>
    <format dxfId="2829">
      <pivotArea dataOnly="0" labelOnly="1" outline="0" fieldPosition="0">
        <references count="2">
          <reference field="0" count="1">
            <x v="4"/>
          </reference>
          <reference field="13" count="1" selected="0">
            <x v="58"/>
          </reference>
        </references>
      </pivotArea>
    </format>
    <format dxfId="2828">
      <pivotArea dataOnly="0" labelOnly="1" outline="0" fieldPosition="0">
        <references count="2">
          <reference field="0" count="1">
            <x v="6"/>
          </reference>
          <reference field="13" count="1" selected="0">
            <x v="58"/>
          </reference>
        </references>
      </pivotArea>
    </format>
    <format dxfId="2827">
      <pivotArea dataOnly="0" labelOnly="1" outline="0" fieldPosition="0">
        <references count="2">
          <reference field="0" count="1">
            <x v="10"/>
          </reference>
          <reference field="13" count="1" selected="0">
            <x v="58"/>
          </reference>
        </references>
      </pivotArea>
    </format>
    <format dxfId="2826">
      <pivotArea dataOnly="0" labelOnly="1" outline="0" fieldPosition="0">
        <references count="2">
          <reference field="0" count="1">
            <x v="15"/>
          </reference>
          <reference field="13" count="1" selected="0">
            <x v="58"/>
          </reference>
        </references>
      </pivotArea>
    </format>
    <format dxfId="2825">
      <pivotArea dataOnly="0" labelOnly="1" outline="0" fieldPosition="0">
        <references count="2">
          <reference field="0" count="1">
            <x v="20"/>
          </reference>
          <reference field="13" count="1" selected="0">
            <x v="58"/>
          </reference>
        </references>
      </pivotArea>
    </format>
    <format dxfId="2824">
      <pivotArea dataOnly="0" labelOnly="1" outline="0" fieldPosition="0">
        <references count="2">
          <reference field="0" count="1">
            <x v="21"/>
          </reference>
          <reference field="13" count="1" selected="0">
            <x v="58"/>
          </reference>
        </references>
      </pivotArea>
    </format>
    <format dxfId="2823">
      <pivotArea dataOnly="0" labelOnly="1" outline="0" fieldPosition="0">
        <references count="2">
          <reference field="0" count="1">
            <x v="50"/>
          </reference>
          <reference field="13" count="1" selected="0">
            <x v="58"/>
          </reference>
        </references>
      </pivotArea>
    </format>
    <format dxfId="2822">
      <pivotArea dataOnly="0" labelOnly="1" outline="0" fieldPosition="0">
        <references count="2">
          <reference field="0" count="1">
            <x v="55"/>
          </reference>
          <reference field="13" count="1" selected="0">
            <x v="58"/>
          </reference>
        </references>
      </pivotArea>
    </format>
    <format dxfId="2821">
      <pivotArea dataOnly="0" labelOnly="1" outline="0" fieldPosition="0">
        <references count="2">
          <reference field="0" count="1">
            <x v="61"/>
          </reference>
          <reference field="13" count="1" selected="0">
            <x v="58"/>
          </reference>
        </references>
      </pivotArea>
    </format>
    <format dxfId="2820">
      <pivotArea dataOnly="0" labelOnly="1" outline="0" fieldPosition="0">
        <references count="2">
          <reference field="0" count="1">
            <x v="64"/>
          </reference>
          <reference field="13" count="1" selected="0">
            <x v="58"/>
          </reference>
        </references>
      </pivotArea>
    </format>
    <format dxfId="2819">
      <pivotArea dataOnly="0" labelOnly="1" outline="0" fieldPosition="0">
        <references count="2">
          <reference field="0" count="1">
            <x v="71"/>
          </reference>
          <reference field="13" count="1" selected="0">
            <x v="58"/>
          </reference>
        </references>
      </pivotArea>
    </format>
    <format dxfId="2818">
      <pivotArea dataOnly="0" labelOnly="1" outline="0" fieldPosition="0">
        <references count="2">
          <reference field="0" count="1">
            <x v="83"/>
          </reference>
          <reference field="13" count="1" selected="0">
            <x v="58"/>
          </reference>
        </references>
      </pivotArea>
    </format>
    <format dxfId="2817">
      <pivotArea dataOnly="0" labelOnly="1" outline="0" fieldPosition="0">
        <references count="2">
          <reference field="0" count="1">
            <x v="84"/>
          </reference>
          <reference field="13" count="1" selected="0">
            <x v="58"/>
          </reference>
        </references>
      </pivotArea>
    </format>
    <format dxfId="2816">
      <pivotArea dataOnly="0" labelOnly="1" outline="0" fieldPosition="0">
        <references count="2">
          <reference field="0" count="1">
            <x v="29"/>
          </reference>
          <reference field="13" count="1" selected="0">
            <x v="59"/>
          </reference>
        </references>
      </pivotArea>
    </format>
    <format dxfId="2815">
      <pivotArea dataOnly="0" labelOnly="1" outline="0" fieldPosition="0">
        <references count="2">
          <reference field="0" count="1">
            <x v="47"/>
          </reference>
          <reference field="13" count="1" selected="0">
            <x v="59"/>
          </reference>
        </references>
      </pivotArea>
    </format>
    <format dxfId="2814">
      <pivotArea dataOnly="0" labelOnly="1" outline="0" fieldPosition="0">
        <references count="2">
          <reference field="0" count="1">
            <x v="57"/>
          </reference>
          <reference field="13" count="1" selected="0">
            <x v="59"/>
          </reference>
        </references>
      </pivotArea>
    </format>
    <format dxfId="2813">
      <pivotArea dataOnly="0" labelOnly="1" outline="0" fieldPosition="0">
        <references count="2">
          <reference field="0" count="1">
            <x v="59"/>
          </reference>
          <reference field="13" count="1" selected="0">
            <x v="59"/>
          </reference>
        </references>
      </pivotArea>
    </format>
    <format dxfId="2812">
      <pivotArea dataOnly="0" labelOnly="1" outline="0" fieldPosition="0">
        <references count="2">
          <reference field="0" count="1">
            <x v="63"/>
          </reference>
          <reference field="13" count="1" selected="0">
            <x v="59"/>
          </reference>
        </references>
      </pivotArea>
    </format>
    <format dxfId="2811">
      <pivotArea dataOnly="0" labelOnly="1" outline="0" fieldPosition="0">
        <references count="2">
          <reference field="0" count="1">
            <x v="65"/>
          </reference>
          <reference field="13" count="1" selected="0">
            <x v="59"/>
          </reference>
        </references>
      </pivotArea>
    </format>
    <format dxfId="2810">
      <pivotArea dataOnly="0" labelOnly="1" outline="0" fieldPosition="0">
        <references count="2">
          <reference field="0" count="1">
            <x v="78"/>
          </reference>
          <reference field="13" count="1" selected="0">
            <x v="59"/>
          </reference>
        </references>
      </pivotArea>
    </format>
    <format dxfId="2809">
      <pivotArea dataOnly="0" labelOnly="1" outline="0" fieldPosition="0">
        <references count="2">
          <reference field="0" count="1">
            <x v="82"/>
          </reference>
          <reference field="13" count="1" selected="0">
            <x v="59"/>
          </reference>
        </references>
      </pivotArea>
    </format>
    <format dxfId="2808">
      <pivotArea dataOnly="0" labelOnly="1" outline="0" fieldPosition="0">
        <references count="2">
          <reference field="0" count="1">
            <x v="87"/>
          </reference>
          <reference field="13" count="1" selected="0">
            <x v="59"/>
          </reference>
        </references>
      </pivotArea>
    </format>
    <format dxfId="2807">
      <pivotArea dataOnly="0" labelOnly="1" outline="0" fieldPosition="0">
        <references count="2">
          <reference field="0" count="1">
            <x v="89"/>
          </reference>
          <reference field="13" count="1" selected="0">
            <x v="59"/>
          </reference>
        </references>
      </pivotArea>
    </format>
    <format dxfId="2806">
      <pivotArea dataOnly="0" labelOnly="1" outline="0" fieldPosition="0">
        <references count="2">
          <reference field="0" count="1">
            <x v="1"/>
          </reference>
          <reference field="13" count="1" selected="0">
            <x v="60"/>
          </reference>
        </references>
      </pivotArea>
    </format>
    <format dxfId="2805">
      <pivotArea dataOnly="0" labelOnly="1" outline="0" fieldPosition="0">
        <references count="2">
          <reference field="0" count="1">
            <x v="3"/>
          </reference>
          <reference field="13" count="1" selected="0">
            <x v="60"/>
          </reference>
        </references>
      </pivotArea>
    </format>
    <format dxfId="2804">
      <pivotArea dataOnly="0" labelOnly="1" outline="0" fieldPosition="0">
        <references count="2">
          <reference field="0" count="1">
            <x v="4"/>
          </reference>
          <reference field="13" count="1" selected="0">
            <x v="60"/>
          </reference>
        </references>
      </pivotArea>
    </format>
    <format dxfId="2803">
      <pivotArea dataOnly="0" labelOnly="1" outline="0" fieldPosition="0">
        <references count="2">
          <reference field="0" count="1">
            <x v="7"/>
          </reference>
          <reference field="13" count="1" selected="0">
            <x v="60"/>
          </reference>
        </references>
      </pivotArea>
    </format>
    <format dxfId="2802">
      <pivotArea dataOnly="0" labelOnly="1" outline="0" fieldPosition="0">
        <references count="2">
          <reference field="0" count="1">
            <x v="12"/>
          </reference>
          <reference field="13" count="1" selected="0">
            <x v="60"/>
          </reference>
        </references>
      </pivotArea>
    </format>
    <format dxfId="2801">
      <pivotArea dataOnly="0" labelOnly="1" outline="0" fieldPosition="0">
        <references count="2">
          <reference field="0" count="1">
            <x v="15"/>
          </reference>
          <reference field="13" count="1" selected="0">
            <x v="60"/>
          </reference>
        </references>
      </pivotArea>
    </format>
    <format dxfId="2800">
      <pivotArea dataOnly="0" labelOnly="1" outline="0" fieldPosition="0">
        <references count="2">
          <reference field="0" count="1">
            <x v="17"/>
          </reference>
          <reference field="13" count="1" selected="0">
            <x v="60"/>
          </reference>
        </references>
      </pivotArea>
    </format>
    <format dxfId="2799">
      <pivotArea dataOnly="0" labelOnly="1" outline="0" fieldPosition="0">
        <references count="2">
          <reference field="0" count="1">
            <x v="20"/>
          </reference>
          <reference field="13" count="1" selected="0">
            <x v="60"/>
          </reference>
        </references>
      </pivotArea>
    </format>
    <format dxfId="2798">
      <pivotArea dataOnly="0" labelOnly="1" outline="0" fieldPosition="0">
        <references count="2">
          <reference field="0" count="1">
            <x v="21"/>
          </reference>
          <reference field="13" count="1" selected="0">
            <x v="60"/>
          </reference>
        </references>
      </pivotArea>
    </format>
    <format dxfId="2797">
      <pivotArea dataOnly="0" labelOnly="1" outline="0" fieldPosition="0">
        <references count="2">
          <reference field="0" count="1">
            <x v="29"/>
          </reference>
          <reference field="13" count="1" selected="0">
            <x v="60"/>
          </reference>
        </references>
      </pivotArea>
    </format>
    <format dxfId="2796">
      <pivotArea dataOnly="0" labelOnly="1" outline="0" fieldPosition="0">
        <references count="2">
          <reference field="0" count="1">
            <x v="34"/>
          </reference>
          <reference field="13" count="1" selected="0">
            <x v="60"/>
          </reference>
        </references>
      </pivotArea>
    </format>
    <format dxfId="2795">
      <pivotArea dataOnly="0" labelOnly="1" outline="0" fieldPosition="0">
        <references count="2">
          <reference field="0" count="1">
            <x v="36"/>
          </reference>
          <reference field="13" count="1" selected="0">
            <x v="60"/>
          </reference>
        </references>
      </pivotArea>
    </format>
    <format dxfId="2794">
      <pivotArea dataOnly="0" labelOnly="1" outline="0" fieldPosition="0">
        <references count="2">
          <reference field="0" count="1">
            <x v="44"/>
          </reference>
          <reference field="13" count="1" selected="0">
            <x v="60"/>
          </reference>
        </references>
      </pivotArea>
    </format>
    <format dxfId="2793">
      <pivotArea dataOnly="0" labelOnly="1" outline="0" fieldPosition="0">
        <references count="2">
          <reference field="0" count="1">
            <x v="45"/>
          </reference>
          <reference field="13" count="1" selected="0">
            <x v="60"/>
          </reference>
        </references>
      </pivotArea>
    </format>
    <format dxfId="2792">
      <pivotArea dataOnly="0" labelOnly="1" outline="0" fieldPosition="0">
        <references count="2">
          <reference field="0" count="1">
            <x v="47"/>
          </reference>
          <reference field="13" count="1" selected="0">
            <x v="60"/>
          </reference>
        </references>
      </pivotArea>
    </format>
    <format dxfId="2791">
      <pivotArea dataOnly="0" labelOnly="1" outline="0" fieldPosition="0">
        <references count="2">
          <reference field="0" count="1">
            <x v="50"/>
          </reference>
          <reference field="13" count="1" selected="0">
            <x v="60"/>
          </reference>
        </references>
      </pivotArea>
    </format>
    <format dxfId="2790">
      <pivotArea dataOnly="0" labelOnly="1" outline="0" fieldPosition="0">
        <references count="2">
          <reference field="0" count="1">
            <x v="55"/>
          </reference>
          <reference field="13" count="1" selected="0">
            <x v="60"/>
          </reference>
        </references>
      </pivotArea>
    </format>
    <format dxfId="2789">
      <pivotArea dataOnly="0" labelOnly="1" outline="0" fieldPosition="0">
        <references count="2">
          <reference field="0" count="1">
            <x v="57"/>
          </reference>
          <reference field="13" count="1" selected="0">
            <x v="60"/>
          </reference>
        </references>
      </pivotArea>
    </format>
    <format dxfId="2788">
      <pivotArea dataOnly="0" labelOnly="1" outline="0" fieldPosition="0">
        <references count="2">
          <reference field="0" count="1">
            <x v="59"/>
          </reference>
          <reference field="13" count="1" selected="0">
            <x v="60"/>
          </reference>
        </references>
      </pivotArea>
    </format>
    <format dxfId="2787">
      <pivotArea dataOnly="0" labelOnly="1" outline="0" fieldPosition="0">
        <references count="2">
          <reference field="0" count="1">
            <x v="60"/>
          </reference>
          <reference field="13" count="1" selected="0">
            <x v="60"/>
          </reference>
        </references>
      </pivotArea>
    </format>
    <format dxfId="2786">
      <pivotArea dataOnly="0" labelOnly="1" outline="0" fieldPosition="0">
        <references count="2">
          <reference field="0" count="1">
            <x v="63"/>
          </reference>
          <reference field="13" count="1" selected="0">
            <x v="60"/>
          </reference>
        </references>
      </pivotArea>
    </format>
    <format dxfId="2785">
      <pivotArea dataOnly="0" labelOnly="1" outline="0" fieldPosition="0">
        <references count="2">
          <reference field="0" count="1">
            <x v="64"/>
          </reference>
          <reference field="13" count="1" selected="0">
            <x v="60"/>
          </reference>
        </references>
      </pivotArea>
    </format>
    <format dxfId="2784">
      <pivotArea dataOnly="0" labelOnly="1" outline="0" fieldPosition="0">
        <references count="2">
          <reference field="0" count="1">
            <x v="65"/>
          </reference>
          <reference field="13" count="1" selected="0">
            <x v="60"/>
          </reference>
        </references>
      </pivotArea>
    </format>
    <format dxfId="2783">
      <pivotArea dataOnly="0" labelOnly="1" outline="0" fieldPosition="0">
        <references count="2">
          <reference field="0" count="1">
            <x v="66"/>
          </reference>
          <reference field="13" count="1" selected="0">
            <x v="60"/>
          </reference>
        </references>
      </pivotArea>
    </format>
    <format dxfId="2782">
      <pivotArea dataOnly="0" labelOnly="1" outline="0" fieldPosition="0">
        <references count="2">
          <reference field="0" count="1">
            <x v="71"/>
          </reference>
          <reference field="13" count="1" selected="0">
            <x v="60"/>
          </reference>
        </references>
      </pivotArea>
    </format>
    <format dxfId="2781">
      <pivotArea dataOnly="0" labelOnly="1" outline="0" fieldPosition="0">
        <references count="2">
          <reference field="0" count="1">
            <x v="72"/>
          </reference>
          <reference field="13" count="1" selected="0">
            <x v="60"/>
          </reference>
        </references>
      </pivotArea>
    </format>
    <format dxfId="2780">
      <pivotArea dataOnly="0" labelOnly="1" outline="0" fieldPosition="0">
        <references count="2">
          <reference field="0" count="1">
            <x v="77"/>
          </reference>
          <reference field="13" count="1" selected="0">
            <x v="60"/>
          </reference>
        </references>
      </pivotArea>
    </format>
    <format dxfId="2779">
      <pivotArea dataOnly="0" labelOnly="1" outline="0" fieldPosition="0">
        <references count="2">
          <reference field="0" count="1">
            <x v="78"/>
          </reference>
          <reference field="13" count="1" selected="0">
            <x v="60"/>
          </reference>
        </references>
      </pivotArea>
    </format>
    <format dxfId="2778">
      <pivotArea dataOnly="0" labelOnly="1" outline="0" fieldPosition="0">
        <references count="2">
          <reference field="0" count="1">
            <x v="82"/>
          </reference>
          <reference field="13" count="1" selected="0">
            <x v="60"/>
          </reference>
        </references>
      </pivotArea>
    </format>
    <format dxfId="2777">
      <pivotArea dataOnly="0" labelOnly="1" outline="0" fieldPosition="0">
        <references count="2">
          <reference field="0" count="1">
            <x v="87"/>
          </reference>
          <reference field="13" count="1" selected="0">
            <x v="60"/>
          </reference>
        </references>
      </pivotArea>
    </format>
    <format dxfId="2776">
      <pivotArea dataOnly="0" labelOnly="1" outline="0" fieldPosition="0">
        <references count="2">
          <reference field="0" count="1">
            <x v="88"/>
          </reference>
          <reference field="13" count="1" selected="0">
            <x v="60"/>
          </reference>
        </references>
      </pivotArea>
    </format>
    <format dxfId="2775">
      <pivotArea dataOnly="0" labelOnly="1" outline="0" fieldPosition="0">
        <references count="2">
          <reference field="0" count="1">
            <x v="1"/>
          </reference>
          <reference field="13" count="1" selected="0">
            <x v="61"/>
          </reference>
        </references>
      </pivotArea>
    </format>
    <format dxfId="2774">
      <pivotArea dataOnly="0" labelOnly="1" outline="0" fieldPosition="0">
        <references count="2">
          <reference field="0" count="1">
            <x v="4"/>
          </reference>
          <reference field="13" count="1" selected="0">
            <x v="61"/>
          </reference>
        </references>
      </pivotArea>
    </format>
    <format dxfId="2773">
      <pivotArea dataOnly="0" labelOnly="1" outline="0" fieldPosition="0">
        <references count="2">
          <reference field="0" count="1">
            <x v="15"/>
          </reference>
          <reference field="13" count="1" selected="0">
            <x v="61"/>
          </reference>
        </references>
      </pivotArea>
    </format>
    <format dxfId="2772">
      <pivotArea dataOnly="0" labelOnly="1" outline="0" fieldPosition="0">
        <references count="2">
          <reference field="0" count="1">
            <x v="19"/>
          </reference>
          <reference field="13" count="1" selected="0">
            <x v="61"/>
          </reference>
        </references>
      </pivotArea>
    </format>
    <format dxfId="2771">
      <pivotArea dataOnly="0" labelOnly="1" outline="0" fieldPosition="0">
        <references count="2">
          <reference field="0" count="1">
            <x v="20"/>
          </reference>
          <reference field="13" count="1" selected="0">
            <x v="61"/>
          </reference>
        </references>
      </pivotArea>
    </format>
    <format dxfId="2770">
      <pivotArea dataOnly="0" labelOnly="1" outline="0" fieldPosition="0">
        <references count="2">
          <reference field="0" count="1">
            <x v="21"/>
          </reference>
          <reference field="13" count="1" selected="0">
            <x v="61"/>
          </reference>
        </references>
      </pivotArea>
    </format>
    <format dxfId="2769">
      <pivotArea dataOnly="0" labelOnly="1" outline="0" fieldPosition="0">
        <references count="2">
          <reference field="0" count="1">
            <x v="29"/>
          </reference>
          <reference field="13" count="1" selected="0">
            <x v="61"/>
          </reference>
        </references>
      </pivotArea>
    </format>
    <format dxfId="2768">
      <pivotArea dataOnly="0" labelOnly="1" outline="0" fieldPosition="0">
        <references count="2">
          <reference field="0" count="1">
            <x v="47"/>
          </reference>
          <reference field="13" count="1" selected="0">
            <x v="61"/>
          </reference>
        </references>
      </pivotArea>
    </format>
    <format dxfId="2767">
      <pivotArea dataOnly="0" labelOnly="1" outline="0" fieldPosition="0">
        <references count="2">
          <reference field="0" count="1">
            <x v="55"/>
          </reference>
          <reference field="13" count="1" selected="0">
            <x v="61"/>
          </reference>
        </references>
      </pivotArea>
    </format>
    <format dxfId="2766">
      <pivotArea dataOnly="0" labelOnly="1" outline="0" fieldPosition="0">
        <references count="2">
          <reference field="0" count="1">
            <x v="57"/>
          </reference>
          <reference field="13" count="1" selected="0">
            <x v="61"/>
          </reference>
        </references>
      </pivotArea>
    </format>
    <format dxfId="2765">
      <pivotArea dataOnly="0" labelOnly="1" outline="0" fieldPosition="0">
        <references count="2">
          <reference field="0" count="1">
            <x v="59"/>
          </reference>
          <reference field="13" count="1" selected="0">
            <x v="61"/>
          </reference>
        </references>
      </pivotArea>
    </format>
    <format dxfId="2764">
      <pivotArea dataOnly="0" labelOnly="1" outline="0" fieldPosition="0">
        <references count="2">
          <reference field="0" count="1">
            <x v="63"/>
          </reference>
          <reference field="13" count="1" selected="0">
            <x v="61"/>
          </reference>
        </references>
      </pivotArea>
    </format>
    <format dxfId="2763">
      <pivotArea dataOnly="0" labelOnly="1" outline="0" fieldPosition="0">
        <references count="2">
          <reference field="0" count="1">
            <x v="71"/>
          </reference>
          <reference field="13" count="1" selected="0">
            <x v="61"/>
          </reference>
        </references>
      </pivotArea>
    </format>
    <format dxfId="2762">
      <pivotArea dataOnly="0" labelOnly="1" outline="0" fieldPosition="0">
        <references count="2">
          <reference field="0" count="1">
            <x v="82"/>
          </reference>
          <reference field="13" count="1" selected="0">
            <x v="61"/>
          </reference>
        </references>
      </pivotArea>
    </format>
    <format dxfId="2761">
      <pivotArea dataOnly="0" labelOnly="1" outline="0" fieldPosition="0">
        <references count="2">
          <reference field="0" count="1">
            <x v="87"/>
          </reference>
          <reference field="13" count="1" selected="0">
            <x v="61"/>
          </reference>
        </references>
      </pivotArea>
    </format>
    <format dxfId="2760">
      <pivotArea dataOnly="0" labelOnly="1" outline="0" fieldPosition="0">
        <references count="2">
          <reference field="0" count="1">
            <x v="89"/>
          </reference>
          <reference field="13" count="1" selected="0">
            <x v="61"/>
          </reference>
        </references>
      </pivotArea>
    </format>
    <format dxfId="2759">
      <pivotArea dataOnly="0" labelOnly="1" outline="0" fieldPosition="0">
        <references count="2">
          <reference field="0" count="1">
            <x v="1"/>
          </reference>
          <reference field="13" count="1" selected="0">
            <x v="62"/>
          </reference>
        </references>
      </pivotArea>
    </format>
    <format dxfId="2758">
      <pivotArea dataOnly="0" labelOnly="1" outline="0" fieldPosition="0">
        <references count="2">
          <reference field="0" count="1">
            <x v="3"/>
          </reference>
          <reference field="13" count="1" selected="0">
            <x v="62"/>
          </reference>
        </references>
      </pivotArea>
    </format>
    <format dxfId="2757">
      <pivotArea dataOnly="0" labelOnly="1" outline="0" fieldPosition="0">
        <references count="2">
          <reference field="0" count="1">
            <x v="4"/>
          </reference>
          <reference field="13" count="1" selected="0">
            <x v="62"/>
          </reference>
        </references>
      </pivotArea>
    </format>
    <format dxfId="2756">
      <pivotArea dataOnly="0" labelOnly="1" outline="0" fieldPosition="0">
        <references count="2">
          <reference field="0" count="1">
            <x v="6"/>
          </reference>
          <reference field="13" count="1" selected="0">
            <x v="62"/>
          </reference>
        </references>
      </pivotArea>
    </format>
    <format dxfId="2755">
      <pivotArea dataOnly="0" labelOnly="1" outline="0" fieldPosition="0">
        <references count="2">
          <reference field="0" count="1">
            <x v="13"/>
          </reference>
          <reference field="13" count="1" selected="0">
            <x v="62"/>
          </reference>
        </references>
      </pivotArea>
    </format>
    <format dxfId="2754">
      <pivotArea dataOnly="0" labelOnly="1" outline="0" fieldPosition="0">
        <references count="2">
          <reference field="0" count="1">
            <x v="15"/>
          </reference>
          <reference field="13" count="1" selected="0">
            <x v="62"/>
          </reference>
        </references>
      </pivotArea>
    </format>
    <format dxfId="2753">
      <pivotArea dataOnly="0" labelOnly="1" outline="0" fieldPosition="0">
        <references count="2">
          <reference field="0" count="1">
            <x v="19"/>
          </reference>
          <reference field="13" count="1" selected="0">
            <x v="62"/>
          </reference>
        </references>
      </pivotArea>
    </format>
    <format dxfId="2752">
      <pivotArea dataOnly="0" labelOnly="1" outline="0" fieldPosition="0">
        <references count="2">
          <reference field="0" count="1">
            <x v="20"/>
          </reference>
          <reference field="13" count="1" selected="0">
            <x v="62"/>
          </reference>
        </references>
      </pivotArea>
    </format>
    <format dxfId="2751">
      <pivotArea dataOnly="0" labelOnly="1" outline="0" fieldPosition="0">
        <references count="2">
          <reference field="0" count="1">
            <x v="21"/>
          </reference>
          <reference field="13" count="1" selected="0">
            <x v="62"/>
          </reference>
        </references>
      </pivotArea>
    </format>
    <format dxfId="2750">
      <pivotArea dataOnly="0" labelOnly="1" outline="0" fieldPosition="0">
        <references count="2">
          <reference field="0" count="1">
            <x v="36"/>
          </reference>
          <reference field="13" count="1" selected="0">
            <x v="62"/>
          </reference>
        </references>
      </pivotArea>
    </format>
    <format dxfId="2749">
      <pivotArea dataOnly="0" labelOnly="1" outline="0" fieldPosition="0">
        <references count="2">
          <reference field="0" count="1">
            <x v="47"/>
          </reference>
          <reference field="13" count="1" selected="0">
            <x v="62"/>
          </reference>
        </references>
      </pivotArea>
    </format>
    <format dxfId="2748">
      <pivotArea dataOnly="0" labelOnly="1" outline="0" fieldPosition="0">
        <references count="2">
          <reference field="0" count="1">
            <x v="50"/>
          </reference>
          <reference field="13" count="1" selected="0">
            <x v="62"/>
          </reference>
        </references>
      </pivotArea>
    </format>
    <format dxfId="2747">
      <pivotArea dataOnly="0" labelOnly="1" outline="0" fieldPosition="0">
        <references count="2">
          <reference field="0" count="1">
            <x v="55"/>
          </reference>
          <reference field="13" count="1" selected="0">
            <x v="62"/>
          </reference>
        </references>
      </pivotArea>
    </format>
    <format dxfId="2746">
      <pivotArea dataOnly="0" labelOnly="1" outline="0" fieldPosition="0">
        <references count="2">
          <reference field="0" count="1">
            <x v="57"/>
          </reference>
          <reference field="13" count="1" selected="0">
            <x v="62"/>
          </reference>
        </references>
      </pivotArea>
    </format>
    <format dxfId="2745">
      <pivotArea dataOnly="0" labelOnly="1" outline="0" fieldPosition="0">
        <references count="2">
          <reference field="0" count="1">
            <x v="59"/>
          </reference>
          <reference field="13" count="1" selected="0">
            <x v="62"/>
          </reference>
        </references>
      </pivotArea>
    </format>
    <format dxfId="2744">
      <pivotArea dataOnly="0" labelOnly="1" outline="0" fieldPosition="0">
        <references count="2">
          <reference field="0" count="1">
            <x v="61"/>
          </reference>
          <reference field="13" count="1" selected="0">
            <x v="62"/>
          </reference>
        </references>
      </pivotArea>
    </format>
    <format dxfId="2743">
      <pivotArea dataOnly="0" labelOnly="1" outline="0" fieldPosition="0">
        <references count="2">
          <reference field="0" count="1">
            <x v="63"/>
          </reference>
          <reference field="13" count="1" selected="0">
            <x v="62"/>
          </reference>
        </references>
      </pivotArea>
    </format>
    <format dxfId="2742">
      <pivotArea dataOnly="0" labelOnly="1" outline="0" fieldPosition="0">
        <references count="2">
          <reference field="0" count="1">
            <x v="64"/>
          </reference>
          <reference field="13" count="1" selected="0">
            <x v="62"/>
          </reference>
        </references>
      </pivotArea>
    </format>
    <format dxfId="2741">
      <pivotArea dataOnly="0" labelOnly="1" outline="0" fieldPosition="0">
        <references count="2">
          <reference field="0" count="1">
            <x v="65"/>
          </reference>
          <reference field="13" count="1" selected="0">
            <x v="62"/>
          </reference>
        </references>
      </pivotArea>
    </format>
    <format dxfId="2740">
      <pivotArea dataOnly="0" labelOnly="1" outline="0" fieldPosition="0">
        <references count="2">
          <reference field="0" count="1">
            <x v="71"/>
          </reference>
          <reference field="13" count="1" selected="0">
            <x v="62"/>
          </reference>
        </references>
      </pivotArea>
    </format>
    <format dxfId="2739">
      <pivotArea dataOnly="0" labelOnly="1" outline="0" fieldPosition="0">
        <references count="2">
          <reference field="0" count="1">
            <x v="82"/>
          </reference>
          <reference field="13" count="1" selected="0">
            <x v="62"/>
          </reference>
        </references>
      </pivotArea>
    </format>
    <format dxfId="2738">
      <pivotArea dataOnly="0" labelOnly="1" outline="0" fieldPosition="0">
        <references count="2">
          <reference field="0" count="1">
            <x v="87"/>
          </reference>
          <reference field="13" count="1" selected="0">
            <x v="62"/>
          </reference>
        </references>
      </pivotArea>
    </format>
    <format dxfId="2737">
      <pivotArea dataOnly="0" labelOnly="1" outline="0" fieldPosition="0">
        <references count="2">
          <reference field="0" count="1">
            <x v="29"/>
          </reference>
          <reference field="13" count="1" selected="0">
            <x v="63"/>
          </reference>
        </references>
      </pivotArea>
    </format>
    <format dxfId="2736">
      <pivotArea dataOnly="0" labelOnly="1" outline="0" fieldPosition="0">
        <references count="2">
          <reference field="0" count="1">
            <x v="42"/>
          </reference>
          <reference field="13" count="1" selected="0">
            <x v="63"/>
          </reference>
        </references>
      </pivotArea>
    </format>
    <format dxfId="2735">
      <pivotArea dataOnly="0" labelOnly="1" outline="0" fieldPosition="0">
        <references count="2">
          <reference field="0" count="1">
            <x v="62"/>
          </reference>
          <reference field="13" count="1" selected="0">
            <x v="63"/>
          </reference>
        </references>
      </pivotArea>
    </format>
    <format dxfId="2734">
      <pivotArea dataOnly="0" labelOnly="1" outline="0" fieldPosition="0">
        <references count="2">
          <reference field="0" count="1">
            <x v="87"/>
          </reference>
          <reference field="13" count="1" selected="0">
            <x v="63"/>
          </reference>
        </references>
      </pivotArea>
    </format>
    <format dxfId="2733">
      <pivotArea dataOnly="0" labelOnly="1" outline="0" fieldPosition="0">
        <references count="3">
          <reference field="0" count="1" selected="0">
            <x v="1"/>
          </reference>
          <reference field="1" count="20">
            <x v="7"/>
            <x v="13"/>
            <x v="19"/>
            <x v="26"/>
            <x v="34"/>
            <x v="41"/>
            <x v="42"/>
            <x v="45"/>
            <x v="50"/>
            <x v="53"/>
            <x v="54"/>
            <x v="55"/>
            <x v="56"/>
            <x v="58"/>
            <x v="75"/>
            <x v="85"/>
            <x v="86"/>
            <x v="87"/>
            <x v="90"/>
            <x v="91"/>
          </reference>
          <reference field="13" count="1" selected="0">
            <x v="0"/>
          </reference>
        </references>
      </pivotArea>
    </format>
    <format dxfId="2732">
      <pivotArea dataOnly="0" labelOnly="1" outline="0" fieldPosition="0">
        <references count="3">
          <reference field="0" count="1" selected="0">
            <x v="55"/>
          </reference>
          <reference field="1" count="19">
            <x v="7"/>
            <x v="19"/>
            <x v="20"/>
            <x v="25"/>
            <x v="26"/>
            <x v="28"/>
            <x v="30"/>
            <x v="33"/>
            <x v="40"/>
            <x v="41"/>
            <x v="42"/>
            <x v="51"/>
            <x v="53"/>
            <x v="54"/>
            <x v="60"/>
            <x v="62"/>
            <x v="75"/>
            <x v="86"/>
            <x v="90"/>
          </reference>
          <reference field="13" count="1" selected="0">
            <x v="6"/>
          </reference>
        </references>
      </pivotArea>
    </format>
    <format dxfId="2731">
      <pivotArea dataOnly="0" labelOnly="1" outline="0" fieldPosition="0">
        <references count="3">
          <reference field="0" count="1" selected="0">
            <x v="57"/>
          </reference>
          <reference field="1" count="33">
            <x v="2"/>
            <x v="4"/>
            <x v="6"/>
            <x v="7"/>
            <x v="12"/>
            <x v="17"/>
            <x v="19"/>
            <x v="23"/>
            <x v="25"/>
            <x v="26"/>
            <x v="27"/>
            <x v="28"/>
            <x v="29"/>
            <x v="39"/>
            <x v="40"/>
            <x v="41"/>
            <x v="42"/>
            <x v="44"/>
            <x v="48"/>
            <x v="50"/>
            <x v="54"/>
            <x v="60"/>
            <x v="68"/>
            <x v="74"/>
            <x v="75"/>
            <x v="80"/>
            <x v="81"/>
            <x v="83"/>
            <x v="85"/>
            <x v="86"/>
            <x v="87"/>
            <x v="89"/>
            <x v="90"/>
          </reference>
          <reference field="13" count="1" selected="0">
            <x v="12"/>
          </reference>
        </references>
      </pivotArea>
    </format>
    <format dxfId="2730">
      <pivotArea dataOnly="0" labelOnly="1" outline="0" fieldPosition="0">
        <references count="3">
          <reference field="0" count="1" selected="0">
            <x v="19"/>
          </reference>
          <reference field="1" count="28">
            <x v="4"/>
            <x v="6"/>
            <x v="7"/>
            <x v="13"/>
            <x v="19"/>
            <x v="20"/>
            <x v="26"/>
            <x v="27"/>
            <x v="29"/>
            <x v="32"/>
            <x v="33"/>
            <x v="34"/>
            <x v="37"/>
            <x v="42"/>
            <x v="44"/>
            <x v="45"/>
            <x v="56"/>
            <x v="58"/>
            <x v="59"/>
            <x v="61"/>
            <x v="63"/>
            <x v="64"/>
            <x v="74"/>
            <x v="76"/>
            <x v="81"/>
            <x v="86"/>
            <x v="90"/>
            <x v="91"/>
          </reference>
          <reference field="13" count="1" selected="0">
            <x v="16"/>
          </reference>
        </references>
      </pivotArea>
    </format>
    <format dxfId="2729">
      <pivotArea dataOnly="0" labelOnly="1" outline="0" fieldPosition="0">
        <references count="3">
          <reference field="0" count="1" selected="0">
            <x v="21"/>
          </reference>
          <reference field="1" count="22">
            <x v="4"/>
            <x v="6"/>
            <x v="13"/>
            <x v="19"/>
            <x v="20"/>
            <x v="26"/>
            <x v="27"/>
            <x v="33"/>
            <x v="42"/>
            <x v="44"/>
            <x v="45"/>
            <x v="50"/>
            <x v="51"/>
            <x v="53"/>
            <x v="58"/>
            <x v="59"/>
            <x v="75"/>
            <x v="76"/>
            <x v="85"/>
            <x v="86"/>
            <x v="87"/>
            <x v="90"/>
          </reference>
          <reference field="13" count="1" selected="0">
            <x v="20"/>
          </reference>
        </references>
      </pivotArea>
    </format>
    <format dxfId="2728">
      <pivotArea dataOnly="0" labelOnly="1" outline="0" fieldPosition="0">
        <references count="3">
          <reference field="0" count="1" selected="0">
            <x v="82"/>
          </reference>
          <reference field="1" count="13">
            <x v="4"/>
            <x v="6"/>
            <x v="7"/>
            <x v="19"/>
            <x v="26"/>
            <x v="42"/>
            <x v="51"/>
            <x v="53"/>
            <x v="58"/>
            <x v="85"/>
            <x v="86"/>
            <x v="87"/>
            <x v="90"/>
          </reference>
          <reference field="13" count="1" selected="0">
            <x v="24"/>
          </reference>
        </references>
      </pivotArea>
    </format>
    <format dxfId="2727">
      <pivotArea dataOnly="0" labelOnly="1" outline="0" fieldPosition="0">
        <references count="3">
          <reference field="0" count="1" selected="0">
            <x v="1"/>
          </reference>
          <reference field="1" count="14">
            <x v="7"/>
            <x v="19"/>
            <x v="26"/>
            <x v="42"/>
            <x v="44"/>
            <x v="50"/>
            <x v="51"/>
            <x v="58"/>
            <x v="75"/>
            <x v="81"/>
            <x v="85"/>
            <x v="86"/>
            <x v="87"/>
            <x v="90"/>
          </reference>
          <reference field="13" count="1" selected="0">
            <x v="30"/>
          </reference>
        </references>
      </pivotArea>
    </format>
    <format dxfId="2726">
      <pivotArea dataOnly="0" labelOnly="1" outline="0" fieldPosition="0">
        <references count="3">
          <reference field="0" count="1" selected="0">
            <x v="21"/>
          </reference>
          <reference field="1" count="21">
            <x v="6"/>
            <x v="7"/>
            <x v="19"/>
            <x v="20"/>
            <x v="25"/>
            <x v="26"/>
            <x v="28"/>
            <x v="41"/>
            <x v="42"/>
            <x v="44"/>
            <x v="45"/>
            <x v="50"/>
            <x v="51"/>
            <x v="53"/>
            <x v="58"/>
            <x v="60"/>
            <x v="75"/>
            <x v="85"/>
            <x v="86"/>
            <x v="87"/>
            <x v="90"/>
          </reference>
          <reference field="13" count="1" selected="0">
            <x v="35"/>
          </reference>
        </references>
      </pivotArea>
    </format>
    <format dxfId="2725">
      <pivotArea dataOnly="0" labelOnly="1" outline="0" fieldPosition="0">
        <references count="3">
          <reference field="0" count="1" selected="0">
            <x v="82"/>
          </reference>
          <reference field="1" count="36">
            <x v="1"/>
            <x v="4"/>
            <x v="6"/>
            <x v="7"/>
            <x v="9"/>
            <x v="13"/>
            <x v="14"/>
            <x v="19"/>
            <x v="20"/>
            <x v="21"/>
            <x v="22"/>
            <x v="26"/>
            <x v="27"/>
            <x v="30"/>
            <x v="31"/>
            <x v="33"/>
            <x v="34"/>
            <x v="37"/>
            <x v="38"/>
            <x v="42"/>
            <x v="43"/>
            <x v="44"/>
            <x v="45"/>
            <x v="46"/>
            <x v="50"/>
            <x v="58"/>
            <x v="59"/>
            <x v="60"/>
            <x v="65"/>
            <x v="75"/>
            <x v="78"/>
            <x v="85"/>
            <x v="86"/>
            <x v="87"/>
            <x v="90"/>
            <x v="91"/>
          </reference>
          <reference field="13" count="1" selected="0">
            <x v="39"/>
          </reference>
        </references>
      </pivotArea>
    </format>
    <format dxfId="2724">
      <pivotArea dataOnly="0" labelOnly="1" outline="0" fieldPosition="0">
        <references count="3">
          <reference field="0" count="1" selected="0">
            <x v="89"/>
          </reference>
          <reference field="1" count="32">
            <x v="4"/>
            <x v="6"/>
            <x v="7"/>
            <x v="9"/>
            <x v="13"/>
            <x v="14"/>
            <x v="18"/>
            <x v="19"/>
            <x v="20"/>
            <x v="21"/>
            <x v="25"/>
            <x v="26"/>
            <x v="27"/>
            <x v="28"/>
            <x v="32"/>
            <x v="33"/>
            <x v="34"/>
            <x v="42"/>
            <x v="44"/>
            <x v="45"/>
            <x v="50"/>
            <x v="51"/>
            <x v="60"/>
            <x v="61"/>
            <x v="65"/>
            <x v="69"/>
            <x v="76"/>
            <x v="78"/>
            <x v="85"/>
            <x v="86"/>
            <x v="91"/>
            <x v="92"/>
          </reference>
          <reference field="13" count="1" selected="0">
            <x v="43"/>
          </reference>
        </references>
      </pivotArea>
    </format>
    <format dxfId="2723">
      <pivotArea dataOnly="0" labelOnly="1" outline="0" fieldPosition="0">
        <references count="3">
          <reference field="0" count="1" selected="0">
            <x v="76"/>
          </reference>
          <reference field="1" count="37">
            <x v="3"/>
            <x v="4"/>
            <x v="6"/>
            <x v="7"/>
            <x v="11"/>
            <x v="13"/>
            <x v="15"/>
            <x v="18"/>
            <x v="19"/>
            <x v="20"/>
            <x v="22"/>
            <x v="26"/>
            <x v="27"/>
            <x v="29"/>
            <x v="32"/>
            <x v="33"/>
            <x v="35"/>
            <x v="42"/>
            <x v="44"/>
            <x v="45"/>
            <x v="46"/>
            <x v="47"/>
            <x v="50"/>
            <x v="51"/>
            <x v="53"/>
            <x v="58"/>
            <x v="66"/>
            <x v="73"/>
            <x v="74"/>
            <x v="77"/>
            <x v="79"/>
            <x v="81"/>
            <x v="83"/>
            <x v="85"/>
            <x v="86"/>
            <x v="88"/>
            <x v="91"/>
          </reference>
          <reference field="13" count="1" selected="0">
            <x v="46"/>
          </reference>
        </references>
      </pivotArea>
    </format>
    <format dxfId="2722">
      <pivotArea dataOnly="0" labelOnly="1" outline="0" fieldPosition="0">
        <references count="3">
          <reference field="0" count="1" selected="0">
            <x v="56"/>
          </reference>
          <reference field="1" count="38">
            <x v="1"/>
            <x v="4"/>
            <x v="6"/>
            <x v="7"/>
            <x v="11"/>
            <x v="13"/>
            <x v="15"/>
            <x v="19"/>
            <x v="20"/>
            <x v="22"/>
            <x v="25"/>
            <x v="26"/>
            <x v="27"/>
            <x v="28"/>
            <x v="31"/>
            <x v="32"/>
            <x v="33"/>
            <x v="34"/>
            <x v="42"/>
            <x v="43"/>
            <x v="44"/>
            <x v="45"/>
            <x v="47"/>
            <x v="51"/>
            <x v="53"/>
            <x v="59"/>
            <x v="63"/>
            <x v="67"/>
            <x v="70"/>
            <x v="75"/>
            <x v="76"/>
            <x v="79"/>
            <x v="82"/>
            <x v="85"/>
            <x v="86"/>
            <x v="87"/>
            <x v="88"/>
            <x v="91"/>
          </reference>
          <reference field="13" count="1" selected="0">
            <x v="48"/>
          </reference>
        </references>
      </pivotArea>
    </format>
    <format dxfId="2721">
      <pivotArea dataOnly="0" labelOnly="1" outline="0" fieldPosition="0">
        <references count="3">
          <reference field="0" count="1" selected="0">
            <x v="83"/>
          </reference>
          <reference field="1" count="41">
            <x v="0"/>
            <x v="4"/>
            <x v="6"/>
            <x v="7"/>
            <x v="12"/>
            <x v="15"/>
            <x v="16"/>
            <x v="17"/>
            <x v="19"/>
            <x v="21"/>
            <x v="22"/>
            <x v="23"/>
            <x v="24"/>
            <x v="27"/>
            <x v="29"/>
            <x v="30"/>
            <x v="36"/>
            <x v="38"/>
            <x v="42"/>
            <x v="46"/>
            <x v="47"/>
            <x v="48"/>
            <x v="50"/>
            <x v="53"/>
            <x v="54"/>
            <x v="66"/>
            <x v="68"/>
            <x v="71"/>
            <x v="72"/>
            <x v="74"/>
            <x v="75"/>
            <x v="79"/>
            <x v="80"/>
            <x v="82"/>
            <x v="84"/>
            <x v="85"/>
            <x v="86"/>
            <x v="87"/>
            <x v="88"/>
            <x v="89"/>
            <x v="90"/>
          </reference>
          <reference field="13" count="1" selected="0">
            <x v="50"/>
          </reference>
        </references>
      </pivotArea>
    </format>
    <format dxfId="2720">
      <pivotArea dataOnly="0" labelOnly="1" outline="0" fieldPosition="0">
        <references count="3">
          <reference field="0" count="1" selected="0">
            <x v="40"/>
          </reference>
          <reference field="1" count="38">
            <x v="4"/>
            <x v="6"/>
            <x v="7"/>
            <x v="11"/>
            <x v="13"/>
            <x v="15"/>
            <x v="19"/>
            <x v="20"/>
            <x v="21"/>
            <x v="22"/>
            <x v="26"/>
            <x v="27"/>
            <x v="29"/>
            <x v="35"/>
            <x v="38"/>
            <x v="42"/>
            <x v="44"/>
            <x v="45"/>
            <x v="47"/>
            <x v="50"/>
            <x v="51"/>
            <x v="53"/>
            <x v="58"/>
            <x v="60"/>
            <x v="63"/>
            <x v="66"/>
            <x v="74"/>
            <x v="75"/>
            <x v="76"/>
            <x v="78"/>
            <x v="79"/>
            <x v="81"/>
            <x v="82"/>
            <x v="85"/>
            <x v="86"/>
            <x v="87"/>
            <x v="88"/>
            <x v="90"/>
          </reference>
          <reference field="13" count="1" selected="0">
            <x v="53"/>
          </reference>
        </references>
      </pivotArea>
    </format>
    <format dxfId="2719">
      <pivotArea dataOnly="0" labelOnly="1" outline="0" fieldPosition="0">
        <references count="3">
          <reference field="0" count="1" selected="0">
            <x v="79"/>
          </reference>
          <reference field="1" count="41">
            <x v="4"/>
            <x v="6"/>
            <x v="7"/>
            <x v="9"/>
            <x v="10"/>
            <x v="13"/>
            <x v="14"/>
            <x v="15"/>
            <x v="19"/>
            <x v="20"/>
            <x v="21"/>
            <x v="22"/>
            <x v="26"/>
            <x v="27"/>
            <x v="29"/>
            <x v="34"/>
            <x v="35"/>
            <x v="38"/>
            <x v="42"/>
            <x v="44"/>
            <x v="45"/>
            <x v="46"/>
            <x v="47"/>
            <x v="51"/>
            <x v="53"/>
            <x v="58"/>
            <x v="60"/>
            <x v="63"/>
            <x v="65"/>
            <x v="66"/>
            <x v="74"/>
            <x v="75"/>
            <x v="76"/>
            <x v="78"/>
            <x v="81"/>
            <x v="82"/>
            <x v="85"/>
            <x v="86"/>
            <x v="87"/>
            <x v="90"/>
            <x v="92"/>
          </reference>
          <reference field="13" count="1" selected="0">
            <x v="54"/>
          </reference>
        </references>
      </pivotArea>
    </format>
    <format dxfId="2718">
      <pivotArea dataOnly="0" labelOnly="1" outline="0" fieldPosition="0">
        <references count="3">
          <reference field="0" count="1" selected="0">
            <x v="25"/>
          </reference>
          <reference field="1" count="37">
            <x v="4"/>
            <x v="6"/>
            <x v="7"/>
            <x v="8"/>
            <x v="11"/>
            <x v="13"/>
            <x v="14"/>
            <x v="15"/>
            <x v="19"/>
            <x v="20"/>
            <x v="21"/>
            <x v="22"/>
            <x v="26"/>
            <x v="27"/>
            <x v="38"/>
            <x v="42"/>
            <x v="44"/>
            <x v="45"/>
            <x v="46"/>
            <x v="47"/>
            <x v="50"/>
            <x v="51"/>
            <x v="53"/>
            <x v="58"/>
            <x v="66"/>
            <x v="71"/>
            <x v="75"/>
            <x v="76"/>
            <x v="78"/>
            <x v="79"/>
            <x v="83"/>
            <x v="85"/>
            <x v="86"/>
            <x v="87"/>
            <x v="88"/>
            <x v="91"/>
            <x v="92"/>
          </reference>
          <reference field="13" count="1" selected="0">
            <x v="56"/>
          </reference>
        </references>
      </pivotArea>
    </format>
    <format dxfId="2717">
      <pivotArea dataOnly="0" labelOnly="1" outline="0" fieldPosition="0">
        <references count="3">
          <reference field="0" count="1" selected="0">
            <x v="55"/>
          </reference>
          <reference field="1" count="35">
            <x v="4"/>
            <x v="6"/>
            <x v="7"/>
            <x v="9"/>
            <x v="13"/>
            <x v="14"/>
            <x v="19"/>
            <x v="20"/>
            <x v="21"/>
            <x v="26"/>
            <x v="27"/>
            <x v="28"/>
            <x v="29"/>
            <x v="34"/>
            <x v="42"/>
            <x v="44"/>
            <x v="45"/>
            <x v="46"/>
            <x v="49"/>
            <x v="50"/>
            <x v="51"/>
            <x v="57"/>
            <x v="58"/>
            <x v="60"/>
            <x v="63"/>
            <x v="65"/>
            <x v="74"/>
            <x v="75"/>
            <x v="76"/>
            <x v="78"/>
            <x v="81"/>
            <x v="85"/>
            <x v="86"/>
            <x v="87"/>
            <x v="92"/>
          </reference>
          <reference field="13" count="1" selected="0">
            <x v="58"/>
          </reference>
        </references>
      </pivotArea>
    </format>
    <format dxfId="2716">
      <pivotArea dataOnly="0" labelOnly="1" outline="0" fieldPosition="0">
        <references count="3">
          <reference field="0" count="1" selected="0">
            <x v="19"/>
          </reference>
          <reference field="1" count="26">
            <x v="4"/>
            <x v="5"/>
            <x v="6"/>
            <x v="7"/>
            <x v="8"/>
            <x v="13"/>
            <x v="19"/>
            <x v="20"/>
            <x v="26"/>
            <x v="27"/>
            <x v="42"/>
            <x v="44"/>
            <x v="45"/>
            <x v="50"/>
            <x v="51"/>
            <x v="54"/>
            <x v="58"/>
            <x v="60"/>
            <x v="63"/>
            <x v="71"/>
            <x v="75"/>
            <x v="76"/>
            <x v="85"/>
            <x v="86"/>
            <x v="87"/>
            <x v="90"/>
          </reference>
          <reference field="13" count="1" selected="0">
            <x v="61"/>
          </reference>
        </references>
      </pivotArea>
    </format>
    <format dxfId="2715">
      <pivotArea field="1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5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outline="1" outlineData="1" compactData="0" multipleFieldFilters="0">
  <location ref="F3:I167" firstHeaderRow="1" firstDataRow="1" firstDataCol="4"/>
  <pivotFields count="10">
    <pivotField axis="axisRow" compact="0" subtotalTop="0" showAll="0" defaultSubtotal="0">
      <items count="87">
        <item x="64"/>
        <item x="5"/>
        <item x="46"/>
        <item x="10"/>
        <item x="31"/>
        <item x="17"/>
        <item x="82"/>
        <item x="84"/>
        <item x="61"/>
        <item x="30"/>
        <item x="77"/>
        <item x="69"/>
        <item x="29"/>
        <item x="66"/>
        <item x="40"/>
        <item x="67"/>
        <item x="9"/>
        <item x="4"/>
        <item x="7"/>
        <item x="53"/>
        <item x="75"/>
        <item x="28"/>
        <item x="79"/>
        <item x="52"/>
        <item x="65"/>
        <item x="24"/>
        <item x="63"/>
        <item x="44"/>
        <item x="57"/>
        <item x="70"/>
        <item x="25"/>
        <item x="18"/>
        <item x="32"/>
        <item x="78"/>
        <item x="43"/>
        <item x="86"/>
        <item x="49"/>
        <item x="72"/>
        <item x="74"/>
        <item x="20"/>
        <item x="34"/>
        <item x="68"/>
        <item x="11"/>
        <item x="47"/>
        <item x="36"/>
        <item x="35"/>
        <item x="83"/>
        <item x="42"/>
        <item x="73"/>
        <item x="26"/>
        <item x="3"/>
        <item x="16"/>
        <item x="60"/>
        <item x="1"/>
        <item x="50"/>
        <item x="15"/>
        <item x="33"/>
        <item x="76"/>
        <item x="41"/>
        <item x="2"/>
        <item x="6"/>
        <item x="0"/>
        <item x="23"/>
        <item x="54"/>
        <item x="80"/>
        <item x="59"/>
        <item x="58"/>
        <item x="8"/>
        <item x="51"/>
        <item x="55"/>
        <item x="56"/>
        <item x="62"/>
        <item x="27"/>
        <item x="45"/>
        <item x="85"/>
        <item x="14"/>
        <item x="39"/>
        <item x="38"/>
        <item x="71"/>
        <item x="81"/>
        <item x="13"/>
        <item x="21"/>
        <item x="12"/>
        <item x="22"/>
        <item x="19"/>
        <item x="37"/>
        <item x="48"/>
      </items>
    </pivotField>
    <pivotField axis="axisRow" compact="0" subtotalTop="0" showAll="0" defaultSubtotal="0">
      <items count="88">
        <item x="22"/>
        <item x="55"/>
        <item x="70"/>
        <item x="2"/>
        <item x="1"/>
        <item x="6"/>
        <item x="40"/>
        <item x="49"/>
        <item x="68"/>
        <item x="35"/>
        <item x="25"/>
        <item x="26"/>
        <item x="81"/>
        <item x="53"/>
        <item x="82"/>
        <item x="7"/>
        <item x="3"/>
        <item x="20"/>
        <item x="36"/>
        <item x="31"/>
        <item x="47"/>
        <item x="14"/>
        <item x="15"/>
        <item x="33"/>
        <item x="39"/>
        <item x="54"/>
        <item x="80"/>
        <item x="62"/>
        <item x="60"/>
        <item x="34"/>
        <item x="50"/>
        <item x="83"/>
        <item x="57"/>
        <item x="52"/>
        <item x="65"/>
        <item x="64"/>
        <item x="10"/>
        <item x="56"/>
        <item x="29"/>
        <item x="4"/>
        <item x="16"/>
        <item x="21"/>
        <item x="43"/>
        <item x="30"/>
        <item x="12"/>
        <item x="32"/>
        <item m="1" x="87"/>
        <item x="28"/>
        <item x="69"/>
        <item x="86"/>
        <item x="72"/>
        <item x="77"/>
        <item x="5"/>
        <item x="59"/>
        <item x="46"/>
        <item x="75"/>
        <item x="84"/>
        <item x="76"/>
        <item x="74"/>
        <item x="17"/>
        <item x="42"/>
        <item x="78"/>
        <item x="67"/>
        <item x="73"/>
        <item x="79"/>
        <item x="41"/>
        <item x="19"/>
        <item x="71"/>
        <item x="38"/>
        <item x="24"/>
        <item x="0"/>
        <item x="63"/>
        <item x="23"/>
        <item x="18"/>
        <item x="66"/>
        <item x="27"/>
        <item x="45"/>
        <item x="85"/>
        <item x="13"/>
        <item x="11"/>
        <item x="8"/>
        <item x="58"/>
        <item x="44"/>
        <item x="9"/>
        <item x="61"/>
        <item x="51"/>
        <item x="37"/>
        <item x="48"/>
      </items>
    </pivotField>
    <pivotField axis="axisRow" compact="0" subtotalTop="0" showAll="0" defaultSubtotal="0">
      <items count="76">
        <item x="48"/>
        <item m="1" x="74"/>
        <item x="6"/>
        <item x="2"/>
        <item m="1" x="75"/>
        <item x="1"/>
        <item x="8"/>
        <item x="63"/>
        <item x="3"/>
        <item x="10"/>
        <item x="14"/>
        <item x="4"/>
        <item x="41"/>
        <item x="11"/>
        <item x="73"/>
        <item x="28"/>
        <item x="52"/>
        <item x="27"/>
        <item x="5"/>
        <item x="34"/>
        <item x="40"/>
        <item x="36"/>
        <item x="25"/>
        <item x="44"/>
        <item x="37"/>
        <item x="26"/>
        <item x="53"/>
        <item x="12"/>
        <item x="51"/>
        <item x="72"/>
        <item x="47"/>
        <item x="46"/>
        <item x="70"/>
        <item x="49"/>
        <item x="64"/>
        <item x="56"/>
        <item x="13"/>
        <item x="54"/>
        <item x="58"/>
        <item x="17"/>
        <item x="57"/>
        <item x="33"/>
        <item x="31"/>
        <item x="62"/>
        <item x="29"/>
        <item x="50"/>
        <item x="45"/>
        <item x="0"/>
        <item x="7"/>
        <item x="69"/>
        <item x="24"/>
        <item x="55"/>
        <item x="42"/>
        <item x="43"/>
        <item x="68"/>
        <item x="38"/>
        <item x="39"/>
        <item x="60"/>
        <item x="66"/>
        <item x="71"/>
        <item x="67"/>
        <item x="65"/>
        <item x="59"/>
        <item x="61"/>
        <item x="15"/>
        <item x="16"/>
        <item x="18"/>
        <item x="19"/>
        <item x="20"/>
        <item x="21"/>
        <item x="22"/>
        <item x="23"/>
        <item x="30"/>
        <item x="32"/>
        <item x="35"/>
        <item x="9"/>
      </items>
    </pivotField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axis="axisRow" compact="0" subtotalTop="0" showAll="0" defaultSubtotal="0">
      <items count="62">
        <item h="1" m="1" x="61"/>
        <item h="1" x="34"/>
        <item h="1" x="33"/>
        <item h="1" x="35"/>
        <item h="1" x="32"/>
        <item h="1" x="52"/>
        <item h="1" x="37"/>
        <item h="1" x="56"/>
        <item h="1" x="16"/>
        <item h="1" x="19"/>
        <item h="1" x="44"/>
        <item h="1" x="25"/>
        <item h="1" x="7"/>
        <item h="1" x="41"/>
        <item h="1" x="50"/>
        <item h="1" x="40"/>
        <item h="1" x="53"/>
        <item h="1" x="51"/>
        <item h="1" x="21"/>
        <item h="1" x="39"/>
        <item h="1" x="60"/>
        <item h="1" x="59"/>
        <item h="1" x="58"/>
        <item h="1" x="57"/>
        <item h="1" x="38"/>
        <item h="1" x="26"/>
        <item h="1" x="46"/>
        <item h="1" x="42"/>
        <item h="1" x="55"/>
        <item h="1" x="47"/>
        <item h="1" x="45"/>
        <item h="1" x="6"/>
        <item h="1" x="43"/>
        <item h="1" x="31"/>
        <item h="1" x="18"/>
        <item h="1" x="15"/>
        <item h="1" x="48"/>
        <item h="1" x="30"/>
        <item h="1" x="20"/>
        <item h="1" x="29"/>
        <item h="1" x="27"/>
        <item h="1" x="11"/>
        <item h="1" x="22"/>
        <item h="1" x="36"/>
        <item h="1" x="24"/>
        <item h="1" x="3"/>
        <item h="1" x="10"/>
        <item x="0"/>
        <item h="1" x="13"/>
        <item h="1" x="23"/>
        <item h="1" x="14"/>
        <item h="1" x="4"/>
        <item h="1" x="54"/>
        <item h="1" x="49"/>
        <item h="1" x="28"/>
        <item h="1" x="8"/>
        <item h="1" x="2"/>
        <item h="1" x="9"/>
        <item h="1" x="1"/>
        <item h="1" x="5"/>
        <item h="1" x="12"/>
        <item h="1" x="17"/>
      </items>
    </pivotField>
  </pivotFields>
  <rowFields count="4">
    <field x="9"/>
    <field x="0"/>
    <field x="1"/>
    <field x="2"/>
  </rowFields>
  <rowItems count="164">
    <i>
      <x v="47"/>
    </i>
    <i r="1">
      <x v="1"/>
    </i>
    <i r="2">
      <x v="52"/>
    </i>
    <i r="3">
      <x v="5"/>
    </i>
    <i r="3">
      <x v="8"/>
    </i>
    <i r="1">
      <x v="2"/>
    </i>
    <i r="2">
      <x v="54"/>
    </i>
    <i r="3">
      <x v="3"/>
    </i>
    <i r="3">
      <x v="8"/>
    </i>
    <i r="1">
      <x v="3"/>
    </i>
    <i r="2">
      <x v="36"/>
    </i>
    <i r="3">
      <x v="3"/>
    </i>
    <i r="3">
      <x v="5"/>
    </i>
    <i r="3">
      <x v="8"/>
    </i>
    <i r="1">
      <x v="5"/>
    </i>
    <i r="2">
      <x v="59"/>
    </i>
    <i r="3">
      <x v="2"/>
    </i>
    <i r="1">
      <x v="12"/>
    </i>
    <i r="2">
      <x v="38"/>
    </i>
    <i r="3">
      <x v="9"/>
    </i>
    <i r="1">
      <x v="14"/>
    </i>
    <i r="2">
      <x v="6"/>
    </i>
    <i r="3">
      <x v="3"/>
    </i>
    <i r="1">
      <x v="16"/>
    </i>
    <i r="2">
      <x v="83"/>
    </i>
    <i r="3">
      <x v="6"/>
    </i>
    <i r="3">
      <x v="8"/>
    </i>
    <i r="1">
      <x v="17"/>
    </i>
    <i r="2">
      <x v="39"/>
    </i>
    <i r="3">
      <x v="3"/>
    </i>
    <i r="3">
      <x v="6"/>
    </i>
    <i r="1">
      <x v="18"/>
    </i>
    <i r="2">
      <x v="15"/>
    </i>
    <i r="3">
      <x v="3"/>
    </i>
    <i r="3">
      <x v="9"/>
    </i>
    <i r="3">
      <x v="15"/>
    </i>
    <i r="3">
      <x v="18"/>
    </i>
    <i r="1">
      <x v="25"/>
    </i>
    <i r="2">
      <x v="69"/>
    </i>
    <i r="3">
      <x v="3"/>
    </i>
    <i r="3">
      <x v="6"/>
    </i>
    <i r="3">
      <x v="13"/>
    </i>
    <i r="3">
      <x v="36"/>
    </i>
    <i r="1">
      <x v="30"/>
    </i>
    <i r="2">
      <x v="10"/>
    </i>
    <i r="3">
      <x v="2"/>
    </i>
    <i r="3">
      <x v="3"/>
    </i>
    <i r="1">
      <x v="32"/>
    </i>
    <i r="2">
      <x v="45"/>
    </i>
    <i r="3">
      <x v="3"/>
    </i>
    <i r="3">
      <x v="5"/>
    </i>
    <i r="3">
      <x v="8"/>
    </i>
    <i r="1">
      <x v="39"/>
    </i>
    <i r="2">
      <x v="17"/>
    </i>
    <i r="3">
      <x v="3"/>
    </i>
    <i r="3">
      <x v="5"/>
    </i>
    <i r="3">
      <x v="6"/>
    </i>
    <i r="3">
      <x v="10"/>
    </i>
    <i r="1">
      <x v="40"/>
    </i>
    <i r="2">
      <x v="29"/>
    </i>
    <i r="3">
      <x v="2"/>
    </i>
    <i r="1">
      <x v="42"/>
    </i>
    <i r="2">
      <x v="79"/>
    </i>
    <i r="3">
      <x v="2"/>
    </i>
    <i r="3">
      <x v="3"/>
    </i>
    <i r="3">
      <x v="5"/>
    </i>
    <i r="3">
      <x v="6"/>
    </i>
    <i r="3">
      <x v="8"/>
    </i>
    <i r="1">
      <x v="45"/>
    </i>
    <i r="2">
      <x v="9"/>
    </i>
    <i r="3">
      <x v="2"/>
    </i>
    <i r="1">
      <x v="50"/>
    </i>
    <i r="2">
      <x v="16"/>
    </i>
    <i r="3">
      <x v="3"/>
    </i>
    <i r="3">
      <x v="5"/>
    </i>
    <i r="3">
      <x v="6"/>
    </i>
    <i r="3">
      <x v="9"/>
    </i>
    <i r="3">
      <x v="11"/>
    </i>
    <i r="1">
      <x v="53"/>
    </i>
    <i r="2">
      <x v="4"/>
    </i>
    <i r="3">
      <x v="2"/>
    </i>
    <i r="3">
      <x v="13"/>
    </i>
    <i r="3">
      <x v="36"/>
    </i>
    <i r="3">
      <x v="47"/>
    </i>
    <i r="1">
      <x v="55"/>
    </i>
    <i r="2">
      <x v="22"/>
    </i>
    <i r="3">
      <x v="3"/>
    </i>
    <i r="3">
      <x v="6"/>
    </i>
    <i r="3">
      <x v="23"/>
    </i>
    <i r="1">
      <x v="57"/>
    </i>
    <i r="2">
      <x v="57"/>
    </i>
    <i r="3">
      <x v="2"/>
    </i>
    <i r="1">
      <x v="58"/>
    </i>
    <i r="2">
      <x v="65"/>
    </i>
    <i r="3">
      <x v="2"/>
    </i>
    <i r="3">
      <x v="3"/>
    </i>
    <i r="1">
      <x v="59"/>
    </i>
    <i r="2">
      <x v="3"/>
    </i>
    <i r="3">
      <x v="13"/>
    </i>
    <i r="3">
      <x v="36"/>
    </i>
    <i r="3">
      <x v="47"/>
    </i>
    <i r="3">
      <x v="50"/>
    </i>
    <i r="1">
      <x v="60"/>
    </i>
    <i r="2">
      <x v="5"/>
    </i>
    <i r="3">
      <x v="3"/>
    </i>
    <i r="3">
      <x v="6"/>
    </i>
    <i r="3">
      <x v="8"/>
    </i>
    <i r="3">
      <x v="11"/>
    </i>
    <i r="3">
      <x v="13"/>
    </i>
    <i r="1">
      <x v="61"/>
    </i>
    <i r="2">
      <x v="70"/>
    </i>
    <i r="3">
      <x v="2"/>
    </i>
    <i r="3">
      <x v="36"/>
    </i>
    <i r="3">
      <x v="47"/>
    </i>
    <i r="1">
      <x v="62"/>
    </i>
    <i r="2">
      <x v="72"/>
    </i>
    <i r="3">
      <x v="36"/>
    </i>
    <i r="3">
      <x v="47"/>
    </i>
    <i r="1">
      <x v="67"/>
    </i>
    <i r="2">
      <x v="80"/>
    </i>
    <i r="3">
      <x v="6"/>
    </i>
    <i r="3">
      <x v="8"/>
    </i>
    <i r="1">
      <x v="68"/>
    </i>
    <i r="2">
      <x v="85"/>
    </i>
    <i r="3">
      <x v="2"/>
    </i>
    <i r="1">
      <x v="72"/>
    </i>
    <i r="2">
      <x v="75"/>
    </i>
    <i r="3">
      <x v="2"/>
    </i>
    <i r="3">
      <x v="3"/>
    </i>
    <i r="3">
      <x v="9"/>
    </i>
    <i r="1">
      <x v="75"/>
    </i>
    <i r="2">
      <x v="21"/>
    </i>
    <i r="3">
      <x v="3"/>
    </i>
    <i r="3">
      <x v="5"/>
    </i>
    <i r="3">
      <x v="6"/>
    </i>
    <i r="3">
      <x v="8"/>
    </i>
    <i r="1">
      <x v="76"/>
    </i>
    <i r="2">
      <x v="24"/>
    </i>
    <i r="3">
      <x v="3"/>
    </i>
    <i r="1">
      <x v="77"/>
    </i>
    <i r="2">
      <x v="68"/>
    </i>
    <i r="3">
      <x v="3"/>
    </i>
    <i r="1">
      <x v="80"/>
    </i>
    <i r="2">
      <x v="78"/>
    </i>
    <i r="3">
      <x v="3"/>
    </i>
    <i r="3">
      <x v="6"/>
    </i>
    <i r="3">
      <x v="8"/>
    </i>
    <i r="1">
      <x v="81"/>
    </i>
    <i r="2">
      <x v="41"/>
    </i>
    <i r="3">
      <x v="3"/>
    </i>
    <i r="3">
      <x v="9"/>
    </i>
    <i r="1">
      <x v="82"/>
    </i>
    <i r="2">
      <x v="44"/>
    </i>
    <i r="3">
      <x v="6"/>
    </i>
    <i r="3">
      <x v="8"/>
    </i>
    <i r="1">
      <x v="83"/>
    </i>
    <i r="2">
      <x/>
    </i>
    <i r="3">
      <x v="2"/>
    </i>
    <i r="1">
      <x v="84"/>
    </i>
    <i r="2">
      <x v="66"/>
    </i>
    <i r="3">
      <x v="2"/>
    </i>
    <i r="3">
      <x v="3"/>
    </i>
    <i r="3">
      <x v="5"/>
    </i>
    <i t="grand">
      <x/>
    </i>
  </rowItems>
  <colItems count="1">
    <i/>
  </colItems>
  <formats count="2586">
    <format dxfId="6317">
      <pivotArea type="all" dataOnly="0" outline="0" fieldPosition="0"/>
    </format>
    <format dxfId="6316">
      <pivotArea field="9" type="button" dataOnly="0" labelOnly="1" outline="0" axis="axisRow" fieldPosition="0"/>
    </format>
    <format dxfId="6315">
      <pivotArea field="0" type="button" dataOnly="0" labelOnly="1" outline="0" axis="axisRow" fieldPosition="1"/>
    </format>
    <format dxfId="6314">
      <pivotArea field="2" type="button" dataOnly="0" labelOnly="1" outline="0" axis="axisRow" fieldPosition="3"/>
    </format>
    <format dxfId="6313">
      <pivotArea dataOnly="0" labelOnly="1" outline="0" fieldPosition="0">
        <references count="1">
          <reference field="9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6312">
      <pivotArea dataOnly="0" labelOnly="1" outline="0" fieldPosition="0">
        <references count="1">
          <reference field="9" count="25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6311">
      <pivotArea dataOnly="0" labelOnly="1" outline="0" fieldPosition="0">
        <references count="1">
          <reference field="9" count="25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310">
      <pivotArea dataOnly="0" labelOnly="1" outline="0" fieldPosition="0">
        <references count="1">
          <reference field="9" count="25" defaultSubtotal="1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309">
      <pivotArea dataOnly="0" labelOnly="1" outline="0" fieldPosition="0">
        <references count="1">
          <reference field="9" count="5">
            <x v="50"/>
            <x v="51"/>
            <x v="52"/>
            <x v="53"/>
            <x v="54"/>
          </reference>
        </references>
      </pivotArea>
    </format>
    <format dxfId="6308">
      <pivotArea dataOnly="0" labelOnly="1" outline="0" fieldPosition="0">
        <references count="1">
          <reference field="9" count="5" defaultSubtotal="1">
            <x v="50"/>
            <x v="51"/>
            <x v="52"/>
            <x v="53"/>
            <x v="54"/>
          </reference>
        </references>
      </pivotArea>
    </format>
    <format dxfId="6307">
      <pivotArea dataOnly="0" labelOnly="1" grandRow="1" outline="0" fieldPosition="0"/>
    </format>
    <format dxfId="6306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42"/>
            <x v="53"/>
            <x v="59"/>
            <x v="67"/>
            <x v="75"/>
            <x v="80"/>
            <x v="82"/>
          </reference>
          <reference field="9" count="1" selected="0">
            <x v="0"/>
          </reference>
        </references>
      </pivotArea>
    </format>
    <format dxfId="6305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42"/>
            <x v="53"/>
            <x v="59"/>
            <x v="67"/>
            <x v="75"/>
            <x v="80"/>
            <x v="82"/>
          </reference>
          <reference field="9" count="1" selected="0">
            <x v="0"/>
          </reference>
        </references>
      </pivotArea>
    </format>
    <format dxfId="6304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</reference>
          <reference field="9" count="1" selected="0">
            <x v="1"/>
          </reference>
        </references>
      </pivotArea>
    </format>
    <format dxfId="6303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</reference>
          <reference field="9" count="1" selected="0">
            <x v="1"/>
          </reference>
        </references>
      </pivotArea>
    </format>
    <format dxfId="6302">
      <pivotArea dataOnly="0" labelOnly="1" outline="0" fieldPosition="0">
        <references count="2">
          <reference field="0" count="13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  <x v="82"/>
          </reference>
          <reference field="9" count="1" selected="0">
            <x v="2"/>
          </reference>
        </references>
      </pivotArea>
    </format>
    <format dxfId="6301">
      <pivotArea dataOnly="0" labelOnly="1" outline="0" fieldPosition="0">
        <references count="2">
          <reference field="0" count="13" defaultSubtotal="1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  <x v="82"/>
          </reference>
          <reference field="9" count="1" selected="0">
            <x v="2"/>
          </reference>
        </references>
      </pivotArea>
    </format>
    <format dxfId="6300">
      <pivotArea dataOnly="0" labelOnly="1" outline="0" fieldPosition="0">
        <references count="2">
          <reference field="0" count="12">
            <x v="3"/>
            <x v="16"/>
            <x v="18"/>
            <x v="25"/>
            <x v="37"/>
            <x v="42"/>
            <x v="53"/>
            <x v="59"/>
            <x v="67"/>
            <x v="75"/>
            <x v="80"/>
            <x v="82"/>
          </reference>
          <reference field="9" count="1" selected="0">
            <x v="3"/>
          </reference>
        </references>
      </pivotArea>
    </format>
    <format dxfId="6299">
      <pivotArea dataOnly="0" labelOnly="1" outline="0" fieldPosition="0">
        <references count="2">
          <reference field="0" count="12" defaultSubtotal="1">
            <x v="3"/>
            <x v="16"/>
            <x v="18"/>
            <x v="25"/>
            <x v="37"/>
            <x v="42"/>
            <x v="53"/>
            <x v="59"/>
            <x v="67"/>
            <x v="75"/>
            <x v="80"/>
            <x v="82"/>
          </reference>
          <reference field="9" count="1" selected="0">
            <x v="3"/>
          </reference>
        </references>
      </pivotArea>
    </format>
    <format dxfId="6298">
      <pivotArea dataOnly="0" labelOnly="1" outline="0" fieldPosition="0">
        <references count="2">
          <reference field="0" count="12">
            <x v="3"/>
            <x v="11"/>
            <x v="16"/>
            <x v="18"/>
            <x v="25"/>
            <x v="42"/>
            <x v="53"/>
            <x v="59"/>
            <x v="67"/>
            <x v="75"/>
            <x v="80"/>
            <x v="82"/>
          </reference>
          <reference field="9" count="1" selected="0">
            <x v="4"/>
          </reference>
        </references>
      </pivotArea>
    </format>
    <format dxfId="6297">
      <pivotArea dataOnly="0" labelOnly="1" outline="0" fieldPosition="0">
        <references count="2">
          <reference field="0" count="12" defaultSubtotal="1">
            <x v="3"/>
            <x v="11"/>
            <x v="16"/>
            <x v="18"/>
            <x v="25"/>
            <x v="42"/>
            <x v="53"/>
            <x v="59"/>
            <x v="67"/>
            <x v="75"/>
            <x v="80"/>
            <x v="82"/>
          </reference>
          <reference field="9" count="1" selected="0">
            <x v="4"/>
          </reference>
        </references>
      </pivotArea>
    </format>
    <format dxfId="6296">
      <pivotArea dataOnly="0" labelOnly="1" outline="0" fieldPosition="0">
        <references count="2">
          <reference field="0" count="13">
            <x v="3"/>
            <x v="16"/>
            <x v="18"/>
            <x v="21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5"/>
          </reference>
        </references>
      </pivotArea>
    </format>
    <format dxfId="6295">
      <pivotArea dataOnly="0" labelOnly="1" outline="0" fieldPosition="0">
        <references count="2">
          <reference field="0" count="13" defaultSubtotal="1">
            <x v="3"/>
            <x v="16"/>
            <x v="18"/>
            <x v="21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5"/>
          </reference>
        </references>
      </pivotArea>
    </format>
    <format dxfId="6294">
      <pivotArea dataOnly="0" labelOnly="1" outline="0" fieldPosition="0">
        <references count="2">
          <reference field="0" count="13">
            <x v="3"/>
            <x v="16"/>
            <x v="18"/>
            <x v="21"/>
            <x v="25"/>
            <x v="42"/>
            <x v="53"/>
            <x v="59"/>
            <x v="60"/>
            <x v="67"/>
            <x v="75"/>
            <x v="80"/>
            <x v="82"/>
          </reference>
          <reference field="9" count="1" selected="0">
            <x v="6"/>
          </reference>
        </references>
      </pivotArea>
    </format>
    <format dxfId="6293">
      <pivotArea dataOnly="0" labelOnly="1" outline="0" fieldPosition="0">
        <references count="2">
          <reference field="0" count="13" defaultSubtotal="1">
            <x v="3"/>
            <x v="16"/>
            <x v="18"/>
            <x v="21"/>
            <x v="25"/>
            <x v="42"/>
            <x v="53"/>
            <x v="59"/>
            <x v="60"/>
            <x v="67"/>
            <x v="75"/>
            <x v="80"/>
            <x v="82"/>
          </reference>
          <reference field="9" count="1" selected="0">
            <x v="6"/>
          </reference>
        </references>
      </pivotArea>
    </format>
    <format dxfId="6292">
      <pivotArea dataOnly="0" labelOnly="1" outline="0" fieldPosition="0">
        <references count="2">
          <reference field="0" count="16">
            <x v="8"/>
            <x v="17"/>
            <x v="35"/>
            <x v="40"/>
            <x v="45"/>
            <x v="50"/>
            <x v="52"/>
            <x v="53"/>
            <x v="59"/>
            <x v="60"/>
            <x v="61"/>
            <x v="63"/>
            <x v="69"/>
            <x v="70"/>
            <x v="75"/>
            <x v="80"/>
          </reference>
          <reference field="9" count="1" selected="0">
            <x v="7"/>
          </reference>
        </references>
      </pivotArea>
    </format>
    <format dxfId="6291">
      <pivotArea dataOnly="0" labelOnly="1" outline="0" fieldPosition="0">
        <references count="2">
          <reference field="0" count="16" defaultSubtotal="1">
            <x v="8"/>
            <x v="17"/>
            <x v="35"/>
            <x v="40"/>
            <x v="45"/>
            <x v="50"/>
            <x v="52"/>
            <x v="53"/>
            <x v="59"/>
            <x v="60"/>
            <x v="61"/>
            <x v="63"/>
            <x v="69"/>
            <x v="70"/>
            <x v="75"/>
            <x v="80"/>
          </reference>
          <reference field="9" count="1" selected="0">
            <x v="7"/>
          </reference>
        </references>
      </pivotArea>
    </format>
    <format dxfId="6290">
      <pivotArea dataOnly="0" labelOnly="1" outline="0" fieldPosition="0">
        <references count="2">
          <reference field="0" count="12">
            <x v="0"/>
            <x v="7"/>
            <x v="16"/>
            <x v="18"/>
            <x v="24"/>
            <x v="25"/>
            <x v="42"/>
            <x v="53"/>
            <x v="59"/>
            <x v="60"/>
            <x v="75"/>
            <x v="80"/>
          </reference>
          <reference field="9" count="1" selected="0">
            <x v="8"/>
          </reference>
        </references>
      </pivotArea>
    </format>
    <format dxfId="6289">
      <pivotArea dataOnly="0" labelOnly="1" outline="0" fieldPosition="0">
        <references count="2">
          <reference field="0" count="12" defaultSubtotal="1">
            <x v="0"/>
            <x v="7"/>
            <x v="16"/>
            <x v="18"/>
            <x v="24"/>
            <x v="25"/>
            <x v="42"/>
            <x v="53"/>
            <x v="59"/>
            <x v="60"/>
            <x v="75"/>
            <x v="80"/>
          </reference>
          <reference field="9" count="1" selected="0">
            <x v="8"/>
          </reference>
        </references>
      </pivotArea>
    </format>
    <format dxfId="6288">
      <pivotArea dataOnly="0" labelOnly="1" outline="0" fieldPosition="0">
        <references count="2">
          <reference field="0" count="13">
            <x v="3"/>
            <x v="16"/>
            <x v="18"/>
            <x v="21"/>
            <x v="25"/>
            <x v="32"/>
            <x v="42"/>
            <x v="53"/>
            <x v="58"/>
            <x v="59"/>
            <x v="60"/>
            <x v="75"/>
            <x v="80"/>
          </reference>
          <reference field="9" count="1" selected="0">
            <x v="9"/>
          </reference>
        </references>
      </pivotArea>
    </format>
    <format dxfId="6287">
      <pivotArea dataOnly="0" labelOnly="1" outline="0" fieldPosition="0">
        <references count="2">
          <reference field="0" count="13" defaultSubtotal="1">
            <x v="3"/>
            <x v="16"/>
            <x v="18"/>
            <x v="21"/>
            <x v="25"/>
            <x v="32"/>
            <x v="42"/>
            <x v="53"/>
            <x v="58"/>
            <x v="59"/>
            <x v="60"/>
            <x v="75"/>
            <x v="80"/>
          </reference>
          <reference field="9" count="1" selected="0">
            <x v="9"/>
          </reference>
        </references>
      </pivotArea>
    </format>
    <format dxfId="6286">
      <pivotArea dataOnly="0" labelOnly="1" outline="0" fieldPosition="0">
        <references count="2">
          <reference field="0" count="11">
            <x v="0"/>
            <x v="11"/>
            <x v="16"/>
            <x v="18"/>
            <x v="24"/>
            <x v="25"/>
            <x v="42"/>
            <x v="53"/>
            <x v="59"/>
            <x v="75"/>
            <x v="80"/>
          </reference>
          <reference field="9" count="1" selected="0">
            <x v="10"/>
          </reference>
        </references>
      </pivotArea>
    </format>
    <format dxfId="6285">
      <pivotArea dataOnly="0" labelOnly="1" outline="0" fieldPosition="0">
        <references count="2">
          <reference field="0" count="11" defaultSubtotal="1">
            <x v="0"/>
            <x v="11"/>
            <x v="16"/>
            <x v="18"/>
            <x v="24"/>
            <x v="25"/>
            <x v="42"/>
            <x v="53"/>
            <x v="59"/>
            <x v="75"/>
            <x v="80"/>
          </reference>
          <reference field="9" count="1" selected="0">
            <x v="10"/>
          </reference>
        </references>
      </pivotArea>
    </format>
    <format dxfId="6284">
      <pivotArea dataOnly="0" labelOnly="1" outline="0" fieldPosition="0">
        <references count="2">
          <reference field="0" count="12">
            <x v="0"/>
            <x v="2"/>
            <x v="16"/>
            <x v="18"/>
            <x v="24"/>
            <x v="25"/>
            <x v="42"/>
            <x v="53"/>
            <x v="59"/>
            <x v="60"/>
            <x v="75"/>
            <x v="80"/>
          </reference>
          <reference field="9" count="1" selected="0">
            <x v="11"/>
          </reference>
        </references>
      </pivotArea>
    </format>
    <format dxfId="6283">
      <pivotArea dataOnly="0" labelOnly="1" outline="0" fieldPosition="0">
        <references count="2">
          <reference field="0" count="12" defaultSubtotal="1">
            <x v="0"/>
            <x v="2"/>
            <x v="16"/>
            <x v="18"/>
            <x v="24"/>
            <x v="25"/>
            <x v="42"/>
            <x v="53"/>
            <x v="59"/>
            <x v="60"/>
            <x v="75"/>
            <x v="80"/>
          </reference>
          <reference field="9" count="1" selected="0">
            <x v="11"/>
          </reference>
        </references>
      </pivotArea>
    </format>
    <format dxfId="6282">
      <pivotArea dataOnly="0" labelOnly="1" outline="0" fieldPosition="0">
        <references count="2">
          <reference field="0" count="25">
            <x v="3"/>
            <x v="4"/>
            <x v="9"/>
            <x v="11"/>
            <x v="12"/>
            <x v="13"/>
            <x v="15"/>
            <x v="16"/>
            <x v="18"/>
            <x v="19"/>
            <x v="25"/>
            <x v="27"/>
            <x v="29"/>
            <x v="32"/>
            <x v="41"/>
            <x v="42"/>
            <x v="53"/>
            <x v="55"/>
            <x v="56"/>
            <x v="59"/>
            <x v="60"/>
            <x v="67"/>
            <x v="75"/>
            <x v="76"/>
            <x v="77"/>
          </reference>
          <reference field="9" count="1" selected="0">
            <x v="12"/>
          </reference>
        </references>
      </pivotArea>
    </format>
    <format dxfId="6281">
      <pivotArea dataOnly="0" labelOnly="1" outline="0" fieldPosition="0">
        <references count="2">
          <reference field="0" count="25" defaultSubtotal="1">
            <x v="3"/>
            <x v="4"/>
            <x v="9"/>
            <x v="11"/>
            <x v="12"/>
            <x v="13"/>
            <x v="15"/>
            <x v="16"/>
            <x v="18"/>
            <x v="19"/>
            <x v="25"/>
            <x v="27"/>
            <x v="29"/>
            <x v="32"/>
            <x v="41"/>
            <x v="42"/>
            <x v="53"/>
            <x v="55"/>
            <x v="56"/>
            <x v="59"/>
            <x v="60"/>
            <x v="67"/>
            <x v="75"/>
            <x v="76"/>
            <x v="77"/>
          </reference>
          <reference field="9" count="1" selected="0">
            <x v="12"/>
          </reference>
        </references>
      </pivotArea>
    </format>
    <format dxfId="6280">
      <pivotArea dataOnly="0" labelOnly="1" outline="0" fieldPosition="0">
        <references count="2">
          <reference field="0" count="1">
            <x v="80"/>
          </reference>
          <reference field="9" count="1" selected="0">
            <x v="12"/>
          </reference>
        </references>
      </pivotArea>
    </format>
    <format dxfId="6279">
      <pivotArea dataOnly="0" labelOnly="1" outline="0" fieldPosition="0">
        <references count="2">
          <reference field="0" count="1" defaultSubtotal="1">
            <x v="80"/>
          </reference>
          <reference field="9" count="1" selected="0">
            <x v="12"/>
          </reference>
        </references>
      </pivotArea>
    </format>
    <format dxfId="6278">
      <pivotArea dataOnly="0" labelOnly="1" outline="0" fieldPosition="0">
        <references count="2">
          <reference field="0" count="13">
            <x v="8"/>
            <x v="17"/>
            <x v="45"/>
            <x v="50"/>
            <x v="52"/>
            <x v="53"/>
            <x v="58"/>
            <x v="59"/>
            <x v="61"/>
            <x v="65"/>
            <x v="71"/>
            <x v="75"/>
            <x v="80"/>
          </reference>
          <reference field="9" count="1" selected="0">
            <x v="13"/>
          </reference>
        </references>
      </pivotArea>
    </format>
    <format dxfId="6277">
      <pivotArea dataOnly="0" labelOnly="1" outline="0" fieldPosition="0">
        <references count="2">
          <reference field="0" count="13" defaultSubtotal="1">
            <x v="8"/>
            <x v="17"/>
            <x v="45"/>
            <x v="50"/>
            <x v="52"/>
            <x v="53"/>
            <x v="58"/>
            <x v="59"/>
            <x v="61"/>
            <x v="65"/>
            <x v="71"/>
            <x v="75"/>
            <x v="80"/>
          </reference>
          <reference field="9" count="1" selected="0">
            <x v="13"/>
          </reference>
        </references>
      </pivotArea>
    </format>
    <format dxfId="6276">
      <pivotArea dataOnly="0" labelOnly="1" outline="0" fieldPosition="0">
        <references count="2">
          <reference field="0" count="17">
            <x v="1"/>
            <x v="3"/>
            <x v="8"/>
            <x v="17"/>
            <x v="20"/>
            <x v="40"/>
            <x v="45"/>
            <x v="50"/>
            <x v="52"/>
            <x v="53"/>
            <x v="57"/>
            <x v="59"/>
            <x v="61"/>
            <x v="71"/>
            <x v="72"/>
            <x v="75"/>
            <x v="80"/>
          </reference>
          <reference field="9" count="1" selected="0">
            <x v="14"/>
          </reference>
        </references>
      </pivotArea>
    </format>
    <format dxfId="6275">
      <pivotArea dataOnly="0" labelOnly="1" outline="0" fieldPosition="0">
        <references count="2">
          <reference field="0" count="17" defaultSubtotal="1">
            <x v="1"/>
            <x v="3"/>
            <x v="8"/>
            <x v="17"/>
            <x v="20"/>
            <x v="40"/>
            <x v="45"/>
            <x v="50"/>
            <x v="52"/>
            <x v="53"/>
            <x v="57"/>
            <x v="59"/>
            <x v="61"/>
            <x v="71"/>
            <x v="72"/>
            <x v="75"/>
            <x v="80"/>
          </reference>
          <reference field="9" count="1" selected="0">
            <x v="14"/>
          </reference>
        </references>
      </pivotArea>
    </format>
    <format dxfId="6274">
      <pivotArea dataOnly="0" labelOnly="1" outline="0" fieldPosition="0">
        <references count="2">
          <reference field="0" count="15">
            <x v="8"/>
            <x v="17"/>
            <x v="28"/>
            <x v="38"/>
            <x v="45"/>
            <x v="50"/>
            <x v="53"/>
            <x v="55"/>
            <x v="59"/>
            <x v="61"/>
            <x v="65"/>
            <x v="71"/>
            <x v="72"/>
            <x v="75"/>
            <x v="80"/>
          </reference>
          <reference field="9" count="1" selected="0">
            <x v="15"/>
          </reference>
        </references>
      </pivotArea>
    </format>
    <format dxfId="6273">
      <pivotArea dataOnly="0" labelOnly="1" outline="0" fieldPosition="0">
        <references count="2">
          <reference field="0" count="15" defaultSubtotal="1">
            <x v="8"/>
            <x v="17"/>
            <x v="28"/>
            <x v="38"/>
            <x v="45"/>
            <x v="50"/>
            <x v="53"/>
            <x v="55"/>
            <x v="59"/>
            <x v="61"/>
            <x v="65"/>
            <x v="71"/>
            <x v="72"/>
            <x v="75"/>
            <x v="80"/>
          </reference>
          <reference field="9" count="1" selected="0">
            <x v="15"/>
          </reference>
        </references>
      </pivotArea>
    </format>
    <format dxfId="6272">
      <pivotArea dataOnly="0" labelOnly="1" outline="0" fieldPosition="0">
        <references count="2">
          <reference field="0" count="2">
            <x v="0"/>
            <x v="60"/>
          </reference>
          <reference field="9" count="1" selected="0">
            <x v="16"/>
          </reference>
        </references>
      </pivotArea>
    </format>
    <format dxfId="6271">
      <pivotArea dataOnly="0" labelOnly="1" outline="0" fieldPosition="0">
        <references count="2">
          <reference field="0" count="2" defaultSubtotal="1">
            <x v="0"/>
            <x v="60"/>
          </reference>
          <reference field="9" count="1" selected="0">
            <x v="16"/>
          </reference>
        </references>
      </pivotArea>
    </format>
    <format dxfId="6270">
      <pivotArea dataOnly="0" labelOnly="1" outline="0" fieldPosition="0">
        <references count="2">
          <reference field="0" count="1">
            <x v="42"/>
          </reference>
          <reference field="9" count="1" selected="0">
            <x v="17"/>
          </reference>
        </references>
      </pivotArea>
    </format>
    <format dxfId="6269">
      <pivotArea dataOnly="0" labelOnly="1" outline="0" fieldPosition="0">
        <references count="2">
          <reference field="0" count="1" defaultSubtotal="1">
            <x v="42"/>
          </reference>
          <reference field="9" count="1" selected="0">
            <x v="17"/>
          </reference>
        </references>
      </pivotArea>
    </format>
    <format dxfId="6268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32"/>
            <x v="42"/>
            <x v="53"/>
            <x v="58"/>
            <x v="67"/>
            <x v="75"/>
            <x v="80"/>
          </reference>
          <reference field="9" count="1" selected="0">
            <x v="18"/>
          </reference>
        </references>
      </pivotArea>
    </format>
    <format dxfId="6267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32"/>
            <x v="42"/>
            <x v="53"/>
            <x v="58"/>
            <x v="67"/>
            <x v="75"/>
            <x v="80"/>
          </reference>
          <reference field="9" count="1" selected="0">
            <x v="18"/>
          </reference>
        </references>
      </pivotArea>
    </format>
    <format dxfId="6266">
      <pivotArea dataOnly="0" labelOnly="1" outline="0" fieldPosition="0">
        <references count="2">
          <reference field="0" count="20">
            <x v="1"/>
            <x v="3"/>
            <x v="12"/>
            <x v="16"/>
            <x v="17"/>
            <x v="18"/>
            <x v="25"/>
            <x v="32"/>
            <x v="42"/>
            <x v="45"/>
            <x v="50"/>
            <x v="52"/>
            <x v="53"/>
            <x v="55"/>
            <x v="59"/>
            <x v="61"/>
            <x v="65"/>
            <x v="67"/>
            <x v="75"/>
            <x v="80"/>
          </reference>
          <reference field="9" count="1" selected="0">
            <x v="19"/>
          </reference>
        </references>
      </pivotArea>
    </format>
    <format dxfId="6265">
      <pivotArea dataOnly="0" labelOnly="1" outline="0" fieldPosition="0">
        <references count="2">
          <reference field="0" count="20" defaultSubtotal="1">
            <x v="1"/>
            <x v="3"/>
            <x v="12"/>
            <x v="16"/>
            <x v="17"/>
            <x v="18"/>
            <x v="25"/>
            <x v="32"/>
            <x v="42"/>
            <x v="45"/>
            <x v="50"/>
            <x v="52"/>
            <x v="53"/>
            <x v="55"/>
            <x v="59"/>
            <x v="61"/>
            <x v="65"/>
            <x v="67"/>
            <x v="75"/>
            <x v="80"/>
          </reference>
          <reference field="9" count="1" selected="0">
            <x v="19"/>
          </reference>
        </references>
      </pivotArea>
    </format>
    <format dxfId="6264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</reference>
          <reference field="9" count="1" selected="0">
            <x v="20"/>
          </reference>
        </references>
      </pivotArea>
    </format>
    <format dxfId="6263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</reference>
          <reference field="9" count="1" selected="0">
            <x v="20"/>
          </reference>
        </references>
      </pivotArea>
    </format>
    <format dxfId="6262">
      <pivotArea dataOnly="0" labelOnly="1" outline="0" fieldPosition="0">
        <references count="2">
          <reference field="0" count="13">
            <x v="3"/>
            <x v="16"/>
            <x v="18"/>
            <x v="21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21"/>
          </reference>
        </references>
      </pivotArea>
    </format>
    <format dxfId="6261">
      <pivotArea dataOnly="0" labelOnly="1" outline="0" fieldPosition="0">
        <references count="2">
          <reference field="0" count="13" defaultSubtotal="1">
            <x v="3"/>
            <x v="16"/>
            <x v="18"/>
            <x v="21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21"/>
          </reference>
        </references>
      </pivotArea>
    </format>
    <format dxfId="6260">
      <pivotArea dataOnly="0" labelOnly="1" outline="0" fieldPosition="0">
        <references count="2">
          <reference field="0" count="13">
            <x v="3"/>
            <x v="16"/>
            <x v="18"/>
            <x v="21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22"/>
          </reference>
        </references>
      </pivotArea>
    </format>
    <format dxfId="6259">
      <pivotArea dataOnly="0" labelOnly="1" outline="0" fieldPosition="0">
        <references count="2">
          <reference field="0" count="13" defaultSubtotal="1">
            <x v="3"/>
            <x v="16"/>
            <x v="18"/>
            <x v="21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22"/>
          </reference>
        </references>
      </pivotArea>
    </format>
    <format dxfId="6258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</reference>
          <reference field="9" count="1" selected="0">
            <x v="23"/>
          </reference>
        </references>
      </pivotArea>
    </format>
    <format dxfId="6257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</reference>
          <reference field="9" count="1" selected="0">
            <x v="23"/>
          </reference>
        </references>
      </pivotArea>
    </format>
    <format dxfId="6256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</reference>
          <reference field="9" count="1" selected="0">
            <x v="24"/>
          </reference>
        </references>
      </pivotArea>
    </format>
    <format dxfId="6255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32"/>
            <x v="42"/>
            <x v="53"/>
            <x v="59"/>
            <x v="67"/>
            <x v="75"/>
            <x v="80"/>
          </reference>
          <reference field="9" count="1" selected="0">
            <x v="24"/>
          </reference>
        </references>
      </pivotArea>
    </format>
    <format dxfId="6254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25"/>
          </reference>
        </references>
      </pivotArea>
    </format>
    <format dxfId="6253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25"/>
          </reference>
        </references>
      </pivotArea>
    </format>
    <format dxfId="6252">
      <pivotArea dataOnly="0" labelOnly="1" outline="0" fieldPosition="0">
        <references count="2">
          <reference field="0" count="17">
            <x v="0"/>
            <x v="1"/>
            <x v="3"/>
            <x v="11"/>
            <x v="16"/>
            <x v="18"/>
            <x v="24"/>
            <x v="25"/>
            <x v="32"/>
            <x v="42"/>
            <x v="53"/>
            <x v="58"/>
            <x v="59"/>
            <x v="60"/>
            <x v="67"/>
            <x v="75"/>
            <x v="80"/>
          </reference>
          <reference field="9" count="1" selected="0">
            <x v="26"/>
          </reference>
        </references>
      </pivotArea>
    </format>
    <format dxfId="6251">
      <pivotArea dataOnly="0" labelOnly="1" outline="0" fieldPosition="0">
        <references count="2">
          <reference field="0" count="17" defaultSubtotal="1">
            <x v="0"/>
            <x v="1"/>
            <x v="3"/>
            <x v="11"/>
            <x v="16"/>
            <x v="18"/>
            <x v="24"/>
            <x v="25"/>
            <x v="32"/>
            <x v="42"/>
            <x v="53"/>
            <x v="58"/>
            <x v="59"/>
            <x v="60"/>
            <x v="67"/>
            <x v="75"/>
            <x v="80"/>
          </reference>
          <reference field="9" count="1" selected="0">
            <x v="26"/>
          </reference>
        </references>
      </pivotArea>
    </format>
    <format dxfId="6250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32"/>
            <x v="42"/>
            <x v="53"/>
            <x v="58"/>
            <x v="67"/>
            <x v="75"/>
            <x v="80"/>
          </reference>
          <reference field="9" count="1" selected="0">
            <x v="27"/>
          </reference>
        </references>
      </pivotArea>
    </format>
    <format dxfId="6249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32"/>
            <x v="42"/>
            <x v="53"/>
            <x v="58"/>
            <x v="67"/>
            <x v="75"/>
            <x v="80"/>
          </reference>
          <reference field="9" count="1" selected="0">
            <x v="27"/>
          </reference>
        </references>
      </pivotArea>
    </format>
    <format dxfId="6248">
      <pivotArea dataOnly="0" labelOnly="1" outline="0" fieldPosition="0">
        <references count="2">
          <reference field="0" count="13">
            <x v="1"/>
            <x v="3"/>
            <x v="16"/>
            <x v="18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28"/>
          </reference>
        </references>
      </pivotArea>
    </format>
    <format dxfId="6247">
      <pivotArea dataOnly="0" labelOnly="1" outline="0" fieldPosition="0">
        <references count="2">
          <reference field="0" count="13" defaultSubtotal="1">
            <x v="1"/>
            <x v="3"/>
            <x v="16"/>
            <x v="18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28"/>
          </reference>
        </references>
      </pivotArea>
    </format>
    <format dxfId="6246">
      <pivotArea dataOnly="0" labelOnly="1" outline="0" fieldPosition="0">
        <references count="2">
          <reference field="0" count="13">
            <x v="0"/>
            <x v="1"/>
            <x v="3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29"/>
          </reference>
        </references>
      </pivotArea>
    </format>
    <format dxfId="6245">
      <pivotArea dataOnly="0" labelOnly="1" outline="0" fieldPosition="0">
        <references count="2">
          <reference field="0" count="13" defaultSubtotal="1">
            <x v="0"/>
            <x v="1"/>
            <x v="3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29"/>
          </reference>
        </references>
      </pivotArea>
    </format>
    <format dxfId="6244">
      <pivotArea dataOnly="0" labelOnly="1" outline="0" fieldPosition="0">
        <references count="2">
          <reference field="0" count="14">
            <x v="0"/>
            <x v="2"/>
            <x v="3"/>
            <x v="12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30"/>
          </reference>
        </references>
      </pivotArea>
    </format>
    <format dxfId="6243">
      <pivotArea dataOnly="0" labelOnly="1" outline="0" fieldPosition="0">
        <references count="2">
          <reference field="0" count="14" defaultSubtotal="1">
            <x v="0"/>
            <x v="2"/>
            <x v="3"/>
            <x v="12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30"/>
          </reference>
        </references>
      </pivotArea>
    </format>
    <format dxfId="6242">
      <pivotArea dataOnly="0" labelOnly="1" outline="0" fieldPosition="0">
        <references count="2">
          <reference field="0" count="13">
            <x v="2"/>
            <x v="3"/>
            <x v="16"/>
            <x v="18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31"/>
          </reference>
        </references>
      </pivotArea>
    </format>
    <format dxfId="6241">
      <pivotArea dataOnly="0" labelOnly="1" outline="0" fieldPosition="0">
        <references count="2">
          <reference field="0" count="13" defaultSubtotal="1">
            <x v="2"/>
            <x v="3"/>
            <x v="16"/>
            <x v="18"/>
            <x v="25"/>
            <x v="32"/>
            <x v="42"/>
            <x v="53"/>
            <x v="59"/>
            <x v="60"/>
            <x v="67"/>
            <x v="75"/>
            <x v="80"/>
          </reference>
          <reference field="9" count="1" selected="0">
            <x v="31"/>
          </reference>
        </references>
      </pivotArea>
    </format>
    <format dxfId="6240">
      <pivotArea dataOnly="0" labelOnly="1" outline="0" fieldPosition="0">
        <references count="2">
          <reference field="0" count="12">
            <x v="1"/>
            <x v="3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32"/>
          </reference>
        </references>
      </pivotArea>
    </format>
    <format dxfId="6239">
      <pivotArea dataOnly="0" labelOnly="1" outline="0" fieldPosition="0">
        <references count="2">
          <reference field="0" count="12" defaultSubtotal="1">
            <x v="1"/>
            <x v="3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32"/>
          </reference>
        </references>
      </pivotArea>
    </format>
    <format dxfId="6238">
      <pivotArea dataOnly="0" labelOnly="1" outline="0" fieldPosition="0">
        <references count="2">
          <reference field="0" count="12">
            <x v="2"/>
            <x v="3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33"/>
          </reference>
        </references>
      </pivotArea>
    </format>
    <format dxfId="6237">
      <pivotArea dataOnly="0" labelOnly="1" outline="0" fieldPosition="0">
        <references count="2">
          <reference field="0" count="12" defaultSubtotal="1">
            <x v="2"/>
            <x v="3"/>
            <x v="16"/>
            <x v="18"/>
            <x v="25"/>
            <x v="32"/>
            <x v="42"/>
            <x v="53"/>
            <x v="60"/>
            <x v="67"/>
            <x v="75"/>
            <x v="80"/>
          </reference>
          <reference field="9" count="1" selected="0">
            <x v="33"/>
          </reference>
        </references>
      </pivotArea>
    </format>
    <format dxfId="6236">
      <pivotArea dataOnly="0" labelOnly="1" outline="0" fieldPosition="0">
        <references count="2">
          <reference field="0" count="12">
            <x v="8"/>
            <x v="17"/>
            <x v="45"/>
            <x v="50"/>
            <x v="52"/>
            <x v="53"/>
            <x v="59"/>
            <x v="61"/>
            <x v="63"/>
            <x v="65"/>
            <x v="75"/>
            <x v="80"/>
          </reference>
          <reference field="9" count="1" selected="0">
            <x v="34"/>
          </reference>
        </references>
      </pivotArea>
    </format>
    <format dxfId="6235">
      <pivotArea dataOnly="0" labelOnly="1" outline="0" fieldPosition="0">
        <references count="2">
          <reference field="0" count="12" defaultSubtotal="1">
            <x v="8"/>
            <x v="17"/>
            <x v="45"/>
            <x v="50"/>
            <x v="52"/>
            <x v="53"/>
            <x v="59"/>
            <x v="61"/>
            <x v="63"/>
            <x v="65"/>
            <x v="75"/>
            <x v="80"/>
          </reference>
          <reference field="9" count="1" selected="0">
            <x v="34"/>
          </reference>
        </references>
      </pivotArea>
    </format>
    <format dxfId="6234">
      <pivotArea dataOnly="0" labelOnly="1" outline="0" fieldPosition="0">
        <references count="2">
          <reference field="0" count="13">
            <x v="8"/>
            <x v="17"/>
            <x v="20"/>
            <x v="40"/>
            <x v="45"/>
            <x v="50"/>
            <x v="52"/>
            <x v="53"/>
            <x v="59"/>
            <x v="61"/>
            <x v="71"/>
            <x v="75"/>
            <x v="80"/>
          </reference>
          <reference field="9" count="1" selected="0">
            <x v="35"/>
          </reference>
        </references>
      </pivotArea>
    </format>
    <format dxfId="6233">
      <pivotArea dataOnly="0" labelOnly="1" outline="0" fieldPosition="0">
        <references count="2">
          <reference field="0" count="13" defaultSubtotal="1">
            <x v="8"/>
            <x v="17"/>
            <x v="20"/>
            <x v="40"/>
            <x v="45"/>
            <x v="50"/>
            <x v="52"/>
            <x v="53"/>
            <x v="59"/>
            <x v="61"/>
            <x v="71"/>
            <x v="75"/>
            <x v="80"/>
          </reference>
          <reference field="9" count="1" selected="0">
            <x v="35"/>
          </reference>
        </references>
      </pivotArea>
    </format>
    <format dxfId="6232">
      <pivotArea dataOnly="0" labelOnly="1" outline="0" fieldPosition="0">
        <references count="2">
          <reference field="0" count="13">
            <x v="8"/>
            <x v="17"/>
            <x v="20"/>
            <x v="40"/>
            <x v="45"/>
            <x v="50"/>
            <x v="52"/>
            <x v="53"/>
            <x v="59"/>
            <x v="61"/>
            <x v="71"/>
            <x v="75"/>
            <x v="80"/>
          </reference>
          <reference field="9" count="1" selected="0">
            <x v="36"/>
          </reference>
        </references>
      </pivotArea>
    </format>
    <format dxfId="6231">
      <pivotArea dataOnly="0" labelOnly="1" outline="0" fieldPosition="0">
        <references count="2">
          <reference field="0" count="13" defaultSubtotal="1">
            <x v="8"/>
            <x v="17"/>
            <x v="20"/>
            <x v="40"/>
            <x v="45"/>
            <x v="50"/>
            <x v="52"/>
            <x v="53"/>
            <x v="59"/>
            <x v="61"/>
            <x v="71"/>
            <x v="75"/>
            <x v="80"/>
          </reference>
          <reference field="9" count="1" selected="0">
            <x v="36"/>
          </reference>
        </references>
      </pivotArea>
    </format>
    <format dxfId="6230">
      <pivotArea dataOnly="0" labelOnly="1" outline="0" fieldPosition="0">
        <references count="2">
          <reference field="0" count="25">
            <x v="2"/>
            <x v="3"/>
            <x v="5"/>
            <x v="8"/>
            <x v="18"/>
            <x v="25"/>
            <x v="30"/>
            <x v="32"/>
            <x v="39"/>
            <x v="42"/>
            <x v="45"/>
            <x v="48"/>
            <x v="50"/>
            <x v="53"/>
            <x v="55"/>
            <x v="59"/>
            <x v="60"/>
            <x v="62"/>
            <x v="68"/>
            <x v="71"/>
            <x v="72"/>
            <x v="75"/>
            <x v="76"/>
            <x v="77"/>
            <x v="80"/>
          </reference>
          <reference field="9" count="1" selected="0">
            <x v="37"/>
          </reference>
        </references>
      </pivotArea>
    </format>
    <format dxfId="6229">
      <pivotArea dataOnly="0" labelOnly="1" outline="0" fieldPosition="0">
        <references count="2">
          <reference field="0" count="25" defaultSubtotal="1">
            <x v="2"/>
            <x v="3"/>
            <x v="5"/>
            <x v="8"/>
            <x v="18"/>
            <x v="25"/>
            <x v="30"/>
            <x v="32"/>
            <x v="39"/>
            <x v="42"/>
            <x v="45"/>
            <x v="48"/>
            <x v="50"/>
            <x v="53"/>
            <x v="55"/>
            <x v="59"/>
            <x v="60"/>
            <x v="62"/>
            <x v="68"/>
            <x v="71"/>
            <x v="72"/>
            <x v="75"/>
            <x v="76"/>
            <x v="77"/>
            <x v="80"/>
          </reference>
          <reference field="9" count="1" selected="0">
            <x v="37"/>
          </reference>
        </references>
      </pivotArea>
    </format>
    <format dxfId="6228">
      <pivotArea dataOnly="0" labelOnly="1" outline="0" fieldPosition="0">
        <references count="2">
          <reference field="0" count="4">
            <x v="81"/>
            <x v="82"/>
            <x v="83"/>
            <x v="84"/>
          </reference>
          <reference field="9" count="1" selected="0">
            <x v="37"/>
          </reference>
        </references>
      </pivotArea>
    </format>
    <format dxfId="6227">
      <pivotArea dataOnly="0" labelOnly="1" outline="0" fieldPosition="0">
        <references count="2">
          <reference field="0" count="4" defaultSubtotal="1">
            <x v="81"/>
            <x v="82"/>
            <x v="83"/>
            <x v="84"/>
          </reference>
          <reference field="9" count="1" selected="0">
            <x v="37"/>
          </reference>
        </references>
      </pivotArea>
    </format>
    <format dxfId="6226">
      <pivotArea dataOnly="0" labelOnly="1" outline="0" fieldPosition="0">
        <references count="2">
          <reference field="0" count="25">
            <x v="8"/>
            <x v="18"/>
            <x v="21"/>
            <x v="25"/>
            <x v="26"/>
            <x v="31"/>
            <x v="34"/>
            <x v="39"/>
            <x v="42"/>
            <x v="44"/>
            <x v="45"/>
            <x v="47"/>
            <x v="49"/>
            <x v="50"/>
            <x v="53"/>
            <x v="54"/>
            <x v="55"/>
            <x v="58"/>
            <x v="59"/>
            <x v="60"/>
            <x v="66"/>
            <x v="71"/>
            <x v="73"/>
            <x v="75"/>
            <x v="76"/>
          </reference>
          <reference field="9" count="1" selected="0">
            <x v="38"/>
          </reference>
        </references>
      </pivotArea>
    </format>
    <format dxfId="6225">
      <pivotArea dataOnly="0" labelOnly="1" outline="0" fieldPosition="0">
        <references count="2">
          <reference field="0" count="25" defaultSubtotal="1">
            <x v="8"/>
            <x v="18"/>
            <x v="21"/>
            <x v="25"/>
            <x v="26"/>
            <x v="31"/>
            <x v="34"/>
            <x v="39"/>
            <x v="42"/>
            <x v="44"/>
            <x v="45"/>
            <x v="47"/>
            <x v="49"/>
            <x v="50"/>
            <x v="53"/>
            <x v="54"/>
            <x v="55"/>
            <x v="58"/>
            <x v="59"/>
            <x v="60"/>
            <x v="66"/>
            <x v="71"/>
            <x v="73"/>
            <x v="75"/>
            <x v="76"/>
          </reference>
          <reference field="9" count="1" selected="0">
            <x v="38"/>
          </reference>
        </references>
      </pivotArea>
    </format>
    <format dxfId="6224">
      <pivotArea dataOnly="0" labelOnly="1" outline="0" fieldPosition="0">
        <references count="2">
          <reference field="0" count="4">
            <x v="77"/>
            <x v="78"/>
            <x v="80"/>
            <x v="82"/>
          </reference>
          <reference field="9" count="1" selected="0">
            <x v="38"/>
          </reference>
        </references>
      </pivotArea>
    </format>
    <format dxfId="6223">
      <pivotArea dataOnly="0" labelOnly="1" outline="0" fieldPosition="0">
        <references count="2">
          <reference field="0" count="4" defaultSubtotal="1">
            <x v="77"/>
            <x v="78"/>
            <x v="80"/>
            <x v="82"/>
          </reference>
          <reference field="9" count="1" selected="0">
            <x v="38"/>
          </reference>
        </references>
      </pivotArea>
    </format>
    <format dxfId="6222">
      <pivotArea dataOnly="0" labelOnly="1" outline="0" fieldPosition="0">
        <references count="2">
          <reference field="0" count="20">
            <x v="1"/>
            <x v="3"/>
            <x v="6"/>
            <x v="8"/>
            <x v="12"/>
            <x v="17"/>
            <x v="18"/>
            <x v="32"/>
            <x v="42"/>
            <x v="45"/>
            <x v="50"/>
            <x v="52"/>
            <x v="53"/>
            <x v="55"/>
            <x v="57"/>
            <x v="59"/>
            <x v="61"/>
            <x v="71"/>
            <x v="75"/>
            <x v="80"/>
          </reference>
          <reference field="9" count="1" selected="0">
            <x v="39"/>
          </reference>
        </references>
      </pivotArea>
    </format>
    <format dxfId="6221">
      <pivotArea dataOnly="0" labelOnly="1" outline="0" fieldPosition="0">
        <references count="2">
          <reference field="0" count="20" defaultSubtotal="1">
            <x v="1"/>
            <x v="3"/>
            <x v="6"/>
            <x v="8"/>
            <x v="12"/>
            <x v="17"/>
            <x v="18"/>
            <x v="32"/>
            <x v="42"/>
            <x v="45"/>
            <x v="50"/>
            <x v="52"/>
            <x v="53"/>
            <x v="55"/>
            <x v="57"/>
            <x v="59"/>
            <x v="61"/>
            <x v="71"/>
            <x v="75"/>
            <x v="80"/>
          </reference>
          <reference field="9" count="1" selected="0">
            <x v="39"/>
          </reference>
        </references>
      </pivotArea>
    </format>
    <format dxfId="6220">
      <pivotArea dataOnly="0" labelOnly="1" outline="0" fieldPosition="0">
        <references count="2">
          <reference field="0" count="25">
            <x v="3"/>
            <x v="8"/>
            <x v="12"/>
            <x v="17"/>
            <x v="18"/>
            <x v="21"/>
            <x v="22"/>
            <x v="25"/>
            <x v="31"/>
            <x v="33"/>
            <x v="34"/>
            <x v="36"/>
            <x v="40"/>
            <x v="42"/>
            <x v="44"/>
            <x v="45"/>
            <x v="49"/>
            <x v="50"/>
            <x v="52"/>
            <x v="53"/>
            <x v="55"/>
            <x v="56"/>
            <x v="58"/>
            <x v="59"/>
            <x v="60"/>
          </reference>
          <reference field="9" count="1" selected="0">
            <x v="40"/>
          </reference>
        </references>
      </pivotArea>
    </format>
    <format dxfId="6219">
      <pivotArea dataOnly="0" labelOnly="1" outline="0" fieldPosition="0">
        <references count="2">
          <reference field="0" count="25" defaultSubtotal="1">
            <x v="3"/>
            <x v="8"/>
            <x v="12"/>
            <x v="17"/>
            <x v="18"/>
            <x v="21"/>
            <x v="22"/>
            <x v="25"/>
            <x v="31"/>
            <x v="33"/>
            <x v="34"/>
            <x v="36"/>
            <x v="40"/>
            <x v="42"/>
            <x v="44"/>
            <x v="45"/>
            <x v="49"/>
            <x v="50"/>
            <x v="52"/>
            <x v="53"/>
            <x v="55"/>
            <x v="56"/>
            <x v="58"/>
            <x v="59"/>
            <x v="60"/>
          </reference>
          <reference field="9" count="1" selected="0">
            <x v="40"/>
          </reference>
        </references>
      </pivotArea>
    </format>
    <format dxfId="6218">
      <pivotArea dataOnly="0" labelOnly="1" outline="0" fieldPosition="0">
        <references count="2">
          <reference field="0" count="12">
            <x v="61"/>
            <x v="64"/>
            <x v="66"/>
            <x v="67"/>
            <x v="69"/>
            <x v="70"/>
            <x v="73"/>
            <x v="75"/>
            <x v="76"/>
            <x v="77"/>
            <x v="80"/>
            <x v="82"/>
          </reference>
          <reference field="9" count="1" selected="0">
            <x v="40"/>
          </reference>
        </references>
      </pivotArea>
    </format>
    <format dxfId="6217">
      <pivotArea dataOnly="0" labelOnly="1" outline="0" fieldPosition="0">
        <references count="2">
          <reference field="0" count="12" defaultSubtotal="1">
            <x v="61"/>
            <x v="64"/>
            <x v="66"/>
            <x v="67"/>
            <x v="69"/>
            <x v="70"/>
            <x v="73"/>
            <x v="75"/>
            <x v="76"/>
            <x v="77"/>
            <x v="80"/>
            <x v="82"/>
          </reference>
          <reference field="9" count="1" selected="0">
            <x v="40"/>
          </reference>
        </references>
      </pivotArea>
    </format>
    <format dxfId="6216">
      <pivotArea dataOnly="0" labelOnly="1" outline="0" fieldPosition="0">
        <references count="2">
          <reference field="0" count="25">
            <x v="3"/>
            <x v="4"/>
            <x v="9"/>
            <x v="11"/>
            <x v="13"/>
            <x v="15"/>
            <x v="16"/>
            <x v="18"/>
            <x v="19"/>
            <x v="21"/>
            <x v="23"/>
            <x v="25"/>
            <x v="27"/>
            <x v="31"/>
            <x v="32"/>
            <x v="34"/>
            <x v="39"/>
            <x v="41"/>
            <x v="42"/>
            <x v="44"/>
            <x v="46"/>
            <x v="49"/>
            <x v="53"/>
            <x v="55"/>
            <x v="58"/>
          </reference>
          <reference field="9" count="1" selected="0">
            <x v="41"/>
          </reference>
        </references>
      </pivotArea>
    </format>
    <format dxfId="6215">
      <pivotArea dataOnly="0" labelOnly="1" outline="0" fieldPosition="0">
        <references count="2">
          <reference field="0" count="25" defaultSubtotal="1">
            <x v="3"/>
            <x v="4"/>
            <x v="9"/>
            <x v="11"/>
            <x v="13"/>
            <x v="15"/>
            <x v="16"/>
            <x v="18"/>
            <x v="19"/>
            <x v="21"/>
            <x v="23"/>
            <x v="25"/>
            <x v="27"/>
            <x v="31"/>
            <x v="32"/>
            <x v="34"/>
            <x v="39"/>
            <x v="41"/>
            <x v="42"/>
            <x v="44"/>
            <x v="46"/>
            <x v="49"/>
            <x v="53"/>
            <x v="55"/>
            <x v="58"/>
          </reference>
          <reference field="9" count="1" selected="0">
            <x v="41"/>
          </reference>
        </references>
      </pivotArea>
    </format>
    <format dxfId="6214">
      <pivotArea dataOnly="0" labelOnly="1" outline="0" fieldPosition="0">
        <references count="2">
          <reference field="0" count="8">
            <x v="59"/>
            <x v="60"/>
            <x v="67"/>
            <x v="74"/>
            <x v="76"/>
            <x v="79"/>
            <x v="81"/>
            <x v="82"/>
          </reference>
          <reference field="9" count="1" selected="0">
            <x v="41"/>
          </reference>
        </references>
      </pivotArea>
    </format>
    <format dxfId="6213">
      <pivotArea dataOnly="0" labelOnly="1" outline="0" fieldPosition="0">
        <references count="2">
          <reference field="0" count="8" defaultSubtotal="1">
            <x v="59"/>
            <x v="60"/>
            <x v="67"/>
            <x v="74"/>
            <x v="76"/>
            <x v="79"/>
            <x v="81"/>
            <x v="82"/>
          </reference>
          <reference field="9" count="1" selected="0">
            <x v="41"/>
          </reference>
        </references>
      </pivotArea>
    </format>
    <format dxfId="6212">
      <pivotArea dataOnly="0" labelOnly="1" outline="0" fieldPosition="0">
        <references count="2">
          <reference field="0" count="2">
            <x v="83"/>
            <x v="84"/>
          </reference>
          <reference field="9" count="1" selected="0">
            <x v="42"/>
          </reference>
        </references>
      </pivotArea>
    </format>
    <format dxfId="6211">
      <pivotArea dataOnly="0" labelOnly="1" outline="0" fieldPosition="0">
        <references count="2">
          <reference field="0" count="2" defaultSubtotal="1">
            <x v="83"/>
            <x v="84"/>
          </reference>
          <reference field="9" count="1" selected="0">
            <x v="42"/>
          </reference>
        </references>
      </pivotArea>
    </format>
    <format dxfId="6210">
      <pivotArea dataOnly="0" labelOnly="1" outline="0" fieldPosition="0">
        <references count="2">
          <reference field="0" count="1">
            <x v="34"/>
          </reference>
          <reference field="9" count="1" selected="0">
            <x v="43"/>
          </reference>
        </references>
      </pivotArea>
    </format>
    <format dxfId="6209">
      <pivotArea dataOnly="0" labelOnly="1" outline="0" fieldPosition="0">
        <references count="2">
          <reference field="0" count="1" defaultSubtotal="1">
            <x v="34"/>
          </reference>
          <reference field="9" count="1" selected="0">
            <x v="43"/>
          </reference>
        </references>
      </pivotArea>
    </format>
    <format dxfId="6208">
      <pivotArea dataOnly="0" labelOnly="1" outline="0" fieldPosition="0">
        <references count="2">
          <reference field="0" count="3">
            <x v="39"/>
            <x v="62"/>
            <x v="84"/>
          </reference>
          <reference field="9" count="1" selected="0">
            <x v="44"/>
          </reference>
        </references>
      </pivotArea>
    </format>
    <format dxfId="6207">
      <pivotArea dataOnly="0" labelOnly="1" outline="0" fieldPosition="0">
        <references count="2">
          <reference field="0" count="3" defaultSubtotal="1">
            <x v="39"/>
            <x v="62"/>
            <x v="84"/>
          </reference>
          <reference field="9" count="1" selected="0">
            <x v="44"/>
          </reference>
        </references>
      </pivotArea>
    </format>
    <format dxfId="6206">
      <pivotArea dataOnly="0" labelOnly="1" outline="0" fieldPosition="0">
        <references count="2">
          <reference field="0" count="17">
            <x v="3"/>
            <x v="18"/>
            <x v="21"/>
            <x v="25"/>
            <x v="31"/>
            <x v="34"/>
            <x v="42"/>
            <x v="44"/>
            <x v="47"/>
            <x v="49"/>
            <x v="53"/>
            <x v="55"/>
            <x v="59"/>
            <x v="73"/>
            <x v="82"/>
            <x v="83"/>
            <x v="84"/>
          </reference>
          <reference field="9" count="1" selected="0">
            <x v="45"/>
          </reference>
        </references>
      </pivotArea>
    </format>
    <format dxfId="6205">
      <pivotArea dataOnly="0" labelOnly="1" outline="0" fieldPosition="0">
        <references count="2">
          <reference field="0" count="17" defaultSubtotal="1">
            <x v="3"/>
            <x v="18"/>
            <x v="21"/>
            <x v="25"/>
            <x v="31"/>
            <x v="34"/>
            <x v="42"/>
            <x v="44"/>
            <x v="47"/>
            <x v="49"/>
            <x v="53"/>
            <x v="55"/>
            <x v="59"/>
            <x v="73"/>
            <x v="82"/>
            <x v="83"/>
            <x v="84"/>
          </reference>
          <reference field="9" count="1" selected="0">
            <x v="45"/>
          </reference>
        </references>
      </pivotArea>
    </format>
    <format dxfId="6204">
      <pivotArea dataOnly="0" labelOnly="1" outline="0" fieldPosition="0">
        <references count="2">
          <reference field="0" count="25">
            <x v="1"/>
            <x v="2"/>
            <x v="3"/>
            <x v="12"/>
            <x v="16"/>
            <x v="17"/>
            <x v="18"/>
            <x v="21"/>
            <x v="23"/>
            <x v="25"/>
            <x v="31"/>
            <x v="34"/>
            <x v="36"/>
            <x v="39"/>
            <x v="42"/>
            <x v="44"/>
            <x v="45"/>
            <x v="47"/>
            <x v="49"/>
            <x v="50"/>
            <x v="53"/>
            <x v="54"/>
            <x v="55"/>
            <x v="57"/>
            <x v="59"/>
          </reference>
          <reference field="9" count="1" selected="0">
            <x v="46"/>
          </reference>
        </references>
      </pivotArea>
    </format>
    <format dxfId="6203">
      <pivotArea dataOnly="0" labelOnly="1" outline="0" fieldPosition="0">
        <references count="2">
          <reference field="0" count="25" defaultSubtotal="1">
            <x v="1"/>
            <x v="2"/>
            <x v="3"/>
            <x v="12"/>
            <x v="16"/>
            <x v="17"/>
            <x v="18"/>
            <x v="21"/>
            <x v="23"/>
            <x v="25"/>
            <x v="31"/>
            <x v="34"/>
            <x v="36"/>
            <x v="39"/>
            <x v="42"/>
            <x v="44"/>
            <x v="45"/>
            <x v="47"/>
            <x v="49"/>
            <x v="50"/>
            <x v="53"/>
            <x v="54"/>
            <x v="55"/>
            <x v="57"/>
            <x v="59"/>
          </reference>
          <reference field="9" count="1" selected="0">
            <x v="46"/>
          </reference>
        </references>
      </pivotArea>
    </format>
    <format dxfId="6202">
      <pivotArea dataOnly="0" labelOnly="1" outline="0" fieldPosition="0">
        <references count="2">
          <reference field="0" count="11">
            <x v="60"/>
            <x v="61"/>
            <x v="66"/>
            <x v="67"/>
            <x v="72"/>
            <x v="73"/>
            <x v="75"/>
            <x v="76"/>
            <x v="77"/>
            <x v="81"/>
            <x v="82"/>
          </reference>
          <reference field="9" count="1" selected="0">
            <x v="46"/>
          </reference>
        </references>
      </pivotArea>
    </format>
    <format dxfId="6201">
      <pivotArea dataOnly="0" labelOnly="1" outline="0" fieldPosition="0">
        <references count="2">
          <reference field="0" count="11" defaultSubtotal="1">
            <x v="60"/>
            <x v="61"/>
            <x v="66"/>
            <x v="67"/>
            <x v="72"/>
            <x v="73"/>
            <x v="75"/>
            <x v="76"/>
            <x v="77"/>
            <x v="81"/>
            <x v="82"/>
          </reference>
          <reference field="9" count="1" selected="0">
            <x v="46"/>
          </reference>
        </references>
      </pivotArea>
    </format>
    <format dxfId="6200">
      <pivotArea dataOnly="0" labelOnly="1" outline="0" fieldPosition="0">
        <references count="2">
          <reference field="0" count="25">
            <x v="1"/>
            <x v="2"/>
            <x v="3"/>
            <x v="5"/>
            <x v="14"/>
            <x v="16"/>
            <x v="17"/>
            <x v="18"/>
            <x v="25"/>
            <x v="30"/>
            <x v="32"/>
            <x v="39"/>
            <x v="40"/>
            <x v="42"/>
            <x v="45"/>
            <x v="50"/>
            <x v="53"/>
            <x v="55"/>
            <x v="57"/>
            <x v="58"/>
            <x v="59"/>
            <x v="60"/>
            <x v="61"/>
            <x v="62"/>
            <x v="67"/>
          </reference>
          <reference field="9" count="1" selected="0">
            <x v="47"/>
          </reference>
        </references>
      </pivotArea>
    </format>
    <format dxfId="6199">
      <pivotArea dataOnly="0" labelOnly="1" outline="0" fieldPosition="0">
        <references count="2">
          <reference field="0" count="25" defaultSubtotal="1">
            <x v="1"/>
            <x v="2"/>
            <x v="3"/>
            <x v="5"/>
            <x v="14"/>
            <x v="16"/>
            <x v="17"/>
            <x v="18"/>
            <x v="25"/>
            <x v="30"/>
            <x v="32"/>
            <x v="39"/>
            <x v="40"/>
            <x v="42"/>
            <x v="45"/>
            <x v="50"/>
            <x v="53"/>
            <x v="55"/>
            <x v="57"/>
            <x v="58"/>
            <x v="59"/>
            <x v="60"/>
            <x v="61"/>
            <x v="62"/>
            <x v="67"/>
          </reference>
          <reference field="9" count="1" selected="0">
            <x v="47"/>
          </reference>
        </references>
      </pivotArea>
    </format>
    <format dxfId="6198">
      <pivotArea dataOnly="0" labelOnly="1" outline="0" fieldPosition="0">
        <references count="2">
          <reference field="0" count="10">
            <x v="68"/>
            <x v="72"/>
            <x v="75"/>
            <x v="76"/>
            <x v="77"/>
            <x v="80"/>
            <x v="81"/>
            <x v="82"/>
            <x v="83"/>
            <x v="84"/>
          </reference>
          <reference field="9" count="1" selected="0">
            <x v="47"/>
          </reference>
        </references>
      </pivotArea>
    </format>
    <format dxfId="6197">
      <pivotArea dataOnly="0" labelOnly="1" outline="0" fieldPosition="0">
        <references count="2">
          <reference field="0" count="10" defaultSubtotal="1">
            <x v="68"/>
            <x v="72"/>
            <x v="75"/>
            <x v="76"/>
            <x v="77"/>
            <x v="80"/>
            <x v="81"/>
            <x v="82"/>
            <x v="83"/>
            <x v="84"/>
          </reference>
          <reference field="9" count="1" selected="0">
            <x v="47"/>
          </reference>
        </references>
      </pivotArea>
    </format>
    <format dxfId="6196">
      <pivotArea dataOnly="0" labelOnly="1" outline="0" fieldPosition="0">
        <references count="2">
          <reference field="0" count="21">
            <x v="2"/>
            <x v="3"/>
            <x v="18"/>
            <x v="25"/>
            <x v="30"/>
            <x v="31"/>
            <x v="32"/>
            <x v="39"/>
            <x v="42"/>
            <x v="43"/>
            <x v="44"/>
            <x v="53"/>
            <x v="58"/>
            <x v="59"/>
            <x v="60"/>
            <x v="62"/>
            <x v="67"/>
            <x v="81"/>
            <x v="82"/>
            <x v="83"/>
            <x v="84"/>
          </reference>
          <reference field="9" count="1" selected="0">
            <x v="48"/>
          </reference>
        </references>
      </pivotArea>
    </format>
    <format dxfId="6195">
      <pivotArea dataOnly="0" labelOnly="1" outline="0" fieldPosition="0">
        <references count="2">
          <reference field="0" count="21" defaultSubtotal="1">
            <x v="2"/>
            <x v="3"/>
            <x v="18"/>
            <x v="25"/>
            <x v="30"/>
            <x v="31"/>
            <x v="32"/>
            <x v="39"/>
            <x v="42"/>
            <x v="43"/>
            <x v="44"/>
            <x v="53"/>
            <x v="58"/>
            <x v="59"/>
            <x v="60"/>
            <x v="62"/>
            <x v="67"/>
            <x v="81"/>
            <x v="82"/>
            <x v="83"/>
            <x v="84"/>
          </reference>
          <reference field="9" count="1" selected="0">
            <x v="48"/>
          </reference>
        </references>
      </pivotArea>
    </format>
    <format dxfId="6194">
      <pivotArea dataOnly="0" labelOnly="1" outline="0" fieldPosition="0">
        <references count="2">
          <reference field="0" count="16">
            <x v="1"/>
            <x v="3"/>
            <x v="12"/>
            <x v="17"/>
            <x v="18"/>
            <x v="25"/>
            <x v="32"/>
            <x v="42"/>
            <x v="50"/>
            <x v="53"/>
            <x v="58"/>
            <x v="59"/>
            <x v="60"/>
            <x v="61"/>
            <x v="67"/>
            <x v="82"/>
          </reference>
          <reference field="9" count="1" selected="0">
            <x v="49"/>
          </reference>
        </references>
      </pivotArea>
    </format>
    <format dxfId="6193">
      <pivotArea dataOnly="0" labelOnly="1" outline="0" fieldPosition="0">
        <references count="2">
          <reference field="0" count="16" defaultSubtotal="1">
            <x v="1"/>
            <x v="3"/>
            <x v="12"/>
            <x v="17"/>
            <x v="18"/>
            <x v="25"/>
            <x v="32"/>
            <x v="42"/>
            <x v="50"/>
            <x v="53"/>
            <x v="58"/>
            <x v="59"/>
            <x v="60"/>
            <x v="61"/>
            <x v="67"/>
            <x v="82"/>
          </reference>
          <reference field="9" count="1" selected="0">
            <x v="49"/>
          </reference>
        </references>
      </pivotArea>
    </format>
    <format dxfId="6192">
      <pivotArea dataOnly="0" labelOnly="1" outline="0" fieldPosition="0">
        <references count="2">
          <reference field="0" count="12">
            <x v="2"/>
            <x v="18"/>
            <x v="25"/>
            <x v="39"/>
            <x v="51"/>
            <x v="53"/>
            <x v="59"/>
            <x v="62"/>
            <x v="67"/>
            <x v="68"/>
            <x v="83"/>
            <x v="84"/>
          </reference>
          <reference field="9" count="1" selected="0">
            <x v="50"/>
          </reference>
        </references>
      </pivotArea>
    </format>
    <format dxfId="6191">
      <pivotArea dataOnly="0" labelOnly="1" outline="0" fieldPosition="0">
        <references count="2">
          <reference field="0" count="12" defaultSubtotal="1">
            <x v="2"/>
            <x v="18"/>
            <x v="25"/>
            <x v="39"/>
            <x v="51"/>
            <x v="53"/>
            <x v="59"/>
            <x v="62"/>
            <x v="67"/>
            <x v="68"/>
            <x v="83"/>
            <x v="84"/>
          </reference>
          <reference field="9" count="1" selected="0">
            <x v="50"/>
          </reference>
        </references>
      </pivotArea>
    </format>
    <format dxfId="6190">
      <pivotArea dataOnly="0" labelOnly="1" outline="0" fieldPosition="0">
        <references count="2">
          <reference field="0" count="25">
            <x v="1"/>
            <x v="2"/>
            <x v="3"/>
            <x v="5"/>
            <x v="10"/>
            <x v="12"/>
            <x v="14"/>
            <x v="17"/>
            <x v="18"/>
            <x v="25"/>
            <x v="30"/>
            <x v="32"/>
            <x v="39"/>
            <x v="40"/>
            <x v="42"/>
            <x v="45"/>
            <x v="50"/>
            <x v="53"/>
            <x v="58"/>
            <x v="59"/>
            <x v="60"/>
            <x v="61"/>
            <x v="62"/>
            <x v="67"/>
            <x v="68"/>
          </reference>
          <reference field="9" count="1" selected="0">
            <x v="51"/>
          </reference>
        </references>
      </pivotArea>
    </format>
    <format dxfId="6189">
      <pivotArea dataOnly="0" labelOnly="1" outline="0" fieldPosition="0">
        <references count="2">
          <reference field="0" count="25" defaultSubtotal="1">
            <x v="1"/>
            <x v="2"/>
            <x v="3"/>
            <x v="5"/>
            <x v="10"/>
            <x v="12"/>
            <x v="14"/>
            <x v="17"/>
            <x v="18"/>
            <x v="25"/>
            <x v="30"/>
            <x v="32"/>
            <x v="39"/>
            <x v="40"/>
            <x v="42"/>
            <x v="45"/>
            <x v="50"/>
            <x v="53"/>
            <x v="58"/>
            <x v="59"/>
            <x v="60"/>
            <x v="61"/>
            <x v="62"/>
            <x v="67"/>
            <x v="68"/>
          </reference>
          <reference field="9" count="1" selected="0">
            <x v="51"/>
          </reference>
        </references>
      </pivotArea>
    </format>
    <format dxfId="6188">
      <pivotArea dataOnly="0" labelOnly="1" outline="0" fieldPosition="0">
        <references count="2">
          <reference field="0" count="5">
            <x v="72"/>
            <x v="81"/>
            <x v="82"/>
            <x v="83"/>
            <x v="84"/>
          </reference>
          <reference field="9" count="1" selected="0">
            <x v="51"/>
          </reference>
        </references>
      </pivotArea>
    </format>
    <format dxfId="6187">
      <pivotArea dataOnly="0" labelOnly="1" outline="0" fieldPosition="0">
        <references count="2">
          <reference field="0" count="5" defaultSubtotal="1">
            <x v="72"/>
            <x v="81"/>
            <x v="82"/>
            <x v="83"/>
            <x v="84"/>
          </reference>
          <reference field="9" count="1" selected="0">
            <x v="51"/>
          </reference>
        </references>
      </pivotArea>
    </format>
    <format dxfId="6186">
      <pivotArea dataOnly="0" labelOnly="1" outline="0" fieldPosition="0">
        <references count="2">
          <reference field="0" count="15">
            <x v="1"/>
            <x v="3"/>
            <x v="12"/>
            <x v="17"/>
            <x v="18"/>
            <x v="25"/>
            <x v="32"/>
            <x v="42"/>
            <x v="50"/>
            <x v="53"/>
            <x v="57"/>
            <x v="59"/>
            <x v="60"/>
            <x v="61"/>
            <x v="67"/>
          </reference>
          <reference field="9" count="1" selected="0">
            <x v="52"/>
          </reference>
        </references>
      </pivotArea>
    </format>
    <format dxfId="6185">
      <pivotArea dataOnly="0" labelOnly="1" outline="0" fieldPosition="0">
        <references count="2">
          <reference field="0" count="15" defaultSubtotal="1">
            <x v="1"/>
            <x v="3"/>
            <x v="12"/>
            <x v="17"/>
            <x v="18"/>
            <x v="25"/>
            <x v="32"/>
            <x v="42"/>
            <x v="50"/>
            <x v="53"/>
            <x v="57"/>
            <x v="59"/>
            <x v="60"/>
            <x v="61"/>
            <x v="67"/>
          </reference>
          <reference field="9" count="1" selected="0">
            <x v="52"/>
          </reference>
        </references>
      </pivotArea>
    </format>
    <format dxfId="6184">
      <pivotArea dataOnly="0" labelOnly="1" outline="0" fieldPosition="0">
        <references count="2">
          <reference field="0" count="3">
            <x v="53"/>
            <x v="59"/>
            <x v="62"/>
          </reference>
          <reference field="9" count="1" selected="0">
            <x v="53"/>
          </reference>
        </references>
      </pivotArea>
    </format>
    <format dxfId="6183">
      <pivotArea dataOnly="0" labelOnly="1" outline="0" fieldPosition="0">
        <references count="2">
          <reference field="0" count="3" defaultSubtotal="1">
            <x v="53"/>
            <x v="59"/>
            <x v="62"/>
          </reference>
          <reference field="9" count="1" selected="0">
            <x v="53"/>
          </reference>
        </references>
      </pivotArea>
    </format>
    <format dxfId="6182">
      <pivotArea dataOnly="0" labelOnly="1" outline="0" fieldPosition="0">
        <references count="2">
          <reference field="0" count="2">
            <x v="25"/>
            <x v="43"/>
          </reference>
          <reference field="9" count="1" selected="0">
            <x v="54"/>
          </reference>
        </references>
      </pivotArea>
    </format>
    <format dxfId="6181">
      <pivotArea dataOnly="0" labelOnly="1" outline="0" fieldPosition="0">
        <references count="2">
          <reference field="0" count="2" defaultSubtotal="1">
            <x v="25"/>
            <x v="43"/>
          </reference>
          <reference field="9" count="1" selected="0">
            <x v="54"/>
          </reference>
        </references>
      </pivotArea>
    </format>
    <format dxfId="6180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0"/>
          </reference>
        </references>
      </pivotArea>
    </format>
    <format dxfId="6179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0"/>
          </reference>
        </references>
      </pivotArea>
    </format>
    <format dxfId="6178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0"/>
          </reference>
        </references>
      </pivotArea>
    </format>
    <format dxfId="6177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0"/>
          </reference>
        </references>
      </pivotArea>
    </format>
    <format dxfId="6176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0"/>
          </reference>
        </references>
      </pivotArea>
    </format>
    <format dxfId="617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0"/>
          </reference>
        </references>
      </pivotArea>
    </format>
    <format dxfId="6174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0"/>
          </reference>
        </references>
      </pivotArea>
    </format>
    <format dxfId="6173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0"/>
          </reference>
        </references>
      </pivotArea>
    </format>
    <format dxfId="6172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0"/>
          </reference>
        </references>
      </pivotArea>
    </format>
    <format dxfId="6171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0"/>
          </reference>
        </references>
      </pivotArea>
    </format>
    <format dxfId="6170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0"/>
          </reference>
        </references>
      </pivotArea>
    </format>
    <format dxfId="6169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0"/>
          </reference>
        </references>
      </pivotArea>
    </format>
    <format dxfId="6168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1"/>
          </reference>
        </references>
      </pivotArea>
    </format>
    <format dxfId="6167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1"/>
          </reference>
        </references>
      </pivotArea>
    </format>
    <format dxfId="6166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1"/>
          </reference>
        </references>
      </pivotArea>
    </format>
    <format dxfId="6165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1"/>
          </reference>
        </references>
      </pivotArea>
    </format>
    <format dxfId="6164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1"/>
          </reference>
        </references>
      </pivotArea>
    </format>
    <format dxfId="6163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1"/>
          </reference>
        </references>
      </pivotArea>
    </format>
    <format dxfId="6162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1"/>
          </reference>
        </references>
      </pivotArea>
    </format>
    <format dxfId="6161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"/>
          </reference>
        </references>
      </pivotArea>
    </format>
    <format dxfId="6160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1"/>
          </reference>
        </references>
      </pivotArea>
    </format>
    <format dxfId="6159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1"/>
          </reference>
        </references>
      </pivotArea>
    </format>
    <format dxfId="6158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"/>
          </reference>
        </references>
      </pivotArea>
    </format>
    <format dxfId="6157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"/>
          </reference>
        </references>
      </pivotArea>
    </format>
    <format dxfId="6156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"/>
          </reference>
        </references>
      </pivotArea>
    </format>
    <format dxfId="6155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"/>
          </reference>
        </references>
      </pivotArea>
    </format>
    <format dxfId="6154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"/>
          </reference>
        </references>
      </pivotArea>
    </format>
    <format dxfId="6153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"/>
          </reference>
        </references>
      </pivotArea>
    </format>
    <format dxfId="6152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"/>
          </reference>
        </references>
      </pivotArea>
    </format>
    <format dxfId="6151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"/>
          </reference>
        </references>
      </pivotArea>
    </format>
    <format dxfId="6150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"/>
          </reference>
        </references>
      </pivotArea>
    </format>
    <format dxfId="6149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"/>
          </reference>
        </references>
      </pivotArea>
    </format>
    <format dxfId="6148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2"/>
          </reference>
        </references>
      </pivotArea>
    </format>
    <format dxfId="6147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"/>
          </reference>
        </references>
      </pivotArea>
    </format>
    <format dxfId="6146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"/>
          </reference>
        </references>
      </pivotArea>
    </format>
    <format dxfId="6145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"/>
          </reference>
        </references>
      </pivotArea>
    </format>
    <format dxfId="6144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2"/>
          </reference>
        </references>
      </pivotArea>
    </format>
    <format dxfId="6143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3"/>
          </reference>
        </references>
      </pivotArea>
    </format>
    <format dxfId="6142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3"/>
          </reference>
        </references>
      </pivotArea>
    </format>
    <format dxfId="6141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3"/>
          </reference>
        </references>
      </pivotArea>
    </format>
    <format dxfId="6140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3"/>
          </reference>
        </references>
      </pivotArea>
    </format>
    <format dxfId="6139">
      <pivotArea dataOnly="0" labelOnly="1" outline="0" fieldPosition="0">
        <references count="3">
          <reference field="0" count="1" selected="0">
            <x v="37"/>
          </reference>
          <reference field="1" count="1" defaultSubtotal="1">
            <x v="50"/>
          </reference>
          <reference field="9" count="1" selected="0">
            <x v="3"/>
          </reference>
        </references>
      </pivotArea>
    </format>
    <format dxfId="6138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3"/>
          </reference>
        </references>
      </pivotArea>
    </format>
    <format dxfId="6137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"/>
          </reference>
        </references>
      </pivotArea>
    </format>
    <format dxfId="6136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3"/>
          </reference>
        </references>
      </pivotArea>
    </format>
    <format dxfId="6135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3"/>
          </reference>
        </references>
      </pivotArea>
    </format>
    <format dxfId="6134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"/>
          </reference>
        </references>
      </pivotArea>
    </format>
    <format dxfId="6133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"/>
          </reference>
        </references>
      </pivotArea>
    </format>
    <format dxfId="6132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3"/>
          </reference>
        </references>
      </pivotArea>
    </format>
    <format dxfId="6131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4"/>
          </reference>
        </references>
      </pivotArea>
    </format>
    <format dxfId="6130">
      <pivotArea dataOnly="0" labelOnly="1" outline="0" fieldPosition="0">
        <references count="3">
          <reference field="0" count="1" selected="0">
            <x v="11"/>
          </reference>
          <reference field="1" count="1" defaultSubtotal="1">
            <x v="48"/>
          </reference>
          <reference field="9" count="1" selected="0">
            <x v="4"/>
          </reference>
        </references>
      </pivotArea>
    </format>
    <format dxfId="6129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4"/>
          </reference>
        </references>
      </pivotArea>
    </format>
    <format dxfId="6128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4"/>
          </reference>
        </references>
      </pivotArea>
    </format>
    <format dxfId="6127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4"/>
          </reference>
        </references>
      </pivotArea>
    </format>
    <format dxfId="6126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4"/>
          </reference>
        </references>
      </pivotArea>
    </format>
    <format dxfId="6125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4"/>
          </reference>
        </references>
      </pivotArea>
    </format>
    <format dxfId="6124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4"/>
          </reference>
        </references>
      </pivotArea>
    </format>
    <format dxfId="6123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4"/>
          </reference>
        </references>
      </pivotArea>
    </format>
    <format dxfId="6122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4"/>
          </reference>
        </references>
      </pivotArea>
    </format>
    <format dxfId="6121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4"/>
          </reference>
        </references>
      </pivotArea>
    </format>
    <format dxfId="6120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4"/>
          </reference>
        </references>
      </pivotArea>
    </format>
    <format dxfId="6119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5"/>
          </reference>
        </references>
      </pivotArea>
    </format>
    <format dxfId="6118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5"/>
          </reference>
        </references>
      </pivotArea>
    </format>
    <format dxfId="6117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5"/>
          </reference>
        </references>
      </pivotArea>
    </format>
    <format dxfId="6116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5"/>
          </reference>
        </references>
      </pivotArea>
    </format>
    <format dxfId="6115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5"/>
          </reference>
        </references>
      </pivotArea>
    </format>
    <format dxfId="6114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5"/>
          </reference>
        </references>
      </pivotArea>
    </format>
    <format dxfId="6113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5"/>
          </reference>
        </references>
      </pivotArea>
    </format>
    <format dxfId="6112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5"/>
          </reference>
        </references>
      </pivotArea>
    </format>
    <format dxfId="6111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5"/>
          </reference>
        </references>
      </pivotArea>
    </format>
    <format dxfId="6110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5"/>
          </reference>
        </references>
      </pivotArea>
    </format>
    <format dxfId="6109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5"/>
          </reference>
        </references>
      </pivotArea>
    </format>
    <format dxfId="6108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5"/>
          </reference>
        </references>
      </pivotArea>
    </format>
    <format dxfId="6107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5"/>
          </reference>
        </references>
      </pivotArea>
    </format>
    <format dxfId="6106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6"/>
          </reference>
        </references>
      </pivotArea>
    </format>
    <format dxfId="6105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6"/>
          </reference>
        </references>
      </pivotArea>
    </format>
    <format dxfId="6104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6"/>
          </reference>
        </references>
      </pivotArea>
    </format>
    <format dxfId="6103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6"/>
          </reference>
        </references>
      </pivotArea>
    </format>
    <format dxfId="6102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6"/>
          </reference>
        </references>
      </pivotArea>
    </format>
    <format dxfId="6101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6"/>
          </reference>
        </references>
      </pivotArea>
    </format>
    <format dxfId="6100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6"/>
          </reference>
        </references>
      </pivotArea>
    </format>
    <format dxfId="6099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6"/>
          </reference>
        </references>
      </pivotArea>
    </format>
    <format dxfId="6098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6"/>
          </reference>
        </references>
      </pivotArea>
    </format>
    <format dxfId="6097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6"/>
          </reference>
        </references>
      </pivotArea>
    </format>
    <format dxfId="6096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6"/>
          </reference>
        </references>
      </pivotArea>
    </format>
    <format dxfId="6095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6"/>
          </reference>
        </references>
      </pivotArea>
    </format>
    <format dxfId="6094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6"/>
          </reference>
        </references>
      </pivotArea>
    </format>
    <format dxfId="6093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7"/>
          </reference>
        </references>
      </pivotArea>
    </format>
    <format dxfId="6092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7"/>
          </reference>
        </references>
      </pivotArea>
    </format>
    <format dxfId="6091">
      <pivotArea dataOnly="0" labelOnly="1" outline="0" fieldPosition="0">
        <references count="3">
          <reference field="0" count="1" selected="0">
            <x v="35"/>
          </reference>
          <reference field="1" count="1" defaultSubtotal="1">
            <x v="49"/>
          </reference>
          <reference field="9" count="1" selected="0">
            <x v="7"/>
          </reference>
        </references>
      </pivotArea>
    </format>
    <format dxfId="6090">
      <pivotArea dataOnly="0" labelOnly="1" outline="0" fieldPosition="0">
        <references count="3">
          <reference field="0" count="1" selected="0">
            <x v="40"/>
          </reference>
          <reference field="1" count="1" defaultSubtotal="1">
            <x v="29"/>
          </reference>
          <reference field="9" count="1" selected="0">
            <x v="7"/>
          </reference>
        </references>
      </pivotArea>
    </format>
    <format dxfId="6089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7"/>
          </reference>
        </references>
      </pivotArea>
    </format>
    <format dxfId="6088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7"/>
          </reference>
        </references>
      </pivotArea>
    </format>
    <format dxfId="6087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7"/>
          </reference>
        </references>
      </pivotArea>
    </format>
    <format dxfId="6086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7"/>
          </reference>
        </references>
      </pivotArea>
    </format>
    <format dxfId="6085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7"/>
          </reference>
        </references>
      </pivotArea>
    </format>
    <format dxfId="6084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7"/>
          </reference>
        </references>
      </pivotArea>
    </format>
    <format dxfId="6083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7"/>
          </reference>
        </references>
      </pivotArea>
    </format>
    <format dxfId="6082">
      <pivotArea dataOnly="0" labelOnly="1" outline="0" fieldPosition="0">
        <references count="3">
          <reference field="0" count="1" selected="0">
            <x v="63"/>
          </reference>
          <reference field="1" count="1" defaultSubtotal="1">
            <x v="25"/>
          </reference>
          <reference field="9" count="1" selected="0">
            <x v="7"/>
          </reference>
        </references>
      </pivotArea>
    </format>
    <format dxfId="6081">
      <pivotArea dataOnly="0" labelOnly="1" outline="0" fieldPosition="0">
        <references count="3">
          <reference field="0" count="1" selected="0">
            <x v="69"/>
          </reference>
          <reference field="1" count="1" defaultSubtotal="1">
            <x v="1"/>
          </reference>
          <reference field="9" count="1" selected="0">
            <x v="7"/>
          </reference>
        </references>
      </pivotArea>
    </format>
    <format dxfId="6080">
      <pivotArea dataOnly="0" labelOnly="1" outline="0" fieldPosition="0">
        <references count="3">
          <reference field="0" count="1" selected="0">
            <x v="70"/>
          </reference>
          <reference field="1" count="1" defaultSubtotal="1">
            <x v="37"/>
          </reference>
          <reference field="9" count="1" selected="0">
            <x v="7"/>
          </reference>
        </references>
      </pivotArea>
    </format>
    <format dxfId="6079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7"/>
          </reference>
        </references>
      </pivotArea>
    </format>
    <format dxfId="6078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7"/>
          </reference>
        </references>
      </pivotArea>
    </format>
    <format dxfId="6077">
      <pivotArea dataOnly="0" labelOnly="1" outline="0" fieldPosition="0">
        <references count="3">
          <reference field="0" count="1" selected="0">
            <x v="0"/>
          </reference>
          <reference field="1" count="1" defaultSubtotal="1">
            <x v="35"/>
          </reference>
          <reference field="9" count="1" selected="0">
            <x v="8"/>
          </reference>
        </references>
      </pivotArea>
    </format>
    <format dxfId="6076">
      <pivotArea dataOnly="0" labelOnly="1" outline="0" fieldPosition="0">
        <references count="3">
          <reference field="0" count="1" selected="0">
            <x v="7"/>
          </reference>
          <reference field="1" count="1" defaultSubtotal="1">
            <x v="56"/>
          </reference>
          <reference field="9" count="1" selected="0">
            <x v="8"/>
          </reference>
        </references>
      </pivotArea>
    </format>
    <format dxfId="6075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8"/>
          </reference>
        </references>
      </pivotArea>
    </format>
    <format dxfId="6074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8"/>
          </reference>
        </references>
      </pivotArea>
    </format>
    <format dxfId="6073">
      <pivotArea dataOnly="0" labelOnly="1" outline="0" fieldPosition="0">
        <references count="3">
          <reference field="0" count="1" selected="0">
            <x v="24"/>
          </reference>
          <reference field="1" count="1" defaultSubtotal="1">
            <x v="34"/>
          </reference>
          <reference field="9" count="1" selected="0">
            <x v="8"/>
          </reference>
        </references>
      </pivotArea>
    </format>
    <format dxfId="6072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8"/>
          </reference>
        </references>
      </pivotArea>
    </format>
    <format dxfId="6071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8"/>
          </reference>
        </references>
      </pivotArea>
    </format>
    <format dxfId="6070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8"/>
          </reference>
        </references>
      </pivotArea>
    </format>
    <format dxfId="6069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8"/>
          </reference>
        </references>
      </pivotArea>
    </format>
    <format dxfId="6068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8"/>
          </reference>
        </references>
      </pivotArea>
    </format>
    <format dxfId="6067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8"/>
          </reference>
        </references>
      </pivotArea>
    </format>
    <format dxfId="6066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8"/>
          </reference>
        </references>
      </pivotArea>
    </format>
    <format dxfId="6065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9"/>
          </reference>
        </references>
      </pivotArea>
    </format>
    <format dxfId="6064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9"/>
          </reference>
        </references>
      </pivotArea>
    </format>
    <format dxfId="6063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9"/>
          </reference>
        </references>
      </pivotArea>
    </format>
    <format dxfId="6062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9"/>
          </reference>
        </references>
      </pivotArea>
    </format>
    <format dxfId="6061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9"/>
          </reference>
        </references>
      </pivotArea>
    </format>
    <format dxfId="6060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9"/>
          </reference>
        </references>
      </pivotArea>
    </format>
    <format dxfId="6059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9"/>
          </reference>
        </references>
      </pivotArea>
    </format>
    <format dxfId="6058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9"/>
          </reference>
        </references>
      </pivotArea>
    </format>
    <format dxfId="6057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9"/>
          </reference>
        </references>
      </pivotArea>
    </format>
    <format dxfId="6056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9"/>
          </reference>
        </references>
      </pivotArea>
    </format>
    <format dxfId="6055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9"/>
          </reference>
        </references>
      </pivotArea>
    </format>
    <format dxfId="6054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9"/>
          </reference>
        </references>
      </pivotArea>
    </format>
    <format dxfId="6053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9"/>
          </reference>
        </references>
      </pivotArea>
    </format>
    <format dxfId="6052">
      <pivotArea dataOnly="0" labelOnly="1" outline="0" fieldPosition="0">
        <references count="3">
          <reference field="0" count="1" selected="0">
            <x v="0"/>
          </reference>
          <reference field="1" count="1" defaultSubtotal="1">
            <x v="35"/>
          </reference>
          <reference field="9" count="1" selected="0">
            <x v="10"/>
          </reference>
        </references>
      </pivotArea>
    </format>
    <format dxfId="6051">
      <pivotArea dataOnly="0" labelOnly="1" outline="0" fieldPosition="0">
        <references count="3">
          <reference field="0" count="1" selected="0">
            <x v="11"/>
          </reference>
          <reference field="1" count="1" defaultSubtotal="1">
            <x v="48"/>
          </reference>
          <reference field="9" count="1" selected="0">
            <x v="10"/>
          </reference>
        </references>
      </pivotArea>
    </format>
    <format dxfId="6050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10"/>
          </reference>
        </references>
      </pivotArea>
    </format>
    <format dxfId="6049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10"/>
          </reference>
        </references>
      </pivotArea>
    </format>
    <format dxfId="6048">
      <pivotArea dataOnly="0" labelOnly="1" outline="0" fieldPosition="0">
        <references count="3">
          <reference field="0" count="1" selected="0">
            <x v="24"/>
          </reference>
          <reference field="1" count="1" defaultSubtotal="1">
            <x v="34"/>
          </reference>
          <reference field="9" count="1" selected="0">
            <x v="10"/>
          </reference>
        </references>
      </pivotArea>
    </format>
    <format dxfId="6047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10"/>
          </reference>
        </references>
      </pivotArea>
    </format>
    <format dxfId="6046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10"/>
          </reference>
        </references>
      </pivotArea>
    </format>
    <format dxfId="6045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0"/>
          </reference>
        </references>
      </pivotArea>
    </format>
    <format dxfId="6044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10"/>
          </reference>
        </references>
      </pivotArea>
    </format>
    <format dxfId="6043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0"/>
          </reference>
        </references>
      </pivotArea>
    </format>
    <format dxfId="6042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0"/>
          </reference>
        </references>
      </pivotArea>
    </format>
    <format dxfId="6041">
      <pivotArea dataOnly="0" labelOnly="1" outline="0" fieldPosition="0">
        <references count="3">
          <reference field="0" count="1" selected="0">
            <x v="0"/>
          </reference>
          <reference field="1" count="1" defaultSubtotal="1">
            <x v="35"/>
          </reference>
          <reference field="9" count="1" selected="0">
            <x v="11"/>
          </reference>
        </references>
      </pivotArea>
    </format>
    <format dxfId="6040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11"/>
          </reference>
        </references>
      </pivotArea>
    </format>
    <format dxfId="6039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11"/>
          </reference>
        </references>
      </pivotArea>
    </format>
    <format dxfId="6038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11"/>
          </reference>
        </references>
      </pivotArea>
    </format>
    <format dxfId="6037">
      <pivotArea dataOnly="0" labelOnly="1" outline="0" fieldPosition="0">
        <references count="3">
          <reference field="0" count="1" selected="0">
            <x v="24"/>
          </reference>
          <reference field="1" count="1" defaultSubtotal="1">
            <x v="34"/>
          </reference>
          <reference field="9" count="1" selected="0">
            <x v="11"/>
          </reference>
        </references>
      </pivotArea>
    </format>
    <format dxfId="6036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11"/>
          </reference>
        </references>
      </pivotArea>
    </format>
    <format dxfId="603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11"/>
          </reference>
        </references>
      </pivotArea>
    </format>
    <format dxfId="6034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1"/>
          </reference>
        </references>
      </pivotArea>
    </format>
    <format dxfId="6033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11"/>
          </reference>
        </references>
      </pivotArea>
    </format>
    <format dxfId="6032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11"/>
          </reference>
        </references>
      </pivotArea>
    </format>
    <format dxfId="6031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1"/>
          </reference>
        </references>
      </pivotArea>
    </format>
    <format dxfId="6030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1"/>
          </reference>
        </references>
      </pivotArea>
    </format>
    <format dxfId="6029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12"/>
          </reference>
        </references>
      </pivotArea>
    </format>
    <format dxfId="6028">
      <pivotArea dataOnly="0" labelOnly="1" outline="0" fieldPosition="0">
        <references count="3">
          <reference field="0" count="1" selected="0">
            <x v="4"/>
          </reference>
          <reference field="1" count="1" defaultSubtotal="1">
            <x v="19"/>
          </reference>
          <reference field="9" count="1" selected="0">
            <x v="12"/>
          </reference>
        </references>
      </pivotArea>
    </format>
    <format dxfId="6027">
      <pivotArea dataOnly="0" labelOnly="1" outline="0" fieldPosition="0">
        <references count="3">
          <reference field="0" count="1" selected="0">
            <x v="9"/>
          </reference>
          <reference field="1" count="1" defaultSubtotal="1">
            <x v="43"/>
          </reference>
          <reference field="9" count="1" selected="0">
            <x v="12"/>
          </reference>
        </references>
      </pivotArea>
    </format>
    <format dxfId="6026">
      <pivotArea dataOnly="0" labelOnly="1" outline="0" fieldPosition="0">
        <references count="3">
          <reference field="0" count="1" selected="0">
            <x v="11"/>
          </reference>
          <reference field="1" count="1" defaultSubtotal="1">
            <x v="48"/>
          </reference>
          <reference field="9" count="1" selected="0">
            <x v="12"/>
          </reference>
        </references>
      </pivotArea>
    </format>
    <format dxfId="6025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12"/>
          </reference>
        </references>
      </pivotArea>
    </format>
    <format dxfId="6024">
      <pivotArea dataOnly="0" labelOnly="1" outline="0" fieldPosition="0">
        <references count="3">
          <reference field="0" count="1" selected="0">
            <x v="13"/>
          </reference>
          <reference field="1" count="1" defaultSubtotal="1">
            <x v="74"/>
          </reference>
          <reference field="9" count="1" selected="0">
            <x v="12"/>
          </reference>
        </references>
      </pivotArea>
    </format>
    <format dxfId="6023">
      <pivotArea dataOnly="0" labelOnly="1" outline="0" fieldPosition="0">
        <references count="3">
          <reference field="0" count="1" selected="0">
            <x v="15"/>
          </reference>
          <reference field="1" count="1" defaultSubtotal="1">
            <x v="62"/>
          </reference>
          <reference field="9" count="1" selected="0">
            <x v="12"/>
          </reference>
        </references>
      </pivotArea>
    </format>
    <format dxfId="6022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12"/>
          </reference>
        </references>
      </pivotArea>
    </format>
    <format dxfId="6021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12"/>
          </reference>
        </references>
      </pivotArea>
    </format>
    <format dxfId="6020">
      <pivotArea dataOnly="0" labelOnly="1" outline="0" fieldPosition="0">
        <references count="3">
          <reference field="0" count="1" selected="0">
            <x v="19"/>
          </reference>
          <reference field="1" count="1" defaultSubtotal="1">
            <x v="13"/>
          </reference>
          <reference field="9" count="1" selected="0">
            <x v="12"/>
          </reference>
        </references>
      </pivotArea>
    </format>
    <format dxfId="6019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12"/>
          </reference>
        </references>
      </pivotArea>
    </format>
    <format dxfId="6018">
      <pivotArea dataOnly="0" labelOnly="1" outline="0" fieldPosition="0">
        <references count="3">
          <reference field="0" count="1" selected="0">
            <x v="27"/>
          </reference>
          <reference field="1" count="1" defaultSubtotal="1">
            <x v="82"/>
          </reference>
          <reference field="9" count="1" selected="0">
            <x v="12"/>
          </reference>
        </references>
      </pivotArea>
    </format>
    <format dxfId="6017">
      <pivotArea dataOnly="0" labelOnly="1" outline="0" fieldPosition="0">
        <references count="3">
          <reference field="0" count="1" selected="0">
            <x v="29"/>
          </reference>
          <reference field="1" count="1" defaultSubtotal="1">
            <x v="2"/>
          </reference>
          <reference field="9" count="1" selected="0">
            <x v="12"/>
          </reference>
        </references>
      </pivotArea>
    </format>
    <format dxfId="6016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12"/>
          </reference>
        </references>
      </pivotArea>
    </format>
    <format dxfId="6015">
      <pivotArea dataOnly="0" labelOnly="1" outline="0" fieldPosition="0">
        <references count="3">
          <reference field="0" count="1" selected="0">
            <x v="41"/>
          </reference>
          <reference field="1" count="1" defaultSubtotal="1">
            <x v="8"/>
          </reference>
          <reference field="9" count="1" selected="0">
            <x v="12"/>
          </reference>
        </references>
      </pivotArea>
    </format>
    <format dxfId="6014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12"/>
          </reference>
        </references>
      </pivotArea>
    </format>
    <format dxfId="6013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2"/>
          </reference>
        </references>
      </pivotArea>
    </format>
    <format dxfId="6012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12"/>
          </reference>
        </references>
      </pivotArea>
    </format>
    <format dxfId="6011">
      <pivotArea dataOnly="0" labelOnly="1" outline="0" fieldPosition="0">
        <references count="3">
          <reference field="0" count="1" selected="0">
            <x v="56"/>
          </reference>
          <reference field="1" count="1" defaultSubtotal="1">
            <x v="23"/>
          </reference>
          <reference field="9" count="1" selected="0">
            <x v="12"/>
          </reference>
        </references>
      </pivotArea>
    </format>
    <format dxfId="6010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12"/>
          </reference>
        </references>
      </pivotArea>
    </format>
    <format dxfId="6009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12"/>
          </reference>
        </references>
      </pivotArea>
    </format>
    <format dxfId="6008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12"/>
          </reference>
        </references>
      </pivotArea>
    </format>
    <format dxfId="6007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2"/>
          </reference>
        </references>
      </pivotArea>
    </format>
    <format dxfId="6006">
      <pivotArea dataOnly="0" labelOnly="1" outline="0" fieldPosition="0">
        <references count="3">
          <reference field="0" count="1" selected="0">
            <x v="76"/>
          </reference>
          <reference field="1" count="1" defaultSubtotal="1">
            <x v="24"/>
          </reference>
          <reference field="9" count="1" selected="0">
            <x v="12"/>
          </reference>
        </references>
      </pivotArea>
    </format>
    <format dxfId="6005">
      <pivotArea dataOnly="0" labelOnly="1" outline="0" fieldPosition="0">
        <references count="3">
          <reference field="0" count="1" selected="0">
            <x v="77"/>
          </reference>
          <reference field="1" count="1" defaultSubtotal="1">
            <x v="68"/>
          </reference>
          <reference field="9" count="1" selected="0">
            <x v="12"/>
          </reference>
        </references>
      </pivotArea>
    </format>
    <format dxfId="6004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2"/>
          </reference>
        </references>
      </pivotArea>
    </format>
    <format dxfId="6003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13"/>
          </reference>
        </references>
      </pivotArea>
    </format>
    <format dxfId="6002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13"/>
          </reference>
        </references>
      </pivotArea>
    </format>
    <format dxfId="6001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13"/>
          </reference>
        </references>
      </pivotArea>
    </format>
    <format dxfId="6000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13"/>
          </reference>
        </references>
      </pivotArea>
    </format>
    <format dxfId="5999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13"/>
          </reference>
        </references>
      </pivotArea>
    </format>
    <format dxfId="5998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3"/>
          </reference>
        </references>
      </pivotArea>
    </format>
    <format dxfId="5997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13"/>
          </reference>
        </references>
      </pivotArea>
    </format>
    <format dxfId="5996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13"/>
          </reference>
        </references>
      </pivotArea>
    </format>
    <format dxfId="5995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13"/>
          </reference>
        </references>
      </pivotArea>
    </format>
    <format dxfId="5994">
      <pivotArea dataOnly="0" labelOnly="1" outline="0" fieldPosition="0">
        <references count="3">
          <reference field="0" count="1" selected="0">
            <x v="65"/>
          </reference>
          <reference field="1" count="1" defaultSubtotal="1">
            <x v="53"/>
          </reference>
          <reference field="9" count="1" selected="0">
            <x v="13"/>
          </reference>
        </references>
      </pivotArea>
    </format>
    <format dxfId="5993">
      <pivotArea dataOnly="0" labelOnly="1" outline="0" fieldPosition="0">
        <references count="3">
          <reference field="0" count="1" selected="0">
            <x v="71"/>
          </reference>
          <reference field="1" count="1" defaultSubtotal="1">
            <x v="27"/>
          </reference>
          <reference field="9" count="1" selected="0">
            <x v="13"/>
          </reference>
        </references>
      </pivotArea>
    </format>
    <format dxfId="5992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3"/>
          </reference>
        </references>
      </pivotArea>
    </format>
    <format dxfId="5991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3"/>
          </reference>
        </references>
      </pivotArea>
    </format>
    <format dxfId="5990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14"/>
          </reference>
        </references>
      </pivotArea>
    </format>
    <format dxfId="5989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14"/>
          </reference>
        </references>
      </pivotArea>
    </format>
    <format dxfId="5988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14"/>
          </reference>
        </references>
      </pivotArea>
    </format>
    <format dxfId="5987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14"/>
          </reference>
        </references>
      </pivotArea>
    </format>
    <format dxfId="5986">
      <pivotArea dataOnly="0" labelOnly="1" outline="0" fieldPosition="0">
        <references count="3">
          <reference field="0" count="1" selected="0">
            <x v="20"/>
          </reference>
          <reference field="1" count="1" defaultSubtotal="1">
            <x v="55"/>
          </reference>
          <reference field="9" count="1" selected="0">
            <x v="14"/>
          </reference>
        </references>
      </pivotArea>
    </format>
    <format dxfId="5985">
      <pivotArea dataOnly="0" labelOnly="1" outline="0" fieldPosition="0">
        <references count="3">
          <reference field="0" count="1" selected="0">
            <x v="40"/>
          </reference>
          <reference field="1" count="1" defaultSubtotal="1">
            <x v="29"/>
          </reference>
          <reference field="9" count="1" selected="0">
            <x v="14"/>
          </reference>
        </references>
      </pivotArea>
    </format>
    <format dxfId="5984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14"/>
          </reference>
        </references>
      </pivotArea>
    </format>
    <format dxfId="5983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14"/>
          </reference>
        </references>
      </pivotArea>
    </format>
    <format dxfId="5982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14"/>
          </reference>
        </references>
      </pivotArea>
    </format>
    <format dxfId="5981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4"/>
          </reference>
        </references>
      </pivotArea>
    </format>
    <format dxfId="5980">
      <pivotArea dataOnly="0" labelOnly="1" outline="0" fieldPosition="0">
        <references count="3">
          <reference field="0" count="1" selected="0">
            <x v="57"/>
          </reference>
          <reference field="1" count="1" defaultSubtotal="1">
            <x v="57"/>
          </reference>
          <reference field="9" count="1" selected="0">
            <x v="14"/>
          </reference>
        </references>
      </pivotArea>
    </format>
    <format dxfId="5979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14"/>
          </reference>
        </references>
      </pivotArea>
    </format>
    <format dxfId="5978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14"/>
          </reference>
        </references>
      </pivotArea>
    </format>
    <format dxfId="5977">
      <pivotArea dataOnly="0" labelOnly="1" outline="0" fieldPosition="0">
        <references count="3">
          <reference field="0" count="1" selected="0">
            <x v="71"/>
          </reference>
          <reference field="1" count="1" defaultSubtotal="1">
            <x v="27"/>
          </reference>
          <reference field="9" count="1" selected="0">
            <x v="14"/>
          </reference>
        </references>
      </pivotArea>
    </format>
    <format dxfId="5976">
      <pivotArea dataOnly="0" labelOnly="1" outline="0" fieldPosition="0">
        <references count="3">
          <reference field="0" count="1" selected="0">
            <x v="72"/>
          </reference>
          <reference field="1" count="1" defaultSubtotal="1">
            <x v="75"/>
          </reference>
          <reference field="9" count="1" selected="0">
            <x v="14"/>
          </reference>
        </references>
      </pivotArea>
    </format>
    <format dxfId="5975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4"/>
          </reference>
        </references>
      </pivotArea>
    </format>
    <format dxfId="5974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4"/>
          </reference>
        </references>
      </pivotArea>
    </format>
    <format dxfId="5973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15"/>
          </reference>
        </references>
      </pivotArea>
    </format>
    <format dxfId="5972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15"/>
          </reference>
        </references>
      </pivotArea>
    </format>
    <format dxfId="5971">
      <pivotArea dataOnly="0" labelOnly="1" outline="0" fieldPosition="0">
        <references count="3">
          <reference field="0" count="1" selected="0">
            <x v="28"/>
          </reference>
          <reference field="1" count="1" defaultSubtotal="1">
            <x v="32"/>
          </reference>
          <reference field="9" count="1" selected="0">
            <x v="15"/>
          </reference>
        </references>
      </pivotArea>
    </format>
    <format dxfId="5970">
      <pivotArea dataOnly="0" labelOnly="1" outline="0" fieldPosition="0">
        <references count="3">
          <reference field="0" count="1" selected="0">
            <x v="38"/>
          </reference>
          <reference field="1" count="1" defaultSubtotal="1">
            <x v="58"/>
          </reference>
          <reference field="9" count="1" selected="0">
            <x v="15"/>
          </reference>
        </references>
      </pivotArea>
    </format>
    <format dxfId="5969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15"/>
          </reference>
        </references>
      </pivotArea>
    </format>
    <format dxfId="5968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15"/>
          </reference>
        </references>
      </pivotArea>
    </format>
    <format dxfId="5967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5"/>
          </reference>
        </references>
      </pivotArea>
    </format>
    <format dxfId="5966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15"/>
          </reference>
        </references>
      </pivotArea>
    </format>
    <format dxfId="5965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15"/>
          </reference>
        </references>
      </pivotArea>
    </format>
    <format dxfId="5964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15"/>
          </reference>
        </references>
      </pivotArea>
    </format>
    <format dxfId="5963">
      <pivotArea dataOnly="0" labelOnly="1" outline="0" fieldPosition="0">
        <references count="3">
          <reference field="0" count="1" selected="0">
            <x v="65"/>
          </reference>
          <reference field="1" count="1" defaultSubtotal="1">
            <x v="53"/>
          </reference>
          <reference field="9" count="1" selected="0">
            <x v="15"/>
          </reference>
        </references>
      </pivotArea>
    </format>
    <format dxfId="5962">
      <pivotArea dataOnly="0" labelOnly="1" outline="0" fieldPosition="0">
        <references count="3">
          <reference field="0" count="1" selected="0">
            <x v="71"/>
          </reference>
          <reference field="1" count="1" defaultSubtotal="1">
            <x v="27"/>
          </reference>
          <reference field="9" count="1" selected="0">
            <x v="15"/>
          </reference>
        </references>
      </pivotArea>
    </format>
    <format dxfId="5961">
      <pivotArea dataOnly="0" labelOnly="1" outline="0" fieldPosition="0">
        <references count="3">
          <reference field="0" count="1" selected="0">
            <x v="72"/>
          </reference>
          <reference field="1" count="1" defaultSubtotal="1">
            <x v="75"/>
          </reference>
          <reference field="9" count="1" selected="0">
            <x v="15"/>
          </reference>
        </references>
      </pivotArea>
    </format>
    <format dxfId="5960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5"/>
          </reference>
        </references>
      </pivotArea>
    </format>
    <format dxfId="5959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5"/>
          </reference>
        </references>
      </pivotArea>
    </format>
    <format dxfId="5958">
      <pivotArea dataOnly="0" labelOnly="1" outline="0" fieldPosition="0">
        <references count="3">
          <reference field="0" count="1" selected="0">
            <x v="0"/>
          </reference>
          <reference field="1" count="1" defaultSubtotal="1">
            <x v="35"/>
          </reference>
          <reference field="9" count="1" selected="0">
            <x v="16"/>
          </reference>
        </references>
      </pivotArea>
    </format>
    <format dxfId="5957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16"/>
          </reference>
        </references>
      </pivotArea>
    </format>
    <format dxfId="5956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17"/>
          </reference>
        </references>
      </pivotArea>
    </format>
    <format dxfId="5955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18"/>
          </reference>
        </references>
      </pivotArea>
    </format>
    <format dxfId="5954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18"/>
          </reference>
        </references>
      </pivotArea>
    </format>
    <format dxfId="5953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18"/>
          </reference>
        </references>
      </pivotArea>
    </format>
    <format dxfId="5952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18"/>
          </reference>
        </references>
      </pivotArea>
    </format>
    <format dxfId="5951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18"/>
          </reference>
        </references>
      </pivotArea>
    </format>
    <format dxfId="5950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18"/>
          </reference>
        </references>
      </pivotArea>
    </format>
    <format dxfId="5949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18"/>
          </reference>
        </references>
      </pivotArea>
    </format>
    <format dxfId="5948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8"/>
          </reference>
        </references>
      </pivotArea>
    </format>
    <format dxfId="5947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18"/>
          </reference>
        </references>
      </pivotArea>
    </format>
    <format dxfId="5946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18"/>
          </reference>
        </references>
      </pivotArea>
    </format>
    <format dxfId="5945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8"/>
          </reference>
        </references>
      </pivotArea>
    </format>
    <format dxfId="5944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8"/>
          </reference>
        </references>
      </pivotArea>
    </format>
    <format dxfId="5943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19"/>
          </reference>
        </references>
      </pivotArea>
    </format>
    <format dxfId="5942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19"/>
          </reference>
        </references>
      </pivotArea>
    </format>
    <format dxfId="5941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19"/>
          </reference>
        </references>
      </pivotArea>
    </format>
    <format dxfId="5940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19"/>
          </reference>
        </references>
      </pivotArea>
    </format>
    <format dxfId="5939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19"/>
          </reference>
        </references>
      </pivotArea>
    </format>
    <format dxfId="5938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19"/>
          </reference>
        </references>
      </pivotArea>
    </format>
    <format dxfId="5937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19"/>
          </reference>
        </references>
      </pivotArea>
    </format>
    <format dxfId="5936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19"/>
          </reference>
        </references>
      </pivotArea>
    </format>
    <format dxfId="593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19"/>
          </reference>
        </references>
      </pivotArea>
    </format>
    <format dxfId="5934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19"/>
          </reference>
        </references>
      </pivotArea>
    </format>
    <format dxfId="5933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19"/>
          </reference>
        </references>
      </pivotArea>
    </format>
    <format dxfId="5932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19"/>
          </reference>
        </references>
      </pivotArea>
    </format>
    <format dxfId="5931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19"/>
          </reference>
        </references>
      </pivotArea>
    </format>
    <format dxfId="5930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19"/>
          </reference>
        </references>
      </pivotArea>
    </format>
    <format dxfId="5929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19"/>
          </reference>
        </references>
      </pivotArea>
    </format>
    <format dxfId="5928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19"/>
          </reference>
        </references>
      </pivotArea>
    </format>
    <format dxfId="5927">
      <pivotArea dataOnly="0" labelOnly="1" outline="0" fieldPosition="0">
        <references count="3">
          <reference field="0" count="1" selected="0">
            <x v="65"/>
          </reference>
          <reference field="1" count="1" defaultSubtotal="1">
            <x v="53"/>
          </reference>
          <reference field="9" count="1" selected="0">
            <x v="19"/>
          </reference>
        </references>
      </pivotArea>
    </format>
    <format dxfId="5926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19"/>
          </reference>
        </references>
      </pivotArea>
    </format>
    <format dxfId="5925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19"/>
          </reference>
        </references>
      </pivotArea>
    </format>
    <format dxfId="5924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19"/>
          </reference>
        </references>
      </pivotArea>
    </format>
    <format dxfId="5923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0"/>
          </reference>
        </references>
      </pivotArea>
    </format>
    <format dxfId="5922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0"/>
          </reference>
        </references>
      </pivotArea>
    </format>
    <format dxfId="5921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0"/>
          </reference>
        </references>
      </pivotArea>
    </format>
    <format dxfId="5920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0"/>
          </reference>
        </references>
      </pivotArea>
    </format>
    <format dxfId="5919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0"/>
          </reference>
        </references>
      </pivotArea>
    </format>
    <format dxfId="5918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0"/>
          </reference>
        </references>
      </pivotArea>
    </format>
    <format dxfId="5917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0"/>
          </reference>
        </references>
      </pivotArea>
    </format>
    <format dxfId="5916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0"/>
          </reference>
        </references>
      </pivotArea>
    </format>
    <format dxfId="5915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20"/>
          </reference>
        </references>
      </pivotArea>
    </format>
    <format dxfId="5914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0"/>
          </reference>
        </references>
      </pivotArea>
    </format>
    <format dxfId="5913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0"/>
          </reference>
        </references>
      </pivotArea>
    </format>
    <format dxfId="5912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0"/>
          </reference>
        </references>
      </pivotArea>
    </format>
    <format dxfId="5911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1"/>
          </reference>
        </references>
      </pivotArea>
    </format>
    <format dxfId="5910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1"/>
          </reference>
        </references>
      </pivotArea>
    </format>
    <format dxfId="5909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1"/>
          </reference>
        </references>
      </pivotArea>
    </format>
    <format dxfId="5908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21"/>
          </reference>
        </references>
      </pivotArea>
    </format>
    <format dxfId="5907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1"/>
          </reference>
        </references>
      </pivotArea>
    </format>
    <format dxfId="5906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1"/>
          </reference>
        </references>
      </pivotArea>
    </format>
    <format dxfId="590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1"/>
          </reference>
        </references>
      </pivotArea>
    </format>
    <format dxfId="5904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1"/>
          </reference>
        </references>
      </pivotArea>
    </format>
    <format dxfId="5903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21"/>
          </reference>
        </references>
      </pivotArea>
    </format>
    <format dxfId="5902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21"/>
          </reference>
        </references>
      </pivotArea>
    </format>
    <format dxfId="5901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1"/>
          </reference>
        </references>
      </pivotArea>
    </format>
    <format dxfId="5900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1"/>
          </reference>
        </references>
      </pivotArea>
    </format>
    <format dxfId="5899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1"/>
          </reference>
        </references>
      </pivotArea>
    </format>
    <format dxfId="5898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2"/>
          </reference>
        </references>
      </pivotArea>
    </format>
    <format dxfId="5897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2"/>
          </reference>
        </references>
      </pivotArea>
    </format>
    <format dxfId="5896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2"/>
          </reference>
        </references>
      </pivotArea>
    </format>
    <format dxfId="5895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22"/>
          </reference>
        </references>
      </pivotArea>
    </format>
    <format dxfId="5894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2"/>
          </reference>
        </references>
      </pivotArea>
    </format>
    <format dxfId="5893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2"/>
          </reference>
        </references>
      </pivotArea>
    </format>
    <format dxfId="5892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2"/>
          </reference>
        </references>
      </pivotArea>
    </format>
    <format dxfId="5891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2"/>
          </reference>
        </references>
      </pivotArea>
    </format>
    <format dxfId="5890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22"/>
          </reference>
        </references>
      </pivotArea>
    </format>
    <format dxfId="5889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22"/>
          </reference>
        </references>
      </pivotArea>
    </format>
    <format dxfId="5888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2"/>
          </reference>
        </references>
      </pivotArea>
    </format>
    <format dxfId="5887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2"/>
          </reference>
        </references>
      </pivotArea>
    </format>
    <format dxfId="5886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2"/>
          </reference>
        </references>
      </pivotArea>
    </format>
    <format dxfId="5885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3"/>
          </reference>
        </references>
      </pivotArea>
    </format>
    <format dxfId="5884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3"/>
          </reference>
        </references>
      </pivotArea>
    </format>
    <format dxfId="5883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3"/>
          </reference>
        </references>
      </pivotArea>
    </format>
    <format dxfId="5882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3"/>
          </reference>
        </references>
      </pivotArea>
    </format>
    <format dxfId="5881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3"/>
          </reference>
        </references>
      </pivotArea>
    </format>
    <format dxfId="5880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3"/>
          </reference>
        </references>
      </pivotArea>
    </format>
    <format dxfId="5879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3"/>
          </reference>
        </references>
      </pivotArea>
    </format>
    <format dxfId="5878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3"/>
          </reference>
        </references>
      </pivotArea>
    </format>
    <format dxfId="5877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23"/>
          </reference>
        </references>
      </pivotArea>
    </format>
    <format dxfId="5876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3"/>
          </reference>
        </references>
      </pivotArea>
    </format>
    <format dxfId="5875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3"/>
          </reference>
        </references>
      </pivotArea>
    </format>
    <format dxfId="5874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3"/>
          </reference>
        </references>
      </pivotArea>
    </format>
    <format dxfId="5873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4"/>
          </reference>
        </references>
      </pivotArea>
    </format>
    <format dxfId="5872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4"/>
          </reference>
        </references>
      </pivotArea>
    </format>
    <format dxfId="5871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4"/>
          </reference>
        </references>
      </pivotArea>
    </format>
    <format dxfId="5870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4"/>
          </reference>
        </references>
      </pivotArea>
    </format>
    <format dxfId="5869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4"/>
          </reference>
        </references>
      </pivotArea>
    </format>
    <format dxfId="5868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4"/>
          </reference>
        </references>
      </pivotArea>
    </format>
    <format dxfId="5867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4"/>
          </reference>
        </references>
      </pivotArea>
    </format>
    <format dxfId="5866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4"/>
          </reference>
        </references>
      </pivotArea>
    </format>
    <format dxfId="5865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24"/>
          </reference>
        </references>
      </pivotArea>
    </format>
    <format dxfId="5864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4"/>
          </reference>
        </references>
      </pivotArea>
    </format>
    <format dxfId="5863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4"/>
          </reference>
        </references>
      </pivotArea>
    </format>
    <format dxfId="5862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4"/>
          </reference>
        </references>
      </pivotArea>
    </format>
    <format dxfId="5861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5"/>
          </reference>
        </references>
      </pivotArea>
    </format>
    <format dxfId="5860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5"/>
          </reference>
        </references>
      </pivotArea>
    </format>
    <format dxfId="5859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5"/>
          </reference>
        </references>
      </pivotArea>
    </format>
    <format dxfId="5858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5"/>
          </reference>
        </references>
      </pivotArea>
    </format>
    <format dxfId="5857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5"/>
          </reference>
        </references>
      </pivotArea>
    </format>
    <format dxfId="5856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5"/>
          </reference>
        </references>
      </pivotArea>
    </format>
    <format dxfId="585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5"/>
          </reference>
        </references>
      </pivotArea>
    </format>
    <format dxfId="5854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5"/>
          </reference>
        </references>
      </pivotArea>
    </format>
    <format dxfId="5853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25"/>
          </reference>
        </references>
      </pivotArea>
    </format>
    <format dxfId="5852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5"/>
          </reference>
        </references>
      </pivotArea>
    </format>
    <format dxfId="5851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5"/>
          </reference>
        </references>
      </pivotArea>
    </format>
    <format dxfId="5850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5"/>
          </reference>
        </references>
      </pivotArea>
    </format>
    <format dxfId="5849">
      <pivotArea dataOnly="0" labelOnly="1" outline="0" fieldPosition="0">
        <references count="3">
          <reference field="0" count="1" selected="0">
            <x v="0"/>
          </reference>
          <reference field="1" count="1" defaultSubtotal="1">
            <x v="35"/>
          </reference>
          <reference field="9" count="1" selected="0">
            <x v="26"/>
          </reference>
        </references>
      </pivotArea>
    </format>
    <format dxfId="5848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6"/>
          </reference>
        </references>
      </pivotArea>
    </format>
    <format dxfId="5847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6"/>
          </reference>
        </references>
      </pivotArea>
    </format>
    <format dxfId="5846">
      <pivotArea dataOnly="0" labelOnly="1" outline="0" fieldPosition="0">
        <references count="3">
          <reference field="0" count="1" selected="0">
            <x v="11"/>
          </reference>
          <reference field="1" count="1" defaultSubtotal="1">
            <x v="48"/>
          </reference>
          <reference field="9" count="1" selected="0">
            <x v="26"/>
          </reference>
        </references>
      </pivotArea>
    </format>
    <format dxfId="5845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6"/>
          </reference>
        </references>
      </pivotArea>
    </format>
    <format dxfId="5844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6"/>
          </reference>
        </references>
      </pivotArea>
    </format>
    <format dxfId="5843">
      <pivotArea dataOnly="0" labelOnly="1" outline="0" fieldPosition="0">
        <references count="3">
          <reference field="0" count="1" selected="0">
            <x v="24"/>
          </reference>
          <reference field="1" count="1" defaultSubtotal="1">
            <x v="34"/>
          </reference>
          <reference field="9" count="1" selected="0">
            <x v="26"/>
          </reference>
        </references>
      </pivotArea>
    </format>
    <format dxfId="5842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6"/>
          </reference>
        </references>
      </pivotArea>
    </format>
    <format dxfId="5841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6"/>
          </reference>
        </references>
      </pivotArea>
    </format>
    <format dxfId="5840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6"/>
          </reference>
        </references>
      </pivotArea>
    </format>
    <format dxfId="5839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6"/>
          </reference>
        </references>
      </pivotArea>
    </format>
    <format dxfId="5838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26"/>
          </reference>
        </references>
      </pivotArea>
    </format>
    <format dxfId="5837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26"/>
          </reference>
        </references>
      </pivotArea>
    </format>
    <format dxfId="5836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26"/>
          </reference>
        </references>
      </pivotArea>
    </format>
    <format dxfId="5835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6"/>
          </reference>
        </references>
      </pivotArea>
    </format>
    <format dxfId="5834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6"/>
          </reference>
        </references>
      </pivotArea>
    </format>
    <format dxfId="5833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6"/>
          </reference>
        </references>
      </pivotArea>
    </format>
    <format dxfId="5832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7"/>
          </reference>
        </references>
      </pivotArea>
    </format>
    <format dxfId="5831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7"/>
          </reference>
        </references>
      </pivotArea>
    </format>
    <format dxfId="5830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7"/>
          </reference>
        </references>
      </pivotArea>
    </format>
    <format dxfId="5829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7"/>
          </reference>
        </references>
      </pivotArea>
    </format>
    <format dxfId="5828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7"/>
          </reference>
        </references>
      </pivotArea>
    </format>
    <format dxfId="5827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7"/>
          </reference>
        </references>
      </pivotArea>
    </format>
    <format dxfId="5826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7"/>
          </reference>
        </references>
      </pivotArea>
    </format>
    <format dxfId="5825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7"/>
          </reference>
        </references>
      </pivotArea>
    </format>
    <format dxfId="5824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27"/>
          </reference>
        </references>
      </pivotArea>
    </format>
    <format dxfId="5823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7"/>
          </reference>
        </references>
      </pivotArea>
    </format>
    <format dxfId="5822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7"/>
          </reference>
        </references>
      </pivotArea>
    </format>
    <format dxfId="5821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7"/>
          </reference>
        </references>
      </pivotArea>
    </format>
    <format dxfId="5820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8"/>
          </reference>
        </references>
      </pivotArea>
    </format>
    <format dxfId="5819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8"/>
          </reference>
        </references>
      </pivotArea>
    </format>
    <format dxfId="5818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8"/>
          </reference>
        </references>
      </pivotArea>
    </format>
    <format dxfId="5817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8"/>
          </reference>
        </references>
      </pivotArea>
    </format>
    <format dxfId="5816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8"/>
          </reference>
        </references>
      </pivotArea>
    </format>
    <format dxfId="5815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8"/>
          </reference>
        </references>
      </pivotArea>
    </format>
    <format dxfId="5814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8"/>
          </reference>
        </references>
      </pivotArea>
    </format>
    <format dxfId="5813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8"/>
          </reference>
        </references>
      </pivotArea>
    </format>
    <format dxfId="5812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28"/>
          </reference>
        </references>
      </pivotArea>
    </format>
    <format dxfId="5811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28"/>
          </reference>
        </references>
      </pivotArea>
    </format>
    <format dxfId="5810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8"/>
          </reference>
        </references>
      </pivotArea>
    </format>
    <format dxfId="5809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8"/>
          </reference>
        </references>
      </pivotArea>
    </format>
    <format dxfId="5808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8"/>
          </reference>
        </references>
      </pivotArea>
    </format>
    <format dxfId="5807">
      <pivotArea dataOnly="0" labelOnly="1" outline="0" fieldPosition="0">
        <references count="3">
          <reference field="0" count="1" selected="0">
            <x v="0"/>
          </reference>
          <reference field="1" count="1" defaultSubtotal="1">
            <x v="35"/>
          </reference>
          <reference field="9" count="1" selected="0">
            <x v="29"/>
          </reference>
        </references>
      </pivotArea>
    </format>
    <format dxfId="5806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29"/>
          </reference>
        </references>
      </pivotArea>
    </format>
    <format dxfId="5805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29"/>
          </reference>
        </references>
      </pivotArea>
    </format>
    <format dxfId="5804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29"/>
          </reference>
        </references>
      </pivotArea>
    </format>
    <format dxfId="5803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29"/>
          </reference>
        </references>
      </pivotArea>
    </format>
    <format dxfId="5802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29"/>
          </reference>
        </references>
      </pivotArea>
    </format>
    <format dxfId="5801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29"/>
          </reference>
        </references>
      </pivotArea>
    </format>
    <format dxfId="5800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29"/>
          </reference>
        </references>
      </pivotArea>
    </format>
    <format dxfId="5799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29"/>
          </reference>
        </references>
      </pivotArea>
    </format>
    <format dxfId="5798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29"/>
          </reference>
        </references>
      </pivotArea>
    </format>
    <format dxfId="5797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29"/>
          </reference>
        </references>
      </pivotArea>
    </format>
    <format dxfId="5796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29"/>
          </reference>
        </references>
      </pivotArea>
    </format>
    <format dxfId="5795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29"/>
          </reference>
        </references>
      </pivotArea>
    </format>
    <format dxfId="5794">
      <pivotArea dataOnly="0" labelOnly="1" outline="0" fieldPosition="0">
        <references count="3">
          <reference field="0" count="1" selected="0">
            <x v="0"/>
          </reference>
          <reference field="1" count="1" defaultSubtotal="1">
            <x v="35"/>
          </reference>
          <reference field="9" count="1" selected="0">
            <x v="30"/>
          </reference>
        </references>
      </pivotArea>
    </format>
    <format dxfId="5793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30"/>
          </reference>
        </references>
      </pivotArea>
    </format>
    <format dxfId="5792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30"/>
          </reference>
        </references>
      </pivotArea>
    </format>
    <format dxfId="5791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30"/>
          </reference>
        </references>
      </pivotArea>
    </format>
    <format dxfId="5790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30"/>
          </reference>
        </references>
      </pivotArea>
    </format>
    <format dxfId="5789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30"/>
          </reference>
        </references>
      </pivotArea>
    </format>
    <format dxfId="5788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30"/>
          </reference>
        </references>
      </pivotArea>
    </format>
    <format dxfId="5787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30"/>
          </reference>
        </references>
      </pivotArea>
    </format>
    <format dxfId="5786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30"/>
          </reference>
        </references>
      </pivotArea>
    </format>
    <format dxfId="5785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0"/>
          </reference>
        </references>
      </pivotArea>
    </format>
    <format dxfId="5784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30"/>
          </reference>
        </references>
      </pivotArea>
    </format>
    <format dxfId="5783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30"/>
          </reference>
        </references>
      </pivotArea>
    </format>
    <format dxfId="5782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0"/>
          </reference>
        </references>
      </pivotArea>
    </format>
    <format dxfId="5781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0"/>
          </reference>
        </references>
      </pivotArea>
    </format>
    <format dxfId="5780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31"/>
          </reference>
        </references>
      </pivotArea>
    </format>
    <format dxfId="5779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31"/>
          </reference>
        </references>
      </pivotArea>
    </format>
    <format dxfId="5778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31"/>
          </reference>
        </references>
      </pivotArea>
    </format>
    <format dxfId="5777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31"/>
          </reference>
        </references>
      </pivotArea>
    </format>
    <format dxfId="5776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31"/>
          </reference>
        </references>
      </pivotArea>
    </format>
    <format dxfId="5775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31"/>
          </reference>
        </references>
      </pivotArea>
    </format>
    <format dxfId="5774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31"/>
          </reference>
        </references>
      </pivotArea>
    </format>
    <format dxfId="5773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1"/>
          </reference>
        </references>
      </pivotArea>
    </format>
    <format dxfId="5772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31"/>
          </reference>
        </references>
      </pivotArea>
    </format>
    <format dxfId="5771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31"/>
          </reference>
        </references>
      </pivotArea>
    </format>
    <format dxfId="5770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31"/>
          </reference>
        </references>
      </pivotArea>
    </format>
    <format dxfId="5769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1"/>
          </reference>
        </references>
      </pivotArea>
    </format>
    <format dxfId="5768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1"/>
          </reference>
        </references>
      </pivotArea>
    </format>
    <format dxfId="5767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32"/>
          </reference>
        </references>
      </pivotArea>
    </format>
    <format dxfId="5766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32"/>
          </reference>
        </references>
      </pivotArea>
    </format>
    <format dxfId="5765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32"/>
          </reference>
        </references>
      </pivotArea>
    </format>
    <format dxfId="5764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32"/>
          </reference>
        </references>
      </pivotArea>
    </format>
    <format dxfId="5763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32"/>
          </reference>
        </references>
      </pivotArea>
    </format>
    <format dxfId="5762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32"/>
          </reference>
        </references>
      </pivotArea>
    </format>
    <format dxfId="5761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32"/>
          </reference>
        </references>
      </pivotArea>
    </format>
    <format dxfId="5760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2"/>
          </reference>
        </references>
      </pivotArea>
    </format>
    <format dxfId="5759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32"/>
          </reference>
        </references>
      </pivotArea>
    </format>
    <format dxfId="5758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32"/>
          </reference>
        </references>
      </pivotArea>
    </format>
    <format dxfId="5757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2"/>
          </reference>
        </references>
      </pivotArea>
    </format>
    <format dxfId="5756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2"/>
          </reference>
        </references>
      </pivotArea>
    </format>
    <format dxfId="5755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33"/>
          </reference>
        </references>
      </pivotArea>
    </format>
    <format dxfId="5754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33"/>
          </reference>
        </references>
      </pivotArea>
    </format>
    <format dxfId="5753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33"/>
          </reference>
        </references>
      </pivotArea>
    </format>
    <format dxfId="5752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33"/>
          </reference>
        </references>
      </pivotArea>
    </format>
    <format dxfId="5751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33"/>
          </reference>
        </references>
      </pivotArea>
    </format>
    <format dxfId="5750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33"/>
          </reference>
        </references>
      </pivotArea>
    </format>
    <format dxfId="5749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33"/>
          </reference>
        </references>
      </pivotArea>
    </format>
    <format dxfId="5748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3"/>
          </reference>
        </references>
      </pivotArea>
    </format>
    <format dxfId="5747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33"/>
          </reference>
        </references>
      </pivotArea>
    </format>
    <format dxfId="5746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33"/>
          </reference>
        </references>
      </pivotArea>
    </format>
    <format dxfId="5745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3"/>
          </reference>
        </references>
      </pivotArea>
    </format>
    <format dxfId="5744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3"/>
          </reference>
        </references>
      </pivotArea>
    </format>
    <format dxfId="5743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34"/>
          </reference>
        </references>
      </pivotArea>
    </format>
    <format dxfId="5742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34"/>
          </reference>
        </references>
      </pivotArea>
    </format>
    <format dxfId="5741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34"/>
          </reference>
        </references>
      </pivotArea>
    </format>
    <format dxfId="5740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34"/>
          </reference>
        </references>
      </pivotArea>
    </format>
    <format dxfId="5739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34"/>
          </reference>
        </references>
      </pivotArea>
    </format>
    <format dxfId="5738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4"/>
          </reference>
        </references>
      </pivotArea>
    </format>
    <format dxfId="5737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34"/>
          </reference>
        </references>
      </pivotArea>
    </format>
    <format dxfId="5736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34"/>
          </reference>
        </references>
      </pivotArea>
    </format>
    <format dxfId="5735">
      <pivotArea dataOnly="0" labelOnly="1" outline="0" fieldPosition="0">
        <references count="3">
          <reference field="0" count="1" selected="0">
            <x v="63"/>
          </reference>
          <reference field="1" count="1" defaultSubtotal="1">
            <x v="25"/>
          </reference>
          <reference field="9" count="1" selected="0">
            <x v="34"/>
          </reference>
        </references>
      </pivotArea>
    </format>
    <format dxfId="5734">
      <pivotArea dataOnly="0" labelOnly="1" outline="0" fieldPosition="0">
        <references count="3">
          <reference field="0" count="1" selected="0">
            <x v="65"/>
          </reference>
          <reference field="1" count="1" defaultSubtotal="1">
            <x v="53"/>
          </reference>
          <reference field="9" count="1" selected="0">
            <x v="34"/>
          </reference>
        </references>
      </pivotArea>
    </format>
    <format dxfId="5733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4"/>
          </reference>
        </references>
      </pivotArea>
    </format>
    <format dxfId="5732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4"/>
          </reference>
        </references>
      </pivotArea>
    </format>
    <format dxfId="5731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35"/>
          </reference>
        </references>
      </pivotArea>
    </format>
    <format dxfId="5730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35"/>
          </reference>
        </references>
      </pivotArea>
    </format>
    <format dxfId="5729">
      <pivotArea dataOnly="0" labelOnly="1" outline="0" fieldPosition="0">
        <references count="3">
          <reference field="0" count="1" selected="0">
            <x v="20"/>
          </reference>
          <reference field="1" count="1" defaultSubtotal="1">
            <x v="55"/>
          </reference>
          <reference field="9" count="1" selected="0">
            <x v="35"/>
          </reference>
        </references>
      </pivotArea>
    </format>
    <format dxfId="5728">
      <pivotArea dataOnly="0" labelOnly="1" outline="0" fieldPosition="0">
        <references count="3">
          <reference field="0" count="1" selected="0">
            <x v="40"/>
          </reference>
          <reference field="1" count="1" defaultSubtotal="1">
            <x v="29"/>
          </reference>
          <reference field="9" count="1" selected="0">
            <x v="35"/>
          </reference>
        </references>
      </pivotArea>
    </format>
    <format dxfId="5727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35"/>
          </reference>
        </references>
      </pivotArea>
    </format>
    <format dxfId="5726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35"/>
          </reference>
        </references>
      </pivotArea>
    </format>
    <format dxfId="5725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35"/>
          </reference>
        </references>
      </pivotArea>
    </format>
    <format dxfId="5724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5"/>
          </reference>
        </references>
      </pivotArea>
    </format>
    <format dxfId="5723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35"/>
          </reference>
        </references>
      </pivotArea>
    </format>
    <format dxfId="5722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35"/>
          </reference>
        </references>
      </pivotArea>
    </format>
    <format dxfId="5721">
      <pivotArea dataOnly="0" labelOnly="1" outline="0" fieldPosition="0">
        <references count="3">
          <reference field="0" count="1" selected="0">
            <x v="71"/>
          </reference>
          <reference field="1" count="1" defaultSubtotal="1">
            <x v="27"/>
          </reference>
          <reference field="9" count="1" selected="0">
            <x v="35"/>
          </reference>
        </references>
      </pivotArea>
    </format>
    <format dxfId="5720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5"/>
          </reference>
        </references>
      </pivotArea>
    </format>
    <format dxfId="5719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5"/>
          </reference>
        </references>
      </pivotArea>
    </format>
    <format dxfId="5718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36"/>
          </reference>
        </references>
      </pivotArea>
    </format>
    <format dxfId="5717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36"/>
          </reference>
        </references>
      </pivotArea>
    </format>
    <format dxfId="5716">
      <pivotArea dataOnly="0" labelOnly="1" outline="0" fieldPosition="0">
        <references count="3">
          <reference field="0" count="1" selected="0">
            <x v="20"/>
          </reference>
          <reference field="1" count="1" defaultSubtotal="1">
            <x v="55"/>
          </reference>
          <reference field="9" count="1" selected="0">
            <x v="36"/>
          </reference>
        </references>
      </pivotArea>
    </format>
    <format dxfId="5715">
      <pivotArea dataOnly="0" labelOnly="1" outline="0" fieldPosition="0">
        <references count="3">
          <reference field="0" count="1" selected="0">
            <x v="40"/>
          </reference>
          <reference field="1" count="1" defaultSubtotal="1">
            <x v="29"/>
          </reference>
          <reference field="9" count="1" selected="0">
            <x v="36"/>
          </reference>
        </references>
      </pivotArea>
    </format>
    <format dxfId="5714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36"/>
          </reference>
        </references>
      </pivotArea>
    </format>
    <format dxfId="5713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36"/>
          </reference>
        </references>
      </pivotArea>
    </format>
    <format dxfId="5712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36"/>
          </reference>
        </references>
      </pivotArea>
    </format>
    <format dxfId="5711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6"/>
          </reference>
        </references>
      </pivotArea>
    </format>
    <format dxfId="5710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36"/>
          </reference>
        </references>
      </pivotArea>
    </format>
    <format dxfId="5709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36"/>
          </reference>
        </references>
      </pivotArea>
    </format>
    <format dxfId="5708">
      <pivotArea dataOnly="0" labelOnly="1" outline="0" fieldPosition="0">
        <references count="3">
          <reference field="0" count="1" selected="0">
            <x v="71"/>
          </reference>
          <reference field="1" count="1" defaultSubtotal="1">
            <x v="27"/>
          </reference>
          <reference field="9" count="1" selected="0">
            <x v="36"/>
          </reference>
        </references>
      </pivotArea>
    </format>
    <format dxfId="5707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6"/>
          </reference>
        </references>
      </pivotArea>
    </format>
    <format dxfId="5706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6"/>
          </reference>
        </references>
      </pivotArea>
    </format>
    <format dxfId="5705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37"/>
          </reference>
        </references>
      </pivotArea>
    </format>
    <format dxfId="5704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37"/>
          </reference>
        </references>
      </pivotArea>
    </format>
    <format dxfId="5703">
      <pivotArea dataOnly="0" labelOnly="1" outline="0" fieldPosition="0">
        <references count="3">
          <reference field="0" count="1" selected="0">
            <x v="5"/>
          </reference>
          <reference field="1" count="1" defaultSubtotal="1">
            <x v="59"/>
          </reference>
          <reference field="9" count="1" selected="0">
            <x v="37"/>
          </reference>
        </references>
      </pivotArea>
    </format>
    <format dxfId="5702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37"/>
          </reference>
        </references>
      </pivotArea>
    </format>
    <format dxfId="5701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37"/>
          </reference>
        </references>
      </pivotArea>
    </format>
    <format dxfId="5700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37"/>
          </reference>
        </references>
      </pivotArea>
    </format>
    <format dxfId="5699">
      <pivotArea dataOnly="0" labelOnly="1" outline="0" fieldPosition="0">
        <references count="3">
          <reference field="0" count="1" selected="0">
            <x v="30"/>
          </reference>
          <reference field="1" count="1" defaultSubtotal="1">
            <x v="10"/>
          </reference>
          <reference field="9" count="1" selected="0">
            <x v="37"/>
          </reference>
        </references>
      </pivotArea>
    </format>
    <format dxfId="5698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37"/>
          </reference>
        </references>
      </pivotArea>
    </format>
    <format dxfId="5697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37"/>
          </reference>
        </references>
      </pivotArea>
    </format>
    <format dxfId="5696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37"/>
          </reference>
        </references>
      </pivotArea>
    </format>
    <format dxfId="5695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37"/>
          </reference>
        </references>
      </pivotArea>
    </format>
    <format dxfId="5694">
      <pivotArea dataOnly="0" labelOnly="1" outline="0" fieldPosition="0">
        <references count="3">
          <reference field="0" count="1" selected="0">
            <x v="48"/>
          </reference>
          <reference field="1" count="1" defaultSubtotal="1">
            <x v="63"/>
          </reference>
          <reference field="9" count="1" selected="0">
            <x v="37"/>
          </reference>
        </references>
      </pivotArea>
    </format>
    <format dxfId="5693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37"/>
          </reference>
        </references>
      </pivotArea>
    </format>
    <format dxfId="5692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7"/>
          </reference>
        </references>
      </pivotArea>
    </format>
    <format dxfId="5691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37"/>
          </reference>
        </references>
      </pivotArea>
    </format>
    <format dxfId="5690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37"/>
          </reference>
        </references>
      </pivotArea>
    </format>
    <format dxfId="5689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37"/>
          </reference>
        </references>
      </pivotArea>
    </format>
    <format dxfId="5688">
      <pivotArea dataOnly="0" labelOnly="1" outline="0" fieldPosition="0">
        <references count="3">
          <reference field="0" count="1" selected="0">
            <x v="62"/>
          </reference>
          <reference field="1" count="1" defaultSubtotal="1">
            <x v="72"/>
          </reference>
          <reference field="9" count="1" selected="0">
            <x v="37"/>
          </reference>
        </references>
      </pivotArea>
    </format>
    <format dxfId="5687">
      <pivotArea dataOnly="0" labelOnly="1" outline="0" fieldPosition="0">
        <references count="3">
          <reference field="0" count="1" selected="0">
            <x v="68"/>
          </reference>
          <reference field="1" count="1" defaultSubtotal="1">
            <x v="85"/>
          </reference>
          <reference field="9" count="1" selected="0">
            <x v="37"/>
          </reference>
        </references>
      </pivotArea>
    </format>
    <format dxfId="5686">
      <pivotArea dataOnly="0" labelOnly="1" outline="0" fieldPosition="0">
        <references count="3">
          <reference field="0" count="1" selected="0">
            <x v="71"/>
          </reference>
          <reference field="1" count="1" defaultSubtotal="1">
            <x v="27"/>
          </reference>
          <reference field="9" count="1" selected="0">
            <x v="37"/>
          </reference>
        </references>
      </pivotArea>
    </format>
    <format dxfId="5685">
      <pivotArea dataOnly="0" labelOnly="1" outline="0" fieldPosition="0">
        <references count="3">
          <reference field="0" count="1" selected="0">
            <x v="72"/>
          </reference>
          <reference field="1" count="1" defaultSubtotal="1">
            <x v="75"/>
          </reference>
          <reference field="9" count="1" selected="0">
            <x v="37"/>
          </reference>
        </references>
      </pivotArea>
    </format>
    <format dxfId="5684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7"/>
          </reference>
        </references>
      </pivotArea>
    </format>
    <format dxfId="5683">
      <pivotArea dataOnly="0" labelOnly="1" outline="0" fieldPosition="0">
        <references count="3">
          <reference field="0" count="1" selected="0">
            <x v="76"/>
          </reference>
          <reference field="1" count="1" defaultSubtotal="1">
            <x v="24"/>
          </reference>
          <reference field="9" count="1" selected="0">
            <x v="37"/>
          </reference>
        </references>
      </pivotArea>
    </format>
    <format dxfId="5682">
      <pivotArea dataOnly="0" labelOnly="1" outline="0" fieldPosition="0">
        <references count="3">
          <reference field="0" count="1" selected="0">
            <x v="77"/>
          </reference>
          <reference field="1" count="1" defaultSubtotal="1">
            <x v="68"/>
          </reference>
          <reference field="9" count="1" selected="0">
            <x v="37"/>
          </reference>
        </references>
      </pivotArea>
    </format>
    <format dxfId="5681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7"/>
          </reference>
        </references>
      </pivotArea>
    </format>
    <format dxfId="5680">
      <pivotArea dataOnly="0" labelOnly="1" outline="0" fieldPosition="0">
        <references count="3">
          <reference field="0" count="1" selected="0">
            <x v="81"/>
          </reference>
          <reference field="1" count="1" defaultSubtotal="1">
            <x v="41"/>
          </reference>
          <reference field="9" count="1" selected="0">
            <x v="37"/>
          </reference>
        </references>
      </pivotArea>
    </format>
    <format dxfId="5679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37"/>
          </reference>
        </references>
      </pivotArea>
    </format>
    <format dxfId="5678">
      <pivotArea dataOnly="0" labelOnly="1" outline="0" fieldPosition="0">
        <references count="3">
          <reference field="0" count="1" selected="0">
            <x v="83"/>
          </reference>
          <reference field="1" count="1" defaultSubtotal="1">
            <x v="0"/>
          </reference>
          <reference field="9" count="1" selected="0">
            <x v="37"/>
          </reference>
        </references>
      </pivotArea>
    </format>
    <format dxfId="5677">
      <pivotArea dataOnly="0" labelOnly="1" outline="0" fieldPosition="0">
        <references count="3">
          <reference field="0" count="1" selected="0">
            <x v="84"/>
          </reference>
          <reference field="1" count="1" defaultSubtotal="1">
            <x v="66"/>
          </reference>
          <reference field="9" count="1" selected="0">
            <x v="37"/>
          </reference>
        </references>
      </pivotArea>
    </format>
    <format dxfId="5676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38"/>
          </reference>
        </references>
      </pivotArea>
    </format>
    <format dxfId="5675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38"/>
          </reference>
        </references>
      </pivotArea>
    </format>
    <format dxfId="5674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38"/>
          </reference>
        </references>
      </pivotArea>
    </format>
    <format dxfId="5673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38"/>
          </reference>
        </references>
      </pivotArea>
    </format>
    <format dxfId="5672">
      <pivotArea dataOnly="0" labelOnly="1" outline="0" fieldPosition="0">
        <references count="3">
          <reference field="0" count="1" selected="0">
            <x v="26"/>
          </reference>
          <reference field="1" count="1" defaultSubtotal="1">
            <x v="71"/>
          </reference>
          <reference field="9" count="1" selected="0">
            <x v="38"/>
          </reference>
        </references>
      </pivotArea>
    </format>
    <format dxfId="5671">
      <pivotArea dataOnly="0" labelOnly="1" outline="0" fieldPosition="0">
        <references count="3">
          <reference field="0" count="1" selected="0">
            <x v="31"/>
          </reference>
          <reference field="1" count="1" defaultSubtotal="1">
            <x v="73"/>
          </reference>
          <reference field="9" count="1" selected="0">
            <x v="38"/>
          </reference>
        </references>
      </pivotArea>
    </format>
    <format dxfId="5670">
      <pivotArea dataOnly="0" labelOnly="1" outline="0" fieldPosition="0">
        <references count="3">
          <reference field="0" count="1" selected="0">
            <x v="34"/>
          </reference>
          <reference field="1" count="1" defaultSubtotal="1">
            <x v="42"/>
          </reference>
          <reference field="9" count="1" selected="0">
            <x v="38"/>
          </reference>
        </references>
      </pivotArea>
    </format>
    <format dxfId="5669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38"/>
          </reference>
        </references>
      </pivotArea>
    </format>
    <format dxfId="5668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38"/>
          </reference>
        </references>
      </pivotArea>
    </format>
    <format dxfId="5667">
      <pivotArea dataOnly="0" labelOnly="1" outline="0" fieldPosition="0">
        <references count="3">
          <reference field="0" count="1" selected="0">
            <x v="44"/>
          </reference>
          <reference field="1" count="1" defaultSubtotal="1">
            <x v="18"/>
          </reference>
          <reference field="9" count="1" selected="0">
            <x v="38"/>
          </reference>
        </references>
      </pivotArea>
    </format>
    <format dxfId="5666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38"/>
          </reference>
        </references>
      </pivotArea>
    </format>
    <format dxfId="5665">
      <pivotArea dataOnly="0" labelOnly="1" outline="0" fieldPosition="0">
        <references count="3">
          <reference field="0" count="1" selected="0">
            <x v="47"/>
          </reference>
          <reference field="1" count="1" defaultSubtotal="1">
            <x v="60"/>
          </reference>
          <reference field="9" count="1" selected="0">
            <x v="38"/>
          </reference>
        </references>
      </pivotArea>
    </format>
    <format dxfId="5664">
      <pivotArea dataOnly="0" labelOnly="1" outline="0" fieldPosition="0">
        <references count="3">
          <reference field="0" count="1" selected="0">
            <x v="49"/>
          </reference>
          <reference field="1" count="1" defaultSubtotal="1">
            <x v="11"/>
          </reference>
          <reference field="9" count="1" selected="0">
            <x v="38"/>
          </reference>
        </references>
      </pivotArea>
    </format>
    <format dxfId="5663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38"/>
          </reference>
        </references>
      </pivotArea>
    </format>
    <format dxfId="5662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8"/>
          </reference>
        </references>
      </pivotArea>
    </format>
    <format dxfId="5661">
      <pivotArea dataOnly="0" labelOnly="1" outline="0" fieldPosition="0">
        <references count="3">
          <reference field="0" count="1" selected="0">
            <x v="54"/>
          </reference>
          <reference field="1" count="1" defaultSubtotal="1">
            <x v="30"/>
          </reference>
          <reference field="9" count="1" selected="0">
            <x v="38"/>
          </reference>
        </references>
      </pivotArea>
    </format>
    <format dxfId="5660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38"/>
          </reference>
        </references>
      </pivotArea>
    </format>
    <format dxfId="5659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38"/>
          </reference>
        </references>
      </pivotArea>
    </format>
    <format dxfId="5658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38"/>
          </reference>
        </references>
      </pivotArea>
    </format>
    <format dxfId="5657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38"/>
          </reference>
        </references>
      </pivotArea>
    </format>
    <format dxfId="5656">
      <pivotArea dataOnly="0" labelOnly="1" outline="0" fieldPosition="0">
        <references count="3">
          <reference field="0" count="1" selected="0">
            <x v="66"/>
          </reference>
          <reference field="1" count="1" defaultSubtotal="1">
            <x v="81"/>
          </reference>
          <reference field="9" count="1" selected="0">
            <x v="38"/>
          </reference>
        </references>
      </pivotArea>
    </format>
    <format dxfId="5655">
      <pivotArea dataOnly="0" labelOnly="1" outline="0" fieldPosition="0">
        <references count="3">
          <reference field="0" count="1" selected="0">
            <x v="71"/>
          </reference>
          <reference field="1" count="1" defaultSubtotal="1">
            <x v="27"/>
          </reference>
          <reference field="9" count="1" selected="0">
            <x v="38"/>
          </reference>
        </references>
      </pivotArea>
    </format>
    <format dxfId="5654">
      <pivotArea dataOnly="0" labelOnly="1" outline="0" fieldPosition="0">
        <references count="3">
          <reference field="0" count="1" selected="0">
            <x v="73"/>
          </reference>
          <reference field="1" count="1" defaultSubtotal="1">
            <x v="76"/>
          </reference>
          <reference field="9" count="1" selected="0">
            <x v="38"/>
          </reference>
        </references>
      </pivotArea>
    </format>
    <format dxfId="5653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8"/>
          </reference>
        </references>
      </pivotArea>
    </format>
    <format dxfId="5652">
      <pivotArea dataOnly="0" labelOnly="1" outline="0" fieldPosition="0">
        <references count="3">
          <reference field="0" count="1" selected="0">
            <x v="76"/>
          </reference>
          <reference field="1" count="1" defaultSubtotal="1">
            <x v="24"/>
          </reference>
          <reference field="9" count="1" selected="0">
            <x v="38"/>
          </reference>
        </references>
      </pivotArea>
    </format>
    <format dxfId="5651">
      <pivotArea dataOnly="0" labelOnly="1" outline="0" fieldPosition="0">
        <references count="3">
          <reference field="0" count="1" selected="0">
            <x v="77"/>
          </reference>
          <reference field="1" count="1" defaultSubtotal="1">
            <x v="68"/>
          </reference>
          <reference field="9" count="1" selected="0">
            <x v="38"/>
          </reference>
        </references>
      </pivotArea>
    </format>
    <format dxfId="5650">
      <pivotArea dataOnly="0" labelOnly="1" outline="0" fieldPosition="0">
        <references count="3">
          <reference field="0" count="1" selected="0">
            <x v="78"/>
          </reference>
          <reference field="1" count="1" defaultSubtotal="1">
            <x v="67"/>
          </reference>
          <reference field="9" count="1" selected="0">
            <x v="38"/>
          </reference>
        </references>
      </pivotArea>
    </format>
    <format dxfId="5649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8"/>
          </reference>
        </references>
      </pivotArea>
    </format>
    <format dxfId="5648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38"/>
          </reference>
        </references>
      </pivotArea>
    </format>
    <format dxfId="5647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39"/>
          </reference>
        </references>
      </pivotArea>
    </format>
    <format dxfId="5646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39"/>
          </reference>
        </references>
      </pivotArea>
    </format>
    <format dxfId="5645">
      <pivotArea dataOnly="0" labelOnly="1" outline="0" fieldPosition="0">
        <references count="3">
          <reference field="0" count="1" selected="0">
            <x v="6"/>
          </reference>
          <reference field="1" count="1" defaultSubtotal="1">
            <x v="14"/>
          </reference>
          <reference field="9" count="1" selected="0">
            <x v="39"/>
          </reference>
        </references>
      </pivotArea>
    </format>
    <format dxfId="5644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39"/>
          </reference>
        </references>
      </pivotArea>
    </format>
    <format dxfId="5643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39"/>
          </reference>
        </references>
      </pivotArea>
    </format>
    <format dxfId="5642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39"/>
          </reference>
        </references>
      </pivotArea>
    </format>
    <format dxfId="5641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39"/>
          </reference>
        </references>
      </pivotArea>
    </format>
    <format dxfId="5640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39"/>
          </reference>
        </references>
      </pivotArea>
    </format>
    <format dxfId="5639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39"/>
          </reference>
        </references>
      </pivotArea>
    </format>
    <format dxfId="5638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39"/>
          </reference>
        </references>
      </pivotArea>
    </format>
    <format dxfId="5637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39"/>
          </reference>
        </references>
      </pivotArea>
    </format>
    <format dxfId="5636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39"/>
          </reference>
        </references>
      </pivotArea>
    </format>
    <format dxfId="5635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39"/>
          </reference>
        </references>
      </pivotArea>
    </format>
    <format dxfId="5634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39"/>
          </reference>
        </references>
      </pivotArea>
    </format>
    <format dxfId="5633">
      <pivotArea dataOnly="0" labelOnly="1" outline="0" fieldPosition="0">
        <references count="3">
          <reference field="0" count="1" selected="0">
            <x v="57"/>
          </reference>
          <reference field="1" count="1" defaultSubtotal="1">
            <x v="57"/>
          </reference>
          <reference field="9" count="1" selected="0">
            <x v="39"/>
          </reference>
        </references>
      </pivotArea>
    </format>
    <format dxfId="5632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39"/>
          </reference>
        </references>
      </pivotArea>
    </format>
    <format dxfId="5631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39"/>
          </reference>
        </references>
      </pivotArea>
    </format>
    <format dxfId="5630">
      <pivotArea dataOnly="0" labelOnly="1" outline="0" fieldPosition="0">
        <references count="3">
          <reference field="0" count="1" selected="0">
            <x v="71"/>
          </reference>
          <reference field="1" count="1" defaultSubtotal="1">
            <x v="27"/>
          </reference>
          <reference field="9" count="1" selected="0">
            <x v="39"/>
          </reference>
        </references>
      </pivotArea>
    </format>
    <format dxfId="5629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39"/>
          </reference>
        </references>
      </pivotArea>
    </format>
    <format dxfId="5628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39"/>
          </reference>
        </references>
      </pivotArea>
    </format>
    <format dxfId="5627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40"/>
          </reference>
        </references>
      </pivotArea>
    </format>
    <format dxfId="5626">
      <pivotArea dataOnly="0" labelOnly="1" outline="0" fieldPosition="0">
        <references count="3">
          <reference field="0" count="1" selected="0">
            <x v="8"/>
          </reference>
          <reference field="1" count="1" defaultSubtotal="1">
            <x v="84"/>
          </reference>
          <reference field="9" count="1" selected="0">
            <x v="40"/>
          </reference>
        </references>
      </pivotArea>
    </format>
    <format dxfId="5625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40"/>
          </reference>
        </references>
      </pivotArea>
    </format>
    <format dxfId="5624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40"/>
          </reference>
        </references>
      </pivotArea>
    </format>
    <format dxfId="5623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40"/>
          </reference>
        </references>
      </pivotArea>
    </format>
    <format dxfId="5622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40"/>
          </reference>
        </references>
      </pivotArea>
    </format>
    <format dxfId="5621">
      <pivotArea dataOnly="0" labelOnly="1" outline="0" fieldPosition="0">
        <references count="3">
          <reference field="0" count="1" selected="0">
            <x v="22"/>
          </reference>
          <reference field="1" count="1" defaultSubtotal="1">
            <x v="64"/>
          </reference>
          <reference field="9" count="1" selected="0">
            <x v="40"/>
          </reference>
        </references>
      </pivotArea>
    </format>
    <format dxfId="5620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40"/>
          </reference>
        </references>
      </pivotArea>
    </format>
    <format dxfId="5619">
      <pivotArea dataOnly="0" labelOnly="1" outline="0" fieldPosition="0">
        <references count="3">
          <reference field="0" count="1" selected="0">
            <x v="31"/>
          </reference>
          <reference field="1" count="1" defaultSubtotal="1">
            <x v="73"/>
          </reference>
          <reference field="9" count="1" selected="0">
            <x v="40"/>
          </reference>
        </references>
      </pivotArea>
    </format>
    <format dxfId="5618">
      <pivotArea dataOnly="0" labelOnly="1" outline="0" fieldPosition="0">
        <references count="3">
          <reference field="0" count="1" selected="0">
            <x v="33"/>
          </reference>
          <reference field="1" count="1" defaultSubtotal="1">
            <x v="61"/>
          </reference>
          <reference field="9" count="1" selected="0">
            <x v="40"/>
          </reference>
        </references>
      </pivotArea>
    </format>
    <format dxfId="5617">
      <pivotArea dataOnly="0" labelOnly="1" outline="0" fieldPosition="0">
        <references count="3">
          <reference field="0" count="1" selected="0">
            <x v="34"/>
          </reference>
          <reference field="1" count="1" defaultSubtotal="1">
            <x v="42"/>
          </reference>
          <reference field="9" count="1" selected="0">
            <x v="40"/>
          </reference>
        </references>
      </pivotArea>
    </format>
    <format dxfId="5616">
      <pivotArea dataOnly="0" labelOnly="1" outline="0" fieldPosition="0">
        <references count="3">
          <reference field="0" count="1" selected="0">
            <x v="36"/>
          </reference>
          <reference field="1" count="1" defaultSubtotal="1">
            <x v="7"/>
          </reference>
          <reference field="9" count="1" selected="0">
            <x v="40"/>
          </reference>
        </references>
      </pivotArea>
    </format>
    <format dxfId="5615">
      <pivotArea dataOnly="0" labelOnly="1" outline="0" fieldPosition="0">
        <references count="3">
          <reference field="0" count="1" selected="0">
            <x v="40"/>
          </reference>
          <reference field="1" count="1" defaultSubtotal="1">
            <x v="29"/>
          </reference>
          <reference field="9" count="1" selected="0">
            <x v="40"/>
          </reference>
        </references>
      </pivotArea>
    </format>
    <format dxfId="5614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40"/>
          </reference>
        </references>
      </pivotArea>
    </format>
    <format dxfId="5613">
      <pivotArea dataOnly="0" labelOnly="1" outline="0" fieldPosition="0">
        <references count="3">
          <reference field="0" count="1" selected="0">
            <x v="44"/>
          </reference>
          <reference field="1" count="1" defaultSubtotal="1">
            <x v="18"/>
          </reference>
          <reference field="9" count="1" selected="0">
            <x v="40"/>
          </reference>
        </references>
      </pivotArea>
    </format>
    <format dxfId="5612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40"/>
          </reference>
        </references>
      </pivotArea>
    </format>
    <format dxfId="5611">
      <pivotArea dataOnly="0" labelOnly="1" outline="0" fieldPosition="0">
        <references count="3">
          <reference field="0" count="1" selected="0">
            <x v="49"/>
          </reference>
          <reference field="1" count="1" defaultSubtotal="1">
            <x v="11"/>
          </reference>
          <reference field="9" count="1" selected="0">
            <x v="40"/>
          </reference>
        </references>
      </pivotArea>
    </format>
    <format dxfId="5610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40"/>
          </reference>
        </references>
      </pivotArea>
    </format>
    <format dxfId="5609">
      <pivotArea dataOnly="0" labelOnly="1" outline="0" fieldPosition="0">
        <references count="3">
          <reference field="0" count="1" selected="0">
            <x v="52"/>
          </reference>
          <reference field="1" count="1" defaultSubtotal="1">
            <x v="28"/>
          </reference>
          <reference field="9" count="1" selected="0">
            <x v="40"/>
          </reference>
        </references>
      </pivotArea>
    </format>
    <format dxfId="5608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40"/>
          </reference>
        </references>
      </pivotArea>
    </format>
    <format dxfId="5607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40"/>
          </reference>
        </references>
      </pivotArea>
    </format>
    <format dxfId="5606">
      <pivotArea dataOnly="0" labelOnly="1" outline="0" fieldPosition="0">
        <references count="3">
          <reference field="0" count="1" selected="0">
            <x v="56"/>
          </reference>
          <reference field="1" count="1" defaultSubtotal="1">
            <x v="23"/>
          </reference>
          <reference field="9" count="1" selected="0">
            <x v="40"/>
          </reference>
        </references>
      </pivotArea>
    </format>
    <format dxfId="5605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40"/>
          </reference>
        </references>
      </pivotArea>
    </format>
    <format dxfId="5604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40"/>
          </reference>
        </references>
      </pivotArea>
    </format>
    <format dxfId="5603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40"/>
          </reference>
        </references>
      </pivotArea>
    </format>
    <format dxfId="5602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40"/>
          </reference>
        </references>
      </pivotArea>
    </format>
    <format dxfId="5601">
      <pivotArea dataOnly="0" labelOnly="1" outline="0" fieldPosition="0">
        <references count="3">
          <reference field="0" count="1" selected="0">
            <x v="64"/>
          </reference>
          <reference field="1" count="1" defaultSubtotal="1">
            <x v="26"/>
          </reference>
          <reference field="9" count="1" selected="0">
            <x v="40"/>
          </reference>
        </references>
      </pivotArea>
    </format>
    <format dxfId="5600">
      <pivotArea dataOnly="0" labelOnly="1" outline="0" fieldPosition="0">
        <references count="3">
          <reference field="0" count="1" selected="0">
            <x v="66"/>
          </reference>
          <reference field="1" count="1" defaultSubtotal="1">
            <x v="81"/>
          </reference>
          <reference field="9" count="1" selected="0">
            <x v="40"/>
          </reference>
        </references>
      </pivotArea>
    </format>
    <format dxfId="5599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40"/>
          </reference>
        </references>
      </pivotArea>
    </format>
    <format dxfId="5598">
      <pivotArea dataOnly="0" labelOnly="1" outline="0" fieldPosition="0">
        <references count="3">
          <reference field="0" count="1" selected="0">
            <x v="69"/>
          </reference>
          <reference field="1" count="1" defaultSubtotal="1">
            <x v="1"/>
          </reference>
          <reference field="9" count="1" selected="0">
            <x v="40"/>
          </reference>
        </references>
      </pivotArea>
    </format>
    <format dxfId="5597">
      <pivotArea dataOnly="0" labelOnly="1" outline="0" fieldPosition="0">
        <references count="3">
          <reference field="0" count="1" selected="0">
            <x v="70"/>
          </reference>
          <reference field="1" count="1" defaultSubtotal="1">
            <x v="37"/>
          </reference>
          <reference field="9" count="1" selected="0">
            <x v="40"/>
          </reference>
        </references>
      </pivotArea>
    </format>
    <format dxfId="5596">
      <pivotArea dataOnly="0" labelOnly="1" outline="0" fieldPosition="0">
        <references count="3">
          <reference field="0" count="1" selected="0">
            <x v="73"/>
          </reference>
          <reference field="1" count="1" defaultSubtotal="1">
            <x v="76"/>
          </reference>
          <reference field="9" count="1" selected="0">
            <x v="40"/>
          </reference>
        </references>
      </pivotArea>
    </format>
    <format dxfId="5595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40"/>
          </reference>
        </references>
      </pivotArea>
    </format>
    <format dxfId="5594">
      <pivotArea dataOnly="0" labelOnly="1" outline="0" fieldPosition="0">
        <references count="3">
          <reference field="0" count="1" selected="0">
            <x v="76"/>
          </reference>
          <reference field="1" count="1" defaultSubtotal="1">
            <x v="24"/>
          </reference>
          <reference field="9" count="1" selected="0">
            <x v="40"/>
          </reference>
        </references>
      </pivotArea>
    </format>
    <format dxfId="5593">
      <pivotArea dataOnly="0" labelOnly="1" outline="0" fieldPosition="0">
        <references count="3">
          <reference field="0" count="1" selected="0">
            <x v="77"/>
          </reference>
          <reference field="1" count="1" defaultSubtotal="1">
            <x v="68"/>
          </reference>
          <reference field="9" count="1" selected="0">
            <x v="40"/>
          </reference>
        </references>
      </pivotArea>
    </format>
    <format dxfId="5592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40"/>
          </reference>
        </references>
      </pivotArea>
    </format>
    <format dxfId="5591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40"/>
          </reference>
        </references>
      </pivotArea>
    </format>
    <format dxfId="5590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41"/>
          </reference>
        </references>
      </pivotArea>
    </format>
    <format dxfId="5589">
      <pivotArea dataOnly="0" labelOnly="1" outline="0" fieldPosition="0">
        <references count="3">
          <reference field="0" count="1" selected="0">
            <x v="4"/>
          </reference>
          <reference field="1" count="1" defaultSubtotal="1">
            <x v="19"/>
          </reference>
          <reference field="9" count="1" selected="0">
            <x v="41"/>
          </reference>
        </references>
      </pivotArea>
    </format>
    <format dxfId="5588">
      <pivotArea dataOnly="0" labelOnly="1" outline="0" fieldPosition="0">
        <references count="3">
          <reference field="0" count="1" selected="0">
            <x v="9"/>
          </reference>
          <reference field="1" count="1" defaultSubtotal="1">
            <x v="43"/>
          </reference>
          <reference field="9" count="1" selected="0">
            <x v="41"/>
          </reference>
        </references>
      </pivotArea>
    </format>
    <format dxfId="5587">
      <pivotArea dataOnly="0" labelOnly="1" outline="0" fieldPosition="0">
        <references count="3">
          <reference field="0" count="1" selected="0">
            <x v="11"/>
          </reference>
          <reference field="1" count="1" defaultSubtotal="1">
            <x v="48"/>
          </reference>
          <reference field="9" count="1" selected="0">
            <x v="41"/>
          </reference>
        </references>
      </pivotArea>
    </format>
    <format dxfId="5586">
      <pivotArea dataOnly="0" labelOnly="1" outline="0" fieldPosition="0">
        <references count="3">
          <reference field="0" count="1" selected="0">
            <x v="13"/>
          </reference>
          <reference field="1" count="1" defaultSubtotal="1">
            <x v="74"/>
          </reference>
          <reference field="9" count="1" selected="0">
            <x v="41"/>
          </reference>
        </references>
      </pivotArea>
    </format>
    <format dxfId="5585">
      <pivotArea dataOnly="0" labelOnly="1" outline="0" fieldPosition="0">
        <references count="3">
          <reference field="0" count="1" selected="0">
            <x v="15"/>
          </reference>
          <reference field="1" count="1" defaultSubtotal="1">
            <x v="62"/>
          </reference>
          <reference field="9" count="1" selected="0">
            <x v="41"/>
          </reference>
        </references>
      </pivotArea>
    </format>
    <format dxfId="5584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41"/>
          </reference>
        </references>
      </pivotArea>
    </format>
    <format dxfId="5583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41"/>
          </reference>
        </references>
      </pivotArea>
    </format>
    <format dxfId="5582">
      <pivotArea dataOnly="0" labelOnly="1" outline="0" fieldPosition="0">
        <references count="3">
          <reference field="0" count="1" selected="0">
            <x v="19"/>
          </reference>
          <reference field="1" count="1" defaultSubtotal="1">
            <x v="13"/>
          </reference>
          <reference field="9" count="1" selected="0">
            <x v="41"/>
          </reference>
        </references>
      </pivotArea>
    </format>
    <format dxfId="5581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41"/>
          </reference>
        </references>
      </pivotArea>
    </format>
    <format dxfId="5580">
      <pivotArea dataOnly="0" labelOnly="1" outline="0" fieldPosition="0">
        <references count="3">
          <reference field="0" count="1" selected="0">
            <x v="23"/>
          </reference>
          <reference field="1" count="1" defaultSubtotal="1">
            <x v="33"/>
          </reference>
          <reference field="9" count="1" selected="0">
            <x v="41"/>
          </reference>
        </references>
      </pivotArea>
    </format>
    <format dxfId="5579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41"/>
          </reference>
        </references>
      </pivotArea>
    </format>
    <format dxfId="5578">
      <pivotArea dataOnly="0" labelOnly="1" outline="0" fieldPosition="0">
        <references count="3">
          <reference field="0" count="1" selected="0">
            <x v="27"/>
          </reference>
          <reference field="1" count="1" defaultSubtotal="1">
            <x v="82"/>
          </reference>
          <reference field="9" count="1" selected="0">
            <x v="41"/>
          </reference>
        </references>
      </pivotArea>
    </format>
    <format dxfId="5577">
      <pivotArea dataOnly="0" labelOnly="1" outline="0" fieldPosition="0">
        <references count="3">
          <reference field="0" count="1" selected="0">
            <x v="31"/>
          </reference>
          <reference field="1" count="1" defaultSubtotal="1">
            <x v="73"/>
          </reference>
          <reference field="9" count="1" selected="0">
            <x v="41"/>
          </reference>
        </references>
      </pivotArea>
    </format>
    <format dxfId="5576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41"/>
          </reference>
        </references>
      </pivotArea>
    </format>
    <format dxfId="5575">
      <pivotArea dataOnly="0" labelOnly="1" outline="0" fieldPosition="0">
        <references count="3">
          <reference field="0" count="1" selected="0">
            <x v="34"/>
          </reference>
          <reference field="1" count="1" defaultSubtotal="1">
            <x v="42"/>
          </reference>
          <reference field="9" count="1" selected="0">
            <x v="41"/>
          </reference>
        </references>
      </pivotArea>
    </format>
    <format dxfId="5574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41"/>
          </reference>
        </references>
      </pivotArea>
    </format>
    <format dxfId="5573">
      <pivotArea dataOnly="0" labelOnly="1" outline="0" fieldPosition="0">
        <references count="3">
          <reference field="0" count="1" selected="0">
            <x v="41"/>
          </reference>
          <reference field="1" count="1" defaultSubtotal="1">
            <x v="8"/>
          </reference>
          <reference field="9" count="1" selected="0">
            <x v="41"/>
          </reference>
        </references>
      </pivotArea>
    </format>
    <format dxfId="5572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41"/>
          </reference>
        </references>
      </pivotArea>
    </format>
    <format dxfId="5571">
      <pivotArea dataOnly="0" labelOnly="1" outline="0" fieldPosition="0">
        <references count="3">
          <reference field="0" count="1" selected="0">
            <x v="44"/>
          </reference>
          <reference field="1" count="1" defaultSubtotal="1">
            <x v="18"/>
          </reference>
          <reference field="9" count="1" selected="0">
            <x v="41"/>
          </reference>
        </references>
      </pivotArea>
    </format>
    <format dxfId="5570">
      <pivotArea dataOnly="0" labelOnly="1" outline="0" fieldPosition="0">
        <references count="3">
          <reference field="0" count="1" selected="0">
            <x v="46"/>
          </reference>
          <reference field="1" count="1" defaultSubtotal="1">
            <x v="31"/>
          </reference>
          <reference field="9" count="1" selected="0">
            <x v="41"/>
          </reference>
        </references>
      </pivotArea>
    </format>
    <format dxfId="5569">
      <pivotArea dataOnly="0" labelOnly="1" outline="0" fieldPosition="0">
        <references count="3">
          <reference field="0" count="1" selected="0">
            <x v="49"/>
          </reference>
          <reference field="1" count="1" defaultSubtotal="1">
            <x v="11"/>
          </reference>
          <reference field="9" count="1" selected="0">
            <x v="41"/>
          </reference>
        </references>
      </pivotArea>
    </format>
    <format dxfId="5568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41"/>
          </reference>
        </references>
      </pivotArea>
    </format>
    <format dxfId="5567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41"/>
          </reference>
        </references>
      </pivotArea>
    </format>
    <format dxfId="5566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41"/>
          </reference>
        </references>
      </pivotArea>
    </format>
    <format dxfId="5565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41"/>
          </reference>
        </references>
      </pivotArea>
    </format>
    <format dxfId="5564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41"/>
          </reference>
        </references>
      </pivotArea>
    </format>
    <format dxfId="5563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41"/>
          </reference>
        </references>
      </pivotArea>
    </format>
    <format dxfId="5562">
      <pivotArea dataOnly="0" labelOnly="1" outline="0" fieldPosition="0">
        <references count="3">
          <reference field="0" count="1" selected="0">
            <x v="74"/>
          </reference>
          <reference field="1" count="1" defaultSubtotal="1">
            <x v="77"/>
          </reference>
          <reference field="9" count="1" selected="0">
            <x v="41"/>
          </reference>
        </references>
      </pivotArea>
    </format>
    <format dxfId="5561">
      <pivotArea dataOnly="0" labelOnly="1" outline="0" fieldPosition="0">
        <references count="3">
          <reference field="0" count="1" selected="0">
            <x v="76"/>
          </reference>
          <reference field="1" count="1" defaultSubtotal="1">
            <x v="24"/>
          </reference>
          <reference field="9" count="1" selected="0">
            <x v="41"/>
          </reference>
        </references>
      </pivotArea>
    </format>
    <format dxfId="5560">
      <pivotArea dataOnly="0" labelOnly="1" outline="0" fieldPosition="0">
        <references count="3">
          <reference field="0" count="1" selected="0">
            <x v="79"/>
          </reference>
          <reference field="1" count="1" defaultSubtotal="1">
            <x v="12"/>
          </reference>
          <reference field="9" count="1" selected="0">
            <x v="41"/>
          </reference>
        </references>
      </pivotArea>
    </format>
    <format dxfId="5559">
      <pivotArea dataOnly="0" labelOnly="1" outline="0" fieldPosition="0">
        <references count="3">
          <reference field="0" count="1" selected="0">
            <x v="81"/>
          </reference>
          <reference field="1" count="1" defaultSubtotal="1">
            <x v="41"/>
          </reference>
          <reference field="9" count="1" selected="0">
            <x v="41"/>
          </reference>
        </references>
      </pivotArea>
    </format>
    <format dxfId="5558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41"/>
          </reference>
        </references>
      </pivotArea>
    </format>
    <format dxfId="5557">
      <pivotArea dataOnly="0" labelOnly="1" outline="0" fieldPosition="0">
        <references count="3">
          <reference field="0" count="1" selected="0">
            <x v="83"/>
          </reference>
          <reference field="1" count="1" defaultSubtotal="1">
            <x v="0"/>
          </reference>
          <reference field="9" count="1" selected="0">
            <x v="42"/>
          </reference>
        </references>
      </pivotArea>
    </format>
    <format dxfId="5556">
      <pivotArea dataOnly="0" labelOnly="1" outline="0" fieldPosition="0">
        <references count="3">
          <reference field="0" count="1" selected="0">
            <x v="84"/>
          </reference>
          <reference field="1" count="1" defaultSubtotal="1">
            <x v="66"/>
          </reference>
          <reference field="9" count="1" selected="0">
            <x v="42"/>
          </reference>
        </references>
      </pivotArea>
    </format>
    <format dxfId="5555">
      <pivotArea dataOnly="0" labelOnly="1" outline="0" fieldPosition="0">
        <references count="3">
          <reference field="0" count="1" selected="0">
            <x v="34"/>
          </reference>
          <reference field="1" count="1" defaultSubtotal="1">
            <x v="42"/>
          </reference>
          <reference field="9" count="1" selected="0">
            <x v="43"/>
          </reference>
        </references>
      </pivotArea>
    </format>
    <format dxfId="5554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44"/>
          </reference>
        </references>
      </pivotArea>
    </format>
    <format dxfId="5553">
      <pivotArea dataOnly="0" labelOnly="1" outline="0" fieldPosition="0">
        <references count="3">
          <reference field="0" count="1" selected="0">
            <x v="62"/>
          </reference>
          <reference field="1" count="1" defaultSubtotal="1">
            <x v="72"/>
          </reference>
          <reference field="9" count="1" selected="0">
            <x v="44"/>
          </reference>
        </references>
      </pivotArea>
    </format>
    <format dxfId="5552">
      <pivotArea dataOnly="0" labelOnly="1" outline="0" fieldPosition="0">
        <references count="3">
          <reference field="0" count="1" selected="0">
            <x v="84"/>
          </reference>
          <reference field="1" count="1" defaultSubtotal="1">
            <x v="66"/>
          </reference>
          <reference field="9" count="1" selected="0">
            <x v="44"/>
          </reference>
        </references>
      </pivotArea>
    </format>
    <format dxfId="5551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45"/>
          </reference>
        </references>
      </pivotArea>
    </format>
    <format dxfId="5550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45"/>
          </reference>
        </references>
      </pivotArea>
    </format>
    <format dxfId="5549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45"/>
          </reference>
        </references>
      </pivotArea>
    </format>
    <format dxfId="5548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45"/>
          </reference>
        </references>
      </pivotArea>
    </format>
    <format dxfId="5547">
      <pivotArea dataOnly="0" labelOnly="1" outline="0" fieldPosition="0">
        <references count="3">
          <reference field="0" count="1" selected="0">
            <x v="31"/>
          </reference>
          <reference field="1" count="1" defaultSubtotal="1">
            <x v="73"/>
          </reference>
          <reference field="9" count="1" selected="0">
            <x v="45"/>
          </reference>
        </references>
      </pivotArea>
    </format>
    <format dxfId="5546">
      <pivotArea dataOnly="0" labelOnly="1" outline="0" fieldPosition="0">
        <references count="3">
          <reference field="0" count="1" selected="0">
            <x v="34"/>
          </reference>
          <reference field="1" count="1" defaultSubtotal="1">
            <x v="42"/>
          </reference>
          <reference field="9" count="1" selected="0">
            <x v="45"/>
          </reference>
        </references>
      </pivotArea>
    </format>
    <format dxfId="554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45"/>
          </reference>
        </references>
      </pivotArea>
    </format>
    <format dxfId="5544">
      <pivotArea dataOnly="0" labelOnly="1" outline="0" fieldPosition="0">
        <references count="3">
          <reference field="0" count="1" selected="0">
            <x v="44"/>
          </reference>
          <reference field="1" count="1" defaultSubtotal="1">
            <x v="18"/>
          </reference>
          <reference field="9" count="1" selected="0">
            <x v="45"/>
          </reference>
        </references>
      </pivotArea>
    </format>
    <format dxfId="5543">
      <pivotArea dataOnly="0" labelOnly="1" outline="0" fieldPosition="0">
        <references count="3">
          <reference field="0" count="1" selected="0">
            <x v="47"/>
          </reference>
          <reference field="1" count="1" defaultSubtotal="1">
            <x v="60"/>
          </reference>
          <reference field="9" count="1" selected="0">
            <x v="45"/>
          </reference>
        </references>
      </pivotArea>
    </format>
    <format dxfId="5542">
      <pivotArea dataOnly="0" labelOnly="1" outline="0" fieldPosition="0">
        <references count="3">
          <reference field="0" count="1" selected="0">
            <x v="49"/>
          </reference>
          <reference field="1" count="1" defaultSubtotal="1">
            <x v="11"/>
          </reference>
          <reference field="9" count="1" selected="0">
            <x v="45"/>
          </reference>
        </references>
      </pivotArea>
    </format>
    <format dxfId="5541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45"/>
          </reference>
        </references>
      </pivotArea>
    </format>
    <format dxfId="5540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45"/>
          </reference>
        </references>
      </pivotArea>
    </format>
    <format dxfId="5539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45"/>
          </reference>
        </references>
      </pivotArea>
    </format>
    <format dxfId="5538">
      <pivotArea dataOnly="0" labelOnly="1" outline="0" fieldPosition="0">
        <references count="3">
          <reference field="0" count="1" selected="0">
            <x v="73"/>
          </reference>
          <reference field="1" count="1" defaultSubtotal="1">
            <x v="76"/>
          </reference>
          <reference field="9" count="1" selected="0">
            <x v="45"/>
          </reference>
        </references>
      </pivotArea>
    </format>
    <format dxfId="5537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45"/>
          </reference>
        </references>
      </pivotArea>
    </format>
    <format dxfId="5536">
      <pivotArea dataOnly="0" labelOnly="1" outline="0" fieldPosition="0">
        <references count="3">
          <reference field="0" count="1" selected="0">
            <x v="83"/>
          </reference>
          <reference field="1" count="1" defaultSubtotal="1">
            <x v="0"/>
          </reference>
          <reference field="9" count="1" selected="0">
            <x v="45"/>
          </reference>
        </references>
      </pivotArea>
    </format>
    <format dxfId="5535">
      <pivotArea dataOnly="0" labelOnly="1" outline="0" fieldPosition="0">
        <references count="3">
          <reference field="0" count="1" selected="0">
            <x v="84"/>
          </reference>
          <reference field="1" count="1" defaultSubtotal="1">
            <x v="66"/>
          </reference>
          <reference field="9" count="1" selected="0">
            <x v="45"/>
          </reference>
        </references>
      </pivotArea>
    </format>
    <format dxfId="5534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46"/>
          </reference>
        </references>
      </pivotArea>
    </format>
    <format dxfId="5533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46"/>
          </reference>
        </references>
      </pivotArea>
    </format>
    <format dxfId="5532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46"/>
          </reference>
        </references>
      </pivotArea>
    </format>
    <format dxfId="5531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46"/>
          </reference>
        </references>
      </pivotArea>
    </format>
    <format dxfId="5530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46"/>
          </reference>
        </references>
      </pivotArea>
    </format>
    <format dxfId="5529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46"/>
          </reference>
        </references>
      </pivotArea>
    </format>
    <format dxfId="5528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46"/>
          </reference>
        </references>
      </pivotArea>
    </format>
    <format dxfId="5527">
      <pivotArea dataOnly="0" labelOnly="1" outline="0" fieldPosition="0">
        <references count="3">
          <reference field="0" count="1" selected="0">
            <x v="21"/>
          </reference>
          <reference field="1" count="1" defaultSubtotal="1">
            <x v="47"/>
          </reference>
          <reference field="9" count="1" selected="0">
            <x v="46"/>
          </reference>
        </references>
      </pivotArea>
    </format>
    <format dxfId="5526">
      <pivotArea dataOnly="0" labelOnly="1" outline="0" fieldPosition="0">
        <references count="3">
          <reference field="0" count="1" selected="0">
            <x v="23"/>
          </reference>
          <reference field="1" count="1" defaultSubtotal="1">
            <x v="33"/>
          </reference>
          <reference field="9" count="1" selected="0">
            <x v="46"/>
          </reference>
        </references>
      </pivotArea>
    </format>
    <format dxfId="5525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46"/>
          </reference>
        </references>
      </pivotArea>
    </format>
    <format dxfId="5524">
      <pivotArea dataOnly="0" labelOnly="1" outline="0" fieldPosition="0">
        <references count="3">
          <reference field="0" count="1" selected="0">
            <x v="31"/>
          </reference>
          <reference field="1" count="1" defaultSubtotal="1">
            <x v="73"/>
          </reference>
          <reference field="9" count="1" selected="0">
            <x v="46"/>
          </reference>
        </references>
      </pivotArea>
    </format>
    <format dxfId="5523">
      <pivotArea dataOnly="0" labelOnly="1" outline="0" fieldPosition="0">
        <references count="3">
          <reference field="0" count="1" selected="0">
            <x v="34"/>
          </reference>
          <reference field="1" count="1" defaultSubtotal="1">
            <x v="42"/>
          </reference>
          <reference field="9" count="1" selected="0">
            <x v="46"/>
          </reference>
        </references>
      </pivotArea>
    </format>
    <format dxfId="5522">
      <pivotArea dataOnly="0" labelOnly="1" outline="0" fieldPosition="0">
        <references count="3">
          <reference field="0" count="1" selected="0">
            <x v="36"/>
          </reference>
          <reference field="1" count="1" defaultSubtotal="1">
            <x v="7"/>
          </reference>
          <reference field="9" count="1" selected="0">
            <x v="46"/>
          </reference>
        </references>
      </pivotArea>
    </format>
    <format dxfId="5521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46"/>
          </reference>
        </references>
      </pivotArea>
    </format>
    <format dxfId="5520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46"/>
          </reference>
        </references>
      </pivotArea>
    </format>
    <format dxfId="5519">
      <pivotArea dataOnly="0" labelOnly="1" outline="0" fieldPosition="0">
        <references count="3">
          <reference field="0" count="1" selected="0">
            <x v="44"/>
          </reference>
          <reference field="1" count="1" defaultSubtotal="1">
            <x v="18"/>
          </reference>
          <reference field="9" count="1" selected="0">
            <x v="46"/>
          </reference>
        </references>
      </pivotArea>
    </format>
    <format dxfId="5518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46"/>
          </reference>
        </references>
      </pivotArea>
    </format>
    <format dxfId="5517">
      <pivotArea dataOnly="0" labelOnly="1" outline="0" fieldPosition="0">
        <references count="3">
          <reference field="0" count="1" selected="0">
            <x v="47"/>
          </reference>
          <reference field="1" count="1" defaultSubtotal="1">
            <x v="60"/>
          </reference>
          <reference field="9" count="1" selected="0">
            <x v="46"/>
          </reference>
        </references>
      </pivotArea>
    </format>
    <format dxfId="5516">
      <pivotArea dataOnly="0" labelOnly="1" outline="0" fieldPosition="0">
        <references count="3">
          <reference field="0" count="1" selected="0">
            <x v="49"/>
          </reference>
          <reference field="1" count="1" defaultSubtotal="1">
            <x v="11"/>
          </reference>
          <reference field="9" count="1" selected="0">
            <x v="46"/>
          </reference>
        </references>
      </pivotArea>
    </format>
    <format dxfId="5515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46"/>
          </reference>
        </references>
      </pivotArea>
    </format>
    <format dxfId="5514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46"/>
          </reference>
        </references>
      </pivotArea>
    </format>
    <format dxfId="5513">
      <pivotArea dataOnly="0" labelOnly="1" outline="0" fieldPosition="0">
        <references count="3">
          <reference field="0" count="1" selected="0">
            <x v="54"/>
          </reference>
          <reference field="1" count="1" defaultSubtotal="1">
            <x v="30"/>
          </reference>
          <reference field="9" count="1" selected="0">
            <x v="46"/>
          </reference>
        </references>
      </pivotArea>
    </format>
    <format dxfId="5512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46"/>
          </reference>
        </references>
      </pivotArea>
    </format>
    <format dxfId="5511">
      <pivotArea dataOnly="0" labelOnly="1" outline="0" fieldPosition="0">
        <references count="3">
          <reference field="0" count="1" selected="0">
            <x v="57"/>
          </reference>
          <reference field="1" count="1" defaultSubtotal="1">
            <x v="57"/>
          </reference>
          <reference field="9" count="1" selected="0">
            <x v="46"/>
          </reference>
        </references>
      </pivotArea>
    </format>
    <format dxfId="5510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46"/>
          </reference>
        </references>
      </pivotArea>
    </format>
    <format dxfId="5509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46"/>
          </reference>
        </references>
      </pivotArea>
    </format>
    <format dxfId="5508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46"/>
          </reference>
        </references>
      </pivotArea>
    </format>
    <format dxfId="5507">
      <pivotArea dataOnly="0" labelOnly="1" outline="0" fieldPosition="0">
        <references count="3">
          <reference field="0" count="1" selected="0">
            <x v="66"/>
          </reference>
          <reference field="1" count="1" defaultSubtotal="1">
            <x v="81"/>
          </reference>
          <reference field="9" count="1" selected="0">
            <x v="46"/>
          </reference>
        </references>
      </pivotArea>
    </format>
    <format dxfId="5506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46"/>
          </reference>
        </references>
      </pivotArea>
    </format>
    <format dxfId="5505">
      <pivotArea dataOnly="0" labelOnly="1" outline="0" fieldPosition="0">
        <references count="3">
          <reference field="0" count="1" selected="0">
            <x v="72"/>
          </reference>
          <reference field="1" count="1" defaultSubtotal="1">
            <x v="75"/>
          </reference>
          <reference field="9" count="1" selected="0">
            <x v="46"/>
          </reference>
        </references>
      </pivotArea>
    </format>
    <format dxfId="5504">
      <pivotArea dataOnly="0" labelOnly="1" outline="0" fieldPosition="0">
        <references count="3">
          <reference field="0" count="1" selected="0">
            <x v="73"/>
          </reference>
          <reference field="1" count="1" defaultSubtotal="1">
            <x v="76"/>
          </reference>
          <reference field="9" count="1" selected="0">
            <x v="46"/>
          </reference>
        </references>
      </pivotArea>
    </format>
    <format dxfId="5503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46"/>
          </reference>
        </references>
      </pivotArea>
    </format>
    <format dxfId="5502">
      <pivotArea dataOnly="0" labelOnly="1" outline="0" fieldPosition="0">
        <references count="3">
          <reference field="0" count="1" selected="0">
            <x v="76"/>
          </reference>
          <reference field="1" count="1" defaultSubtotal="1">
            <x v="24"/>
          </reference>
          <reference field="9" count="1" selected="0">
            <x v="46"/>
          </reference>
        </references>
      </pivotArea>
    </format>
    <format dxfId="5501">
      <pivotArea dataOnly="0" labelOnly="1" outline="0" fieldPosition="0">
        <references count="3">
          <reference field="0" count="1" selected="0">
            <x v="77"/>
          </reference>
          <reference field="1" count="1" defaultSubtotal="1">
            <x v="68"/>
          </reference>
          <reference field="9" count="1" selected="0">
            <x v="46"/>
          </reference>
        </references>
      </pivotArea>
    </format>
    <format dxfId="5500">
      <pivotArea dataOnly="0" labelOnly="1" outline="0" fieldPosition="0">
        <references count="3">
          <reference field="0" count="1" selected="0">
            <x v="81"/>
          </reference>
          <reference field="1" count="1" defaultSubtotal="1">
            <x v="41"/>
          </reference>
          <reference field="9" count="1" selected="0">
            <x v="46"/>
          </reference>
        </references>
      </pivotArea>
    </format>
    <format dxfId="5499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46"/>
          </reference>
        </references>
      </pivotArea>
    </format>
    <format dxfId="5498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47"/>
          </reference>
        </references>
      </pivotArea>
    </format>
    <format dxfId="5497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47"/>
          </reference>
        </references>
      </pivotArea>
    </format>
    <format dxfId="5496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47"/>
          </reference>
        </references>
      </pivotArea>
    </format>
    <format dxfId="5495">
      <pivotArea dataOnly="0" labelOnly="1" outline="0" fieldPosition="0">
        <references count="3">
          <reference field="0" count="1" selected="0">
            <x v="5"/>
          </reference>
          <reference field="1" count="1" defaultSubtotal="1">
            <x v="59"/>
          </reference>
          <reference field="9" count="1" selected="0">
            <x v="47"/>
          </reference>
        </references>
      </pivotArea>
    </format>
    <format dxfId="5494">
      <pivotArea dataOnly="0" labelOnly="1" outline="0" fieldPosition="0">
        <references count="3">
          <reference field="0" count="1" selected="0">
            <x v="14"/>
          </reference>
          <reference field="1" count="1" defaultSubtotal="1">
            <x v="6"/>
          </reference>
          <reference field="9" count="1" selected="0">
            <x v="47"/>
          </reference>
        </references>
      </pivotArea>
    </format>
    <format dxfId="5493">
      <pivotArea dataOnly="0" labelOnly="1" outline="0" fieldPosition="0">
        <references count="3">
          <reference field="0" count="1" selected="0">
            <x v="16"/>
          </reference>
          <reference field="1" count="1" defaultSubtotal="1">
            <x v="83"/>
          </reference>
          <reference field="9" count="1" selected="0">
            <x v="47"/>
          </reference>
        </references>
      </pivotArea>
    </format>
    <format dxfId="5492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47"/>
          </reference>
        </references>
      </pivotArea>
    </format>
    <format dxfId="5491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47"/>
          </reference>
        </references>
      </pivotArea>
    </format>
    <format dxfId="5490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47"/>
          </reference>
        </references>
      </pivotArea>
    </format>
    <format dxfId="5489">
      <pivotArea dataOnly="0" labelOnly="1" outline="0" fieldPosition="0">
        <references count="3">
          <reference field="0" count="1" selected="0">
            <x v="30"/>
          </reference>
          <reference field="1" count="1" defaultSubtotal="1">
            <x v="10"/>
          </reference>
          <reference field="9" count="1" selected="0">
            <x v="47"/>
          </reference>
        </references>
      </pivotArea>
    </format>
    <format dxfId="5488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47"/>
          </reference>
        </references>
      </pivotArea>
    </format>
    <format dxfId="5487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47"/>
          </reference>
        </references>
      </pivotArea>
    </format>
    <format dxfId="5486">
      <pivotArea dataOnly="0" labelOnly="1" outline="0" fieldPosition="0">
        <references count="3">
          <reference field="0" count="1" selected="0">
            <x v="40"/>
          </reference>
          <reference field="1" count="1" defaultSubtotal="1">
            <x v="29"/>
          </reference>
          <reference field="9" count="1" selected="0">
            <x v="47"/>
          </reference>
        </references>
      </pivotArea>
    </format>
    <format dxfId="548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47"/>
          </reference>
        </references>
      </pivotArea>
    </format>
    <format dxfId="5484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47"/>
          </reference>
        </references>
      </pivotArea>
    </format>
    <format dxfId="5483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47"/>
          </reference>
        </references>
      </pivotArea>
    </format>
    <format dxfId="5482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47"/>
          </reference>
        </references>
      </pivotArea>
    </format>
    <format dxfId="5481">
      <pivotArea dataOnly="0" labelOnly="1" outline="0" fieldPosition="0">
        <references count="3">
          <reference field="0" count="1" selected="0">
            <x v="55"/>
          </reference>
          <reference field="1" count="1" defaultSubtotal="1">
            <x v="22"/>
          </reference>
          <reference field="9" count="1" selected="0">
            <x v="47"/>
          </reference>
        </references>
      </pivotArea>
    </format>
    <format dxfId="5480">
      <pivotArea dataOnly="0" labelOnly="1" outline="0" fieldPosition="0">
        <references count="3">
          <reference field="0" count="1" selected="0">
            <x v="57"/>
          </reference>
          <reference field="1" count="1" defaultSubtotal="1">
            <x v="57"/>
          </reference>
          <reference field="9" count="1" selected="0">
            <x v="47"/>
          </reference>
        </references>
      </pivotArea>
    </format>
    <format dxfId="5479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47"/>
          </reference>
        </references>
      </pivotArea>
    </format>
    <format dxfId="5478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47"/>
          </reference>
        </references>
      </pivotArea>
    </format>
    <format dxfId="5477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47"/>
          </reference>
        </references>
      </pivotArea>
    </format>
    <format dxfId="5476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47"/>
          </reference>
        </references>
      </pivotArea>
    </format>
    <format dxfId="5475">
      <pivotArea dataOnly="0" labelOnly="1" outline="0" fieldPosition="0">
        <references count="3">
          <reference field="0" count="1" selected="0">
            <x v="62"/>
          </reference>
          <reference field="1" count="1" defaultSubtotal="1">
            <x v="72"/>
          </reference>
          <reference field="9" count="1" selected="0">
            <x v="47"/>
          </reference>
        </references>
      </pivotArea>
    </format>
    <format dxfId="5474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47"/>
          </reference>
        </references>
      </pivotArea>
    </format>
    <format dxfId="5473">
      <pivotArea dataOnly="0" labelOnly="1" outline="0" fieldPosition="0">
        <references count="3">
          <reference field="0" count="1" selected="0">
            <x v="68"/>
          </reference>
          <reference field="1" count="1" defaultSubtotal="1">
            <x v="85"/>
          </reference>
          <reference field="9" count="1" selected="0">
            <x v="47"/>
          </reference>
        </references>
      </pivotArea>
    </format>
    <format dxfId="5472">
      <pivotArea dataOnly="0" labelOnly="1" outline="0" fieldPosition="0">
        <references count="3">
          <reference field="0" count="1" selected="0">
            <x v="72"/>
          </reference>
          <reference field="1" count="1" defaultSubtotal="1">
            <x v="75"/>
          </reference>
          <reference field="9" count="1" selected="0">
            <x v="47"/>
          </reference>
        </references>
      </pivotArea>
    </format>
    <format dxfId="5471">
      <pivotArea dataOnly="0" labelOnly="1" outline="0" fieldPosition="0">
        <references count="3">
          <reference field="0" count="1" selected="0">
            <x v="75"/>
          </reference>
          <reference field="1" count="1" defaultSubtotal="1">
            <x v="21"/>
          </reference>
          <reference field="9" count="1" selected="0">
            <x v="47"/>
          </reference>
        </references>
      </pivotArea>
    </format>
    <format dxfId="5470">
      <pivotArea dataOnly="0" labelOnly="1" outline="0" fieldPosition="0">
        <references count="3">
          <reference field="0" count="1" selected="0">
            <x v="76"/>
          </reference>
          <reference field="1" count="1" defaultSubtotal="1">
            <x v="24"/>
          </reference>
          <reference field="9" count="1" selected="0">
            <x v="47"/>
          </reference>
        </references>
      </pivotArea>
    </format>
    <format dxfId="5469">
      <pivotArea dataOnly="0" labelOnly="1" outline="0" fieldPosition="0">
        <references count="3">
          <reference field="0" count="1" selected="0">
            <x v="77"/>
          </reference>
          <reference field="1" count="1" defaultSubtotal="1">
            <x v="68"/>
          </reference>
          <reference field="9" count="1" selected="0">
            <x v="47"/>
          </reference>
        </references>
      </pivotArea>
    </format>
    <format dxfId="5468">
      <pivotArea dataOnly="0" labelOnly="1" outline="0" fieldPosition="0">
        <references count="3">
          <reference field="0" count="1" selected="0">
            <x v="80"/>
          </reference>
          <reference field="1" count="1" defaultSubtotal="1">
            <x v="78"/>
          </reference>
          <reference field="9" count="1" selected="0">
            <x v="47"/>
          </reference>
        </references>
      </pivotArea>
    </format>
    <format dxfId="5467">
      <pivotArea dataOnly="0" labelOnly="1" outline="0" fieldPosition="0">
        <references count="3">
          <reference field="0" count="1" selected="0">
            <x v="81"/>
          </reference>
          <reference field="1" count="1" defaultSubtotal="1">
            <x v="41"/>
          </reference>
          <reference field="9" count="1" selected="0">
            <x v="47"/>
          </reference>
        </references>
      </pivotArea>
    </format>
    <format dxfId="5466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47"/>
          </reference>
        </references>
      </pivotArea>
    </format>
    <format dxfId="5465">
      <pivotArea dataOnly="0" labelOnly="1" outline="0" fieldPosition="0">
        <references count="3">
          <reference field="0" count="1" selected="0">
            <x v="83"/>
          </reference>
          <reference field="1" count="1" defaultSubtotal="1">
            <x v="0"/>
          </reference>
          <reference field="9" count="1" selected="0">
            <x v="47"/>
          </reference>
        </references>
      </pivotArea>
    </format>
    <format dxfId="5464">
      <pivotArea dataOnly="0" labelOnly="1" outline="0" fieldPosition="0">
        <references count="3">
          <reference field="0" count="1" selected="0">
            <x v="84"/>
          </reference>
          <reference field="1" count="1" defaultSubtotal="1">
            <x v="66"/>
          </reference>
          <reference field="9" count="1" selected="0">
            <x v="47"/>
          </reference>
        </references>
      </pivotArea>
    </format>
    <format dxfId="5463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48"/>
          </reference>
        </references>
      </pivotArea>
    </format>
    <format dxfId="5462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48"/>
          </reference>
        </references>
      </pivotArea>
    </format>
    <format dxfId="5461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48"/>
          </reference>
        </references>
      </pivotArea>
    </format>
    <format dxfId="5460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48"/>
          </reference>
        </references>
      </pivotArea>
    </format>
    <format dxfId="5459">
      <pivotArea dataOnly="0" labelOnly="1" outline="0" fieldPosition="0">
        <references count="3">
          <reference field="0" count="1" selected="0">
            <x v="30"/>
          </reference>
          <reference field="1" count="1" defaultSubtotal="1">
            <x v="10"/>
          </reference>
          <reference field="9" count="1" selected="0">
            <x v="48"/>
          </reference>
        </references>
      </pivotArea>
    </format>
    <format dxfId="5458">
      <pivotArea dataOnly="0" labelOnly="1" outline="0" fieldPosition="0">
        <references count="3">
          <reference field="0" count="1" selected="0">
            <x v="31"/>
          </reference>
          <reference field="1" count="1" defaultSubtotal="1">
            <x v="73"/>
          </reference>
          <reference field="9" count="1" selected="0">
            <x v="48"/>
          </reference>
        </references>
      </pivotArea>
    </format>
    <format dxfId="5457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48"/>
          </reference>
        </references>
      </pivotArea>
    </format>
    <format dxfId="5456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48"/>
          </reference>
        </references>
      </pivotArea>
    </format>
    <format dxfId="545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48"/>
          </reference>
        </references>
      </pivotArea>
    </format>
    <format dxfId="5454">
      <pivotArea dataOnly="0" labelOnly="1" outline="0" fieldPosition="0">
        <references count="3">
          <reference field="0" count="1" selected="0">
            <x v="43"/>
          </reference>
          <reference field="1" count="1" defaultSubtotal="1">
            <x v="20"/>
          </reference>
          <reference field="9" count="1" selected="0">
            <x v="48"/>
          </reference>
        </references>
      </pivotArea>
    </format>
    <format dxfId="5453">
      <pivotArea dataOnly="0" labelOnly="1" outline="0" fieldPosition="0">
        <references count="3">
          <reference field="0" count="1" selected="0">
            <x v="44"/>
          </reference>
          <reference field="1" count="1" defaultSubtotal="1">
            <x v="18"/>
          </reference>
          <reference field="9" count="1" selected="0">
            <x v="48"/>
          </reference>
        </references>
      </pivotArea>
    </format>
    <format dxfId="5452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48"/>
          </reference>
        </references>
      </pivotArea>
    </format>
    <format dxfId="5451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48"/>
          </reference>
        </references>
      </pivotArea>
    </format>
    <format dxfId="5450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48"/>
          </reference>
        </references>
      </pivotArea>
    </format>
    <format dxfId="5449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48"/>
          </reference>
        </references>
      </pivotArea>
    </format>
    <format dxfId="5448">
      <pivotArea dataOnly="0" labelOnly="1" outline="0" fieldPosition="0">
        <references count="3">
          <reference field="0" count="1" selected="0">
            <x v="62"/>
          </reference>
          <reference field="1" count="1" defaultSubtotal="1">
            <x v="72"/>
          </reference>
          <reference field="9" count="1" selected="0">
            <x v="48"/>
          </reference>
        </references>
      </pivotArea>
    </format>
    <format dxfId="5447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48"/>
          </reference>
        </references>
      </pivotArea>
    </format>
    <format dxfId="5446">
      <pivotArea dataOnly="0" labelOnly="1" outline="0" fieldPosition="0">
        <references count="3">
          <reference field="0" count="1" selected="0">
            <x v="81"/>
          </reference>
          <reference field="1" count="1" defaultSubtotal="1">
            <x v="41"/>
          </reference>
          <reference field="9" count="1" selected="0">
            <x v="48"/>
          </reference>
        </references>
      </pivotArea>
    </format>
    <format dxfId="5445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48"/>
          </reference>
        </references>
      </pivotArea>
    </format>
    <format dxfId="5444">
      <pivotArea dataOnly="0" labelOnly="1" outline="0" fieldPosition="0">
        <references count="3">
          <reference field="0" count="1" selected="0">
            <x v="83"/>
          </reference>
          <reference field="1" count="1" defaultSubtotal="1">
            <x v="0"/>
          </reference>
          <reference field="9" count="1" selected="0">
            <x v="48"/>
          </reference>
        </references>
      </pivotArea>
    </format>
    <format dxfId="5443">
      <pivotArea dataOnly="0" labelOnly="1" outline="0" fieldPosition="0">
        <references count="3">
          <reference field="0" count="1" selected="0">
            <x v="84"/>
          </reference>
          <reference field="1" count="1" defaultSubtotal="1">
            <x v="66"/>
          </reference>
          <reference field="9" count="1" selected="0">
            <x v="48"/>
          </reference>
        </references>
      </pivotArea>
    </format>
    <format dxfId="5442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49"/>
          </reference>
        </references>
      </pivotArea>
    </format>
    <format dxfId="5441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49"/>
          </reference>
        </references>
      </pivotArea>
    </format>
    <format dxfId="5440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49"/>
          </reference>
        </references>
      </pivotArea>
    </format>
    <format dxfId="5439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49"/>
          </reference>
        </references>
      </pivotArea>
    </format>
    <format dxfId="5438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49"/>
          </reference>
        </references>
      </pivotArea>
    </format>
    <format dxfId="5437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49"/>
          </reference>
        </references>
      </pivotArea>
    </format>
    <format dxfId="5436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49"/>
          </reference>
        </references>
      </pivotArea>
    </format>
    <format dxfId="5435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49"/>
          </reference>
        </references>
      </pivotArea>
    </format>
    <format dxfId="5434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49"/>
          </reference>
        </references>
      </pivotArea>
    </format>
    <format dxfId="5433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49"/>
          </reference>
        </references>
      </pivotArea>
    </format>
    <format dxfId="5432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49"/>
          </reference>
        </references>
      </pivotArea>
    </format>
    <format dxfId="5431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49"/>
          </reference>
        </references>
      </pivotArea>
    </format>
    <format dxfId="5430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49"/>
          </reference>
        </references>
      </pivotArea>
    </format>
    <format dxfId="5429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49"/>
          </reference>
        </references>
      </pivotArea>
    </format>
    <format dxfId="5428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49"/>
          </reference>
        </references>
      </pivotArea>
    </format>
    <format dxfId="5427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49"/>
          </reference>
        </references>
      </pivotArea>
    </format>
    <format dxfId="5426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50"/>
          </reference>
        </references>
      </pivotArea>
    </format>
    <format dxfId="5425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50"/>
          </reference>
        </references>
      </pivotArea>
    </format>
    <format dxfId="5424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50"/>
          </reference>
        </references>
      </pivotArea>
    </format>
    <format dxfId="5423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50"/>
          </reference>
        </references>
      </pivotArea>
    </format>
    <format dxfId="5422">
      <pivotArea dataOnly="0" labelOnly="1" outline="0" fieldPosition="0">
        <references count="3">
          <reference field="0" count="1" selected="0">
            <x v="51"/>
          </reference>
          <reference field="1" count="1" defaultSubtotal="1">
            <x v="40"/>
          </reference>
          <reference field="9" count="1" selected="0">
            <x v="50"/>
          </reference>
        </references>
      </pivotArea>
    </format>
    <format dxfId="5421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50"/>
          </reference>
        </references>
      </pivotArea>
    </format>
    <format dxfId="5420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50"/>
          </reference>
        </references>
      </pivotArea>
    </format>
    <format dxfId="5419">
      <pivotArea dataOnly="0" labelOnly="1" outline="0" fieldPosition="0">
        <references count="3">
          <reference field="0" count="1" selected="0">
            <x v="62"/>
          </reference>
          <reference field="1" count="1" defaultSubtotal="1">
            <x v="72"/>
          </reference>
          <reference field="9" count="1" selected="0">
            <x v="50"/>
          </reference>
        </references>
      </pivotArea>
    </format>
    <format dxfId="5418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50"/>
          </reference>
        </references>
      </pivotArea>
    </format>
    <format dxfId="5417">
      <pivotArea dataOnly="0" labelOnly="1" outline="0" fieldPosition="0">
        <references count="3">
          <reference field="0" count="1" selected="0">
            <x v="68"/>
          </reference>
          <reference field="1" count="1" defaultSubtotal="1">
            <x v="85"/>
          </reference>
          <reference field="9" count="1" selected="0">
            <x v="50"/>
          </reference>
        </references>
      </pivotArea>
    </format>
    <format dxfId="5416">
      <pivotArea dataOnly="0" labelOnly="1" outline="0" fieldPosition="0">
        <references count="3">
          <reference field="0" count="1" selected="0">
            <x v="83"/>
          </reference>
          <reference field="1" count="1" defaultSubtotal="1">
            <x v="0"/>
          </reference>
          <reference field="9" count="1" selected="0">
            <x v="50"/>
          </reference>
        </references>
      </pivotArea>
    </format>
    <format dxfId="5415">
      <pivotArea dataOnly="0" labelOnly="1" outline="0" fieldPosition="0">
        <references count="3">
          <reference field="0" count="1" selected="0">
            <x v="84"/>
          </reference>
          <reference field="1" count="1" defaultSubtotal="1">
            <x v="66"/>
          </reference>
          <reference field="9" count="1" selected="0">
            <x v="50"/>
          </reference>
        </references>
      </pivotArea>
    </format>
    <format dxfId="5414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51"/>
          </reference>
        </references>
      </pivotArea>
    </format>
    <format dxfId="5413">
      <pivotArea dataOnly="0" labelOnly="1" outline="0" fieldPosition="0">
        <references count="3">
          <reference field="0" count="1" selected="0">
            <x v="2"/>
          </reference>
          <reference field="1" count="1" defaultSubtotal="1">
            <x v="54"/>
          </reference>
          <reference field="9" count="1" selected="0">
            <x v="51"/>
          </reference>
        </references>
      </pivotArea>
    </format>
    <format dxfId="5412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51"/>
          </reference>
        </references>
      </pivotArea>
    </format>
    <format dxfId="5411">
      <pivotArea dataOnly="0" labelOnly="1" outline="0" fieldPosition="0">
        <references count="3">
          <reference field="0" count="1" selected="0">
            <x v="5"/>
          </reference>
          <reference field="1" count="1" defaultSubtotal="1">
            <x v="59"/>
          </reference>
          <reference field="9" count="1" selected="0">
            <x v="51"/>
          </reference>
        </references>
      </pivotArea>
    </format>
    <format dxfId="5410">
      <pivotArea dataOnly="0" labelOnly="1" outline="0" fieldPosition="0">
        <references count="3">
          <reference field="0" count="1" selected="0">
            <x v="10"/>
          </reference>
          <reference field="1" count="1" defaultSubtotal="1">
            <x v="51"/>
          </reference>
          <reference field="9" count="1" selected="0">
            <x v="51"/>
          </reference>
        </references>
      </pivotArea>
    </format>
    <format dxfId="5409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51"/>
          </reference>
        </references>
      </pivotArea>
    </format>
    <format dxfId="5408">
      <pivotArea dataOnly="0" labelOnly="1" outline="0" fieldPosition="0">
        <references count="3">
          <reference field="0" count="1" selected="0">
            <x v="14"/>
          </reference>
          <reference field="1" count="1" defaultSubtotal="1">
            <x v="6"/>
          </reference>
          <reference field="9" count="1" selected="0">
            <x v="51"/>
          </reference>
        </references>
      </pivotArea>
    </format>
    <format dxfId="5407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51"/>
          </reference>
        </references>
      </pivotArea>
    </format>
    <format dxfId="5406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51"/>
          </reference>
        </references>
      </pivotArea>
    </format>
    <format dxfId="5405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51"/>
          </reference>
        </references>
      </pivotArea>
    </format>
    <format dxfId="5404">
      <pivotArea dataOnly="0" labelOnly="1" outline="0" fieldPosition="0">
        <references count="3">
          <reference field="0" count="1" selected="0">
            <x v="30"/>
          </reference>
          <reference field="1" count="1" defaultSubtotal="1">
            <x v="10"/>
          </reference>
          <reference field="9" count="1" selected="0">
            <x v="51"/>
          </reference>
        </references>
      </pivotArea>
    </format>
    <format dxfId="5403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51"/>
          </reference>
        </references>
      </pivotArea>
    </format>
    <format dxfId="5402">
      <pivotArea dataOnly="0" labelOnly="1" outline="0" fieldPosition="0">
        <references count="3">
          <reference field="0" count="1" selected="0">
            <x v="39"/>
          </reference>
          <reference field="1" count="1" defaultSubtotal="1">
            <x v="17"/>
          </reference>
          <reference field="9" count="1" selected="0">
            <x v="51"/>
          </reference>
        </references>
      </pivotArea>
    </format>
    <format dxfId="5401">
      <pivotArea dataOnly="0" labelOnly="1" outline="0" fieldPosition="0">
        <references count="3">
          <reference field="0" count="1" selected="0">
            <x v="40"/>
          </reference>
          <reference field="1" count="1" defaultSubtotal="1">
            <x v="29"/>
          </reference>
          <reference field="9" count="1" selected="0">
            <x v="51"/>
          </reference>
        </references>
      </pivotArea>
    </format>
    <format dxfId="5400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51"/>
          </reference>
        </references>
      </pivotArea>
    </format>
    <format dxfId="5399">
      <pivotArea dataOnly="0" labelOnly="1" outline="0" fieldPosition="0">
        <references count="3">
          <reference field="0" count="1" selected="0">
            <x v="45"/>
          </reference>
          <reference field="1" count="1" defaultSubtotal="1">
            <x v="9"/>
          </reference>
          <reference field="9" count="1" selected="0">
            <x v="51"/>
          </reference>
        </references>
      </pivotArea>
    </format>
    <format dxfId="5398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51"/>
          </reference>
        </references>
      </pivotArea>
    </format>
    <format dxfId="5397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51"/>
          </reference>
        </references>
      </pivotArea>
    </format>
    <format dxfId="5396">
      <pivotArea dataOnly="0" labelOnly="1" outline="0" fieldPosition="0">
        <references count="3">
          <reference field="0" count="1" selected="0">
            <x v="58"/>
          </reference>
          <reference field="1" count="1" defaultSubtotal="1">
            <x v="65"/>
          </reference>
          <reference field="9" count="1" selected="0">
            <x v="51"/>
          </reference>
        </references>
      </pivotArea>
    </format>
    <format dxfId="5395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51"/>
          </reference>
        </references>
      </pivotArea>
    </format>
    <format dxfId="5394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51"/>
          </reference>
        </references>
      </pivotArea>
    </format>
    <format dxfId="5393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51"/>
          </reference>
        </references>
      </pivotArea>
    </format>
    <format dxfId="5392">
      <pivotArea dataOnly="0" labelOnly="1" outline="0" fieldPosition="0">
        <references count="3">
          <reference field="0" count="1" selected="0">
            <x v="62"/>
          </reference>
          <reference field="1" count="1" defaultSubtotal="1">
            <x v="72"/>
          </reference>
          <reference field="9" count="1" selected="0">
            <x v="51"/>
          </reference>
        </references>
      </pivotArea>
    </format>
    <format dxfId="5391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51"/>
          </reference>
        </references>
      </pivotArea>
    </format>
    <format dxfId="5390">
      <pivotArea dataOnly="0" labelOnly="1" outline="0" fieldPosition="0">
        <references count="3">
          <reference field="0" count="1" selected="0">
            <x v="68"/>
          </reference>
          <reference field="1" count="1" defaultSubtotal="1">
            <x v="85"/>
          </reference>
          <reference field="9" count="1" selected="0">
            <x v="51"/>
          </reference>
        </references>
      </pivotArea>
    </format>
    <format dxfId="5389">
      <pivotArea dataOnly="0" labelOnly="1" outline="0" fieldPosition="0">
        <references count="3">
          <reference field="0" count="1" selected="0">
            <x v="72"/>
          </reference>
          <reference field="1" count="1" defaultSubtotal="1">
            <x v="75"/>
          </reference>
          <reference field="9" count="1" selected="0">
            <x v="51"/>
          </reference>
        </references>
      </pivotArea>
    </format>
    <format dxfId="5388">
      <pivotArea dataOnly="0" labelOnly="1" outline="0" fieldPosition="0">
        <references count="3">
          <reference field="0" count="1" selected="0">
            <x v="81"/>
          </reference>
          <reference field="1" count="1" defaultSubtotal="1">
            <x v="41"/>
          </reference>
          <reference field="9" count="1" selected="0">
            <x v="51"/>
          </reference>
        </references>
      </pivotArea>
    </format>
    <format dxfId="5387">
      <pivotArea dataOnly="0" labelOnly="1" outline="0" fieldPosition="0">
        <references count="3">
          <reference field="0" count="1" selected="0">
            <x v="82"/>
          </reference>
          <reference field="1" count="1" defaultSubtotal="1">
            <x v="44"/>
          </reference>
          <reference field="9" count="1" selected="0">
            <x v="51"/>
          </reference>
        </references>
      </pivotArea>
    </format>
    <format dxfId="5386">
      <pivotArea dataOnly="0" labelOnly="1" outline="0" fieldPosition="0">
        <references count="3">
          <reference field="0" count="1" selected="0">
            <x v="83"/>
          </reference>
          <reference field="1" count="1" defaultSubtotal="1">
            <x v="0"/>
          </reference>
          <reference field="9" count="1" selected="0">
            <x v="51"/>
          </reference>
        </references>
      </pivotArea>
    </format>
    <format dxfId="5385">
      <pivotArea dataOnly="0" labelOnly="1" outline="0" fieldPosition="0">
        <references count="3">
          <reference field="0" count="1" selected="0">
            <x v="84"/>
          </reference>
          <reference field="1" count="1" defaultSubtotal="1">
            <x v="66"/>
          </reference>
          <reference field="9" count="1" selected="0">
            <x v="51"/>
          </reference>
        </references>
      </pivotArea>
    </format>
    <format dxfId="5384">
      <pivotArea dataOnly="0" labelOnly="1" outline="0" fieldPosition="0">
        <references count="3">
          <reference field="0" count="1" selected="0">
            <x v="1"/>
          </reference>
          <reference field="1" count="1" defaultSubtotal="1">
            <x v="52"/>
          </reference>
          <reference field="9" count="1" selected="0">
            <x v="52"/>
          </reference>
        </references>
      </pivotArea>
    </format>
    <format dxfId="5383">
      <pivotArea dataOnly="0" labelOnly="1" outline="0" fieldPosition="0">
        <references count="3">
          <reference field="0" count="1" selected="0">
            <x v="3"/>
          </reference>
          <reference field="1" count="1" defaultSubtotal="1">
            <x v="36"/>
          </reference>
          <reference field="9" count="1" selected="0">
            <x v="52"/>
          </reference>
        </references>
      </pivotArea>
    </format>
    <format dxfId="5382">
      <pivotArea dataOnly="0" labelOnly="1" outline="0" fieldPosition="0">
        <references count="3">
          <reference field="0" count="1" selected="0">
            <x v="12"/>
          </reference>
          <reference field="1" count="1" defaultSubtotal="1">
            <x v="38"/>
          </reference>
          <reference field="9" count="1" selected="0">
            <x v="52"/>
          </reference>
        </references>
      </pivotArea>
    </format>
    <format dxfId="5381">
      <pivotArea dataOnly="0" labelOnly="1" outline="0" fieldPosition="0">
        <references count="3">
          <reference field="0" count="1" selected="0">
            <x v="17"/>
          </reference>
          <reference field="1" count="1" defaultSubtotal="1">
            <x v="39"/>
          </reference>
          <reference field="9" count="1" selected="0">
            <x v="52"/>
          </reference>
        </references>
      </pivotArea>
    </format>
    <format dxfId="5380">
      <pivotArea dataOnly="0" labelOnly="1" outline="0" fieldPosition="0">
        <references count="3">
          <reference field="0" count="1" selected="0">
            <x v="18"/>
          </reference>
          <reference field="1" count="1" defaultSubtotal="1">
            <x v="15"/>
          </reference>
          <reference field="9" count="1" selected="0">
            <x v="52"/>
          </reference>
        </references>
      </pivotArea>
    </format>
    <format dxfId="5379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52"/>
          </reference>
        </references>
      </pivotArea>
    </format>
    <format dxfId="5378">
      <pivotArea dataOnly="0" labelOnly="1" outline="0" fieldPosition="0">
        <references count="3">
          <reference field="0" count="1" selected="0">
            <x v="32"/>
          </reference>
          <reference field="1" count="1" defaultSubtotal="1">
            <x v="45"/>
          </reference>
          <reference field="9" count="1" selected="0">
            <x v="52"/>
          </reference>
        </references>
      </pivotArea>
    </format>
    <format dxfId="5377">
      <pivotArea dataOnly="0" labelOnly="1" outline="0" fieldPosition="0">
        <references count="3">
          <reference field="0" count="1" selected="0">
            <x v="42"/>
          </reference>
          <reference field="1" count="1" defaultSubtotal="1">
            <x v="79"/>
          </reference>
          <reference field="9" count="1" selected="0">
            <x v="52"/>
          </reference>
        </references>
      </pivotArea>
    </format>
    <format dxfId="5376">
      <pivotArea dataOnly="0" labelOnly="1" outline="0" fieldPosition="0">
        <references count="3">
          <reference field="0" count="1" selected="0">
            <x v="50"/>
          </reference>
          <reference field="1" count="1" defaultSubtotal="1">
            <x v="16"/>
          </reference>
          <reference field="9" count="1" selected="0">
            <x v="52"/>
          </reference>
        </references>
      </pivotArea>
    </format>
    <format dxfId="5375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52"/>
          </reference>
        </references>
      </pivotArea>
    </format>
    <format dxfId="5374">
      <pivotArea dataOnly="0" labelOnly="1" outline="0" fieldPosition="0">
        <references count="3">
          <reference field="0" count="1" selected="0">
            <x v="57"/>
          </reference>
          <reference field="1" count="1" defaultSubtotal="1">
            <x v="57"/>
          </reference>
          <reference field="9" count="1" selected="0">
            <x v="52"/>
          </reference>
        </references>
      </pivotArea>
    </format>
    <format dxfId="5373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52"/>
          </reference>
        </references>
      </pivotArea>
    </format>
    <format dxfId="5372">
      <pivotArea dataOnly="0" labelOnly="1" outline="0" fieldPosition="0">
        <references count="3">
          <reference field="0" count="1" selected="0">
            <x v="60"/>
          </reference>
          <reference field="1" count="1" defaultSubtotal="1">
            <x v="5"/>
          </reference>
          <reference field="9" count="1" selected="0">
            <x v="52"/>
          </reference>
        </references>
      </pivotArea>
    </format>
    <format dxfId="5371">
      <pivotArea dataOnly="0" labelOnly="1" outline="0" fieldPosition="0">
        <references count="3">
          <reference field="0" count="1" selected="0">
            <x v="61"/>
          </reference>
          <reference field="1" count="1" defaultSubtotal="1">
            <x v="70"/>
          </reference>
          <reference field="9" count="1" selected="0">
            <x v="52"/>
          </reference>
        </references>
      </pivotArea>
    </format>
    <format dxfId="5370">
      <pivotArea dataOnly="0" labelOnly="1" outline="0" fieldPosition="0">
        <references count="3">
          <reference field="0" count="1" selected="0">
            <x v="67"/>
          </reference>
          <reference field="1" count="1" defaultSubtotal="1">
            <x v="80"/>
          </reference>
          <reference field="9" count="1" selected="0">
            <x v="52"/>
          </reference>
        </references>
      </pivotArea>
    </format>
    <format dxfId="5369">
      <pivotArea dataOnly="0" labelOnly="1" outline="0" fieldPosition="0">
        <references count="3">
          <reference field="0" count="1" selected="0">
            <x v="53"/>
          </reference>
          <reference field="1" count="1" defaultSubtotal="1">
            <x v="4"/>
          </reference>
          <reference field="9" count="1" selected="0">
            <x v="53"/>
          </reference>
        </references>
      </pivotArea>
    </format>
    <format dxfId="5368">
      <pivotArea dataOnly="0" labelOnly="1" outline="0" fieldPosition="0">
        <references count="3">
          <reference field="0" count="1" selected="0">
            <x v="59"/>
          </reference>
          <reference field="1" count="1" defaultSubtotal="1">
            <x v="3"/>
          </reference>
          <reference field="9" count="1" selected="0">
            <x v="53"/>
          </reference>
        </references>
      </pivotArea>
    </format>
    <format dxfId="5367">
      <pivotArea dataOnly="0" labelOnly="1" outline="0" fieldPosition="0">
        <references count="3">
          <reference field="0" count="1" selected="0">
            <x v="62"/>
          </reference>
          <reference field="1" count="1" defaultSubtotal="1">
            <x v="72"/>
          </reference>
          <reference field="9" count="1" selected="0">
            <x v="53"/>
          </reference>
        </references>
      </pivotArea>
    </format>
    <format dxfId="5366">
      <pivotArea dataOnly="0" labelOnly="1" outline="0" fieldPosition="0">
        <references count="3">
          <reference field="0" count="1" selected="0">
            <x v="25"/>
          </reference>
          <reference field="1" count="1" defaultSubtotal="1">
            <x v="69"/>
          </reference>
          <reference field="9" count="1" selected="0">
            <x v="54"/>
          </reference>
        </references>
      </pivotArea>
    </format>
    <format dxfId="5365">
      <pivotArea dataOnly="0" labelOnly="1" outline="0" fieldPosition="0">
        <references count="3">
          <reference field="0" count="1" selected="0">
            <x v="43"/>
          </reference>
          <reference field="1" count="1" defaultSubtotal="1">
            <x v="20"/>
          </reference>
          <reference field="9" count="1" selected="0">
            <x v="54"/>
          </reference>
        </references>
      </pivotArea>
    </format>
    <format dxfId="536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0"/>
          </reference>
        </references>
      </pivotArea>
    </format>
    <format dxfId="536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0"/>
          </reference>
        </references>
      </pivotArea>
    </format>
    <format dxfId="5362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0"/>
          </reference>
        </references>
      </pivotArea>
    </format>
    <format dxfId="5361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0"/>
          </reference>
        </references>
      </pivotArea>
    </format>
    <format dxfId="5360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5"/>
          </reference>
          <reference field="9" count="1" selected="0">
            <x v="0"/>
          </reference>
        </references>
      </pivotArea>
    </format>
    <format dxfId="535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0"/>
          </reference>
        </references>
      </pivotArea>
    </format>
    <format dxfId="5358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0"/>
          </reference>
        </references>
      </pivotArea>
    </format>
    <format dxfId="5357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0"/>
          </reference>
        </references>
      </pivotArea>
    </format>
    <format dxfId="5356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0"/>
          </reference>
        </references>
      </pivotArea>
    </format>
    <format dxfId="5355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0"/>
          </reference>
        </references>
      </pivotArea>
    </format>
    <format dxfId="5354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0"/>
          </reference>
        </references>
      </pivotArea>
    </format>
    <format dxfId="5353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"/>
          </reference>
          <reference field="9" count="1" selected="0">
            <x v="0"/>
          </reference>
        </references>
      </pivotArea>
    </format>
    <format dxfId="535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1"/>
          </reference>
        </references>
      </pivotArea>
    </format>
    <format dxfId="535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1"/>
          </reference>
        </references>
      </pivotArea>
    </format>
    <format dxfId="5350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1"/>
          </reference>
        </references>
      </pivotArea>
    </format>
    <format dxfId="5349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1"/>
          </reference>
        </references>
      </pivotArea>
    </format>
    <format dxfId="5348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5"/>
          </reference>
          <reference field="9" count="1" selected="0">
            <x v="1"/>
          </reference>
        </references>
      </pivotArea>
    </format>
    <format dxfId="5347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1"/>
          </reference>
        </references>
      </pivotArea>
    </format>
    <format dxfId="5346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1"/>
          </reference>
        </references>
      </pivotArea>
    </format>
    <format dxfId="5345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1"/>
          </reference>
        </references>
      </pivotArea>
    </format>
    <format dxfId="534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1"/>
          </reference>
        </references>
      </pivotArea>
    </format>
    <format dxfId="5343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1"/>
          </reference>
        </references>
      </pivotArea>
    </format>
    <format dxfId="5342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1"/>
          </reference>
        </references>
      </pivotArea>
    </format>
    <format dxfId="5341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1"/>
          </reference>
        </references>
      </pivotArea>
    </format>
    <format dxfId="534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3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38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37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"/>
          </reference>
        </references>
      </pivotArea>
    </format>
    <format dxfId="5336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"/>
          </reference>
          <reference field="9" count="1" selected="0">
            <x v="2"/>
          </reference>
        </references>
      </pivotArea>
    </format>
    <format dxfId="5335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34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33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3"/>
          </reference>
          <reference field="9" count="1" selected="0">
            <x v="2"/>
          </reference>
        </references>
      </pivotArea>
    </format>
    <format dxfId="5332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3"/>
          </reference>
          <reference field="9" count="1" selected="0">
            <x v="2"/>
          </reference>
        </references>
      </pivotArea>
    </format>
    <format dxfId="5331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30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29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28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"/>
          </reference>
          <reference field="9" count="1" selected="0">
            <x v="2"/>
          </reference>
        </references>
      </pivotArea>
    </format>
    <format dxfId="532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3"/>
          </reference>
        </references>
      </pivotArea>
    </format>
    <format dxfId="5326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3"/>
          </reference>
        </references>
      </pivotArea>
    </format>
    <format dxfId="5325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3"/>
          </reference>
        </references>
      </pivotArea>
    </format>
    <format dxfId="5324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"/>
          </reference>
          <reference field="9" count="1" selected="0">
            <x v="3"/>
          </reference>
        </references>
      </pivotArea>
    </format>
    <format dxfId="5323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50"/>
          </reference>
          <reference field="2" count="1">
            <x v="2"/>
          </reference>
          <reference field="9" count="1" selected="0">
            <x v="3"/>
          </reference>
        </references>
      </pivotArea>
    </format>
    <format dxfId="5322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3"/>
          </reference>
        </references>
      </pivotArea>
    </format>
    <format dxfId="5321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3"/>
          </reference>
          <reference field="9" count="1" selected="0">
            <x v="3"/>
          </reference>
        </references>
      </pivotArea>
    </format>
    <format dxfId="5320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3"/>
          </reference>
          <reference field="9" count="1" selected="0">
            <x v="3"/>
          </reference>
        </references>
      </pivotArea>
    </format>
    <format dxfId="5319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3"/>
          </reference>
        </references>
      </pivotArea>
    </format>
    <format dxfId="5318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3"/>
          </reference>
        </references>
      </pivotArea>
    </format>
    <format dxfId="5317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3"/>
          </reference>
        </references>
      </pivotArea>
    </format>
    <format dxfId="5316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"/>
          </reference>
          <reference field="9" count="1" selected="0">
            <x v="3"/>
          </reference>
        </references>
      </pivotArea>
    </format>
    <format dxfId="531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4"/>
          </reference>
        </references>
      </pivotArea>
    </format>
    <format dxfId="5314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8"/>
          </reference>
          <reference field="2" count="1">
            <x v="2"/>
          </reference>
          <reference field="9" count="1" selected="0">
            <x v="4"/>
          </reference>
        </references>
      </pivotArea>
    </format>
    <format dxfId="5313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4"/>
          </reference>
        </references>
      </pivotArea>
    </format>
    <format dxfId="531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4"/>
          </reference>
        </references>
      </pivotArea>
    </format>
    <format dxfId="5311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"/>
          </reference>
          <reference field="9" count="1" selected="0">
            <x v="4"/>
          </reference>
        </references>
      </pivotArea>
    </format>
    <format dxfId="531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4"/>
          </reference>
        </references>
      </pivotArea>
    </format>
    <format dxfId="5309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3"/>
          </reference>
          <reference field="9" count="1" selected="0">
            <x v="4"/>
          </reference>
        </references>
      </pivotArea>
    </format>
    <format dxfId="5308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3"/>
          </reference>
          <reference field="9" count="1" selected="0">
            <x v="4"/>
          </reference>
        </references>
      </pivotArea>
    </format>
    <format dxfId="5307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4"/>
          </reference>
        </references>
      </pivotArea>
    </format>
    <format dxfId="5306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4"/>
          </reference>
        </references>
      </pivotArea>
    </format>
    <format dxfId="5305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4"/>
          </reference>
        </references>
      </pivotArea>
    </format>
    <format dxfId="5304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"/>
          </reference>
          <reference field="9" count="1" selected="0">
            <x v="4"/>
          </reference>
        </references>
      </pivotArea>
    </format>
    <format dxfId="530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302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301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5"/>
          </reference>
        </references>
      </pivotArea>
    </format>
    <format dxfId="5300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299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5"/>
          </reference>
          <reference field="9" count="1" selected="0">
            <x v="5"/>
          </reference>
        </references>
      </pivotArea>
    </format>
    <format dxfId="5298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297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296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5"/>
          </reference>
        </references>
      </pivotArea>
    </format>
    <format dxfId="5295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5"/>
          </reference>
        </references>
      </pivotArea>
    </format>
    <format dxfId="5294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293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292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291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5"/>
          </reference>
        </references>
      </pivotArea>
    </format>
    <format dxfId="529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89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88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6"/>
          </reference>
        </references>
      </pivotArea>
    </format>
    <format dxfId="5287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86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5"/>
          </reference>
          <reference field="9" count="1" selected="0">
            <x v="6"/>
          </reference>
        </references>
      </pivotArea>
    </format>
    <format dxfId="5285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84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6"/>
          </reference>
        </references>
      </pivotArea>
    </format>
    <format dxfId="5283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6"/>
          </reference>
        </references>
      </pivotArea>
    </format>
    <format dxfId="5282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81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80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79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78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"/>
          </reference>
          <reference field="9" count="1" selected="0">
            <x v="6"/>
          </reference>
        </references>
      </pivotArea>
    </format>
    <format dxfId="527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7"/>
          </reference>
        </references>
      </pivotArea>
    </format>
    <format dxfId="5276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7"/>
          </reference>
        </references>
      </pivotArea>
    </format>
    <format dxfId="5275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49"/>
          </reference>
          <reference field="2" count="1">
            <x v="2"/>
          </reference>
          <reference field="9" count="1" selected="0">
            <x v="7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9"/>
          </reference>
          <reference field="2" count="1">
            <x v="2"/>
          </reference>
          <reference field="9" count="1" selected="0">
            <x v="7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2"/>
          </reference>
          <reference field="9" count="1" selected="0">
            <x v="7"/>
          </reference>
        </references>
      </pivotArea>
    </format>
    <format dxfId="5272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6"/>
          </reference>
          <reference field="9" count="1" selected="0">
            <x v="7"/>
          </reference>
        </references>
      </pivotArea>
    </format>
    <format dxfId="5271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2"/>
          </reference>
          <reference field="9" count="1" selected="0">
            <x v="7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14"/>
          </reference>
          <reference field="9" count="1" selected="0">
            <x v="7"/>
          </reference>
        </references>
      </pivotArea>
    </format>
    <format dxfId="5269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14"/>
          </reference>
          <reference field="9" count="1" selected="0">
            <x v="7"/>
          </reference>
        </references>
      </pivotArea>
    </format>
    <format dxfId="5268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"/>
          </reference>
          <reference field="9" count="1" selected="0">
            <x v="7"/>
          </reference>
        </references>
      </pivotArea>
    </format>
    <format dxfId="5267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14"/>
          </reference>
          <reference field="9" count="1" selected="0">
            <x v="7"/>
          </reference>
        </references>
      </pivotArea>
    </format>
    <format dxfId="5266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25"/>
          </reference>
          <reference field="2" count="1">
            <x v="2"/>
          </reference>
          <reference field="9" count="1" selected="0">
            <x v="7"/>
          </reference>
        </references>
      </pivotArea>
    </format>
    <format dxfId="5265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1"/>
          </reference>
          <reference field="2" count="1">
            <x v="0"/>
          </reference>
          <reference field="9" count="1" selected="0">
            <x v="7"/>
          </reference>
        </references>
      </pivotArea>
    </format>
    <format dxfId="5264">
      <pivotArea dataOnly="0" labelOnly="1" outline="0" fieldPosition="0">
        <references count="4">
          <reference field="0" count="1" selected="0">
            <x v="70"/>
          </reference>
          <reference field="1" count="1" selected="0">
            <x v="37"/>
          </reference>
          <reference field="2" count="1">
            <x v="0"/>
          </reference>
          <reference field="9" count="1" selected="0">
            <x v="7"/>
          </reference>
        </references>
      </pivotArea>
    </format>
    <format dxfId="5263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7"/>
          </reference>
        </references>
      </pivotArea>
    </format>
    <format dxfId="5262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3"/>
          </reference>
          <reference field="9" count="1" selected="0">
            <x v="7"/>
          </reference>
        </references>
      </pivotArea>
    </format>
    <format dxfId="526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5"/>
          </reference>
          <reference field="2" count="1">
            <x v="2"/>
          </reference>
          <reference field="9" count="1" selected="0">
            <x v="8"/>
          </reference>
        </references>
      </pivotArea>
    </format>
    <format dxfId="526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6"/>
          </reference>
          <reference field="2" count="1">
            <x v="2"/>
          </reference>
          <reference field="9" count="1" selected="0">
            <x v="8"/>
          </reference>
        </references>
      </pivotArea>
    </format>
    <format dxfId="5259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8"/>
          </reference>
        </references>
      </pivotArea>
    </format>
    <format dxfId="5258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8"/>
          </reference>
        </references>
      </pivotArea>
    </format>
    <format dxfId="5257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34"/>
          </reference>
          <reference field="2" count="1">
            <x v="2"/>
          </reference>
          <reference field="9" count="1" selected="0">
            <x v="8"/>
          </reference>
        </references>
      </pivotArea>
    </format>
    <format dxfId="5256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5"/>
          </reference>
          <reference field="9" count="1" selected="0">
            <x v="8"/>
          </reference>
        </references>
      </pivotArea>
    </format>
    <format dxfId="5255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8"/>
          </reference>
        </references>
      </pivotArea>
    </format>
    <format dxfId="5254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8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8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6"/>
          </reference>
          <reference field="9" count="1" selected="0">
            <x v="8"/>
          </reference>
        </references>
      </pivotArea>
    </format>
    <format dxfId="5251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8"/>
          </reference>
        </references>
      </pivotArea>
    </format>
    <format dxfId="5250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8"/>
          </reference>
        </references>
      </pivotArea>
    </format>
    <format dxfId="524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47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9"/>
          </reference>
        </references>
      </pivotArea>
    </format>
    <format dxfId="5246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45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6"/>
          </reference>
          <reference field="9" count="1" selected="0">
            <x v="9"/>
          </reference>
        </references>
      </pivotArea>
    </format>
    <format dxfId="5244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43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4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6"/>
          </reference>
          <reference field="9" count="1" selected="0">
            <x v="9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6"/>
          </reference>
          <reference field="9" count="1" selected="0">
            <x v="9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9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5"/>
          </reference>
          <reference field="2" count="1">
            <x v="2"/>
          </reference>
          <reference field="9" count="1" selected="0">
            <x v="10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8"/>
          </reference>
          <reference field="2" count="1">
            <x v="2"/>
          </reference>
          <reference field="9" count="1" selected="0">
            <x v="10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10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10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34"/>
          </reference>
          <reference field="2" count="1">
            <x v="2"/>
          </reference>
          <reference field="9" count="1" selected="0">
            <x v="10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9"/>
          </reference>
          <reference field="9" count="1" selected="0">
            <x v="10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10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9"/>
          </reference>
          <reference field="9" count="1" selected="0">
            <x v="10"/>
          </reference>
        </references>
      </pivotArea>
    </format>
    <format dxfId="5228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9"/>
          </reference>
          <reference field="9" count="1" selected="0">
            <x v="10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10"/>
          </reference>
        </references>
      </pivotArea>
    </format>
    <format dxfId="5226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10"/>
          </reference>
        </references>
      </pivotArea>
    </format>
    <format dxfId="522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5"/>
          </reference>
          <reference field="2" count="1">
            <x v="2"/>
          </reference>
          <reference field="9" count="1" selected="0">
            <x v="11"/>
          </reference>
        </references>
      </pivotArea>
    </format>
    <format dxfId="522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1">
            <x v="2"/>
          </reference>
          <reference field="9" count="1" selected="0">
            <x v="11"/>
          </reference>
        </references>
      </pivotArea>
    </format>
    <format dxfId="5223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11"/>
          </reference>
        </references>
      </pivotArea>
    </format>
    <format dxfId="522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11"/>
          </reference>
        </references>
      </pivotArea>
    </format>
    <format dxfId="5221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34"/>
          </reference>
          <reference field="2" count="1">
            <x v="2"/>
          </reference>
          <reference field="9" count="1" selected="0">
            <x v="11"/>
          </reference>
        </references>
      </pivotArea>
    </format>
    <format dxfId="5220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6"/>
          </reference>
          <reference field="9" count="1" selected="0">
            <x v="11"/>
          </reference>
        </references>
      </pivotArea>
    </format>
    <format dxfId="521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11"/>
          </reference>
        </references>
      </pivotArea>
    </format>
    <format dxfId="5218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11"/>
          </reference>
        </references>
      </pivotArea>
    </format>
    <format dxfId="5217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11"/>
          </reference>
        </references>
      </pivotArea>
    </format>
    <format dxfId="5216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6"/>
          </reference>
          <reference field="9" count="1" selected="0">
            <x v="11"/>
          </reference>
        </references>
      </pivotArea>
    </format>
    <format dxfId="5215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11"/>
          </reference>
        </references>
      </pivotArea>
    </format>
    <format dxfId="5214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11"/>
          </reference>
        </references>
      </pivotArea>
    </format>
    <format dxfId="521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6"/>
          </reference>
          <reference field="9" count="1" selected="0">
            <x v="12"/>
          </reference>
        </references>
      </pivotArea>
    </format>
    <format dxfId="521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9"/>
          </reference>
          <reference field="2" count="1">
            <x v="19"/>
          </reference>
          <reference field="9" count="1" selected="0">
            <x v="12"/>
          </reference>
        </references>
      </pivotArea>
    </format>
    <format dxfId="5211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43"/>
          </reference>
          <reference field="2" count="1">
            <x v="3"/>
          </reference>
          <reference field="9" count="1" selected="0">
            <x v="12"/>
          </reference>
        </references>
      </pivotArea>
    </format>
    <format dxfId="5210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8"/>
          </reference>
          <reference field="2" count="1">
            <x v="9"/>
          </reference>
          <reference field="9" count="1" selected="0">
            <x v="12"/>
          </reference>
        </references>
      </pivotArea>
    </format>
    <format dxfId="5209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1">
            <x v="3"/>
          </reference>
          <reference field="9" count="1" selected="0">
            <x v="12"/>
          </reference>
        </references>
      </pivotArea>
    </format>
    <format dxfId="5208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74"/>
          </reference>
          <reference field="2" count="1">
            <x v="55"/>
          </reference>
          <reference field="9" count="1" selected="0">
            <x v="12"/>
          </reference>
        </references>
      </pivotArea>
    </format>
    <format dxfId="5207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62"/>
          </reference>
          <reference field="2" count="1">
            <x v="2"/>
          </reference>
          <reference field="9" count="1" selected="0">
            <x v="12"/>
          </reference>
        </references>
      </pivotArea>
    </format>
    <format dxfId="5206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3"/>
          </reference>
          <reference field="9" count="1" selected="0">
            <x v="12"/>
          </reference>
        </references>
      </pivotArea>
    </format>
    <format dxfId="5205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20"/>
          </reference>
          <reference field="9" count="1" selected="0">
            <x v="12"/>
          </reference>
        </references>
      </pivotArea>
    </format>
    <format dxfId="5204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13"/>
          </reference>
          <reference field="2" count="1">
            <x v="8"/>
          </reference>
          <reference field="9" count="1" selected="0">
            <x v="12"/>
          </reference>
        </references>
      </pivotArea>
    </format>
    <format dxfId="5203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17"/>
          </reference>
          <reference field="9" count="1" selected="0">
            <x v="12"/>
          </reference>
        </references>
      </pivotArea>
    </format>
    <format dxfId="5202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82"/>
          </reference>
          <reference field="2" count="1">
            <x v="2"/>
          </reference>
          <reference field="9" count="1" selected="0">
            <x v="12"/>
          </reference>
        </references>
      </pivotArea>
    </format>
    <format dxfId="5201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2"/>
          </reference>
          <reference field="2" count="1">
            <x v="2"/>
          </reference>
          <reference field="9" count="1" selected="0">
            <x v="12"/>
          </reference>
        </references>
      </pivotArea>
    </format>
    <format dxfId="5200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9"/>
          </reference>
          <reference field="9" count="1" selected="0">
            <x v="12"/>
          </reference>
        </references>
      </pivotArea>
    </format>
    <format dxfId="5199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8"/>
          </reference>
          <reference field="2" count="1">
            <x v="8"/>
          </reference>
          <reference field="9" count="1" selected="0">
            <x v="12"/>
          </reference>
        </references>
      </pivotArea>
    </format>
    <format dxfId="5198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9"/>
          </reference>
          <reference field="9" count="1" selected="0">
            <x v="12"/>
          </reference>
        </references>
      </pivotArea>
    </format>
    <format dxfId="5197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6"/>
          </reference>
          <reference field="9" count="1" selected="0">
            <x v="12"/>
          </reference>
        </references>
      </pivotArea>
    </format>
    <format dxfId="5196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1">
            <x v="6"/>
          </reference>
          <reference field="9" count="1" selected="0">
            <x v="12"/>
          </reference>
        </references>
      </pivotArea>
    </format>
    <format dxfId="5195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23"/>
          </reference>
          <reference field="2" count="1">
            <x v="3"/>
          </reference>
          <reference field="9" count="1" selected="0">
            <x v="12"/>
          </reference>
        </references>
      </pivotArea>
    </format>
    <format dxfId="519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6"/>
          </reference>
          <reference field="9" count="1" selected="0">
            <x v="12"/>
          </reference>
        </references>
      </pivotArea>
    </format>
    <format dxfId="5193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13"/>
          </reference>
          <reference field="9" count="1" selected="0">
            <x v="12"/>
          </reference>
        </references>
      </pivotArea>
    </format>
    <format dxfId="5192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3"/>
          </reference>
          <reference field="9" count="1" selected="0">
            <x v="12"/>
          </reference>
        </references>
      </pivotArea>
    </format>
    <format dxfId="5191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8"/>
          </reference>
          <reference field="9" count="1" selected="0">
            <x v="12"/>
          </reference>
        </references>
      </pivotArea>
    </format>
    <format dxfId="5190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24"/>
          </reference>
          <reference field="2" count="1">
            <x v="3"/>
          </reference>
          <reference field="9" count="1" selected="0">
            <x v="12"/>
          </reference>
        </references>
      </pivotArea>
    </format>
    <format dxfId="5189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68"/>
          </reference>
          <reference field="2" count="1">
            <x v="3"/>
          </reference>
          <reference field="9" count="1" selected="0">
            <x v="12"/>
          </reference>
        </references>
      </pivotArea>
    </format>
    <format dxfId="5188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10"/>
          </reference>
          <reference field="9" count="1" selected="0">
            <x v="12"/>
          </reference>
        </references>
      </pivotArea>
    </format>
    <format dxfId="518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13"/>
          </reference>
        </references>
      </pivotArea>
    </format>
    <format dxfId="5186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13"/>
          </reference>
        </references>
      </pivotArea>
    </format>
    <format dxfId="5185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3"/>
          </reference>
          <reference field="9" count="1" selected="0">
            <x v="13"/>
          </reference>
        </references>
      </pivotArea>
    </format>
    <format dxfId="5184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5"/>
          </reference>
          <reference field="9" count="1" selected="0">
            <x v="13"/>
          </reference>
        </references>
      </pivotArea>
    </format>
    <format dxfId="5183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2"/>
          </reference>
          <reference field="9" count="1" selected="0">
            <x v="13"/>
          </reference>
        </references>
      </pivotArea>
    </format>
    <format dxfId="518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13"/>
          </reference>
        </references>
      </pivotArea>
    </format>
    <format dxfId="5181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2"/>
          </reference>
          <reference field="9" count="1" selected="0">
            <x v="13"/>
          </reference>
        </references>
      </pivotArea>
    </format>
    <format dxfId="5180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13"/>
          </reference>
        </references>
      </pivotArea>
    </format>
    <format dxfId="5179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5"/>
          </reference>
          <reference field="9" count="1" selected="0">
            <x v="13"/>
          </reference>
        </references>
      </pivotArea>
    </format>
    <format dxfId="5178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53"/>
          </reference>
          <reference field="2" count="1">
            <x v="2"/>
          </reference>
          <reference field="9" count="1" selected="0">
            <x v="13"/>
          </reference>
        </references>
      </pivotArea>
    </format>
    <format dxfId="5177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27"/>
          </reference>
          <reference field="2" count="1">
            <x v="2"/>
          </reference>
          <reference field="9" count="1" selected="0">
            <x v="13"/>
          </reference>
        </references>
      </pivotArea>
    </format>
    <format dxfId="5176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13"/>
          </reference>
        </references>
      </pivotArea>
    </format>
    <format dxfId="5175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13"/>
          </reference>
        </references>
      </pivotArea>
    </format>
    <format dxfId="517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3"/>
          </reference>
          <reference field="9" count="1" selected="0">
            <x v="14"/>
          </reference>
        </references>
      </pivotArea>
    </format>
    <format dxfId="517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7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3"/>
          </reference>
          <reference field="9" count="1" selected="0">
            <x v="14"/>
          </reference>
        </references>
      </pivotArea>
    </format>
    <format dxfId="5171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70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55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69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9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68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67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13"/>
          </reference>
          <reference field="9" count="1" selected="0">
            <x v="14"/>
          </reference>
        </references>
      </pivotArea>
    </format>
    <format dxfId="5166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65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36"/>
          </reference>
          <reference field="9" count="1" selected="0">
            <x v="14"/>
          </reference>
        </references>
      </pivotArea>
    </format>
    <format dxfId="5164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7"/>
          </reference>
          <reference field="2" count="1">
            <x v="3"/>
          </reference>
          <reference field="9" count="1" selected="0">
            <x v="14"/>
          </reference>
        </references>
      </pivotArea>
    </format>
    <format dxfId="5163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36"/>
          </reference>
          <reference field="9" count="1" selected="0">
            <x v="14"/>
          </reference>
        </references>
      </pivotArea>
    </format>
    <format dxfId="5162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36"/>
          </reference>
          <reference field="9" count="1" selected="0">
            <x v="14"/>
          </reference>
        </references>
      </pivotArea>
    </format>
    <format dxfId="5161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27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60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75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59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14"/>
          </reference>
        </references>
      </pivotArea>
    </format>
    <format dxfId="5158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3"/>
          </reference>
          <reference field="9" count="1" selected="0">
            <x v="14"/>
          </reference>
        </references>
      </pivotArea>
    </format>
    <format dxfId="515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15"/>
          </reference>
        </references>
      </pivotArea>
    </format>
    <format dxfId="5156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15"/>
          </reference>
        </references>
      </pivotArea>
    </format>
    <format dxfId="5155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32"/>
          </reference>
          <reference field="2" count="1">
            <x v="3"/>
          </reference>
          <reference field="9" count="1" selected="0">
            <x v="15"/>
          </reference>
        </references>
      </pivotArea>
    </format>
    <format dxfId="5154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58"/>
          </reference>
          <reference field="2" count="2">
            <x v="2"/>
            <x v="3"/>
          </reference>
          <reference field="9" count="1" selected="0">
            <x v="15"/>
          </reference>
        </references>
      </pivotArea>
    </format>
    <format dxfId="5153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2">
            <x v="2"/>
            <x v="3"/>
          </reference>
          <reference field="9" count="1" selected="0">
            <x v="15"/>
          </reference>
        </references>
      </pivotArea>
    </format>
    <format dxfId="5152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3">
            <x v="2"/>
            <x v="6"/>
            <x v="10"/>
          </reference>
          <reference field="9" count="1" selected="0">
            <x v="15"/>
          </reference>
        </references>
      </pivotArea>
    </format>
    <format dxfId="5151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2">
            <x v="10"/>
            <x v="13"/>
          </reference>
          <reference field="9" count="1" selected="0">
            <x v="15"/>
          </reference>
        </references>
      </pivotArea>
    </format>
    <format dxfId="5150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1">
            <x v="5"/>
          </reference>
          <reference field="9" count="1" selected="0">
            <x v="15"/>
          </reference>
        </references>
      </pivotArea>
    </format>
    <format dxfId="5149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2">
            <x v="10"/>
            <x v="13"/>
          </reference>
          <reference field="9" count="1" selected="0">
            <x v="15"/>
          </reference>
        </references>
      </pivotArea>
    </format>
    <format dxfId="5148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3">
            <x v="1"/>
            <x v="10"/>
            <x v="13"/>
          </reference>
          <reference field="9" count="1" selected="0">
            <x v="15"/>
          </reference>
        </references>
      </pivotArea>
    </format>
    <format dxfId="5147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53"/>
          </reference>
          <reference field="2" count="1">
            <x v="3"/>
          </reference>
          <reference field="9" count="1" selected="0">
            <x v="15"/>
          </reference>
        </references>
      </pivotArea>
    </format>
    <format dxfId="5146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27"/>
          </reference>
          <reference field="2" count="1">
            <x v="2"/>
          </reference>
          <reference field="9" count="1" selected="0">
            <x v="15"/>
          </reference>
        </references>
      </pivotArea>
    </format>
    <format dxfId="5145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75"/>
          </reference>
          <reference field="2" count="2">
            <x v="2"/>
            <x v="4"/>
          </reference>
          <reference field="9" count="1" selected="0">
            <x v="15"/>
          </reference>
        </references>
      </pivotArea>
    </format>
    <format dxfId="5144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15"/>
          </reference>
        </references>
      </pivotArea>
    </format>
    <format dxfId="5143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15"/>
          </reference>
        </references>
      </pivotArea>
    </format>
    <format dxfId="514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5"/>
          </reference>
          <reference field="2" count="1">
            <x v="13"/>
          </reference>
          <reference field="9" count="1" selected="0">
            <x v="16"/>
          </reference>
        </references>
      </pivotArea>
    </format>
    <format dxfId="5141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13"/>
          </reference>
          <reference field="9" count="1" selected="0">
            <x v="16"/>
          </reference>
        </references>
      </pivotArea>
    </format>
    <format dxfId="514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3"/>
          </reference>
          <reference field="9" count="1" selected="0">
            <x v="17"/>
          </reference>
        </references>
      </pivotArea>
    </format>
    <format dxfId="513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3"/>
          </reference>
          <reference field="9" count="1" selected="0">
            <x v="18"/>
          </reference>
        </references>
      </pivotArea>
    </format>
    <format dxfId="513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3"/>
          </reference>
          <reference field="9" count="1" selected="0">
            <x v="18"/>
          </reference>
        </references>
      </pivotArea>
    </format>
    <format dxfId="5137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3"/>
          </reference>
          <reference field="9" count="1" selected="0">
            <x v="18"/>
          </reference>
        </references>
      </pivotArea>
    </format>
    <format dxfId="5136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11"/>
          </reference>
          <reference field="9" count="1" selected="0">
            <x v="18"/>
          </reference>
        </references>
      </pivotArea>
    </format>
    <format dxfId="5135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24"/>
          </reference>
          <reference field="9" count="1" selected="0">
            <x v="18"/>
          </reference>
        </references>
      </pivotArea>
    </format>
    <format dxfId="5134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6"/>
          </reference>
          <reference field="9" count="1" selected="0">
            <x v="18"/>
          </reference>
        </references>
      </pivotArea>
    </format>
    <format dxfId="5133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6"/>
          </reference>
          <reference field="9" count="1" selected="0">
            <x v="18"/>
          </reference>
        </references>
      </pivotArea>
    </format>
    <format dxfId="513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24"/>
          </reference>
          <reference field="9" count="1" selected="0">
            <x v="18"/>
          </reference>
        </references>
      </pivotArea>
    </format>
    <format dxfId="5131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3"/>
          </reference>
          <reference field="9" count="1" selected="0">
            <x v="18"/>
          </reference>
        </references>
      </pivotArea>
    </format>
    <format dxfId="5130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3"/>
          </reference>
          <reference field="9" count="1" selected="0">
            <x v="18"/>
          </reference>
        </references>
      </pivotArea>
    </format>
    <format dxfId="5129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6"/>
          </reference>
          <reference field="9" count="1" selected="0">
            <x v="18"/>
          </reference>
        </references>
      </pivotArea>
    </format>
    <format dxfId="5128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6"/>
          </reference>
          <reference field="9" count="1" selected="0">
            <x v="18"/>
          </reference>
        </references>
      </pivotArea>
    </format>
    <format dxfId="512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2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25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2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23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2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2">
            <x v="2"/>
            <x v="6"/>
          </reference>
          <reference field="9" count="1" selected="0">
            <x v="19"/>
          </reference>
        </references>
      </pivotArea>
    </format>
    <format dxfId="5121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2">
            <x v="5"/>
            <x v="8"/>
          </reference>
          <reference field="9" count="1" selected="0">
            <x v="19"/>
          </reference>
        </references>
      </pivotArea>
    </format>
    <format dxfId="5120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1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18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3"/>
          </reference>
          <reference field="9" count="1" selected="0">
            <x v="19"/>
          </reference>
        </references>
      </pivotArea>
    </format>
    <format dxfId="5117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3"/>
          </reference>
          <reference field="9" count="1" selected="0">
            <x v="19"/>
          </reference>
        </references>
      </pivotArea>
    </format>
    <format dxfId="5116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15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3">
            <x v="5"/>
            <x v="8"/>
            <x v="16"/>
          </reference>
          <reference field="9" count="1" selected="0">
            <x v="19"/>
          </reference>
        </references>
      </pivotArea>
    </format>
    <format dxfId="5114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1">
            <x v="3"/>
          </reference>
          <reference field="9" count="1" selected="0">
            <x v="19"/>
          </reference>
        </references>
      </pivotArea>
    </format>
    <format dxfId="5113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3">
            <x v="5"/>
            <x v="8"/>
            <x v="16"/>
          </reference>
          <reference field="9" count="1" selected="0">
            <x v="19"/>
          </reference>
        </references>
      </pivotArea>
    </format>
    <format dxfId="5112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2">
            <x v="5"/>
            <x v="16"/>
          </reference>
          <reference field="9" count="1" selected="0">
            <x v="19"/>
          </reference>
        </references>
      </pivotArea>
    </format>
    <format dxfId="5111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53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10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09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08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19"/>
          </reference>
        </references>
      </pivotArea>
    </format>
    <format dxfId="510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0"/>
          </reference>
        </references>
      </pivotArea>
    </format>
    <format dxfId="510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0"/>
          </reference>
        </references>
      </pivotArea>
    </format>
    <format dxfId="5105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0"/>
          </reference>
        </references>
      </pivotArea>
    </format>
    <format dxfId="5104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0"/>
          </reference>
        </references>
      </pivotArea>
    </format>
    <format dxfId="5103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5"/>
          </reference>
          <reference field="9" count="1" selected="0">
            <x v="20"/>
          </reference>
        </references>
      </pivotArea>
    </format>
    <format dxfId="5102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0"/>
          </reference>
        </references>
      </pivotArea>
    </format>
    <format dxfId="5101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0"/>
          </reference>
        </references>
      </pivotArea>
    </format>
    <format dxfId="5100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20"/>
          </reference>
        </references>
      </pivotArea>
    </format>
    <format dxfId="5099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20"/>
          </reference>
        </references>
      </pivotArea>
    </format>
    <format dxfId="5098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0"/>
          </reference>
        </references>
      </pivotArea>
    </format>
    <format dxfId="5097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0"/>
          </reference>
        </references>
      </pivotArea>
    </format>
    <format dxfId="5096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0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1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91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90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"/>
          </reference>
          <reference field="9" count="1" selected="0">
            <x v="21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84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83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1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80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2"/>
          </reference>
        </references>
      </pivotArea>
    </format>
    <format dxfId="5079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78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77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76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75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2">
            <x v="2"/>
            <x v="8"/>
          </reference>
          <reference field="9" count="1" selected="0">
            <x v="22"/>
          </reference>
        </references>
      </pivotArea>
    </format>
    <format dxfId="507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73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6"/>
          </reference>
          <reference field="9" count="1" selected="0">
            <x v="22"/>
          </reference>
        </references>
      </pivotArea>
    </format>
    <format dxfId="5072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71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70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2"/>
          </reference>
        </references>
      </pivotArea>
    </format>
    <format dxfId="506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6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67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66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3"/>
          </reference>
        </references>
      </pivotArea>
    </format>
    <format dxfId="5065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64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63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6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2">
            <x v="2"/>
            <x v="13"/>
          </reference>
          <reference field="9" count="1" selected="0">
            <x v="23"/>
          </reference>
        </references>
      </pivotArea>
    </format>
    <format dxfId="5061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60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59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58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3"/>
          </reference>
        </references>
      </pivotArea>
    </format>
    <format dxfId="505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5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55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54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4"/>
          </reference>
        </references>
      </pivotArea>
    </format>
    <format dxfId="5053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2">
            <x v="2"/>
            <x v="8"/>
          </reference>
          <reference field="9" count="1" selected="0">
            <x v="24"/>
          </reference>
        </references>
      </pivotArea>
    </format>
    <format dxfId="5052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51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50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49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48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47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46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4"/>
          </reference>
        </references>
      </pivotArea>
    </format>
    <format dxfId="504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5"/>
          </reference>
        </references>
      </pivotArea>
    </format>
    <format dxfId="504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5"/>
          </reference>
        </references>
      </pivotArea>
    </format>
    <format dxfId="5043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5"/>
          </reference>
        </references>
      </pivotArea>
    </format>
    <format dxfId="504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5"/>
          </reference>
        </references>
      </pivotArea>
    </format>
    <format dxfId="5041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"/>
          </reference>
          <reference field="9" count="1" selected="0">
            <x v="25"/>
          </reference>
        </references>
      </pivotArea>
    </format>
    <format dxfId="5040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5"/>
          </reference>
        </references>
      </pivotArea>
    </format>
    <format dxfId="503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5"/>
          </reference>
        </references>
      </pivotArea>
    </format>
    <format dxfId="5038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3"/>
          </reference>
          <reference field="9" count="1" selected="0">
            <x v="25"/>
          </reference>
        </references>
      </pivotArea>
    </format>
    <format dxfId="5037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"/>
          </reference>
          <reference field="9" count="1" selected="0">
            <x v="25"/>
          </reference>
        </references>
      </pivotArea>
    </format>
    <format dxfId="5036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5"/>
          </reference>
        </references>
      </pivotArea>
    </format>
    <format dxfId="5035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5"/>
          </reference>
        </references>
      </pivotArea>
    </format>
    <format dxfId="5034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5"/>
          </reference>
        </references>
      </pivotArea>
    </format>
    <format dxfId="503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5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3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3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30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8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2">
            <x v="3"/>
            <x v="6"/>
          </reference>
          <reference field="9" count="1" selected="0">
            <x v="26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34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5"/>
          </reference>
          <reference field="9" count="1" selected="0">
            <x v="26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2">
            <x v="5"/>
            <x v="6"/>
          </reference>
          <reference field="9" count="1" selected="0">
            <x v="26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26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"/>
          </reference>
          <reference field="9" count="1" selected="0">
            <x v="26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6"/>
          </reference>
        </references>
      </pivotArea>
    </format>
    <format dxfId="501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1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1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13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7"/>
          </reference>
        </references>
      </pivotArea>
    </format>
    <format dxfId="5012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8"/>
          </reference>
          <reference field="9" count="1" selected="0">
            <x v="27"/>
          </reference>
        </references>
      </pivotArea>
    </format>
    <format dxfId="5011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8"/>
          </reference>
          <reference field="9" count="1" selected="0">
            <x v="27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7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8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8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8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8"/>
          </reference>
        </references>
      </pivotArea>
    </format>
    <format dxfId="5000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"/>
          </reference>
          <reference field="9" count="1" selected="0">
            <x v="28"/>
          </reference>
        </references>
      </pivotArea>
    </format>
    <format dxfId="4999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8"/>
          </reference>
        </references>
      </pivotArea>
    </format>
    <format dxfId="4998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8"/>
          </reference>
        </references>
      </pivotArea>
    </format>
    <format dxfId="4997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3"/>
          </reference>
          <reference field="9" count="1" selected="0">
            <x v="28"/>
          </reference>
        </references>
      </pivotArea>
    </format>
    <format dxfId="4996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3"/>
          </reference>
          <reference field="9" count="1" selected="0">
            <x v="28"/>
          </reference>
        </references>
      </pivotArea>
    </format>
    <format dxfId="4995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"/>
          </reference>
          <reference field="9" count="1" selected="0">
            <x v="28"/>
          </reference>
        </references>
      </pivotArea>
    </format>
    <format dxfId="4994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8"/>
          </reference>
        </references>
      </pivotArea>
    </format>
    <format dxfId="4993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8"/>
          </reference>
        </references>
      </pivotArea>
    </format>
    <format dxfId="4992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8"/>
          </reference>
        </references>
      </pivotArea>
    </format>
    <format dxfId="499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5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9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8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88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87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29"/>
          </reference>
        </references>
      </pivotArea>
    </format>
    <format dxfId="4986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10"/>
          </reference>
          <reference field="9" count="1" selected="0">
            <x v="29"/>
          </reference>
        </references>
      </pivotArea>
    </format>
    <format dxfId="4985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84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83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10"/>
          </reference>
          <reference field="9" count="1" selected="0">
            <x v="29"/>
          </reference>
        </references>
      </pivotArea>
    </format>
    <format dxfId="4982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81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80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79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29"/>
          </reference>
        </references>
      </pivotArea>
    </format>
    <format dxfId="497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5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7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7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75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7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73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2">
            <x v="3"/>
            <x v="6"/>
          </reference>
          <reference field="9" count="1" selected="0">
            <x v="30"/>
          </reference>
        </references>
      </pivotArea>
    </format>
    <format dxfId="4972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2">
            <x v="6"/>
            <x v="8"/>
          </reference>
          <reference field="9" count="1" selected="0">
            <x v="30"/>
          </reference>
        </references>
      </pivotArea>
    </format>
    <format dxfId="4971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7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69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2">
            <x v="6"/>
            <x v="9"/>
          </reference>
          <reference field="9" count="1" selected="0">
            <x v="30"/>
          </reference>
        </references>
      </pivotArea>
    </format>
    <format dxfId="4968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5"/>
          </reference>
          <reference field="9" count="1" selected="0">
            <x v="30"/>
          </reference>
        </references>
      </pivotArea>
    </format>
    <format dxfId="4967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66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65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30"/>
          </reference>
        </references>
      </pivotArea>
    </format>
    <format dxfId="496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1">
            <x v="2"/>
          </reference>
          <reference field="9" count="1" selected="0">
            <x v="31"/>
          </reference>
        </references>
      </pivotArea>
    </format>
    <format dxfId="496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31"/>
          </reference>
        </references>
      </pivotArea>
    </format>
    <format dxfId="4962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31"/>
          </reference>
        </references>
      </pivotArea>
    </format>
    <format dxfId="4961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31"/>
          </reference>
        </references>
      </pivotArea>
    </format>
    <format dxfId="4960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"/>
          </reference>
          <reference field="9" count="1" selected="0">
            <x v="31"/>
          </reference>
        </references>
      </pivotArea>
    </format>
    <format dxfId="4959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31"/>
          </reference>
        </references>
      </pivotArea>
    </format>
    <format dxfId="4958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31"/>
          </reference>
        </references>
      </pivotArea>
    </format>
    <format dxfId="4957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3"/>
          </reference>
          <reference field="9" count="1" selected="0">
            <x v="31"/>
          </reference>
        </references>
      </pivotArea>
    </format>
    <format dxfId="4956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3"/>
          </reference>
          <reference field="9" count="1" selected="0">
            <x v="31"/>
          </reference>
        </references>
      </pivotArea>
    </format>
    <format dxfId="4955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5"/>
          </reference>
          <reference field="9" count="1" selected="0">
            <x v="31"/>
          </reference>
        </references>
      </pivotArea>
    </format>
    <format dxfId="4954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31"/>
          </reference>
        </references>
      </pivotArea>
    </format>
    <format dxfId="4953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31"/>
          </reference>
        </references>
      </pivotArea>
    </format>
    <format dxfId="4952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31"/>
          </reference>
        </references>
      </pivotArea>
    </format>
    <format dxfId="495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5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49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48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32"/>
          </reference>
        </references>
      </pivotArea>
    </format>
    <format dxfId="4947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10"/>
          </reference>
          <reference field="9" count="1" selected="0">
            <x v="32"/>
          </reference>
        </references>
      </pivotArea>
    </format>
    <format dxfId="4946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45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44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10"/>
          </reference>
          <reference field="9" count="1" selected="0">
            <x v="32"/>
          </reference>
        </references>
      </pivotArea>
    </format>
    <format dxfId="4943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42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41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40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32"/>
          </reference>
        </references>
      </pivotArea>
    </format>
    <format dxfId="493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3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37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36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33"/>
          </reference>
        </references>
      </pivotArea>
    </format>
    <format dxfId="4935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34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33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3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31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6"/>
          </reference>
          <reference field="9" count="1" selected="0">
            <x v="33"/>
          </reference>
        </references>
      </pivotArea>
    </format>
    <format dxfId="4930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29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28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33"/>
          </reference>
        </references>
      </pivotArea>
    </format>
    <format dxfId="492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34"/>
          </reference>
        </references>
      </pivotArea>
    </format>
    <format dxfId="4926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34"/>
          </reference>
        </references>
      </pivotArea>
    </format>
    <format dxfId="4925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3"/>
          </reference>
          <reference field="9" count="1" selected="0">
            <x v="34"/>
          </reference>
        </references>
      </pivotArea>
    </format>
    <format dxfId="4924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5"/>
          </reference>
          <reference field="9" count="1" selected="0">
            <x v="34"/>
          </reference>
        </references>
      </pivotArea>
    </format>
    <format dxfId="4923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2"/>
          </reference>
          <reference field="9" count="1" selected="0">
            <x v="34"/>
          </reference>
        </references>
      </pivotArea>
    </format>
    <format dxfId="492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34"/>
          </reference>
        </references>
      </pivotArea>
    </format>
    <format dxfId="4921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34"/>
          </reference>
        </references>
      </pivotArea>
    </format>
    <format dxfId="4920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5"/>
          </reference>
          <reference field="9" count="1" selected="0">
            <x v="34"/>
          </reference>
        </references>
      </pivotArea>
    </format>
    <format dxfId="4919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25"/>
          </reference>
          <reference field="2" count="1">
            <x v="2"/>
          </reference>
          <reference field="9" count="1" selected="0">
            <x v="34"/>
          </reference>
        </references>
      </pivotArea>
    </format>
    <format dxfId="4918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53"/>
          </reference>
          <reference field="2" count="1">
            <x v="2"/>
          </reference>
          <reference field="9" count="1" selected="0">
            <x v="34"/>
          </reference>
        </references>
      </pivotArea>
    </format>
    <format dxfId="4917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34"/>
          </reference>
        </references>
      </pivotArea>
    </format>
    <format dxfId="4916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34"/>
          </reference>
        </references>
      </pivotArea>
    </format>
    <format dxfId="491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14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13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55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12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9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11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5"/>
          </reference>
          <reference field="9" count="1" selected="0">
            <x v="35"/>
          </reference>
        </references>
      </pivotArea>
    </format>
    <format dxfId="4910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5"/>
          </reference>
          <reference field="9" count="1" selected="0">
            <x v="35"/>
          </reference>
        </references>
      </pivotArea>
    </format>
    <format dxfId="4909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08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35"/>
          </reference>
        </references>
      </pivotArea>
    </format>
    <format dxfId="4907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06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5"/>
          </reference>
          <reference field="9" count="1" selected="0">
            <x v="35"/>
          </reference>
        </references>
      </pivotArea>
    </format>
    <format dxfId="4905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27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04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03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35"/>
          </reference>
        </references>
      </pivotArea>
    </format>
    <format dxfId="490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36"/>
          </reference>
        </references>
      </pivotArea>
    </format>
    <format dxfId="4901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36"/>
          </reference>
        </references>
      </pivotArea>
    </format>
    <format dxfId="4900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55"/>
          </reference>
          <reference field="2" count="1">
            <x v="2"/>
          </reference>
          <reference field="9" count="1" selected="0">
            <x v="36"/>
          </reference>
        </references>
      </pivotArea>
    </format>
    <format dxfId="4899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9"/>
          </reference>
          <reference field="2" count="1">
            <x v="2"/>
          </reference>
          <reference field="9" count="1" selected="0">
            <x v="36"/>
          </reference>
        </references>
      </pivotArea>
    </format>
    <format dxfId="4898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3"/>
          </reference>
          <reference field="9" count="1" selected="0">
            <x v="36"/>
          </reference>
        </references>
      </pivotArea>
    </format>
    <format dxfId="4897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5"/>
          </reference>
          <reference field="9" count="1" selected="0">
            <x v="36"/>
          </reference>
        </references>
      </pivotArea>
    </format>
    <format dxfId="4896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2"/>
          </reference>
          <reference field="9" count="1" selected="0">
            <x v="36"/>
          </reference>
        </references>
      </pivotArea>
    </format>
    <format dxfId="4895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"/>
          </reference>
          <reference field="9" count="1" selected="0">
            <x v="36"/>
          </reference>
        </references>
      </pivotArea>
    </format>
    <format dxfId="489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"/>
          </reference>
          <reference field="9" count="1" selected="0">
            <x v="36"/>
          </reference>
        </references>
      </pivotArea>
    </format>
    <format dxfId="4893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5"/>
          </reference>
          <reference field="9" count="1" selected="0">
            <x v="36"/>
          </reference>
        </references>
      </pivotArea>
    </format>
    <format dxfId="4892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27"/>
          </reference>
          <reference field="2" count="1">
            <x v="2"/>
          </reference>
          <reference field="9" count="1" selected="0">
            <x v="36"/>
          </reference>
        </references>
      </pivotArea>
    </format>
    <format dxfId="4891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2"/>
          </reference>
          <reference field="9" count="1" selected="0">
            <x v="36"/>
          </reference>
        </references>
      </pivotArea>
    </format>
    <format dxfId="4890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2"/>
          </reference>
          <reference field="9" count="1" selected="0">
            <x v="36"/>
          </reference>
        </references>
      </pivotArea>
    </format>
    <format dxfId="488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2">
            <x v="2"/>
            <x v="3"/>
          </reference>
          <reference field="9" count="1" selected="0">
            <x v="37"/>
          </reference>
        </references>
      </pivotArea>
    </format>
    <format dxfId="488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8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9"/>
          </reference>
          <reference field="2" count="1">
            <x v="3"/>
          </reference>
          <reference field="9" count="1" selected="0">
            <x v="37"/>
          </reference>
        </references>
      </pivotArea>
    </format>
    <format dxfId="488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85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2">
            <x v="2"/>
            <x v="3"/>
          </reference>
          <reference field="9" count="1" selected="0">
            <x v="37"/>
          </reference>
        </references>
      </pivotArea>
    </format>
    <format dxfId="4884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6"/>
          </reference>
          <reference field="9" count="1" selected="0">
            <x v="37"/>
          </reference>
        </references>
      </pivotArea>
    </format>
    <format dxfId="4883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10"/>
          </reference>
          <reference field="2" count="3">
            <x v="2"/>
            <x v="3"/>
            <x v="8"/>
          </reference>
          <reference field="9" count="1" selected="0">
            <x v="37"/>
          </reference>
        </references>
      </pivotArea>
    </format>
    <format dxfId="4882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3"/>
          </reference>
          <reference field="9" count="1" selected="0">
            <x v="37"/>
          </reference>
        </references>
      </pivotArea>
    </format>
    <format dxfId="4881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4">
            <x v="2"/>
            <x v="3"/>
            <x v="6"/>
            <x v="9"/>
          </reference>
          <reference field="9" count="1" selected="0">
            <x v="37"/>
          </reference>
        </references>
      </pivotArea>
    </format>
    <format dxfId="488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2">
            <x v="2"/>
            <x v="3"/>
          </reference>
          <reference field="9" count="1" selected="0">
            <x v="37"/>
          </reference>
        </references>
      </pivotArea>
    </format>
    <format dxfId="4879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78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63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77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3"/>
          </reference>
          <reference field="9" count="1" selected="0">
            <x v="37"/>
          </reference>
        </references>
      </pivotArea>
    </format>
    <format dxfId="4876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3">
            <x v="33"/>
            <x v="36"/>
            <x v="47"/>
          </reference>
          <reference field="9" count="1" selected="0">
            <x v="37"/>
          </reference>
        </references>
      </pivotArea>
    </format>
    <format dxfId="4875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2">
            <x v="2"/>
            <x v="3"/>
          </reference>
          <reference field="9" count="1" selected="0">
            <x v="37"/>
          </reference>
        </references>
      </pivotArea>
    </format>
    <format dxfId="487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3">
            <x v="36"/>
            <x v="45"/>
            <x v="47"/>
          </reference>
          <reference field="9" count="1" selected="0">
            <x v="37"/>
          </reference>
        </references>
      </pivotArea>
    </format>
    <format dxfId="4873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"/>
          </reference>
          <reference field="9" count="1" selected="0">
            <x v="37"/>
          </reference>
        </references>
      </pivotArea>
    </format>
    <format dxfId="4872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72"/>
          </reference>
          <reference field="2" count="3">
            <x v="30"/>
            <x v="36"/>
            <x v="47"/>
          </reference>
          <reference field="9" count="1" selected="0">
            <x v="37"/>
          </reference>
        </references>
      </pivotArea>
    </format>
    <format dxfId="4871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85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70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27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69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75"/>
          </reference>
          <reference field="2" count="2">
            <x v="2"/>
            <x v="3"/>
          </reference>
          <reference field="9" count="1" selected="0">
            <x v="37"/>
          </reference>
        </references>
      </pivotArea>
    </format>
    <format dxfId="4868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2">
            <x v="2"/>
            <x v="5"/>
          </reference>
          <reference field="9" count="1" selected="0">
            <x v="37"/>
          </reference>
        </references>
      </pivotArea>
    </format>
    <format dxfId="4867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24"/>
          </reference>
          <reference field="2" count="1">
            <x v="3"/>
          </reference>
          <reference field="9" count="1" selected="0">
            <x v="37"/>
          </reference>
        </references>
      </pivotArea>
    </format>
    <format dxfId="4866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68"/>
          </reference>
          <reference field="2" count="1">
            <x v="3"/>
          </reference>
          <reference field="9" count="1" selected="0">
            <x v="37"/>
          </reference>
        </references>
      </pivotArea>
    </format>
    <format dxfId="4865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2">
            <x v="2"/>
            <x v="5"/>
          </reference>
          <reference field="9" count="1" selected="0">
            <x v="37"/>
          </reference>
        </references>
      </pivotArea>
    </format>
    <format dxfId="4864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41"/>
          </reference>
          <reference field="2" count="2">
            <x v="2"/>
            <x v="3"/>
          </reference>
          <reference field="9" count="1" selected="0">
            <x v="37"/>
          </reference>
        </references>
      </pivotArea>
    </format>
    <format dxfId="4863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62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0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61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66"/>
          </reference>
          <reference field="2" count="1">
            <x v="2"/>
          </reference>
          <reference field="9" count="1" selected="0">
            <x v="37"/>
          </reference>
        </references>
      </pivotArea>
    </format>
    <format dxfId="486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59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3"/>
          </reference>
          <reference field="9" count="1" selected="0">
            <x v="38"/>
          </reference>
        </references>
      </pivotArea>
    </format>
    <format dxfId="4858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3"/>
          </reference>
          <reference field="9" count="1" selected="0">
            <x v="38"/>
          </reference>
        </references>
      </pivotArea>
    </format>
    <format dxfId="4857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6"/>
          </reference>
          <reference field="9" count="1" selected="0">
            <x v="38"/>
          </reference>
        </references>
      </pivotArea>
    </format>
    <format dxfId="4856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71"/>
          </reference>
          <reference field="2" count="1">
            <x v="5"/>
          </reference>
          <reference field="9" count="1" selected="0">
            <x v="38"/>
          </reference>
        </references>
      </pivotArea>
    </format>
    <format dxfId="4855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73"/>
          </reference>
          <reference field="2" count="3">
            <x v="15"/>
            <x v="21"/>
            <x v="25"/>
          </reference>
          <reference field="9" count="1" selected="0">
            <x v="38"/>
          </reference>
        </references>
      </pivotArea>
    </format>
    <format dxfId="4854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42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53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52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3"/>
          </reference>
          <reference field="9" count="1" selected="0">
            <x v="38"/>
          </reference>
        </references>
      </pivotArea>
    </format>
    <format dxfId="4851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8"/>
          </reference>
          <reference field="2" count="3">
            <x v="2"/>
            <x v="5"/>
            <x v="9"/>
          </reference>
          <reference field="9" count="1" selected="0">
            <x v="38"/>
          </reference>
        </references>
      </pivotArea>
    </format>
    <format dxfId="4850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49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60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48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11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47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6"/>
          </reference>
          <reference field="9" count="1" selected="0">
            <x v="38"/>
          </reference>
        </references>
      </pivotArea>
    </format>
    <format dxfId="4846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3">
            <x v="15"/>
            <x v="21"/>
            <x v="25"/>
          </reference>
          <reference field="9" count="1" selected="0">
            <x v="38"/>
          </reference>
        </references>
      </pivotArea>
    </format>
    <format dxfId="4845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30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44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1">
            <x v="3"/>
          </reference>
          <reference field="9" count="1" selected="0">
            <x v="38"/>
          </reference>
        </references>
      </pivotArea>
    </format>
    <format dxfId="4843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42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3">
            <x v="15"/>
            <x v="21"/>
            <x v="25"/>
          </reference>
          <reference field="9" count="1" selected="0">
            <x v="38"/>
          </reference>
        </references>
      </pivotArea>
    </format>
    <format dxfId="4841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"/>
          </reference>
          <reference field="9" count="1" selected="0">
            <x v="38"/>
          </reference>
        </references>
      </pivotArea>
    </format>
    <format dxfId="4840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81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39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27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38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76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37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2">
            <x v="2"/>
            <x v="5"/>
          </reference>
          <reference field="9" count="1" selected="0">
            <x v="38"/>
          </reference>
        </references>
      </pivotArea>
    </format>
    <format dxfId="4836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24"/>
          </reference>
          <reference field="2" count="1">
            <x v="3"/>
          </reference>
          <reference field="9" count="1" selected="0">
            <x v="38"/>
          </reference>
        </references>
      </pivotArea>
    </format>
    <format dxfId="4835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68"/>
          </reference>
          <reference field="2" count="1">
            <x v="3"/>
          </reference>
          <reference field="9" count="1" selected="0">
            <x v="38"/>
          </reference>
        </references>
      </pivotArea>
    </format>
    <format dxfId="4834">
      <pivotArea dataOnly="0" labelOnly="1" outline="0" fieldPosition="0">
        <references count="4">
          <reference field="0" count="1" selected="0">
            <x v="78"/>
          </reference>
          <reference field="1" count="1" selected="0">
            <x v="67"/>
          </reference>
          <reference field="2" count="1">
            <x v="2"/>
          </reference>
          <reference field="9" count="1" selected="0">
            <x v="38"/>
          </reference>
        </references>
      </pivotArea>
    </format>
    <format dxfId="4833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2">
            <x v="2"/>
            <x v="5"/>
          </reference>
          <reference field="9" count="1" selected="0">
            <x v="38"/>
          </reference>
        </references>
      </pivotArea>
    </format>
    <format dxfId="4832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3"/>
          </reference>
          <reference field="9" count="1" selected="0">
            <x v="38"/>
          </reference>
        </references>
      </pivotArea>
    </format>
    <format dxfId="483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3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2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4"/>
          </reference>
          <reference field="2" count="1">
            <x v="9"/>
          </reference>
          <reference field="9" count="1" selected="0">
            <x v="39"/>
          </reference>
        </references>
      </pivotArea>
    </format>
    <format dxfId="482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27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26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5"/>
          </reference>
          <reference field="9" count="1" selected="0">
            <x v="39"/>
          </reference>
        </references>
      </pivotArea>
    </format>
    <format dxfId="4825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9"/>
          </reference>
          <reference field="9" count="1" selected="0">
            <x v="39"/>
          </reference>
        </references>
      </pivotArea>
    </format>
    <format dxfId="4824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2">
            <x v="2"/>
            <x v="6"/>
          </reference>
          <reference field="9" count="1" selected="0">
            <x v="39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12"/>
          </reference>
          <reference field="9" count="1" selected="0">
            <x v="39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15"/>
          </reference>
          <reference field="9" count="1" selected="0">
            <x v="39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7"/>
          </reference>
          <reference field="2" count="1">
            <x v="2"/>
          </reference>
          <reference field="9" count="1" selected="0">
            <x v="39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15"/>
          </reference>
          <reference field="9" count="1" selected="0">
            <x v="39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9"/>
          </reference>
          <reference field="9" count="1" selected="0">
            <x v="39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27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13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3"/>
          </reference>
          <reference field="9" count="1" selected="0">
            <x v="39"/>
          </reference>
        </references>
      </pivotArea>
    </format>
    <format dxfId="4812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1">
            <x v="6"/>
          </reference>
          <reference field="9" count="1" selected="0">
            <x v="39"/>
          </reference>
        </references>
      </pivotArea>
    </format>
    <format dxfId="481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2">
            <x v="6"/>
            <x v="13"/>
          </reference>
          <reference field="9" count="1" selected="0">
            <x v="40"/>
          </reference>
        </references>
      </pivotArea>
    </format>
    <format dxfId="481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4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809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2">
            <x v="6"/>
            <x v="13"/>
          </reference>
          <reference field="9" count="1" selected="0">
            <x v="40"/>
          </reference>
        </references>
      </pivotArea>
    </format>
    <format dxfId="4808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807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3">
            <x v="13"/>
            <x v="21"/>
            <x v="23"/>
          </reference>
          <reference field="9" count="1" selected="0">
            <x v="40"/>
          </reference>
        </references>
      </pivotArea>
    </format>
    <format dxfId="4806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13"/>
          </reference>
          <reference field="9" count="1" selected="0">
            <x v="40"/>
          </reference>
        </references>
      </pivotArea>
    </format>
    <format dxfId="4805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64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804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2">
            <x v="13"/>
            <x v="15"/>
          </reference>
          <reference field="9" count="1" selected="0">
            <x v="40"/>
          </reference>
        </references>
      </pivotArea>
    </format>
    <format dxfId="4803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73"/>
          </reference>
          <reference field="2" count="1">
            <x v="60"/>
          </reference>
          <reference field="9" count="1" selected="0">
            <x v="40"/>
          </reference>
        </references>
      </pivotArea>
    </format>
    <format dxfId="4802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61"/>
          </reference>
          <reference field="2" count="1">
            <x v="3"/>
          </reference>
          <reference field="9" count="1" selected="0">
            <x v="40"/>
          </reference>
        </references>
      </pivotArea>
    </format>
    <format dxfId="4801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42"/>
          </reference>
          <reference field="2" count="2">
            <x v="5"/>
            <x v="12"/>
          </reference>
          <reference field="9" count="1" selected="0">
            <x v="40"/>
          </reference>
        </references>
      </pivotArea>
    </format>
    <format dxfId="4800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7"/>
          </reference>
          <reference field="2" count="1">
            <x v="13"/>
          </reference>
          <reference field="9" count="1" selected="0">
            <x v="40"/>
          </reference>
        </references>
      </pivotArea>
    </format>
    <format dxfId="4799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9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798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13"/>
          </reference>
          <reference field="9" count="1" selected="0">
            <x v="40"/>
          </reference>
        </references>
      </pivotArea>
    </format>
    <format dxfId="4797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8"/>
          </reference>
          <reference field="2" count="2">
            <x v="13"/>
            <x v="34"/>
          </reference>
          <reference field="9" count="1" selected="0">
            <x v="40"/>
          </reference>
        </references>
      </pivotArea>
    </format>
    <format dxfId="4796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795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11"/>
          </reference>
          <reference field="2" count="1">
            <x v="13"/>
          </reference>
          <reference field="9" count="1" selected="0">
            <x v="40"/>
          </reference>
        </references>
      </pivotArea>
    </format>
    <format dxfId="4794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6"/>
          </reference>
          <reference field="9" count="1" selected="0">
            <x v="40"/>
          </reference>
        </references>
      </pivotArea>
    </format>
    <format dxfId="4793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8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79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61"/>
          </reference>
          <reference field="9" count="1" selected="0">
            <x v="40"/>
          </reference>
        </references>
      </pivotArea>
    </format>
    <format dxfId="4791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1">
            <x v="16"/>
          </reference>
          <reference field="9" count="1" selected="0">
            <x v="40"/>
          </reference>
        </references>
      </pivotArea>
    </format>
    <format dxfId="4790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23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789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788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61"/>
          </reference>
          <reference field="9" count="1" selected="0">
            <x v="40"/>
          </reference>
        </references>
      </pivotArea>
    </format>
    <format dxfId="4787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2">
            <x v="8"/>
            <x v="9"/>
          </reference>
          <reference field="9" count="1" selected="0">
            <x v="40"/>
          </reference>
        </references>
      </pivotArea>
    </format>
    <format dxfId="4786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5"/>
          </reference>
          <reference field="9" count="1" selected="0">
            <x v="40"/>
          </reference>
        </references>
      </pivotArea>
    </format>
    <format dxfId="4785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26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784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81"/>
          </reference>
          <reference field="2" count="1">
            <x v="5"/>
          </reference>
          <reference field="9" count="1" selected="0">
            <x v="40"/>
          </reference>
        </references>
      </pivotArea>
    </format>
    <format dxfId="4783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13"/>
          </reference>
          <reference field="9" count="1" selected="0">
            <x v="40"/>
          </reference>
        </references>
      </pivotArea>
    </format>
    <format dxfId="4782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1"/>
          </reference>
          <reference field="2" count="1">
            <x v="9"/>
          </reference>
          <reference field="9" count="1" selected="0">
            <x v="40"/>
          </reference>
        </references>
      </pivotArea>
    </format>
    <format dxfId="4781">
      <pivotArea dataOnly="0" labelOnly="1" outline="0" fieldPosition="0">
        <references count="4">
          <reference field="0" count="1" selected="0">
            <x v="70"/>
          </reference>
          <reference field="1" count="1" selected="0">
            <x v="37"/>
          </reference>
          <reference field="2" count="1">
            <x v="2"/>
          </reference>
          <reference field="9" count="1" selected="0">
            <x v="40"/>
          </reference>
        </references>
      </pivotArea>
    </format>
    <format dxfId="4780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76"/>
          </reference>
          <reference field="2" count="1">
            <x v="16"/>
          </reference>
          <reference field="9" count="1" selected="0">
            <x v="40"/>
          </reference>
        </references>
      </pivotArea>
    </format>
    <format dxfId="4779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13"/>
          </reference>
          <reference field="9" count="1" selected="0">
            <x v="40"/>
          </reference>
        </references>
      </pivotArea>
    </format>
    <format dxfId="4778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24"/>
          </reference>
          <reference field="2" count="2">
            <x v="9"/>
            <x v="13"/>
          </reference>
          <reference field="9" count="1" selected="0">
            <x v="40"/>
          </reference>
        </references>
      </pivotArea>
    </format>
    <format dxfId="4777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68"/>
          </reference>
          <reference field="2" count="1">
            <x v="9"/>
          </reference>
          <reference field="9" count="1" selected="0">
            <x v="40"/>
          </reference>
        </references>
      </pivotArea>
    </format>
    <format dxfId="4776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2">
            <x v="13"/>
            <x v="19"/>
          </reference>
          <reference field="9" count="1" selected="0">
            <x v="40"/>
          </reference>
        </references>
      </pivotArea>
    </format>
    <format dxfId="4775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13"/>
          </reference>
          <reference field="9" count="1" selected="0">
            <x v="40"/>
          </reference>
        </references>
      </pivotArea>
    </format>
    <format dxfId="477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2">
            <x v="3"/>
            <x v="5"/>
          </reference>
          <reference field="9" count="1" selected="0">
            <x v="41"/>
          </reference>
        </references>
      </pivotArea>
    </format>
    <format dxfId="477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9"/>
          </reference>
          <reference field="2" count="4">
            <x v="3"/>
            <x v="6"/>
            <x v="15"/>
            <x v="19"/>
          </reference>
          <reference field="9" count="1" selected="0">
            <x v="41"/>
          </reference>
        </references>
      </pivotArea>
    </format>
    <format dxfId="4772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43"/>
          </reference>
          <reference field="2" count="2">
            <x v="5"/>
            <x v="9"/>
          </reference>
          <reference field="9" count="1" selected="0">
            <x v="41"/>
          </reference>
        </references>
      </pivotArea>
    </format>
    <format dxfId="4771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8"/>
          </reference>
          <reference field="2" count="2">
            <x v="5"/>
            <x v="6"/>
          </reference>
          <reference field="9" count="1" selected="0">
            <x v="41"/>
          </reference>
        </references>
      </pivotArea>
    </format>
    <format dxfId="4770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74"/>
          </reference>
          <reference field="2" count="2">
            <x v="46"/>
            <x v="54"/>
          </reference>
          <reference field="9" count="1" selected="0">
            <x v="41"/>
          </reference>
        </references>
      </pivotArea>
    </format>
    <format dxfId="4769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62"/>
          </reference>
          <reference field="2" count="1">
            <x v="9"/>
          </reference>
          <reference field="9" count="1" selected="0">
            <x v="41"/>
          </reference>
        </references>
      </pivotArea>
    </format>
    <format dxfId="4768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5"/>
          </reference>
          <reference field="9" count="1" selected="0">
            <x v="41"/>
          </reference>
        </references>
      </pivotArea>
    </format>
    <format dxfId="4767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2">
            <x v="5"/>
            <x v="9"/>
          </reference>
          <reference field="9" count="1" selected="0">
            <x v="41"/>
          </reference>
        </references>
      </pivotArea>
    </format>
    <format dxfId="4766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13"/>
          </reference>
          <reference field="2" count="2">
            <x v="2"/>
            <x v="5"/>
          </reference>
          <reference field="9" count="1" selected="0">
            <x v="41"/>
          </reference>
        </references>
      </pivotArea>
    </format>
    <format dxfId="4765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2"/>
          </reference>
          <reference field="9" count="1" selected="0">
            <x v="41"/>
          </reference>
        </references>
      </pivotArea>
    </format>
    <format dxfId="4764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33"/>
          </reference>
          <reference field="2" count="1">
            <x v="11"/>
          </reference>
          <reference field="9" count="1" selected="0">
            <x v="41"/>
          </reference>
        </references>
      </pivotArea>
    </format>
    <format dxfId="4763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3">
            <x v="8"/>
            <x v="11"/>
            <x v="36"/>
          </reference>
          <reference field="9" count="1" selected="0">
            <x v="41"/>
          </reference>
        </references>
      </pivotArea>
    </format>
    <format dxfId="4762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82"/>
          </reference>
          <reference field="2" count="1">
            <x v="2"/>
          </reference>
          <reference field="9" count="1" selected="0">
            <x v="41"/>
          </reference>
        </references>
      </pivotArea>
    </format>
    <format dxfId="4761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73"/>
          </reference>
          <reference field="2" count="1">
            <x v="49"/>
          </reference>
          <reference field="9" count="1" selected="0">
            <x v="41"/>
          </reference>
        </references>
      </pivotArea>
    </format>
    <format dxfId="4760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2">
            <x v="3"/>
            <x v="5"/>
          </reference>
          <reference field="9" count="1" selected="0">
            <x v="41"/>
          </reference>
        </references>
      </pivotArea>
    </format>
    <format dxfId="4759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42"/>
          </reference>
          <reference field="2" count="1">
            <x v="2"/>
          </reference>
          <reference field="9" count="1" selected="0">
            <x v="41"/>
          </reference>
        </references>
      </pivotArea>
    </format>
    <format dxfId="4758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1">
            <x v="11"/>
          </reference>
          <reference field="9" count="1" selected="0">
            <x v="41"/>
          </reference>
        </references>
      </pivotArea>
    </format>
    <format dxfId="4757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8"/>
          </reference>
          <reference field="2" count="1">
            <x v="8"/>
          </reference>
          <reference field="9" count="1" selected="0">
            <x v="41"/>
          </reference>
        </references>
      </pivotArea>
    </format>
    <format dxfId="4756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2">
            <x v="3"/>
            <x v="5"/>
          </reference>
          <reference field="9" count="1" selected="0">
            <x v="41"/>
          </reference>
        </references>
      </pivotArea>
    </format>
    <format dxfId="4755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8"/>
          </reference>
          <reference field="2" count="1">
            <x v="17"/>
          </reference>
          <reference field="9" count="1" selected="0">
            <x v="41"/>
          </reference>
        </references>
      </pivotArea>
    </format>
    <format dxfId="4754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31"/>
          </reference>
          <reference field="2" count="1">
            <x v="5"/>
          </reference>
          <reference field="9" count="1" selected="0">
            <x v="41"/>
          </reference>
        </references>
      </pivotArea>
    </format>
    <format dxfId="4753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11"/>
          </reference>
          <reference field="2" count="1">
            <x v="3"/>
          </reference>
          <reference field="9" count="1" selected="0">
            <x v="41"/>
          </reference>
        </references>
      </pivotArea>
    </format>
    <format dxfId="475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59"/>
          </reference>
          <reference field="9" count="1" selected="0">
            <x v="41"/>
          </reference>
        </references>
      </pivotArea>
    </format>
    <format dxfId="4751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1">
            <x v="2"/>
          </reference>
          <reference field="9" count="1" selected="0">
            <x v="41"/>
          </reference>
        </references>
      </pivotArea>
    </format>
    <format dxfId="4750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3"/>
          </reference>
          <reference field="9" count="1" selected="0">
            <x v="41"/>
          </reference>
        </references>
      </pivotArea>
    </format>
    <format dxfId="4749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9"/>
          </reference>
          <reference field="9" count="1" selected="0">
            <x v="41"/>
          </reference>
        </references>
      </pivotArea>
    </format>
    <format dxfId="4748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5"/>
          </reference>
          <reference field="9" count="1" selected="0">
            <x v="41"/>
          </reference>
        </references>
      </pivotArea>
    </format>
    <format dxfId="4747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5"/>
          </reference>
          <reference field="9" count="1" selected="0">
            <x v="41"/>
          </reference>
        </references>
      </pivotArea>
    </format>
    <format dxfId="4746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77"/>
          </reference>
          <reference field="2" count="1">
            <x v="5"/>
          </reference>
          <reference field="9" count="1" selected="0">
            <x v="41"/>
          </reference>
        </references>
      </pivotArea>
    </format>
    <format dxfId="4745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24"/>
          </reference>
          <reference field="2" count="1">
            <x v="5"/>
          </reference>
          <reference field="9" count="1" selected="0">
            <x v="41"/>
          </reference>
        </references>
      </pivotArea>
    </format>
    <format dxfId="4744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12"/>
          </reference>
          <reference field="2" count="1">
            <x v="10"/>
          </reference>
          <reference field="9" count="1" selected="0">
            <x v="41"/>
          </reference>
        </references>
      </pivotArea>
    </format>
    <format dxfId="4743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41"/>
          </reference>
          <reference field="2" count="1">
            <x v="3"/>
          </reference>
          <reference field="9" count="1" selected="0">
            <x v="41"/>
          </reference>
        </references>
      </pivotArea>
    </format>
    <format dxfId="4742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5"/>
          </reference>
          <reference field="9" count="1" selected="0">
            <x v="41"/>
          </reference>
        </references>
      </pivotArea>
    </format>
    <format dxfId="4741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0"/>
          </reference>
          <reference field="2" count="1">
            <x v="2"/>
          </reference>
          <reference field="9" count="1" selected="0">
            <x v="42"/>
          </reference>
        </references>
      </pivotArea>
    </format>
    <format dxfId="4740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66"/>
          </reference>
          <reference field="2" count="1">
            <x v="2"/>
          </reference>
          <reference field="9" count="1" selected="0">
            <x v="42"/>
          </reference>
        </references>
      </pivotArea>
    </format>
    <format dxfId="4739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42"/>
          </reference>
          <reference field="2" count="1">
            <x v="2"/>
          </reference>
          <reference field="9" count="1" selected="0">
            <x v="43"/>
          </reference>
        </references>
      </pivotArea>
    </format>
    <format dxfId="4738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1">
            <x v="3"/>
          </reference>
          <reference field="9" count="1" selected="0">
            <x v="44"/>
          </reference>
        </references>
      </pivotArea>
    </format>
    <format dxfId="4737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72"/>
          </reference>
          <reference field="2" count="1">
            <x v="7"/>
          </reference>
          <reference field="9" count="1" selected="0">
            <x v="44"/>
          </reference>
        </references>
      </pivotArea>
    </format>
    <format dxfId="4736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66"/>
          </reference>
          <reference field="2" count="1">
            <x v="2"/>
          </reference>
          <reference field="9" count="1" selected="0">
            <x v="44"/>
          </reference>
        </references>
      </pivotArea>
    </format>
    <format dxfId="473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2"/>
          </reference>
          <reference field="9" count="1" selected="0">
            <x v="45"/>
          </reference>
        </references>
      </pivotArea>
    </format>
    <format dxfId="4734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6"/>
          </reference>
          <reference field="9" count="1" selected="0">
            <x v="45"/>
          </reference>
        </references>
      </pivotArea>
    </format>
    <format dxfId="4733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2"/>
          </reference>
          <reference field="9" count="1" selected="0">
            <x v="45"/>
          </reference>
        </references>
      </pivotArea>
    </format>
    <format dxfId="4732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2"/>
          </reference>
          <reference field="9" count="1" selected="0">
            <x v="45"/>
          </reference>
        </references>
      </pivotArea>
    </format>
    <format dxfId="4731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73"/>
          </reference>
          <reference field="2" count="5">
            <x v="15"/>
            <x v="31"/>
            <x v="41"/>
            <x v="44"/>
            <x v="48"/>
          </reference>
          <reference field="9" count="1" selected="0">
            <x v="45"/>
          </reference>
        </references>
      </pivotArea>
    </format>
    <format dxfId="4730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42"/>
          </reference>
          <reference field="2" count="2">
            <x v="2"/>
            <x v="3"/>
          </reference>
          <reference field="9" count="1" selected="0">
            <x v="45"/>
          </reference>
        </references>
      </pivotArea>
    </format>
    <format dxfId="472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2"/>
          </reference>
          <reference field="9" count="1" selected="0">
            <x v="45"/>
          </reference>
        </references>
      </pivotArea>
    </format>
    <format dxfId="4728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8"/>
          </reference>
          <reference field="2" count="3">
            <x v="3"/>
            <x v="6"/>
            <x v="8"/>
          </reference>
          <reference field="9" count="1" selected="0">
            <x v="45"/>
          </reference>
        </references>
      </pivotArea>
    </format>
    <format dxfId="4727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60"/>
          </reference>
          <reference field="2" count="2">
            <x v="2"/>
            <x v="3"/>
          </reference>
          <reference field="9" count="1" selected="0">
            <x v="45"/>
          </reference>
        </references>
      </pivotArea>
    </format>
    <format dxfId="4726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11"/>
          </reference>
          <reference field="2" count="3">
            <x v="2"/>
            <x v="3"/>
            <x v="6"/>
          </reference>
          <reference field="9" count="1" selected="0">
            <x v="45"/>
          </reference>
        </references>
      </pivotArea>
    </format>
    <format dxfId="4725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47"/>
          </reference>
          <reference field="9" count="1" selected="0">
            <x v="45"/>
          </reference>
        </references>
      </pivotArea>
    </format>
    <format dxfId="4724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2">
            <x v="2"/>
            <x v="8"/>
          </reference>
          <reference field="9" count="1" selected="0">
            <x v="45"/>
          </reference>
        </references>
      </pivotArea>
    </format>
    <format dxfId="4723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47"/>
          </reference>
          <reference field="9" count="1" selected="0">
            <x v="45"/>
          </reference>
        </references>
      </pivotArea>
    </format>
    <format dxfId="4722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76"/>
          </reference>
          <reference field="2" count="1">
            <x v="2"/>
          </reference>
          <reference field="9" count="1" selected="0">
            <x v="45"/>
          </reference>
        </references>
      </pivotArea>
    </format>
    <format dxfId="4721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"/>
          </reference>
          <reference field="9" count="1" selected="0">
            <x v="45"/>
          </reference>
        </references>
      </pivotArea>
    </format>
    <format dxfId="4720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0"/>
          </reference>
          <reference field="2" count="2">
            <x v="2"/>
            <x v="3"/>
          </reference>
          <reference field="9" count="1" selected="0">
            <x v="45"/>
          </reference>
        </references>
      </pivotArea>
    </format>
    <format dxfId="4719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66"/>
          </reference>
          <reference field="2" count="1">
            <x v="3"/>
          </reference>
          <reference field="9" count="1" selected="0">
            <x v="45"/>
          </reference>
        </references>
      </pivotArea>
    </format>
    <format dxfId="471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35"/>
          </reference>
          <reference field="9" count="1" selected="0">
            <x v="46"/>
          </reference>
        </references>
      </pivotArea>
    </format>
    <format dxfId="471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1">
            <x v="3"/>
          </reference>
          <reference field="9" count="1" selected="0">
            <x v="46"/>
          </reference>
        </references>
      </pivotArea>
    </format>
    <format dxfId="471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39"/>
          </reference>
          <reference field="9" count="1" selected="0">
            <x v="46"/>
          </reference>
        </references>
      </pivotArea>
    </format>
    <format dxfId="4715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1">
            <x v="9"/>
          </reference>
          <reference field="9" count="1" selected="0">
            <x v="46"/>
          </reference>
        </references>
      </pivotArea>
    </format>
    <format dxfId="471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1">
            <x v="37"/>
          </reference>
          <reference field="9" count="1" selected="0">
            <x v="46"/>
          </reference>
        </references>
      </pivotArea>
    </format>
    <format dxfId="4713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2">
            <x v="6"/>
            <x v="12"/>
          </reference>
          <reference field="9" count="1" selected="0">
            <x v="46"/>
          </reference>
        </references>
      </pivotArea>
    </format>
    <format dxfId="471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51"/>
          </reference>
          <reference field="9" count="1" selected="0">
            <x v="46"/>
          </reference>
        </references>
      </pivotArea>
    </format>
    <format dxfId="4711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7"/>
          </reference>
          <reference field="2" count="1">
            <x v="13"/>
          </reference>
          <reference field="9" count="1" selected="0">
            <x v="46"/>
          </reference>
        </references>
      </pivotArea>
    </format>
    <format dxfId="4710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33"/>
          </reference>
          <reference field="2" count="1">
            <x v="2"/>
          </reference>
          <reference field="9" count="1" selected="0">
            <x v="46"/>
          </reference>
        </references>
      </pivotArea>
    </format>
    <format dxfId="4709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6"/>
          </reference>
          <reference field="9" count="1" selected="0">
            <x v="46"/>
          </reference>
        </references>
      </pivotArea>
    </format>
    <format dxfId="4708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73"/>
          </reference>
          <reference field="2" count="1">
            <x v="57"/>
          </reference>
          <reference field="9" count="1" selected="0">
            <x v="46"/>
          </reference>
        </references>
      </pivotArea>
    </format>
    <format dxfId="4707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42"/>
          </reference>
          <reference field="2" count="2">
            <x v="2"/>
            <x v="3"/>
          </reference>
          <reference field="9" count="1" selected="0">
            <x v="46"/>
          </reference>
        </references>
      </pivotArea>
    </format>
    <format dxfId="4706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7"/>
          </reference>
          <reference field="2" count="1">
            <x v="9"/>
          </reference>
          <reference field="9" count="1" selected="0">
            <x v="46"/>
          </reference>
        </references>
      </pivotArea>
    </format>
    <format dxfId="4705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1">
            <x v="6"/>
          </reference>
          <reference field="9" count="1" selected="0">
            <x v="46"/>
          </reference>
        </references>
      </pivotArea>
    </format>
    <format dxfId="4704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40"/>
          </reference>
          <reference field="9" count="1" selected="0">
            <x v="46"/>
          </reference>
        </references>
      </pivotArea>
    </format>
    <format dxfId="4703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8"/>
          </reference>
          <reference field="2" count="2">
            <x v="2"/>
            <x v="24"/>
          </reference>
          <reference field="9" count="1" selected="0">
            <x v="46"/>
          </reference>
        </references>
      </pivotArea>
    </format>
    <format dxfId="4702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2">
            <x v="3"/>
            <x v="6"/>
          </reference>
          <reference field="9" count="1" selected="0">
            <x v="46"/>
          </reference>
        </references>
      </pivotArea>
    </format>
    <format dxfId="4701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60"/>
          </reference>
          <reference field="2" count="2">
            <x v="2"/>
            <x v="6"/>
          </reference>
          <reference field="9" count="1" selected="0">
            <x v="46"/>
          </reference>
        </references>
      </pivotArea>
    </format>
    <format dxfId="4700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11"/>
          </reference>
          <reference field="2" count="1">
            <x v="6"/>
          </reference>
          <reference field="9" count="1" selected="0">
            <x v="46"/>
          </reference>
        </references>
      </pivotArea>
    </format>
    <format dxfId="4699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28"/>
          </reference>
          <reference field="9" count="1" selected="0">
            <x v="46"/>
          </reference>
        </references>
      </pivotArea>
    </format>
    <format dxfId="4698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2">
            <x v="47"/>
            <x v="62"/>
          </reference>
          <reference field="9" count="1" selected="0">
            <x v="46"/>
          </reference>
        </references>
      </pivotArea>
    </format>
    <format dxfId="4697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30"/>
          </reference>
          <reference field="2" count="2">
            <x v="2"/>
            <x v="3"/>
          </reference>
          <reference field="9" count="1" selected="0">
            <x v="46"/>
          </reference>
        </references>
      </pivotArea>
    </format>
    <format dxfId="4696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1">
            <x v="30"/>
          </reference>
          <reference field="9" count="1" selected="0">
            <x v="46"/>
          </reference>
        </references>
      </pivotArea>
    </format>
    <format dxfId="4695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7"/>
          </reference>
          <reference field="2" count="1">
            <x v="10"/>
          </reference>
          <reference field="9" count="1" selected="0">
            <x v="46"/>
          </reference>
        </references>
      </pivotArea>
    </format>
    <format dxfId="469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2">
            <x v="47"/>
            <x v="62"/>
          </reference>
          <reference field="9" count="1" selected="0">
            <x v="46"/>
          </reference>
        </references>
      </pivotArea>
    </format>
    <format dxfId="4693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"/>
          </reference>
          <reference field="9" count="1" selected="0">
            <x v="46"/>
          </reference>
        </references>
      </pivotArea>
    </format>
    <format dxfId="4692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2">
            <x v="36"/>
            <x v="50"/>
          </reference>
          <reference field="9" count="1" selected="0">
            <x v="46"/>
          </reference>
        </references>
      </pivotArea>
    </format>
    <format dxfId="4691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81"/>
          </reference>
          <reference field="2" count="1">
            <x v="2"/>
          </reference>
          <reference field="9" count="1" selected="0">
            <x v="46"/>
          </reference>
        </references>
      </pivotArea>
    </format>
    <format dxfId="4690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37"/>
          </reference>
          <reference field="9" count="1" selected="0">
            <x v="46"/>
          </reference>
        </references>
      </pivotArea>
    </format>
    <format dxfId="4689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75"/>
          </reference>
          <reference field="2" count="1">
            <x v="3"/>
          </reference>
          <reference field="9" count="1" selected="0">
            <x v="46"/>
          </reference>
        </references>
      </pivotArea>
    </format>
    <format dxfId="4688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76"/>
          </reference>
          <reference field="2" count="2">
            <x v="2"/>
            <x v="3"/>
          </reference>
          <reference field="9" count="1" selected="0">
            <x v="46"/>
          </reference>
        </references>
      </pivotArea>
    </format>
    <format dxfId="4687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1">
            <x v="38"/>
          </reference>
          <reference field="9" count="1" selected="0">
            <x v="46"/>
          </reference>
        </references>
      </pivotArea>
    </format>
    <format dxfId="4686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24"/>
          </reference>
          <reference field="2" count="1">
            <x v="3"/>
          </reference>
          <reference field="9" count="1" selected="0">
            <x v="46"/>
          </reference>
        </references>
      </pivotArea>
    </format>
    <format dxfId="4685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68"/>
          </reference>
          <reference field="2" count="1">
            <x v="3"/>
          </reference>
          <reference field="9" count="1" selected="0">
            <x v="46"/>
          </reference>
        </references>
      </pivotArea>
    </format>
    <format dxfId="4684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41"/>
          </reference>
          <reference field="2" count="1">
            <x v="2"/>
          </reference>
          <reference field="9" count="1" selected="0">
            <x v="46"/>
          </reference>
        </references>
      </pivotArea>
    </format>
    <format dxfId="4683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40"/>
          </reference>
          <reference field="9" count="1" selected="0">
            <x v="46"/>
          </reference>
        </references>
      </pivotArea>
    </format>
    <format dxfId="468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8"/>
          </reference>
          <reference field="9" count="1" selected="0">
            <x v="47"/>
          </reference>
        </references>
      </pivotArea>
    </format>
    <format dxfId="468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2">
            <x v="3"/>
            <x v="8"/>
          </reference>
          <reference field="9" count="1" selected="0">
            <x v="47"/>
          </reference>
        </references>
      </pivotArea>
    </format>
    <format dxfId="468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2">
            <x v="3"/>
            <x v="8"/>
          </reference>
          <reference field="9" count="1" selected="0">
            <x v="47"/>
          </reference>
        </references>
      </pivotArea>
    </format>
    <format dxfId="467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9"/>
          </reference>
          <reference field="2" count="1">
            <x v="2"/>
          </reference>
          <reference field="9" count="1" selected="0">
            <x v="47"/>
          </reference>
        </references>
      </pivotArea>
    </format>
    <format dxfId="4678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6"/>
          </reference>
          <reference field="2" count="1">
            <x v="3"/>
          </reference>
          <reference field="9" count="1" selected="0">
            <x v="47"/>
          </reference>
        </references>
      </pivotArea>
    </format>
    <format dxfId="4677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83"/>
          </reference>
          <reference field="2" count="2">
            <x v="6"/>
            <x v="8"/>
          </reference>
          <reference field="9" count="1" selected="0">
            <x v="47"/>
          </reference>
        </references>
      </pivotArea>
    </format>
    <format dxfId="4676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2">
            <x v="3"/>
            <x v="6"/>
          </reference>
          <reference field="9" count="1" selected="0">
            <x v="47"/>
          </reference>
        </references>
      </pivotArea>
    </format>
    <format dxfId="4675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3">
            <x v="3"/>
            <x v="15"/>
            <x v="18"/>
          </reference>
          <reference field="9" count="1" selected="0">
            <x v="47"/>
          </reference>
        </references>
      </pivotArea>
    </format>
    <format dxfId="4674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4">
            <x v="3"/>
            <x v="6"/>
            <x v="13"/>
            <x v="36"/>
          </reference>
          <reference field="9" count="1" selected="0">
            <x v="47"/>
          </reference>
        </references>
      </pivotArea>
    </format>
    <format dxfId="4673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10"/>
          </reference>
          <reference field="2" count="2">
            <x v="2"/>
            <x v="3"/>
          </reference>
          <reference field="9" count="1" selected="0">
            <x v="47"/>
          </reference>
        </references>
      </pivotArea>
    </format>
    <format dxfId="4672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2">
            <x v="3"/>
            <x v="8"/>
          </reference>
          <reference field="9" count="1" selected="0">
            <x v="47"/>
          </reference>
        </references>
      </pivotArea>
    </format>
    <format dxfId="4671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3">
            <x v="5"/>
            <x v="6"/>
            <x v="10"/>
          </reference>
          <reference field="9" count="1" selected="0">
            <x v="47"/>
          </reference>
        </references>
      </pivotArea>
    </format>
    <format dxfId="4670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9"/>
          </reference>
          <reference field="2" count="1">
            <x v="2"/>
          </reference>
          <reference field="9" count="1" selected="0">
            <x v="47"/>
          </reference>
        </references>
      </pivotArea>
    </format>
    <format dxfId="466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3">
            <x v="2"/>
            <x v="3"/>
            <x v="8"/>
          </reference>
          <reference field="9" count="1" selected="0">
            <x v="47"/>
          </reference>
        </references>
      </pivotArea>
    </format>
    <format dxfId="4668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2"/>
          </reference>
          <reference field="9" count="1" selected="0">
            <x v="47"/>
          </reference>
        </references>
      </pivotArea>
    </format>
    <format dxfId="4667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5">
            <x v="3"/>
            <x v="5"/>
            <x v="6"/>
            <x v="9"/>
            <x v="11"/>
          </reference>
          <reference field="9" count="1" selected="0">
            <x v="47"/>
          </reference>
        </references>
      </pivotArea>
    </format>
    <format dxfId="4666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4">
            <x v="2"/>
            <x v="13"/>
            <x v="36"/>
            <x v="47"/>
          </reference>
          <reference field="9" count="1" selected="0">
            <x v="47"/>
          </reference>
        </references>
      </pivotArea>
    </format>
    <format dxfId="4665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2"/>
          </reference>
          <reference field="2" count="3">
            <x v="3"/>
            <x v="6"/>
            <x v="23"/>
          </reference>
          <reference field="9" count="1" selected="0">
            <x v="47"/>
          </reference>
        </references>
      </pivotArea>
    </format>
    <format dxfId="4664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7"/>
          </reference>
          <reference field="2" count="1">
            <x v="2"/>
          </reference>
          <reference field="9" count="1" selected="0">
            <x v="47"/>
          </reference>
        </references>
      </pivotArea>
    </format>
    <format dxfId="4663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2">
            <x v="2"/>
            <x v="3"/>
          </reference>
          <reference field="9" count="1" selected="0">
            <x v="47"/>
          </reference>
        </references>
      </pivotArea>
    </format>
    <format dxfId="4662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4">
            <x v="13"/>
            <x v="36"/>
            <x v="47"/>
            <x v="50"/>
          </reference>
          <reference field="9" count="1" selected="0">
            <x v="47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3">
            <x v="3"/>
            <x v="8"/>
            <x v="13"/>
          </reference>
          <reference field="9" count="1" selected="0">
            <x v="47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3">
            <x v="2"/>
            <x v="36"/>
            <x v="47"/>
          </reference>
          <reference field="9" count="1" selected="0">
            <x v="47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72"/>
          </reference>
          <reference field="2" count="2">
            <x v="36"/>
            <x v="47"/>
          </reference>
          <reference field="9" count="1" selected="0">
            <x v="47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2">
            <x v="6"/>
            <x v="8"/>
          </reference>
          <reference field="9" count="1" selected="0">
            <x v="47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85"/>
          </reference>
          <reference field="2" count="1">
            <x v="2"/>
          </reference>
          <reference field="9" count="1" selected="0">
            <x v="47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75"/>
          </reference>
          <reference field="2" count="3">
            <x v="2"/>
            <x v="3"/>
            <x v="9"/>
          </reference>
          <reference field="9" count="1" selected="0">
            <x v="47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21"/>
          </reference>
          <reference field="2" count="4">
            <x v="3"/>
            <x v="5"/>
            <x v="6"/>
            <x v="8"/>
          </reference>
          <reference field="9" count="1" selected="0">
            <x v="47"/>
          </reference>
        </references>
      </pivotArea>
    </format>
    <format dxfId="4654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24"/>
          </reference>
          <reference field="2" count="1">
            <x v="3"/>
          </reference>
          <reference field="9" count="1" selected="0">
            <x v="47"/>
          </reference>
        </references>
      </pivotArea>
    </format>
    <format dxfId="4653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68"/>
          </reference>
          <reference field="2" count="1">
            <x v="3"/>
          </reference>
          <reference field="9" count="1" selected="0">
            <x v="47"/>
          </reference>
        </references>
      </pivotArea>
    </format>
    <format dxfId="4652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78"/>
          </reference>
          <reference field="2" count="3">
            <x v="3"/>
            <x v="6"/>
            <x v="8"/>
          </reference>
          <reference field="9" count="1" selected="0">
            <x v="47"/>
          </reference>
        </references>
      </pivotArea>
    </format>
    <format dxfId="4651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41"/>
          </reference>
          <reference field="2" count="2">
            <x v="3"/>
            <x v="9"/>
          </reference>
          <reference field="9" count="1" selected="0">
            <x v="47"/>
          </reference>
        </references>
      </pivotArea>
    </format>
    <format dxfId="4650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8"/>
          </reference>
          <reference field="9" count="1" selected="0">
            <x v="47"/>
          </reference>
        </references>
      </pivotArea>
    </format>
    <format dxfId="4649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0"/>
          </reference>
          <reference field="2" count="1">
            <x v="2"/>
          </reference>
          <reference field="9" count="1" selected="0">
            <x v="47"/>
          </reference>
        </references>
      </pivotArea>
    </format>
    <format dxfId="4648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66"/>
          </reference>
          <reference field="2" count="1">
            <x v="3"/>
          </reference>
          <reference field="9" count="1" selected="0">
            <x v="47"/>
          </reference>
        </references>
      </pivotArea>
    </format>
    <format dxfId="464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3">
            <x v="8"/>
            <x v="9"/>
            <x v="13"/>
          </reference>
          <reference field="9" count="1" selected="0">
            <x v="48"/>
          </reference>
        </references>
      </pivotArea>
    </format>
    <format dxfId="464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3">
            <x v="8"/>
            <x v="9"/>
            <x v="13"/>
          </reference>
          <reference field="9" count="1" selected="0">
            <x v="48"/>
          </reference>
        </references>
      </pivotArea>
    </format>
    <format dxfId="4645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23"/>
          </reference>
          <reference field="9" count="1" selected="0">
            <x v="48"/>
          </reference>
        </references>
      </pivotArea>
    </format>
    <format dxfId="4644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6"/>
          </reference>
          <reference field="9" count="1" selected="0">
            <x v="48"/>
          </reference>
        </references>
      </pivotArea>
    </format>
    <format dxfId="4643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10"/>
          </reference>
          <reference field="2" count="3">
            <x v="0"/>
            <x v="2"/>
            <x v="11"/>
          </reference>
          <reference field="9" count="1" selected="0">
            <x v="48"/>
          </reference>
        </references>
      </pivotArea>
    </format>
    <format dxfId="4642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73"/>
          </reference>
          <reference field="2" count="1">
            <x v="52"/>
          </reference>
          <reference field="9" count="1" selected="0">
            <x v="48"/>
          </reference>
        </references>
      </pivotArea>
    </format>
    <format dxfId="4641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2">
            <x v="9"/>
            <x v="13"/>
          </reference>
          <reference field="9" count="1" selected="0">
            <x v="48"/>
          </reference>
        </references>
      </pivotArea>
    </format>
    <format dxfId="4640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3">
            <x v="2"/>
            <x v="3"/>
            <x v="5"/>
          </reference>
          <reference field="9" count="1" selected="0">
            <x v="48"/>
          </reference>
        </references>
      </pivotArea>
    </format>
    <format dxfId="463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3">
            <x v="8"/>
            <x v="9"/>
            <x v="13"/>
          </reference>
          <reference field="9" count="1" selected="0">
            <x v="48"/>
          </reference>
        </references>
      </pivotArea>
    </format>
    <format dxfId="4638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20"/>
          </reference>
          <reference field="2" count="1">
            <x v="3"/>
          </reference>
          <reference field="9" count="1" selected="0">
            <x v="48"/>
          </reference>
        </references>
      </pivotArea>
    </format>
    <format dxfId="4637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8"/>
          </reference>
          <reference field="2" count="1">
            <x v="8"/>
          </reference>
          <reference field="9" count="1" selected="0">
            <x v="48"/>
          </reference>
        </references>
      </pivotArea>
    </format>
    <format dxfId="4636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5">
            <x v="36"/>
            <x v="42"/>
            <x v="43"/>
            <x v="47"/>
            <x v="53"/>
          </reference>
          <reference field="9" count="1" selected="0">
            <x v="48"/>
          </reference>
        </references>
      </pivotArea>
    </format>
    <format dxfId="4635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2">
            <x v="2"/>
            <x v="3"/>
          </reference>
          <reference field="9" count="1" selected="0">
            <x v="48"/>
          </reference>
        </references>
      </pivotArea>
    </format>
    <format dxfId="463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4">
            <x v="42"/>
            <x v="43"/>
            <x v="47"/>
            <x v="53"/>
          </reference>
          <reference field="9" count="1" selected="0">
            <x v="48"/>
          </reference>
        </references>
      </pivotArea>
    </format>
    <format dxfId="4633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33"/>
          </reference>
          <reference field="9" count="1" selected="0">
            <x v="48"/>
          </reference>
        </references>
      </pivotArea>
    </format>
    <format dxfId="4632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72"/>
          </reference>
          <reference field="2" count="3">
            <x v="42"/>
            <x v="43"/>
            <x v="47"/>
          </reference>
          <reference field="9" count="1" selected="0">
            <x v="48"/>
          </reference>
        </references>
      </pivotArea>
    </format>
    <format dxfId="4631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3">
            <x v="8"/>
            <x v="9"/>
            <x v="13"/>
          </reference>
          <reference field="9" count="1" selected="0">
            <x v="48"/>
          </reference>
        </references>
      </pivotArea>
    </format>
    <format dxfId="4630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41"/>
          </reference>
          <reference field="2" count="1">
            <x v="3"/>
          </reference>
          <reference field="9" count="1" selected="0">
            <x v="48"/>
          </reference>
        </references>
      </pivotArea>
    </format>
    <format dxfId="4629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8"/>
          </reference>
          <reference field="9" count="1" selected="0">
            <x v="48"/>
          </reference>
        </references>
      </pivotArea>
    </format>
    <format dxfId="4628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0"/>
          </reference>
          <reference field="2" count="1">
            <x v="2"/>
          </reference>
          <reference field="9" count="1" selected="0">
            <x v="48"/>
          </reference>
        </references>
      </pivotArea>
    </format>
    <format dxfId="4627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66"/>
          </reference>
          <reference field="2" count="1">
            <x v="2"/>
          </reference>
          <reference field="9" count="1" selected="0">
            <x v="48"/>
          </reference>
        </references>
      </pivotArea>
    </format>
    <format dxfId="462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2">
            <x v="2"/>
            <x v="16"/>
          </reference>
          <reference field="9" count="1" selected="0">
            <x v="49"/>
          </reference>
        </references>
      </pivotArea>
    </format>
    <format dxfId="462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2">
            <x v="2"/>
            <x v="16"/>
          </reference>
          <reference field="9" count="1" selected="0">
            <x v="49"/>
          </reference>
        </references>
      </pivotArea>
    </format>
    <format dxfId="4624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2">
            <x v="16"/>
            <x v="63"/>
          </reference>
          <reference field="9" count="1" selected="0">
            <x v="49"/>
          </reference>
        </references>
      </pivotArea>
    </format>
    <format dxfId="4623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3"/>
          </reference>
          <reference field="9" count="1" selected="0">
            <x v="49"/>
          </reference>
        </references>
      </pivotArea>
    </format>
    <format dxfId="462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4">
            <x v="2"/>
            <x v="16"/>
            <x v="17"/>
            <x v="26"/>
          </reference>
          <reference field="9" count="1" selected="0">
            <x v="49"/>
          </reference>
        </references>
      </pivotArea>
    </format>
    <format dxfId="4621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36"/>
          </reference>
          <reference field="9" count="1" selected="0">
            <x v="49"/>
          </reference>
        </references>
      </pivotArea>
    </format>
    <format dxfId="4620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2">
            <x v="2"/>
            <x v="16"/>
          </reference>
          <reference field="9" count="1" selected="0">
            <x v="49"/>
          </reference>
        </references>
      </pivotArea>
    </format>
    <format dxfId="461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2">
            <x v="2"/>
            <x v="16"/>
          </reference>
          <reference field="9" count="1" selected="0">
            <x v="49"/>
          </reference>
        </references>
      </pivotArea>
    </format>
    <format dxfId="4618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2">
            <x v="2"/>
            <x v="5"/>
          </reference>
          <reference field="9" count="1" selected="0">
            <x v="49"/>
          </reference>
        </references>
      </pivotArea>
    </format>
    <format dxfId="4617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2">
            <x v="36"/>
            <x v="47"/>
          </reference>
          <reference field="9" count="1" selected="0">
            <x v="49"/>
          </reference>
        </references>
      </pivotArea>
    </format>
    <format dxfId="4616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1">
            <x v="2"/>
          </reference>
          <reference field="9" count="1" selected="0">
            <x v="49"/>
          </reference>
        </references>
      </pivotArea>
    </format>
    <format dxfId="4615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47"/>
          </reference>
          <reference field="9" count="1" selected="0">
            <x v="49"/>
          </reference>
        </references>
      </pivotArea>
    </format>
    <format dxfId="4614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2"/>
          </reference>
          <reference field="9" count="1" selected="0">
            <x v="49"/>
          </reference>
        </references>
      </pivotArea>
    </format>
    <format dxfId="4613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47"/>
          </reference>
          <reference field="9" count="1" selected="0">
            <x v="49"/>
          </reference>
        </references>
      </pivotArea>
    </format>
    <format dxfId="4612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16"/>
          </reference>
          <reference field="9" count="1" selected="0">
            <x v="49"/>
          </reference>
        </references>
      </pivotArea>
    </format>
    <format dxfId="4611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"/>
          </reference>
          <reference field="9" count="1" selected="0">
            <x v="49"/>
          </reference>
        </references>
      </pivotArea>
    </format>
    <format dxfId="461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1">
            <x v="8"/>
          </reference>
          <reference field="9" count="1" selected="0">
            <x v="50"/>
          </reference>
        </references>
      </pivotArea>
    </format>
    <format dxfId="4609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1">
            <x v="8"/>
          </reference>
          <reference field="9" count="1" selected="0">
            <x v="50"/>
          </reference>
        </references>
      </pivotArea>
    </format>
    <format dxfId="4608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47"/>
          </reference>
          <reference field="9" count="1" selected="0">
            <x v="50"/>
          </reference>
        </references>
      </pivotArea>
    </format>
    <format dxfId="4607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2">
            <x v="6"/>
            <x v="8"/>
          </reference>
          <reference field="9" count="1" selected="0">
            <x v="50"/>
          </reference>
        </references>
      </pivotArea>
    </format>
    <format dxfId="4606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40"/>
          </reference>
          <reference field="2" count="1">
            <x v="2"/>
          </reference>
          <reference field="9" count="1" selected="0">
            <x v="50"/>
          </reference>
        </references>
      </pivotArea>
    </format>
    <format dxfId="4605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2">
            <x v="47"/>
            <x v="50"/>
          </reference>
          <reference field="9" count="1" selected="0">
            <x v="50"/>
          </reference>
        </references>
      </pivotArea>
    </format>
    <format dxfId="460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50"/>
          </reference>
          <reference field="9" count="1" selected="0">
            <x v="50"/>
          </reference>
        </references>
      </pivotArea>
    </format>
    <format dxfId="4603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72"/>
          </reference>
          <reference field="2" count="1">
            <x v="50"/>
          </reference>
          <reference field="9" count="1" selected="0">
            <x v="50"/>
          </reference>
        </references>
      </pivotArea>
    </format>
    <format dxfId="4602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1">
            <x v="8"/>
          </reference>
          <reference field="9" count="1" selected="0">
            <x v="50"/>
          </reference>
        </references>
      </pivotArea>
    </format>
    <format dxfId="4601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85"/>
          </reference>
          <reference field="2" count="1">
            <x v="2"/>
          </reference>
          <reference field="9" count="1" selected="0">
            <x v="50"/>
          </reference>
        </references>
      </pivotArea>
    </format>
    <format dxfId="4600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0"/>
          </reference>
          <reference field="2" count="1">
            <x v="2"/>
          </reference>
          <reference field="9" count="1" selected="0">
            <x v="50"/>
          </reference>
        </references>
      </pivotArea>
    </format>
    <format dxfId="4599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66"/>
          </reference>
          <reference field="2" count="1">
            <x v="2"/>
          </reference>
          <reference field="9" count="1" selected="0">
            <x v="50"/>
          </reference>
        </references>
      </pivotArea>
    </format>
    <format dxfId="459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1">
            <x v="11"/>
          </reference>
          <reference field="9" count="1" selected="0">
            <x v="51"/>
          </reference>
        </references>
      </pivotArea>
    </format>
    <format dxfId="459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4"/>
          </reference>
          <reference field="2" count="4">
            <x v="2"/>
            <x v="8"/>
            <x v="17"/>
            <x v="20"/>
          </reference>
          <reference field="9" count="1" selected="0">
            <x v="51"/>
          </reference>
        </references>
      </pivotArea>
    </format>
    <format dxfId="459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3">
            <x v="2"/>
            <x v="20"/>
            <x v="23"/>
          </reference>
          <reference field="9" count="1" selected="0">
            <x v="51"/>
          </reference>
        </references>
      </pivotArea>
    </format>
    <format dxfId="459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9"/>
          </reference>
          <reference field="2" count="1">
            <x v="2"/>
          </reference>
          <reference field="9" count="1" selected="0">
            <x v="51"/>
          </reference>
        </references>
      </pivotArea>
    </format>
    <format dxfId="4594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1"/>
          </reference>
          <reference field="2" count="1">
            <x v="2"/>
          </reference>
          <reference field="9" count="1" selected="0">
            <x v="51"/>
          </reference>
        </references>
      </pivotArea>
    </format>
    <format dxfId="4593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4">
            <x v="8"/>
            <x v="13"/>
            <x v="23"/>
            <x v="28"/>
          </reference>
          <reference field="9" count="1" selected="0">
            <x v="51"/>
          </reference>
        </references>
      </pivotArea>
    </format>
    <format dxfId="4592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6"/>
          </reference>
          <reference field="2" count="1">
            <x v="3"/>
          </reference>
          <reference field="9" count="1" selected="0">
            <x v="51"/>
          </reference>
        </references>
      </pivotArea>
    </format>
    <format dxfId="4591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1">
            <x v="2"/>
          </reference>
          <reference field="9" count="1" selected="0">
            <x v="51"/>
          </reference>
        </references>
      </pivotArea>
    </format>
    <format dxfId="4590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5">
            <x v="8"/>
            <x v="13"/>
            <x v="26"/>
            <x v="32"/>
            <x v="36"/>
          </reference>
          <reference field="9" count="1" selected="0">
            <x v="51"/>
          </reference>
        </references>
      </pivotArea>
    </format>
    <format dxfId="4589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2">
            <x v="23"/>
            <x v="47"/>
          </reference>
          <reference field="9" count="1" selected="0">
            <x v="51"/>
          </reference>
        </references>
      </pivotArea>
    </format>
    <format dxfId="4588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10"/>
          </reference>
          <reference field="2" count="2">
            <x v="6"/>
            <x v="11"/>
          </reference>
          <reference field="9" count="1" selected="0">
            <x v="51"/>
          </reference>
        </references>
      </pivotArea>
    </format>
    <format dxfId="4587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2">
            <x v="2"/>
            <x v="23"/>
          </reference>
          <reference field="9" count="1" selected="0">
            <x v="51"/>
          </reference>
        </references>
      </pivotArea>
    </format>
    <format dxfId="4586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7"/>
          </reference>
          <reference field="2" count="4">
            <x v="2"/>
            <x v="3"/>
            <x v="5"/>
            <x v="6"/>
          </reference>
          <reference field="9" count="1" selected="0">
            <x v="51"/>
          </reference>
        </references>
      </pivotArea>
    </format>
    <format dxfId="4585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9"/>
          </reference>
          <reference field="2" count="1">
            <x v="2"/>
          </reference>
          <reference field="9" count="1" selected="0">
            <x v="51"/>
          </reference>
        </references>
      </pivotArea>
    </format>
    <format dxfId="4584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3">
            <x v="2"/>
            <x v="20"/>
            <x v="23"/>
          </reference>
          <reference field="9" count="1" selected="0">
            <x v="51"/>
          </reference>
        </references>
      </pivotArea>
    </format>
    <format dxfId="4583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9"/>
          </reference>
          <reference field="2" count="1">
            <x v="2"/>
          </reference>
          <reference field="9" count="1" selected="0">
            <x v="51"/>
          </reference>
        </references>
      </pivotArea>
    </format>
    <format dxfId="4582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1">
            <x v="3"/>
          </reference>
          <reference field="9" count="1" selected="0">
            <x v="51"/>
          </reference>
        </references>
      </pivotArea>
    </format>
    <format dxfId="4581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3">
            <x v="27"/>
            <x v="47"/>
            <x v="50"/>
          </reference>
          <reference field="9" count="1" selected="0">
            <x v="51"/>
          </reference>
        </references>
      </pivotArea>
    </format>
    <format dxfId="4580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5"/>
          </reference>
          <reference field="2" count="2">
            <x v="2"/>
            <x v="5"/>
          </reference>
          <reference field="9" count="1" selected="0">
            <x v="51"/>
          </reference>
        </references>
      </pivotArea>
    </format>
    <format dxfId="4579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2">
            <x v="27"/>
            <x v="47"/>
          </reference>
          <reference field="9" count="1" selected="0">
            <x v="51"/>
          </reference>
        </references>
      </pivotArea>
    </format>
    <format dxfId="4578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6">
            <x v="2"/>
            <x v="9"/>
            <x v="12"/>
            <x v="13"/>
            <x v="18"/>
            <x v="22"/>
          </reference>
          <reference field="9" count="1" selected="0">
            <x v="51"/>
          </reference>
        </references>
      </pivotArea>
    </format>
    <format dxfId="4577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1">
            <x v="47"/>
          </reference>
          <reference field="9" count="1" selected="0">
            <x v="51"/>
          </reference>
        </references>
      </pivotArea>
    </format>
    <format dxfId="4576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72"/>
          </reference>
          <reference field="2" count="2">
            <x v="15"/>
            <x v="47"/>
          </reference>
          <reference field="9" count="1" selected="0">
            <x v="51"/>
          </reference>
        </references>
      </pivotArea>
    </format>
    <format dxfId="4575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8">
            <x v="2"/>
            <x v="8"/>
            <x v="9"/>
            <x v="11"/>
            <x v="12"/>
            <x v="16"/>
            <x v="17"/>
            <x v="20"/>
          </reference>
          <reference field="9" count="1" selected="0">
            <x v="51"/>
          </reference>
        </references>
      </pivotArea>
    </format>
    <format dxfId="4574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85"/>
          </reference>
          <reference field="2" count="1">
            <x v="2"/>
          </reference>
          <reference field="9" count="1" selected="0">
            <x v="51"/>
          </reference>
        </references>
      </pivotArea>
    </format>
    <format dxfId="4573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75"/>
          </reference>
          <reference field="2" count="1">
            <x v="15"/>
          </reference>
          <reference field="9" count="1" selected="0">
            <x v="51"/>
          </reference>
        </references>
      </pivotArea>
    </format>
    <format dxfId="4572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41"/>
          </reference>
          <reference field="2" count="2">
            <x v="2"/>
            <x v="3"/>
          </reference>
          <reference field="9" count="1" selected="0">
            <x v="51"/>
          </reference>
        </references>
      </pivotArea>
    </format>
    <format dxfId="4571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44"/>
          </reference>
          <reference field="2" count="1">
            <x v="20"/>
          </reference>
          <reference field="9" count="1" selected="0">
            <x v="51"/>
          </reference>
        </references>
      </pivotArea>
    </format>
    <format dxfId="4570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0"/>
          </reference>
          <reference field="2" count="1">
            <x v="2"/>
          </reference>
          <reference field="9" count="1" selected="0">
            <x v="51"/>
          </reference>
        </references>
      </pivotArea>
    </format>
    <format dxfId="4569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66"/>
          </reference>
          <reference field="2" count="1">
            <x v="2"/>
          </reference>
          <reference field="9" count="1" selected="0">
            <x v="51"/>
          </reference>
        </references>
      </pivotArea>
    </format>
    <format dxfId="456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2"/>
          </reference>
          <reference field="2" count="2">
            <x v="2"/>
            <x v="20"/>
          </reference>
          <reference field="9" count="1" selected="0">
            <x v="52"/>
          </reference>
        </references>
      </pivotArea>
    </format>
    <format dxfId="456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3"/>
          </reference>
          <reference field="9" count="1" selected="0">
            <x v="52"/>
          </reference>
        </references>
      </pivotArea>
    </format>
    <format dxfId="4566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8"/>
          </reference>
          <reference field="2" count="2">
            <x v="2"/>
            <x v="20"/>
          </reference>
          <reference field="9" count="1" selected="0">
            <x v="52"/>
          </reference>
        </references>
      </pivotArea>
    </format>
    <format dxfId="4565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39"/>
          </reference>
          <reference field="2" count="2">
            <x v="3"/>
            <x v="5"/>
          </reference>
          <reference field="9" count="1" selected="0">
            <x v="52"/>
          </reference>
        </references>
      </pivotArea>
    </format>
    <format dxfId="4564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5"/>
          </reference>
          <reference field="2" count="2">
            <x v="3"/>
            <x v="20"/>
          </reference>
          <reference field="9" count="1" selected="0">
            <x v="52"/>
          </reference>
        </references>
      </pivotArea>
    </format>
    <format dxfId="4563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2">
            <x v="2"/>
            <x v="36"/>
          </reference>
          <reference field="9" count="1" selected="0">
            <x v="52"/>
          </reference>
        </references>
      </pivotArea>
    </format>
    <format dxfId="4562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45"/>
          </reference>
          <reference field="2" count="1">
            <x v="3"/>
          </reference>
          <reference field="9" count="1" selected="0">
            <x v="52"/>
          </reference>
        </references>
      </pivotArea>
    </format>
    <format dxfId="4561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79"/>
          </reference>
          <reference field="2" count="1">
            <x v="3"/>
          </reference>
          <reference field="9" count="1" selected="0">
            <x v="52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6"/>
          </reference>
          <reference field="2" count="3">
            <x v="2"/>
            <x v="3"/>
            <x v="9"/>
          </reference>
          <reference field="9" count="1" selected="0">
            <x v="52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47"/>
          </reference>
          <reference field="9" count="1" selected="0">
            <x v="52"/>
          </reference>
        </references>
      </pivotArea>
    </format>
    <format dxfId="4558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7"/>
          </reference>
          <reference field="2" count="1">
            <x v="2"/>
          </reference>
          <reference field="9" count="1" selected="0">
            <x v="52"/>
          </reference>
        </references>
      </pivotArea>
    </format>
    <format dxfId="4557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47"/>
          </reference>
          <reference field="9" count="1" selected="0">
            <x v="52"/>
          </reference>
        </references>
      </pivotArea>
    </format>
    <format dxfId="4556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5"/>
          </reference>
          <reference field="2" count="1">
            <x v="29"/>
          </reference>
          <reference field="9" count="1" selected="0">
            <x v="52"/>
          </reference>
        </references>
      </pivotArea>
    </format>
    <format dxfId="4555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70"/>
          </reference>
          <reference field="2" count="3">
            <x v="5"/>
            <x v="36"/>
            <x v="47"/>
          </reference>
          <reference field="9" count="1" selected="0">
            <x v="52"/>
          </reference>
        </references>
      </pivotArea>
    </format>
    <format dxfId="4554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80"/>
          </reference>
          <reference field="2" count="2">
            <x v="2"/>
            <x v="20"/>
          </reference>
          <reference field="9" count="1" selected="0">
            <x v="52"/>
          </reference>
        </references>
      </pivotArea>
    </format>
    <format dxfId="4553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"/>
          </reference>
          <reference field="2" count="1">
            <x v="47"/>
          </reference>
          <reference field="9" count="1" selected="0">
            <x v="53"/>
          </reference>
        </references>
      </pivotArea>
    </format>
    <format dxfId="4552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3"/>
          </reference>
          <reference field="2" count="1">
            <x v="47"/>
          </reference>
          <reference field="9" count="1" selected="0">
            <x v="53"/>
          </reference>
        </references>
      </pivotArea>
    </format>
    <format dxfId="4551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72"/>
          </reference>
          <reference field="2" count="1">
            <x v="36"/>
          </reference>
          <reference field="9" count="1" selected="0">
            <x v="53"/>
          </reference>
        </references>
      </pivotArea>
    </format>
    <format dxfId="4550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69"/>
          </reference>
          <reference field="2" count="1">
            <x v="58"/>
          </reference>
          <reference field="9" count="1" selected="0">
            <x v="54"/>
          </reference>
        </references>
      </pivotArea>
    </format>
    <format dxfId="4549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20"/>
          </reference>
          <reference field="2" count="1">
            <x v="3"/>
          </reference>
          <reference field="9" count="1" selected="0">
            <x v="54"/>
          </reference>
        </references>
      </pivotArea>
    </format>
    <format dxfId="4548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0"/>
          </reference>
        </references>
      </pivotArea>
    </format>
    <format dxfId="4547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0"/>
          </reference>
        </references>
      </pivotArea>
    </format>
    <format dxfId="4546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0"/>
          </reference>
        </references>
      </pivotArea>
    </format>
    <format dxfId="4545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0"/>
          </reference>
        </references>
      </pivotArea>
    </format>
    <format dxfId="4544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0"/>
          </reference>
        </references>
      </pivotArea>
    </format>
    <format dxfId="454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0"/>
          </reference>
        </references>
      </pivotArea>
    </format>
    <format dxfId="4542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0"/>
          </reference>
        </references>
      </pivotArea>
    </format>
    <format dxfId="4541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0"/>
          </reference>
        </references>
      </pivotArea>
    </format>
    <format dxfId="4540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0"/>
          </reference>
        </references>
      </pivotArea>
    </format>
    <format dxfId="4539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0"/>
          </reference>
        </references>
      </pivotArea>
    </format>
    <format dxfId="4538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0"/>
          </reference>
        </references>
      </pivotArea>
    </format>
    <format dxfId="4537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0"/>
          </reference>
        </references>
      </pivotArea>
    </format>
    <format dxfId="4536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1"/>
          </reference>
        </references>
      </pivotArea>
    </format>
    <format dxfId="4535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1"/>
          </reference>
        </references>
      </pivotArea>
    </format>
    <format dxfId="4534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1"/>
          </reference>
        </references>
      </pivotArea>
    </format>
    <format dxfId="4533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1"/>
          </reference>
        </references>
      </pivotArea>
    </format>
    <format dxfId="4532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1"/>
          </reference>
        </references>
      </pivotArea>
    </format>
    <format dxfId="4531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1"/>
          </reference>
        </references>
      </pivotArea>
    </format>
    <format dxfId="4530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1"/>
          </reference>
        </references>
      </pivotArea>
    </format>
    <format dxfId="4529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"/>
          </reference>
        </references>
      </pivotArea>
    </format>
    <format dxfId="4528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1"/>
          </reference>
        </references>
      </pivotArea>
    </format>
    <format dxfId="4527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1"/>
          </reference>
        </references>
      </pivotArea>
    </format>
    <format dxfId="4526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"/>
          </reference>
        </references>
      </pivotArea>
    </format>
    <format dxfId="4525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"/>
          </reference>
        </references>
      </pivotArea>
    </format>
    <format dxfId="4524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"/>
          </reference>
        </references>
      </pivotArea>
    </format>
    <format dxfId="4523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"/>
          </reference>
        </references>
      </pivotArea>
    </format>
    <format dxfId="4522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"/>
          </reference>
        </references>
      </pivotArea>
    </format>
    <format dxfId="4521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"/>
          </reference>
        </references>
      </pivotArea>
    </format>
    <format dxfId="4520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"/>
          </reference>
        </references>
      </pivotArea>
    </format>
    <format dxfId="4519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"/>
          </reference>
        </references>
      </pivotArea>
    </format>
    <format dxfId="4518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"/>
          </reference>
        </references>
      </pivotArea>
    </format>
    <format dxfId="4517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"/>
          </reference>
        </references>
      </pivotArea>
    </format>
    <format dxfId="4516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2"/>
          </reference>
        </references>
      </pivotArea>
    </format>
    <format dxfId="4515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"/>
          </reference>
        </references>
      </pivotArea>
    </format>
    <format dxfId="4514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"/>
          </reference>
        </references>
      </pivotArea>
    </format>
    <format dxfId="4513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"/>
          </reference>
        </references>
      </pivotArea>
    </format>
    <format dxfId="4512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2"/>
          </reference>
        </references>
      </pivotArea>
    </format>
    <format dxfId="4511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3"/>
          </reference>
        </references>
      </pivotArea>
    </format>
    <format dxfId="4510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3"/>
          </reference>
        </references>
      </pivotArea>
    </format>
    <format dxfId="4509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3"/>
          </reference>
        </references>
      </pivotArea>
    </format>
    <format dxfId="4508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3"/>
          </reference>
        </references>
      </pivotArea>
    </format>
    <format dxfId="4507">
      <pivotArea dataOnly="0" labelOnly="1" outline="0" fieldPosition="0">
        <references count="3">
          <reference field="0" count="1" selected="0">
            <x v="37"/>
          </reference>
          <reference field="1" count="1">
            <x v="50"/>
          </reference>
          <reference field="9" count="1" selected="0">
            <x v="3"/>
          </reference>
        </references>
      </pivotArea>
    </format>
    <format dxfId="4506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3"/>
          </reference>
        </references>
      </pivotArea>
    </format>
    <format dxfId="4505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"/>
          </reference>
        </references>
      </pivotArea>
    </format>
    <format dxfId="4504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3"/>
          </reference>
        </references>
      </pivotArea>
    </format>
    <format dxfId="4503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3"/>
          </reference>
        </references>
      </pivotArea>
    </format>
    <format dxfId="4502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"/>
          </reference>
        </references>
      </pivotArea>
    </format>
    <format dxfId="4501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"/>
          </reference>
        </references>
      </pivotArea>
    </format>
    <format dxfId="4500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3"/>
          </reference>
        </references>
      </pivotArea>
    </format>
    <format dxfId="4499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4"/>
          </reference>
        </references>
      </pivotArea>
    </format>
    <format dxfId="4498">
      <pivotArea dataOnly="0" labelOnly="1" outline="0" fieldPosition="0">
        <references count="3">
          <reference field="0" count="1" selected="0">
            <x v="11"/>
          </reference>
          <reference field="1" count="1">
            <x v="48"/>
          </reference>
          <reference field="9" count="1" selected="0">
            <x v="4"/>
          </reference>
        </references>
      </pivotArea>
    </format>
    <format dxfId="4497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4"/>
          </reference>
        </references>
      </pivotArea>
    </format>
    <format dxfId="4496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4"/>
          </reference>
        </references>
      </pivotArea>
    </format>
    <format dxfId="4495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4"/>
          </reference>
        </references>
      </pivotArea>
    </format>
    <format dxfId="4494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4"/>
          </reference>
        </references>
      </pivotArea>
    </format>
    <format dxfId="4493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4"/>
          </reference>
        </references>
      </pivotArea>
    </format>
    <format dxfId="4492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4"/>
          </reference>
        </references>
      </pivotArea>
    </format>
    <format dxfId="4491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4"/>
          </reference>
        </references>
      </pivotArea>
    </format>
    <format dxfId="4490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4"/>
          </reference>
        </references>
      </pivotArea>
    </format>
    <format dxfId="4489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4"/>
          </reference>
        </references>
      </pivotArea>
    </format>
    <format dxfId="4488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4"/>
          </reference>
        </references>
      </pivotArea>
    </format>
    <format dxfId="4487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5"/>
          </reference>
        </references>
      </pivotArea>
    </format>
    <format dxfId="4486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5"/>
          </reference>
        </references>
      </pivotArea>
    </format>
    <format dxfId="4485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5"/>
          </reference>
        </references>
      </pivotArea>
    </format>
    <format dxfId="4484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5"/>
          </reference>
        </references>
      </pivotArea>
    </format>
    <format dxfId="4483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5"/>
          </reference>
        </references>
      </pivotArea>
    </format>
    <format dxfId="4482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5"/>
          </reference>
        </references>
      </pivotArea>
    </format>
    <format dxfId="4481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5"/>
          </reference>
        </references>
      </pivotArea>
    </format>
    <format dxfId="4480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5"/>
          </reference>
        </references>
      </pivotArea>
    </format>
    <format dxfId="4479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5"/>
          </reference>
        </references>
      </pivotArea>
    </format>
    <format dxfId="4478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5"/>
          </reference>
        </references>
      </pivotArea>
    </format>
    <format dxfId="4477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5"/>
          </reference>
        </references>
      </pivotArea>
    </format>
    <format dxfId="4476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5"/>
          </reference>
        </references>
      </pivotArea>
    </format>
    <format dxfId="4475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5"/>
          </reference>
        </references>
      </pivotArea>
    </format>
    <format dxfId="4474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6"/>
          </reference>
        </references>
      </pivotArea>
    </format>
    <format dxfId="4473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6"/>
          </reference>
        </references>
      </pivotArea>
    </format>
    <format dxfId="4472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6"/>
          </reference>
        </references>
      </pivotArea>
    </format>
    <format dxfId="4471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6"/>
          </reference>
        </references>
      </pivotArea>
    </format>
    <format dxfId="4470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6"/>
          </reference>
        </references>
      </pivotArea>
    </format>
    <format dxfId="4469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6"/>
          </reference>
        </references>
      </pivotArea>
    </format>
    <format dxfId="4468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6"/>
          </reference>
        </references>
      </pivotArea>
    </format>
    <format dxfId="4467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6"/>
          </reference>
        </references>
      </pivotArea>
    </format>
    <format dxfId="4466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6"/>
          </reference>
        </references>
      </pivotArea>
    </format>
    <format dxfId="4465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6"/>
          </reference>
        </references>
      </pivotArea>
    </format>
    <format dxfId="4464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6"/>
          </reference>
        </references>
      </pivotArea>
    </format>
    <format dxfId="4463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6"/>
          </reference>
        </references>
      </pivotArea>
    </format>
    <format dxfId="4462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6"/>
          </reference>
        </references>
      </pivotArea>
    </format>
    <format dxfId="4461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7"/>
          </reference>
        </references>
      </pivotArea>
    </format>
    <format dxfId="4460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7"/>
          </reference>
        </references>
      </pivotArea>
    </format>
    <format dxfId="4459">
      <pivotArea dataOnly="0" labelOnly="1" outline="0" fieldPosition="0">
        <references count="3">
          <reference field="0" count="1" selected="0">
            <x v="35"/>
          </reference>
          <reference field="1" count="1">
            <x v="49"/>
          </reference>
          <reference field="9" count="1" selected="0">
            <x v="7"/>
          </reference>
        </references>
      </pivotArea>
    </format>
    <format dxfId="4458">
      <pivotArea dataOnly="0" labelOnly="1" outline="0" fieldPosition="0">
        <references count="3">
          <reference field="0" count="1" selected="0">
            <x v="40"/>
          </reference>
          <reference field="1" count="1">
            <x v="29"/>
          </reference>
          <reference field="9" count="1" selected="0">
            <x v="7"/>
          </reference>
        </references>
      </pivotArea>
    </format>
    <format dxfId="4457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7"/>
          </reference>
        </references>
      </pivotArea>
    </format>
    <format dxfId="4456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7"/>
          </reference>
        </references>
      </pivotArea>
    </format>
    <format dxfId="4455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7"/>
          </reference>
        </references>
      </pivotArea>
    </format>
    <format dxfId="4454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7"/>
          </reference>
        </references>
      </pivotArea>
    </format>
    <format dxfId="4453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7"/>
          </reference>
        </references>
      </pivotArea>
    </format>
    <format dxfId="4452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7"/>
          </reference>
        </references>
      </pivotArea>
    </format>
    <format dxfId="4451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7"/>
          </reference>
        </references>
      </pivotArea>
    </format>
    <format dxfId="4450">
      <pivotArea dataOnly="0" labelOnly="1" outline="0" fieldPosition="0">
        <references count="3">
          <reference field="0" count="1" selected="0">
            <x v="63"/>
          </reference>
          <reference field="1" count="1">
            <x v="25"/>
          </reference>
          <reference field="9" count="1" selected="0">
            <x v="7"/>
          </reference>
        </references>
      </pivotArea>
    </format>
    <format dxfId="4449">
      <pivotArea dataOnly="0" labelOnly="1" outline="0" fieldPosition="0">
        <references count="3">
          <reference field="0" count="1" selected="0">
            <x v="69"/>
          </reference>
          <reference field="1" count="1">
            <x v="1"/>
          </reference>
          <reference field="9" count="1" selected="0">
            <x v="7"/>
          </reference>
        </references>
      </pivotArea>
    </format>
    <format dxfId="4448">
      <pivotArea dataOnly="0" labelOnly="1" outline="0" fieldPosition="0">
        <references count="3">
          <reference field="0" count="1" selected="0">
            <x v="70"/>
          </reference>
          <reference field="1" count="1">
            <x v="37"/>
          </reference>
          <reference field="9" count="1" selected="0">
            <x v="7"/>
          </reference>
        </references>
      </pivotArea>
    </format>
    <format dxfId="4447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7"/>
          </reference>
        </references>
      </pivotArea>
    </format>
    <format dxfId="4446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7"/>
          </reference>
        </references>
      </pivotArea>
    </format>
    <format dxfId="4445">
      <pivotArea dataOnly="0" labelOnly="1" outline="0" fieldPosition="0">
        <references count="3">
          <reference field="0" count="1" selected="0">
            <x v="0"/>
          </reference>
          <reference field="1" count="1">
            <x v="35"/>
          </reference>
          <reference field="9" count="1" selected="0">
            <x v="8"/>
          </reference>
        </references>
      </pivotArea>
    </format>
    <format dxfId="4444">
      <pivotArea dataOnly="0" labelOnly="1" outline="0" fieldPosition="0">
        <references count="3">
          <reference field="0" count="1" selected="0">
            <x v="7"/>
          </reference>
          <reference field="1" count="1">
            <x v="56"/>
          </reference>
          <reference field="9" count="1" selected="0">
            <x v="8"/>
          </reference>
        </references>
      </pivotArea>
    </format>
    <format dxfId="4443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8"/>
          </reference>
        </references>
      </pivotArea>
    </format>
    <format dxfId="4442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8"/>
          </reference>
        </references>
      </pivotArea>
    </format>
    <format dxfId="4441">
      <pivotArea dataOnly="0" labelOnly="1" outline="0" fieldPosition="0">
        <references count="3">
          <reference field="0" count="1" selected="0">
            <x v="24"/>
          </reference>
          <reference field="1" count="1">
            <x v="34"/>
          </reference>
          <reference field="9" count="1" selected="0">
            <x v="8"/>
          </reference>
        </references>
      </pivotArea>
    </format>
    <format dxfId="4440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8"/>
          </reference>
        </references>
      </pivotArea>
    </format>
    <format dxfId="4439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8"/>
          </reference>
        </references>
      </pivotArea>
    </format>
    <format dxfId="4438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8"/>
          </reference>
        </references>
      </pivotArea>
    </format>
    <format dxfId="4437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8"/>
          </reference>
        </references>
      </pivotArea>
    </format>
    <format dxfId="4436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8"/>
          </reference>
        </references>
      </pivotArea>
    </format>
    <format dxfId="4435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8"/>
          </reference>
        </references>
      </pivotArea>
    </format>
    <format dxfId="4434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8"/>
          </reference>
        </references>
      </pivotArea>
    </format>
    <format dxfId="4433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9"/>
          </reference>
        </references>
      </pivotArea>
    </format>
    <format dxfId="4432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9"/>
          </reference>
        </references>
      </pivotArea>
    </format>
    <format dxfId="4431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9"/>
          </reference>
        </references>
      </pivotArea>
    </format>
    <format dxfId="4430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9"/>
          </reference>
        </references>
      </pivotArea>
    </format>
    <format dxfId="4429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9"/>
          </reference>
        </references>
      </pivotArea>
    </format>
    <format dxfId="4428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9"/>
          </reference>
        </references>
      </pivotArea>
    </format>
    <format dxfId="4427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9"/>
          </reference>
        </references>
      </pivotArea>
    </format>
    <format dxfId="4426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9"/>
          </reference>
        </references>
      </pivotArea>
    </format>
    <format dxfId="4425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9"/>
          </reference>
        </references>
      </pivotArea>
    </format>
    <format dxfId="4424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9"/>
          </reference>
        </references>
      </pivotArea>
    </format>
    <format dxfId="4423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9"/>
          </reference>
        </references>
      </pivotArea>
    </format>
    <format dxfId="4422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9"/>
          </reference>
        </references>
      </pivotArea>
    </format>
    <format dxfId="4421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9"/>
          </reference>
        </references>
      </pivotArea>
    </format>
    <format dxfId="4420">
      <pivotArea dataOnly="0" labelOnly="1" outline="0" fieldPosition="0">
        <references count="3">
          <reference field="0" count="1" selected="0">
            <x v="0"/>
          </reference>
          <reference field="1" count="1">
            <x v="35"/>
          </reference>
          <reference field="9" count="1" selected="0">
            <x v="10"/>
          </reference>
        </references>
      </pivotArea>
    </format>
    <format dxfId="4419">
      <pivotArea dataOnly="0" labelOnly="1" outline="0" fieldPosition="0">
        <references count="3">
          <reference field="0" count="1" selected="0">
            <x v="11"/>
          </reference>
          <reference field="1" count="1">
            <x v="48"/>
          </reference>
          <reference field="9" count="1" selected="0">
            <x v="10"/>
          </reference>
        </references>
      </pivotArea>
    </format>
    <format dxfId="4418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10"/>
          </reference>
        </references>
      </pivotArea>
    </format>
    <format dxfId="4417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10"/>
          </reference>
        </references>
      </pivotArea>
    </format>
    <format dxfId="4416">
      <pivotArea dataOnly="0" labelOnly="1" outline="0" fieldPosition="0">
        <references count="3">
          <reference field="0" count="1" selected="0">
            <x v="24"/>
          </reference>
          <reference field="1" count="1">
            <x v="34"/>
          </reference>
          <reference field="9" count="1" selected="0">
            <x v="10"/>
          </reference>
        </references>
      </pivotArea>
    </format>
    <format dxfId="4415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10"/>
          </reference>
        </references>
      </pivotArea>
    </format>
    <format dxfId="4414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10"/>
          </reference>
        </references>
      </pivotArea>
    </format>
    <format dxfId="4413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0"/>
          </reference>
        </references>
      </pivotArea>
    </format>
    <format dxfId="4412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10"/>
          </reference>
        </references>
      </pivotArea>
    </format>
    <format dxfId="4411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0"/>
          </reference>
        </references>
      </pivotArea>
    </format>
    <format dxfId="4410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0"/>
          </reference>
        </references>
      </pivotArea>
    </format>
    <format dxfId="4409">
      <pivotArea dataOnly="0" labelOnly="1" outline="0" fieldPosition="0">
        <references count="3">
          <reference field="0" count="1" selected="0">
            <x v="0"/>
          </reference>
          <reference field="1" count="1">
            <x v="35"/>
          </reference>
          <reference field="9" count="1" selected="0">
            <x v="11"/>
          </reference>
        </references>
      </pivotArea>
    </format>
    <format dxfId="4408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11"/>
          </reference>
        </references>
      </pivotArea>
    </format>
    <format dxfId="4407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11"/>
          </reference>
        </references>
      </pivotArea>
    </format>
    <format dxfId="4406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11"/>
          </reference>
        </references>
      </pivotArea>
    </format>
    <format dxfId="4405">
      <pivotArea dataOnly="0" labelOnly="1" outline="0" fieldPosition="0">
        <references count="3">
          <reference field="0" count="1" selected="0">
            <x v="24"/>
          </reference>
          <reference field="1" count="1">
            <x v="34"/>
          </reference>
          <reference field="9" count="1" selected="0">
            <x v="11"/>
          </reference>
        </references>
      </pivotArea>
    </format>
    <format dxfId="4404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11"/>
          </reference>
        </references>
      </pivotArea>
    </format>
    <format dxfId="440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11"/>
          </reference>
        </references>
      </pivotArea>
    </format>
    <format dxfId="4402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1"/>
          </reference>
        </references>
      </pivotArea>
    </format>
    <format dxfId="4401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11"/>
          </reference>
        </references>
      </pivotArea>
    </format>
    <format dxfId="4400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11"/>
          </reference>
        </references>
      </pivotArea>
    </format>
    <format dxfId="4399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1"/>
          </reference>
        </references>
      </pivotArea>
    </format>
    <format dxfId="4398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1"/>
          </reference>
        </references>
      </pivotArea>
    </format>
    <format dxfId="4397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12"/>
          </reference>
        </references>
      </pivotArea>
    </format>
    <format dxfId="4396">
      <pivotArea dataOnly="0" labelOnly="1" outline="0" fieldPosition="0">
        <references count="3">
          <reference field="0" count="1" selected="0">
            <x v="4"/>
          </reference>
          <reference field="1" count="1">
            <x v="19"/>
          </reference>
          <reference field="9" count="1" selected="0">
            <x v="12"/>
          </reference>
        </references>
      </pivotArea>
    </format>
    <format dxfId="4395">
      <pivotArea dataOnly="0" labelOnly="1" outline="0" fieldPosition="0">
        <references count="3">
          <reference field="0" count="1" selected="0">
            <x v="9"/>
          </reference>
          <reference field="1" count="1">
            <x v="43"/>
          </reference>
          <reference field="9" count="1" selected="0">
            <x v="12"/>
          </reference>
        </references>
      </pivotArea>
    </format>
    <format dxfId="4394">
      <pivotArea dataOnly="0" labelOnly="1" outline="0" fieldPosition="0">
        <references count="3">
          <reference field="0" count="1" selected="0">
            <x v="11"/>
          </reference>
          <reference field="1" count="1">
            <x v="48"/>
          </reference>
          <reference field="9" count="1" selected="0">
            <x v="12"/>
          </reference>
        </references>
      </pivotArea>
    </format>
    <format dxfId="4393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12"/>
          </reference>
        </references>
      </pivotArea>
    </format>
    <format dxfId="4392">
      <pivotArea dataOnly="0" labelOnly="1" outline="0" fieldPosition="0">
        <references count="3">
          <reference field="0" count="1" selected="0">
            <x v="13"/>
          </reference>
          <reference field="1" count="1">
            <x v="74"/>
          </reference>
          <reference field="9" count="1" selected="0">
            <x v="12"/>
          </reference>
        </references>
      </pivotArea>
    </format>
    <format dxfId="4391">
      <pivotArea dataOnly="0" labelOnly="1" outline="0" fieldPosition="0">
        <references count="3">
          <reference field="0" count="1" selected="0">
            <x v="15"/>
          </reference>
          <reference field="1" count="1">
            <x v="62"/>
          </reference>
          <reference field="9" count="1" selected="0">
            <x v="12"/>
          </reference>
        </references>
      </pivotArea>
    </format>
    <format dxfId="4390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12"/>
          </reference>
        </references>
      </pivotArea>
    </format>
    <format dxfId="4389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12"/>
          </reference>
        </references>
      </pivotArea>
    </format>
    <format dxfId="4388">
      <pivotArea dataOnly="0" labelOnly="1" outline="0" fieldPosition="0">
        <references count="3">
          <reference field="0" count="1" selected="0">
            <x v="19"/>
          </reference>
          <reference field="1" count="1">
            <x v="13"/>
          </reference>
          <reference field="9" count="1" selected="0">
            <x v="12"/>
          </reference>
        </references>
      </pivotArea>
    </format>
    <format dxfId="4387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12"/>
          </reference>
        </references>
      </pivotArea>
    </format>
    <format dxfId="4386">
      <pivotArea dataOnly="0" labelOnly="1" outline="0" fieldPosition="0">
        <references count="3">
          <reference field="0" count="1" selected="0">
            <x v="27"/>
          </reference>
          <reference field="1" count="1">
            <x v="82"/>
          </reference>
          <reference field="9" count="1" selected="0">
            <x v="12"/>
          </reference>
        </references>
      </pivotArea>
    </format>
    <format dxfId="4385">
      <pivotArea dataOnly="0" labelOnly="1" outline="0" fieldPosition="0">
        <references count="3">
          <reference field="0" count="1" selected="0">
            <x v="29"/>
          </reference>
          <reference field="1" count="1">
            <x v="2"/>
          </reference>
          <reference field="9" count="1" selected="0">
            <x v="12"/>
          </reference>
        </references>
      </pivotArea>
    </format>
    <format dxfId="4384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12"/>
          </reference>
        </references>
      </pivotArea>
    </format>
    <format dxfId="4383">
      <pivotArea dataOnly="0" labelOnly="1" outline="0" fieldPosition="0">
        <references count="3">
          <reference field="0" count="1" selected="0">
            <x v="41"/>
          </reference>
          <reference field="1" count="1">
            <x v="8"/>
          </reference>
          <reference field="9" count="1" selected="0">
            <x v="12"/>
          </reference>
        </references>
      </pivotArea>
    </format>
    <format dxfId="4382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12"/>
          </reference>
        </references>
      </pivotArea>
    </format>
    <format dxfId="4381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2"/>
          </reference>
        </references>
      </pivotArea>
    </format>
    <format dxfId="4380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12"/>
          </reference>
        </references>
      </pivotArea>
    </format>
    <format dxfId="4379">
      <pivotArea dataOnly="0" labelOnly="1" outline="0" fieldPosition="0">
        <references count="3">
          <reference field="0" count="1" selected="0">
            <x v="56"/>
          </reference>
          <reference field="1" count="1">
            <x v="23"/>
          </reference>
          <reference field="9" count="1" selected="0">
            <x v="12"/>
          </reference>
        </references>
      </pivotArea>
    </format>
    <format dxfId="4378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12"/>
          </reference>
        </references>
      </pivotArea>
    </format>
    <format dxfId="4377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12"/>
          </reference>
        </references>
      </pivotArea>
    </format>
    <format dxfId="4376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12"/>
          </reference>
        </references>
      </pivotArea>
    </format>
    <format dxfId="4375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2"/>
          </reference>
        </references>
      </pivotArea>
    </format>
    <format dxfId="4374">
      <pivotArea dataOnly="0" labelOnly="1" outline="0" fieldPosition="0">
        <references count="3">
          <reference field="0" count="1" selected="0">
            <x v="76"/>
          </reference>
          <reference field="1" count="1">
            <x v="24"/>
          </reference>
          <reference field="9" count="1" selected="0">
            <x v="12"/>
          </reference>
        </references>
      </pivotArea>
    </format>
    <format dxfId="4373">
      <pivotArea dataOnly="0" labelOnly="1" outline="0" fieldPosition="0">
        <references count="3">
          <reference field="0" count="1" selected="0">
            <x v="77"/>
          </reference>
          <reference field="1" count="1">
            <x v="68"/>
          </reference>
          <reference field="9" count="1" selected="0">
            <x v="12"/>
          </reference>
        </references>
      </pivotArea>
    </format>
    <format dxfId="4372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2"/>
          </reference>
        </references>
      </pivotArea>
    </format>
    <format dxfId="4371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13"/>
          </reference>
        </references>
      </pivotArea>
    </format>
    <format dxfId="4370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13"/>
          </reference>
        </references>
      </pivotArea>
    </format>
    <format dxfId="4369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13"/>
          </reference>
        </references>
      </pivotArea>
    </format>
    <format dxfId="4368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13"/>
          </reference>
        </references>
      </pivotArea>
    </format>
    <format dxfId="4367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13"/>
          </reference>
        </references>
      </pivotArea>
    </format>
    <format dxfId="4366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3"/>
          </reference>
        </references>
      </pivotArea>
    </format>
    <format dxfId="4365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13"/>
          </reference>
        </references>
      </pivotArea>
    </format>
    <format dxfId="4364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13"/>
          </reference>
        </references>
      </pivotArea>
    </format>
    <format dxfId="4363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13"/>
          </reference>
        </references>
      </pivotArea>
    </format>
    <format dxfId="4362">
      <pivotArea dataOnly="0" labelOnly="1" outline="0" fieldPosition="0">
        <references count="3">
          <reference field="0" count="1" selected="0">
            <x v="65"/>
          </reference>
          <reference field="1" count="1">
            <x v="53"/>
          </reference>
          <reference field="9" count="1" selected="0">
            <x v="13"/>
          </reference>
        </references>
      </pivotArea>
    </format>
    <format dxfId="4361">
      <pivotArea dataOnly="0" labelOnly="1" outline="0" fieldPosition="0">
        <references count="3">
          <reference field="0" count="1" selected="0">
            <x v="71"/>
          </reference>
          <reference field="1" count="1">
            <x v="27"/>
          </reference>
          <reference field="9" count="1" selected="0">
            <x v="13"/>
          </reference>
        </references>
      </pivotArea>
    </format>
    <format dxfId="4360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3"/>
          </reference>
        </references>
      </pivotArea>
    </format>
    <format dxfId="4359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3"/>
          </reference>
        </references>
      </pivotArea>
    </format>
    <format dxfId="4358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14"/>
          </reference>
        </references>
      </pivotArea>
    </format>
    <format dxfId="4357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14"/>
          </reference>
        </references>
      </pivotArea>
    </format>
    <format dxfId="4356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14"/>
          </reference>
        </references>
      </pivotArea>
    </format>
    <format dxfId="4355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14"/>
          </reference>
        </references>
      </pivotArea>
    </format>
    <format dxfId="4354">
      <pivotArea dataOnly="0" labelOnly="1" outline="0" fieldPosition="0">
        <references count="3">
          <reference field="0" count="1" selected="0">
            <x v="20"/>
          </reference>
          <reference field="1" count="1">
            <x v="55"/>
          </reference>
          <reference field="9" count="1" selected="0">
            <x v="14"/>
          </reference>
        </references>
      </pivotArea>
    </format>
    <format dxfId="4353">
      <pivotArea dataOnly="0" labelOnly="1" outline="0" fieldPosition="0">
        <references count="3">
          <reference field="0" count="1" selected="0">
            <x v="40"/>
          </reference>
          <reference field="1" count="1">
            <x v="29"/>
          </reference>
          <reference field="9" count="1" selected="0">
            <x v="14"/>
          </reference>
        </references>
      </pivotArea>
    </format>
    <format dxfId="4352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14"/>
          </reference>
        </references>
      </pivotArea>
    </format>
    <format dxfId="4351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14"/>
          </reference>
        </references>
      </pivotArea>
    </format>
    <format dxfId="4350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14"/>
          </reference>
        </references>
      </pivotArea>
    </format>
    <format dxfId="4349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4"/>
          </reference>
        </references>
      </pivotArea>
    </format>
    <format dxfId="4348">
      <pivotArea dataOnly="0" labelOnly="1" outline="0" fieldPosition="0">
        <references count="3">
          <reference field="0" count="1" selected="0">
            <x v="57"/>
          </reference>
          <reference field="1" count="1">
            <x v="57"/>
          </reference>
          <reference field="9" count="1" selected="0">
            <x v="14"/>
          </reference>
        </references>
      </pivotArea>
    </format>
    <format dxfId="4347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14"/>
          </reference>
        </references>
      </pivotArea>
    </format>
    <format dxfId="4346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14"/>
          </reference>
        </references>
      </pivotArea>
    </format>
    <format dxfId="4345">
      <pivotArea dataOnly="0" labelOnly="1" outline="0" fieldPosition="0">
        <references count="3">
          <reference field="0" count="1" selected="0">
            <x v="71"/>
          </reference>
          <reference field="1" count="1">
            <x v="27"/>
          </reference>
          <reference field="9" count="1" selected="0">
            <x v="14"/>
          </reference>
        </references>
      </pivotArea>
    </format>
    <format dxfId="4344">
      <pivotArea dataOnly="0" labelOnly="1" outline="0" fieldPosition="0">
        <references count="3">
          <reference field="0" count="1" selected="0">
            <x v="72"/>
          </reference>
          <reference field="1" count="1">
            <x v="75"/>
          </reference>
          <reference field="9" count="1" selected="0">
            <x v="14"/>
          </reference>
        </references>
      </pivotArea>
    </format>
    <format dxfId="4343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4"/>
          </reference>
        </references>
      </pivotArea>
    </format>
    <format dxfId="4342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4"/>
          </reference>
        </references>
      </pivotArea>
    </format>
    <format dxfId="4341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15"/>
          </reference>
        </references>
      </pivotArea>
    </format>
    <format dxfId="4340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15"/>
          </reference>
        </references>
      </pivotArea>
    </format>
    <format dxfId="4339">
      <pivotArea dataOnly="0" labelOnly="1" outline="0" fieldPosition="0">
        <references count="3">
          <reference field="0" count="1" selected="0">
            <x v="28"/>
          </reference>
          <reference field="1" count="1">
            <x v="32"/>
          </reference>
          <reference field="9" count="1" selected="0">
            <x v="15"/>
          </reference>
        </references>
      </pivotArea>
    </format>
    <format dxfId="4338">
      <pivotArea dataOnly="0" labelOnly="1" outline="0" fieldPosition="0">
        <references count="3">
          <reference field="0" count="1" selected="0">
            <x v="38"/>
          </reference>
          <reference field="1" count="1">
            <x v="58"/>
          </reference>
          <reference field="9" count="1" selected="0">
            <x v="15"/>
          </reference>
        </references>
      </pivotArea>
    </format>
    <format dxfId="4337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15"/>
          </reference>
        </references>
      </pivotArea>
    </format>
    <format dxfId="4336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15"/>
          </reference>
        </references>
      </pivotArea>
    </format>
    <format dxfId="4335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5"/>
          </reference>
        </references>
      </pivotArea>
    </format>
    <format dxfId="4334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15"/>
          </reference>
        </references>
      </pivotArea>
    </format>
    <format dxfId="4333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15"/>
          </reference>
        </references>
      </pivotArea>
    </format>
    <format dxfId="4332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15"/>
          </reference>
        </references>
      </pivotArea>
    </format>
    <format dxfId="4331">
      <pivotArea dataOnly="0" labelOnly="1" outline="0" fieldPosition="0">
        <references count="3">
          <reference field="0" count="1" selected="0">
            <x v="65"/>
          </reference>
          <reference field="1" count="1">
            <x v="53"/>
          </reference>
          <reference field="9" count="1" selected="0">
            <x v="15"/>
          </reference>
        </references>
      </pivotArea>
    </format>
    <format dxfId="4330">
      <pivotArea dataOnly="0" labelOnly="1" outline="0" fieldPosition="0">
        <references count="3">
          <reference field="0" count="1" selected="0">
            <x v="71"/>
          </reference>
          <reference field="1" count="1">
            <x v="27"/>
          </reference>
          <reference field="9" count="1" selected="0">
            <x v="15"/>
          </reference>
        </references>
      </pivotArea>
    </format>
    <format dxfId="4329">
      <pivotArea dataOnly="0" labelOnly="1" outline="0" fieldPosition="0">
        <references count="3">
          <reference field="0" count="1" selected="0">
            <x v="72"/>
          </reference>
          <reference field="1" count="1">
            <x v="75"/>
          </reference>
          <reference field="9" count="1" selected="0">
            <x v="15"/>
          </reference>
        </references>
      </pivotArea>
    </format>
    <format dxfId="4328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5"/>
          </reference>
        </references>
      </pivotArea>
    </format>
    <format dxfId="4327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5"/>
          </reference>
        </references>
      </pivotArea>
    </format>
    <format dxfId="4326">
      <pivotArea dataOnly="0" labelOnly="1" outline="0" fieldPosition="0">
        <references count="3">
          <reference field="0" count="1" selected="0">
            <x v="0"/>
          </reference>
          <reference field="1" count="1">
            <x v="35"/>
          </reference>
          <reference field="9" count="1" selected="0">
            <x v="16"/>
          </reference>
        </references>
      </pivotArea>
    </format>
    <format dxfId="4325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16"/>
          </reference>
        </references>
      </pivotArea>
    </format>
    <format dxfId="4324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17"/>
          </reference>
        </references>
      </pivotArea>
    </format>
    <format dxfId="4323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18"/>
          </reference>
        </references>
      </pivotArea>
    </format>
    <format dxfId="4322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18"/>
          </reference>
        </references>
      </pivotArea>
    </format>
    <format dxfId="4321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18"/>
          </reference>
        </references>
      </pivotArea>
    </format>
    <format dxfId="4320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18"/>
          </reference>
        </references>
      </pivotArea>
    </format>
    <format dxfId="4319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18"/>
          </reference>
        </references>
      </pivotArea>
    </format>
    <format dxfId="4318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18"/>
          </reference>
        </references>
      </pivotArea>
    </format>
    <format dxfId="4317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18"/>
          </reference>
        </references>
      </pivotArea>
    </format>
    <format dxfId="4316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8"/>
          </reference>
        </references>
      </pivotArea>
    </format>
    <format dxfId="4315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18"/>
          </reference>
        </references>
      </pivotArea>
    </format>
    <format dxfId="4314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18"/>
          </reference>
        </references>
      </pivotArea>
    </format>
    <format dxfId="4313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8"/>
          </reference>
        </references>
      </pivotArea>
    </format>
    <format dxfId="4312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8"/>
          </reference>
        </references>
      </pivotArea>
    </format>
    <format dxfId="4311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19"/>
          </reference>
        </references>
      </pivotArea>
    </format>
    <format dxfId="4310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19"/>
          </reference>
        </references>
      </pivotArea>
    </format>
    <format dxfId="4309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19"/>
          </reference>
        </references>
      </pivotArea>
    </format>
    <format dxfId="4308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19"/>
          </reference>
        </references>
      </pivotArea>
    </format>
    <format dxfId="4307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19"/>
          </reference>
        </references>
      </pivotArea>
    </format>
    <format dxfId="4306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19"/>
          </reference>
        </references>
      </pivotArea>
    </format>
    <format dxfId="4305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19"/>
          </reference>
        </references>
      </pivotArea>
    </format>
    <format dxfId="4304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19"/>
          </reference>
        </references>
      </pivotArea>
    </format>
    <format dxfId="430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19"/>
          </reference>
        </references>
      </pivotArea>
    </format>
    <format dxfId="4302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19"/>
          </reference>
        </references>
      </pivotArea>
    </format>
    <format dxfId="4301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19"/>
          </reference>
        </references>
      </pivotArea>
    </format>
    <format dxfId="4300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19"/>
          </reference>
        </references>
      </pivotArea>
    </format>
    <format dxfId="4299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19"/>
          </reference>
        </references>
      </pivotArea>
    </format>
    <format dxfId="4298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19"/>
          </reference>
        </references>
      </pivotArea>
    </format>
    <format dxfId="4297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19"/>
          </reference>
        </references>
      </pivotArea>
    </format>
    <format dxfId="4296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19"/>
          </reference>
        </references>
      </pivotArea>
    </format>
    <format dxfId="4295">
      <pivotArea dataOnly="0" labelOnly="1" outline="0" fieldPosition="0">
        <references count="3">
          <reference field="0" count="1" selected="0">
            <x v="65"/>
          </reference>
          <reference field="1" count="1">
            <x v="53"/>
          </reference>
          <reference field="9" count="1" selected="0">
            <x v="19"/>
          </reference>
        </references>
      </pivotArea>
    </format>
    <format dxfId="4294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19"/>
          </reference>
        </references>
      </pivotArea>
    </format>
    <format dxfId="4293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19"/>
          </reference>
        </references>
      </pivotArea>
    </format>
    <format dxfId="4292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19"/>
          </reference>
        </references>
      </pivotArea>
    </format>
    <format dxfId="4291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0"/>
          </reference>
        </references>
      </pivotArea>
    </format>
    <format dxfId="4290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0"/>
          </reference>
        </references>
      </pivotArea>
    </format>
    <format dxfId="4289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0"/>
          </reference>
        </references>
      </pivotArea>
    </format>
    <format dxfId="4288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0"/>
          </reference>
        </references>
      </pivotArea>
    </format>
    <format dxfId="4287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0"/>
          </reference>
        </references>
      </pivotArea>
    </format>
    <format dxfId="4286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0"/>
          </reference>
        </references>
      </pivotArea>
    </format>
    <format dxfId="4285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0"/>
          </reference>
        </references>
      </pivotArea>
    </format>
    <format dxfId="4284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0"/>
          </reference>
        </references>
      </pivotArea>
    </format>
    <format dxfId="4283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20"/>
          </reference>
        </references>
      </pivotArea>
    </format>
    <format dxfId="4282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0"/>
          </reference>
        </references>
      </pivotArea>
    </format>
    <format dxfId="4281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0"/>
          </reference>
        </references>
      </pivotArea>
    </format>
    <format dxfId="4280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0"/>
          </reference>
        </references>
      </pivotArea>
    </format>
    <format dxfId="4279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1"/>
          </reference>
        </references>
      </pivotArea>
    </format>
    <format dxfId="4278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1"/>
          </reference>
        </references>
      </pivotArea>
    </format>
    <format dxfId="4277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1"/>
          </reference>
        </references>
      </pivotArea>
    </format>
    <format dxfId="4276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21"/>
          </reference>
        </references>
      </pivotArea>
    </format>
    <format dxfId="4275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1"/>
          </reference>
        </references>
      </pivotArea>
    </format>
    <format dxfId="4274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1"/>
          </reference>
        </references>
      </pivotArea>
    </format>
    <format dxfId="427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1"/>
          </reference>
        </references>
      </pivotArea>
    </format>
    <format dxfId="4272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1"/>
          </reference>
        </references>
      </pivotArea>
    </format>
    <format dxfId="4271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21"/>
          </reference>
        </references>
      </pivotArea>
    </format>
    <format dxfId="4270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21"/>
          </reference>
        </references>
      </pivotArea>
    </format>
    <format dxfId="4269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1"/>
          </reference>
        </references>
      </pivotArea>
    </format>
    <format dxfId="4268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1"/>
          </reference>
        </references>
      </pivotArea>
    </format>
    <format dxfId="4267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1"/>
          </reference>
        </references>
      </pivotArea>
    </format>
    <format dxfId="4266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2"/>
          </reference>
        </references>
      </pivotArea>
    </format>
    <format dxfId="4265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2"/>
          </reference>
        </references>
      </pivotArea>
    </format>
    <format dxfId="4264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2"/>
          </reference>
        </references>
      </pivotArea>
    </format>
    <format dxfId="4263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22"/>
          </reference>
        </references>
      </pivotArea>
    </format>
    <format dxfId="4262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2"/>
          </reference>
        </references>
      </pivotArea>
    </format>
    <format dxfId="4261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2"/>
          </reference>
        </references>
      </pivotArea>
    </format>
    <format dxfId="4260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2"/>
          </reference>
        </references>
      </pivotArea>
    </format>
    <format dxfId="4259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2"/>
          </reference>
        </references>
      </pivotArea>
    </format>
    <format dxfId="4258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22"/>
          </reference>
        </references>
      </pivotArea>
    </format>
    <format dxfId="4257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22"/>
          </reference>
        </references>
      </pivotArea>
    </format>
    <format dxfId="4256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2"/>
          </reference>
        </references>
      </pivotArea>
    </format>
    <format dxfId="4255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2"/>
          </reference>
        </references>
      </pivotArea>
    </format>
    <format dxfId="4254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2"/>
          </reference>
        </references>
      </pivotArea>
    </format>
    <format dxfId="4253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3"/>
          </reference>
        </references>
      </pivotArea>
    </format>
    <format dxfId="4252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3"/>
          </reference>
        </references>
      </pivotArea>
    </format>
    <format dxfId="4251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3"/>
          </reference>
        </references>
      </pivotArea>
    </format>
    <format dxfId="4250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3"/>
          </reference>
        </references>
      </pivotArea>
    </format>
    <format dxfId="4249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3"/>
          </reference>
        </references>
      </pivotArea>
    </format>
    <format dxfId="4248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3"/>
          </reference>
        </references>
      </pivotArea>
    </format>
    <format dxfId="4247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3"/>
          </reference>
        </references>
      </pivotArea>
    </format>
    <format dxfId="4246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3"/>
          </reference>
        </references>
      </pivotArea>
    </format>
    <format dxfId="4245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23"/>
          </reference>
        </references>
      </pivotArea>
    </format>
    <format dxfId="4244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3"/>
          </reference>
        </references>
      </pivotArea>
    </format>
    <format dxfId="4243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3"/>
          </reference>
        </references>
      </pivotArea>
    </format>
    <format dxfId="4242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3"/>
          </reference>
        </references>
      </pivotArea>
    </format>
    <format dxfId="4241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4"/>
          </reference>
        </references>
      </pivotArea>
    </format>
    <format dxfId="4240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4"/>
          </reference>
        </references>
      </pivotArea>
    </format>
    <format dxfId="4239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4"/>
          </reference>
        </references>
      </pivotArea>
    </format>
    <format dxfId="4238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4"/>
          </reference>
        </references>
      </pivotArea>
    </format>
    <format dxfId="4237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4"/>
          </reference>
        </references>
      </pivotArea>
    </format>
    <format dxfId="4236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4"/>
          </reference>
        </references>
      </pivotArea>
    </format>
    <format dxfId="4235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4"/>
          </reference>
        </references>
      </pivotArea>
    </format>
    <format dxfId="4234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4"/>
          </reference>
        </references>
      </pivotArea>
    </format>
    <format dxfId="4233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24"/>
          </reference>
        </references>
      </pivotArea>
    </format>
    <format dxfId="4232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4"/>
          </reference>
        </references>
      </pivotArea>
    </format>
    <format dxfId="4231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4"/>
          </reference>
        </references>
      </pivotArea>
    </format>
    <format dxfId="4230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4"/>
          </reference>
        </references>
      </pivotArea>
    </format>
    <format dxfId="4229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5"/>
          </reference>
        </references>
      </pivotArea>
    </format>
    <format dxfId="4228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5"/>
          </reference>
        </references>
      </pivotArea>
    </format>
    <format dxfId="4227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5"/>
          </reference>
        </references>
      </pivotArea>
    </format>
    <format dxfId="4226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5"/>
          </reference>
        </references>
      </pivotArea>
    </format>
    <format dxfId="4225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5"/>
          </reference>
        </references>
      </pivotArea>
    </format>
    <format dxfId="4224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5"/>
          </reference>
        </references>
      </pivotArea>
    </format>
    <format dxfId="422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5"/>
          </reference>
        </references>
      </pivotArea>
    </format>
    <format dxfId="4222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5"/>
          </reference>
        </references>
      </pivotArea>
    </format>
    <format dxfId="4221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25"/>
          </reference>
        </references>
      </pivotArea>
    </format>
    <format dxfId="4220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5"/>
          </reference>
        </references>
      </pivotArea>
    </format>
    <format dxfId="4219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5"/>
          </reference>
        </references>
      </pivotArea>
    </format>
    <format dxfId="4218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5"/>
          </reference>
        </references>
      </pivotArea>
    </format>
    <format dxfId="4217">
      <pivotArea dataOnly="0" labelOnly="1" outline="0" fieldPosition="0">
        <references count="3">
          <reference field="0" count="1" selected="0">
            <x v="0"/>
          </reference>
          <reference field="1" count="1">
            <x v="35"/>
          </reference>
          <reference field="9" count="1" selected="0">
            <x v="26"/>
          </reference>
        </references>
      </pivotArea>
    </format>
    <format dxfId="4216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6"/>
          </reference>
        </references>
      </pivotArea>
    </format>
    <format dxfId="4215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6"/>
          </reference>
        </references>
      </pivotArea>
    </format>
    <format dxfId="4214">
      <pivotArea dataOnly="0" labelOnly="1" outline="0" fieldPosition="0">
        <references count="3">
          <reference field="0" count="1" selected="0">
            <x v="11"/>
          </reference>
          <reference field="1" count="1">
            <x v="48"/>
          </reference>
          <reference field="9" count="1" selected="0">
            <x v="26"/>
          </reference>
        </references>
      </pivotArea>
    </format>
    <format dxfId="4213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6"/>
          </reference>
        </references>
      </pivotArea>
    </format>
    <format dxfId="4212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6"/>
          </reference>
        </references>
      </pivotArea>
    </format>
    <format dxfId="4211">
      <pivotArea dataOnly="0" labelOnly="1" outline="0" fieldPosition="0">
        <references count="3">
          <reference field="0" count="1" selected="0">
            <x v="24"/>
          </reference>
          <reference field="1" count="1">
            <x v="34"/>
          </reference>
          <reference field="9" count="1" selected="0">
            <x v="26"/>
          </reference>
        </references>
      </pivotArea>
    </format>
    <format dxfId="4210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6"/>
          </reference>
        </references>
      </pivotArea>
    </format>
    <format dxfId="4209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6"/>
          </reference>
        </references>
      </pivotArea>
    </format>
    <format dxfId="4208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6"/>
          </reference>
        </references>
      </pivotArea>
    </format>
    <format dxfId="4207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6"/>
          </reference>
        </references>
      </pivotArea>
    </format>
    <format dxfId="4206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26"/>
          </reference>
        </references>
      </pivotArea>
    </format>
    <format dxfId="4205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26"/>
          </reference>
        </references>
      </pivotArea>
    </format>
    <format dxfId="4204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26"/>
          </reference>
        </references>
      </pivotArea>
    </format>
    <format dxfId="4203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6"/>
          </reference>
        </references>
      </pivotArea>
    </format>
    <format dxfId="4202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6"/>
          </reference>
        </references>
      </pivotArea>
    </format>
    <format dxfId="4201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6"/>
          </reference>
        </references>
      </pivotArea>
    </format>
    <format dxfId="4200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7"/>
          </reference>
        </references>
      </pivotArea>
    </format>
    <format dxfId="4199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7"/>
          </reference>
        </references>
      </pivotArea>
    </format>
    <format dxfId="4198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7"/>
          </reference>
        </references>
      </pivotArea>
    </format>
    <format dxfId="4197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7"/>
          </reference>
        </references>
      </pivotArea>
    </format>
    <format dxfId="4196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7"/>
          </reference>
        </references>
      </pivotArea>
    </format>
    <format dxfId="4195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7"/>
          </reference>
        </references>
      </pivotArea>
    </format>
    <format dxfId="4194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7"/>
          </reference>
        </references>
      </pivotArea>
    </format>
    <format dxfId="4193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7"/>
          </reference>
        </references>
      </pivotArea>
    </format>
    <format dxfId="4192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27"/>
          </reference>
        </references>
      </pivotArea>
    </format>
    <format dxfId="4191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7"/>
          </reference>
        </references>
      </pivotArea>
    </format>
    <format dxfId="4190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7"/>
          </reference>
        </references>
      </pivotArea>
    </format>
    <format dxfId="4189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7"/>
          </reference>
        </references>
      </pivotArea>
    </format>
    <format dxfId="4188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8"/>
          </reference>
        </references>
      </pivotArea>
    </format>
    <format dxfId="4187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8"/>
          </reference>
        </references>
      </pivotArea>
    </format>
    <format dxfId="4186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8"/>
          </reference>
        </references>
      </pivotArea>
    </format>
    <format dxfId="4185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8"/>
          </reference>
        </references>
      </pivotArea>
    </format>
    <format dxfId="4184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8"/>
          </reference>
        </references>
      </pivotArea>
    </format>
    <format dxfId="4183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8"/>
          </reference>
        </references>
      </pivotArea>
    </format>
    <format dxfId="4182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8"/>
          </reference>
        </references>
      </pivotArea>
    </format>
    <format dxfId="4181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8"/>
          </reference>
        </references>
      </pivotArea>
    </format>
    <format dxfId="4180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28"/>
          </reference>
        </references>
      </pivotArea>
    </format>
    <format dxfId="4179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28"/>
          </reference>
        </references>
      </pivotArea>
    </format>
    <format dxfId="4178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8"/>
          </reference>
        </references>
      </pivotArea>
    </format>
    <format dxfId="4177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8"/>
          </reference>
        </references>
      </pivotArea>
    </format>
    <format dxfId="4176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8"/>
          </reference>
        </references>
      </pivotArea>
    </format>
    <format dxfId="4175">
      <pivotArea dataOnly="0" labelOnly="1" outline="0" fieldPosition="0">
        <references count="3">
          <reference field="0" count="1" selected="0">
            <x v="0"/>
          </reference>
          <reference field="1" count="1">
            <x v="35"/>
          </reference>
          <reference field="9" count="1" selected="0">
            <x v="29"/>
          </reference>
        </references>
      </pivotArea>
    </format>
    <format dxfId="4174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29"/>
          </reference>
        </references>
      </pivotArea>
    </format>
    <format dxfId="4173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29"/>
          </reference>
        </references>
      </pivotArea>
    </format>
    <format dxfId="4172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29"/>
          </reference>
        </references>
      </pivotArea>
    </format>
    <format dxfId="4171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29"/>
          </reference>
        </references>
      </pivotArea>
    </format>
    <format dxfId="4170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29"/>
          </reference>
        </references>
      </pivotArea>
    </format>
    <format dxfId="4169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29"/>
          </reference>
        </references>
      </pivotArea>
    </format>
    <format dxfId="4168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29"/>
          </reference>
        </references>
      </pivotArea>
    </format>
    <format dxfId="4167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29"/>
          </reference>
        </references>
      </pivotArea>
    </format>
    <format dxfId="4166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29"/>
          </reference>
        </references>
      </pivotArea>
    </format>
    <format dxfId="4165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29"/>
          </reference>
        </references>
      </pivotArea>
    </format>
    <format dxfId="4164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29"/>
          </reference>
        </references>
      </pivotArea>
    </format>
    <format dxfId="4163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29"/>
          </reference>
        </references>
      </pivotArea>
    </format>
    <format dxfId="4162">
      <pivotArea dataOnly="0" labelOnly="1" outline="0" fieldPosition="0">
        <references count="3">
          <reference field="0" count="1" selected="0">
            <x v="0"/>
          </reference>
          <reference field="1" count="1">
            <x v="35"/>
          </reference>
          <reference field="9" count="1" selected="0">
            <x v="30"/>
          </reference>
        </references>
      </pivotArea>
    </format>
    <format dxfId="4161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30"/>
          </reference>
        </references>
      </pivotArea>
    </format>
    <format dxfId="4160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30"/>
          </reference>
        </references>
      </pivotArea>
    </format>
    <format dxfId="4159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30"/>
          </reference>
        </references>
      </pivotArea>
    </format>
    <format dxfId="4158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30"/>
          </reference>
        </references>
      </pivotArea>
    </format>
    <format dxfId="4157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30"/>
          </reference>
        </references>
      </pivotArea>
    </format>
    <format dxfId="4156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30"/>
          </reference>
        </references>
      </pivotArea>
    </format>
    <format dxfId="4155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30"/>
          </reference>
        </references>
      </pivotArea>
    </format>
    <format dxfId="4154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30"/>
          </reference>
        </references>
      </pivotArea>
    </format>
    <format dxfId="4153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0"/>
          </reference>
        </references>
      </pivotArea>
    </format>
    <format dxfId="4152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30"/>
          </reference>
        </references>
      </pivotArea>
    </format>
    <format dxfId="4151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30"/>
          </reference>
        </references>
      </pivotArea>
    </format>
    <format dxfId="4150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0"/>
          </reference>
        </references>
      </pivotArea>
    </format>
    <format dxfId="4149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0"/>
          </reference>
        </references>
      </pivotArea>
    </format>
    <format dxfId="4148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31"/>
          </reference>
        </references>
      </pivotArea>
    </format>
    <format dxfId="4147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31"/>
          </reference>
        </references>
      </pivotArea>
    </format>
    <format dxfId="4146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31"/>
          </reference>
        </references>
      </pivotArea>
    </format>
    <format dxfId="4145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31"/>
          </reference>
        </references>
      </pivotArea>
    </format>
    <format dxfId="4144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31"/>
          </reference>
        </references>
      </pivotArea>
    </format>
    <format dxfId="4143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31"/>
          </reference>
        </references>
      </pivotArea>
    </format>
    <format dxfId="4142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31"/>
          </reference>
        </references>
      </pivotArea>
    </format>
    <format dxfId="4141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1"/>
          </reference>
        </references>
      </pivotArea>
    </format>
    <format dxfId="4140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31"/>
          </reference>
        </references>
      </pivotArea>
    </format>
    <format dxfId="4139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31"/>
          </reference>
        </references>
      </pivotArea>
    </format>
    <format dxfId="4138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31"/>
          </reference>
        </references>
      </pivotArea>
    </format>
    <format dxfId="4137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1"/>
          </reference>
        </references>
      </pivotArea>
    </format>
    <format dxfId="4136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1"/>
          </reference>
        </references>
      </pivotArea>
    </format>
    <format dxfId="4135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32"/>
          </reference>
        </references>
      </pivotArea>
    </format>
    <format dxfId="4134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32"/>
          </reference>
        </references>
      </pivotArea>
    </format>
    <format dxfId="4133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32"/>
          </reference>
        </references>
      </pivotArea>
    </format>
    <format dxfId="4132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32"/>
          </reference>
        </references>
      </pivotArea>
    </format>
    <format dxfId="4131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32"/>
          </reference>
        </references>
      </pivotArea>
    </format>
    <format dxfId="4130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32"/>
          </reference>
        </references>
      </pivotArea>
    </format>
    <format dxfId="4129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32"/>
          </reference>
        </references>
      </pivotArea>
    </format>
    <format dxfId="4128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2"/>
          </reference>
        </references>
      </pivotArea>
    </format>
    <format dxfId="4127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32"/>
          </reference>
        </references>
      </pivotArea>
    </format>
    <format dxfId="4126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32"/>
          </reference>
        </references>
      </pivotArea>
    </format>
    <format dxfId="4125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2"/>
          </reference>
        </references>
      </pivotArea>
    </format>
    <format dxfId="4124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2"/>
          </reference>
        </references>
      </pivotArea>
    </format>
    <format dxfId="4123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33"/>
          </reference>
        </references>
      </pivotArea>
    </format>
    <format dxfId="4122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33"/>
          </reference>
        </references>
      </pivotArea>
    </format>
    <format dxfId="4121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33"/>
          </reference>
        </references>
      </pivotArea>
    </format>
    <format dxfId="4120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33"/>
          </reference>
        </references>
      </pivotArea>
    </format>
    <format dxfId="4119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33"/>
          </reference>
        </references>
      </pivotArea>
    </format>
    <format dxfId="4118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33"/>
          </reference>
        </references>
      </pivotArea>
    </format>
    <format dxfId="4117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33"/>
          </reference>
        </references>
      </pivotArea>
    </format>
    <format dxfId="4116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3"/>
          </reference>
        </references>
      </pivotArea>
    </format>
    <format dxfId="4115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33"/>
          </reference>
        </references>
      </pivotArea>
    </format>
    <format dxfId="4114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33"/>
          </reference>
        </references>
      </pivotArea>
    </format>
    <format dxfId="4113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3"/>
          </reference>
        </references>
      </pivotArea>
    </format>
    <format dxfId="4112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3"/>
          </reference>
        </references>
      </pivotArea>
    </format>
    <format dxfId="4111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34"/>
          </reference>
        </references>
      </pivotArea>
    </format>
    <format dxfId="4110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34"/>
          </reference>
        </references>
      </pivotArea>
    </format>
    <format dxfId="4109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34"/>
          </reference>
        </references>
      </pivotArea>
    </format>
    <format dxfId="4108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34"/>
          </reference>
        </references>
      </pivotArea>
    </format>
    <format dxfId="4107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34"/>
          </reference>
        </references>
      </pivotArea>
    </format>
    <format dxfId="4106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4"/>
          </reference>
        </references>
      </pivotArea>
    </format>
    <format dxfId="4105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34"/>
          </reference>
        </references>
      </pivotArea>
    </format>
    <format dxfId="4104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34"/>
          </reference>
        </references>
      </pivotArea>
    </format>
    <format dxfId="4103">
      <pivotArea dataOnly="0" labelOnly="1" outline="0" fieldPosition="0">
        <references count="3">
          <reference field="0" count="1" selected="0">
            <x v="63"/>
          </reference>
          <reference field="1" count="1">
            <x v="25"/>
          </reference>
          <reference field="9" count="1" selected="0">
            <x v="34"/>
          </reference>
        </references>
      </pivotArea>
    </format>
    <format dxfId="4102">
      <pivotArea dataOnly="0" labelOnly="1" outline="0" fieldPosition="0">
        <references count="3">
          <reference field="0" count="1" selected="0">
            <x v="65"/>
          </reference>
          <reference field="1" count="1">
            <x v="53"/>
          </reference>
          <reference field="9" count="1" selected="0">
            <x v="34"/>
          </reference>
        </references>
      </pivotArea>
    </format>
    <format dxfId="4101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4"/>
          </reference>
        </references>
      </pivotArea>
    </format>
    <format dxfId="4100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4"/>
          </reference>
        </references>
      </pivotArea>
    </format>
    <format dxfId="4099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35"/>
          </reference>
        </references>
      </pivotArea>
    </format>
    <format dxfId="4098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35"/>
          </reference>
        </references>
      </pivotArea>
    </format>
    <format dxfId="4097">
      <pivotArea dataOnly="0" labelOnly="1" outline="0" fieldPosition="0">
        <references count="3">
          <reference field="0" count="1" selected="0">
            <x v="20"/>
          </reference>
          <reference field="1" count="1">
            <x v="55"/>
          </reference>
          <reference field="9" count="1" selected="0">
            <x v="35"/>
          </reference>
        </references>
      </pivotArea>
    </format>
    <format dxfId="4096">
      <pivotArea dataOnly="0" labelOnly="1" outline="0" fieldPosition="0">
        <references count="3">
          <reference field="0" count="1" selected="0">
            <x v="40"/>
          </reference>
          <reference field="1" count="1">
            <x v="29"/>
          </reference>
          <reference field="9" count="1" selected="0">
            <x v="35"/>
          </reference>
        </references>
      </pivotArea>
    </format>
    <format dxfId="4095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35"/>
          </reference>
        </references>
      </pivotArea>
    </format>
    <format dxfId="4094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35"/>
          </reference>
        </references>
      </pivotArea>
    </format>
    <format dxfId="4093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35"/>
          </reference>
        </references>
      </pivotArea>
    </format>
    <format dxfId="4092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5"/>
          </reference>
        </references>
      </pivotArea>
    </format>
    <format dxfId="4091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35"/>
          </reference>
        </references>
      </pivotArea>
    </format>
    <format dxfId="4090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35"/>
          </reference>
        </references>
      </pivotArea>
    </format>
    <format dxfId="4089">
      <pivotArea dataOnly="0" labelOnly="1" outline="0" fieldPosition="0">
        <references count="3">
          <reference field="0" count="1" selected="0">
            <x v="71"/>
          </reference>
          <reference field="1" count="1">
            <x v="27"/>
          </reference>
          <reference field="9" count="1" selected="0">
            <x v="35"/>
          </reference>
        </references>
      </pivotArea>
    </format>
    <format dxfId="4088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5"/>
          </reference>
        </references>
      </pivotArea>
    </format>
    <format dxfId="4087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5"/>
          </reference>
        </references>
      </pivotArea>
    </format>
    <format dxfId="4086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36"/>
          </reference>
        </references>
      </pivotArea>
    </format>
    <format dxfId="4085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36"/>
          </reference>
        </references>
      </pivotArea>
    </format>
    <format dxfId="4084">
      <pivotArea dataOnly="0" labelOnly="1" outline="0" fieldPosition="0">
        <references count="3">
          <reference field="0" count="1" selected="0">
            <x v="20"/>
          </reference>
          <reference field="1" count="1">
            <x v="55"/>
          </reference>
          <reference field="9" count="1" selected="0">
            <x v="36"/>
          </reference>
        </references>
      </pivotArea>
    </format>
    <format dxfId="4083">
      <pivotArea dataOnly="0" labelOnly="1" outline="0" fieldPosition="0">
        <references count="3">
          <reference field="0" count="1" selected="0">
            <x v="40"/>
          </reference>
          <reference field="1" count="1">
            <x v="29"/>
          </reference>
          <reference field="9" count="1" selected="0">
            <x v="36"/>
          </reference>
        </references>
      </pivotArea>
    </format>
    <format dxfId="4082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36"/>
          </reference>
        </references>
      </pivotArea>
    </format>
    <format dxfId="4081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36"/>
          </reference>
        </references>
      </pivotArea>
    </format>
    <format dxfId="4080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36"/>
          </reference>
        </references>
      </pivotArea>
    </format>
    <format dxfId="4079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6"/>
          </reference>
        </references>
      </pivotArea>
    </format>
    <format dxfId="4078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36"/>
          </reference>
        </references>
      </pivotArea>
    </format>
    <format dxfId="4077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36"/>
          </reference>
        </references>
      </pivotArea>
    </format>
    <format dxfId="4076">
      <pivotArea dataOnly="0" labelOnly="1" outline="0" fieldPosition="0">
        <references count="3">
          <reference field="0" count="1" selected="0">
            <x v="71"/>
          </reference>
          <reference field="1" count="1">
            <x v="27"/>
          </reference>
          <reference field="9" count="1" selected="0">
            <x v="36"/>
          </reference>
        </references>
      </pivotArea>
    </format>
    <format dxfId="4075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6"/>
          </reference>
        </references>
      </pivotArea>
    </format>
    <format dxfId="4074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6"/>
          </reference>
        </references>
      </pivotArea>
    </format>
    <format dxfId="4073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37"/>
          </reference>
        </references>
      </pivotArea>
    </format>
    <format dxfId="4072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37"/>
          </reference>
        </references>
      </pivotArea>
    </format>
    <format dxfId="4071">
      <pivotArea dataOnly="0" labelOnly="1" outline="0" fieldPosition="0">
        <references count="3">
          <reference field="0" count="1" selected="0">
            <x v="5"/>
          </reference>
          <reference field="1" count="1">
            <x v="59"/>
          </reference>
          <reference field="9" count="1" selected="0">
            <x v="37"/>
          </reference>
        </references>
      </pivotArea>
    </format>
    <format dxfId="4070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37"/>
          </reference>
        </references>
      </pivotArea>
    </format>
    <format dxfId="4069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37"/>
          </reference>
        </references>
      </pivotArea>
    </format>
    <format dxfId="4068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37"/>
          </reference>
        </references>
      </pivotArea>
    </format>
    <format dxfId="4067">
      <pivotArea dataOnly="0" labelOnly="1" outline="0" fieldPosition="0">
        <references count="3">
          <reference field="0" count="1" selected="0">
            <x v="30"/>
          </reference>
          <reference field="1" count="1">
            <x v="10"/>
          </reference>
          <reference field="9" count="1" selected="0">
            <x v="37"/>
          </reference>
        </references>
      </pivotArea>
    </format>
    <format dxfId="4066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37"/>
          </reference>
        </references>
      </pivotArea>
    </format>
    <format dxfId="4065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37"/>
          </reference>
        </references>
      </pivotArea>
    </format>
    <format dxfId="4064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37"/>
          </reference>
        </references>
      </pivotArea>
    </format>
    <format dxfId="4063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37"/>
          </reference>
        </references>
      </pivotArea>
    </format>
    <format dxfId="4062">
      <pivotArea dataOnly="0" labelOnly="1" outline="0" fieldPosition="0">
        <references count="3">
          <reference field="0" count="1" selected="0">
            <x v="48"/>
          </reference>
          <reference field="1" count="1">
            <x v="63"/>
          </reference>
          <reference field="9" count="1" selected="0">
            <x v="37"/>
          </reference>
        </references>
      </pivotArea>
    </format>
    <format dxfId="4061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37"/>
          </reference>
        </references>
      </pivotArea>
    </format>
    <format dxfId="4060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7"/>
          </reference>
        </references>
      </pivotArea>
    </format>
    <format dxfId="4059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37"/>
          </reference>
        </references>
      </pivotArea>
    </format>
    <format dxfId="4058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37"/>
          </reference>
        </references>
      </pivotArea>
    </format>
    <format dxfId="4057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37"/>
          </reference>
        </references>
      </pivotArea>
    </format>
    <format dxfId="4056">
      <pivotArea dataOnly="0" labelOnly="1" outline="0" fieldPosition="0">
        <references count="3">
          <reference field="0" count="1" selected="0">
            <x v="62"/>
          </reference>
          <reference field="1" count="1">
            <x v="72"/>
          </reference>
          <reference field="9" count="1" selected="0">
            <x v="37"/>
          </reference>
        </references>
      </pivotArea>
    </format>
    <format dxfId="4055">
      <pivotArea dataOnly="0" labelOnly="1" outline="0" fieldPosition="0">
        <references count="3">
          <reference field="0" count="1" selected="0">
            <x v="68"/>
          </reference>
          <reference field="1" count="1">
            <x v="85"/>
          </reference>
          <reference field="9" count="1" selected="0">
            <x v="37"/>
          </reference>
        </references>
      </pivotArea>
    </format>
    <format dxfId="4054">
      <pivotArea dataOnly="0" labelOnly="1" outline="0" fieldPosition="0">
        <references count="3">
          <reference field="0" count="1" selected="0">
            <x v="71"/>
          </reference>
          <reference field="1" count="1">
            <x v="27"/>
          </reference>
          <reference field="9" count="1" selected="0">
            <x v="37"/>
          </reference>
        </references>
      </pivotArea>
    </format>
    <format dxfId="4053">
      <pivotArea dataOnly="0" labelOnly="1" outline="0" fieldPosition="0">
        <references count="3">
          <reference field="0" count="1" selected="0">
            <x v="72"/>
          </reference>
          <reference field="1" count="1">
            <x v="75"/>
          </reference>
          <reference field="9" count="1" selected="0">
            <x v="37"/>
          </reference>
        </references>
      </pivotArea>
    </format>
    <format dxfId="4052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7"/>
          </reference>
        </references>
      </pivotArea>
    </format>
    <format dxfId="4051">
      <pivotArea dataOnly="0" labelOnly="1" outline="0" fieldPosition="0">
        <references count="3">
          <reference field="0" count="1" selected="0">
            <x v="76"/>
          </reference>
          <reference field="1" count="1">
            <x v="24"/>
          </reference>
          <reference field="9" count="1" selected="0">
            <x v="37"/>
          </reference>
        </references>
      </pivotArea>
    </format>
    <format dxfId="4050">
      <pivotArea dataOnly="0" labelOnly="1" outline="0" fieldPosition="0">
        <references count="3">
          <reference field="0" count="1" selected="0">
            <x v="77"/>
          </reference>
          <reference field="1" count="1">
            <x v="68"/>
          </reference>
          <reference field="9" count="1" selected="0">
            <x v="37"/>
          </reference>
        </references>
      </pivotArea>
    </format>
    <format dxfId="4049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7"/>
          </reference>
        </references>
      </pivotArea>
    </format>
    <format dxfId="4048">
      <pivotArea dataOnly="0" labelOnly="1" outline="0" fieldPosition="0">
        <references count="3">
          <reference field="0" count="1" selected="0">
            <x v="81"/>
          </reference>
          <reference field="1" count="1">
            <x v="41"/>
          </reference>
          <reference field="9" count="1" selected="0">
            <x v="37"/>
          </reference>
        </references>
      </pivotArea>
    </format>
    <format dxfId="4047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37"/>
          </reference>
        </references>
      </pivotArea>
    </format>
    <format dxfId="4046">
      <pivotArea dataOnly="0" labelOnly="1" outline="0" fieldPosition="0">
        <references count="3">
          <reference field="0" count="1" selected="0">
            <x v="83"/>
          </reference>
          <reference field="1" count="1">
            <x v="0"/>
          </reference>
          <reference field="9" count="1" selected="0">
            <x v="37"/>
          </reference>
        </references>
      </pivotArea>
    </format>
    <format dxfId="4045">
      <pivotArea dataOnly="0" labelOnly="1" outline="0" fieldPosition="0">
        <references count="3">
          <reference field="0" count="1" selected="0">
            <x v="84"/>
          </reference>
          <reference field="1" count="1">
            <x v="66"/>
          </reference>
          <reference field="9" count="1" selected="0">
            <x v="37"/>
          </reference>
        </references>
      </pivotArea>
    </format>
    <format dxfId="4044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38"/>
          </reference>
        </references>
      </pivotArea>
    </format>
    <format dxfId="4043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38"/>
          </reference>
        </references>
      </pivotArea>
    </format>
    <format dxfId="4042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38"/>
          </reference>
        </references>
      </pivotArea>
    </format>
    <format dxfId="4041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38"/>
          </reference>
        </references>
      </pivotArea>
    </format>
    <format dxfId="4040">
      <pivotArea dataOnly="0" labelOnly="1" outline="0" fieldPosition="0">
        <references count="3">
          <reference field="0" count="1" selected="0">
            <x v="26"/>
          </reference>
          <reference field="1" count="1">
            <x v="71"/>
          </reference>
          <reference field="9" count="1" selected="0">
            <x v="38"/>
          </reference>
        </references>
      </pivotArea>
    </format>
    <format dxfId="4039">
      <pivotArea dataOnly="0" labelOnly="1" outline="0" fieldPosition="0">
        <references count="3">
          <reference field="0" count="1" selected="0">
            <x v="31"/>
          </reference>
          <reference field="1" count="1">
            <x v="73"/>
          </reference>
          <reference field="9" count="1" selected="0">
            <x v="38"/>
          </reference>
        </references>
      </pivotArea>
    </format>
    <format dxfId="4038">
      <pivotArea dataOnly="0" labelOnly="1" outline="0" fieldPosition="0">
        <references count="3">
          <reference field="0" count="1" selected="0">
            <x v="34"/>
          </reference>
          <reference field="1" count="1">
            <x v="42"/>
          </reference>
          <reference field="9" count="1" selected="0">
            <x v="38"/>
          </reference>
        </references>
      </pivotArea>
    </format>
    <format dxfId="4037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38"/>
          </reference>
        </references>
      </pivotArea>
    </format>
    <format dxfId="4036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38"/>
          </reference>
        </references>
      </pivotArea>
    </format>
    <format dxfId="4035">
      <pivotArea dataOnly="0" labelOnly="1" outline="0" fieldPosition="0">
        <references count="3">
          <reference field="0" count="1" selected="0">
            <x v="44"/>
          </reference>
          <reference field="1" count="1">
            <x v="18"/>
          </reference>
          <reference field="9" count="1" selected="0">
            <x v="38"/>
          </reference>
        </references>
      </pivotArea>
    </format>
    <format dxfId="4034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38"/>
          </reference>
        </references>
      </pivotArea>
    </format>
    <format dxfId="4033">
      <pivotArea dataOnly="0" labelOnly="1" outline="0" fieldPosition="0">
        <references count="3">
          <reference field="0" count="1" selected="0">
            <x v="47"/>
          </reference>
          <reference field="1" count="1">
            <x v="60"/>
          </reference>
          <reference field="9" count="1" selected="0">
            <x v="38"/>
          </reference>
        </references>
      </pivotArea>
    </format>
    <format dxfId="4032">
      <pivotArea dataOnly="0" labelOnly="1" outline="0" fieldPosition="0">
        <references count="3">
          <reference field="0" count="1" selected="0">
            <x v="49"/>
          </reference>
          <reference field="1" count="1">
            <x v="11"/>
          </reference>
          <reference field="9" count="1" selected="0">
            <x v="38"/>
          </reference>
        </references>
      </pivotArea>
    </format>
    <format dxfId="4031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38"/>
          </reference>
        </references>
      </pivotArea>
    </format>
    <format dxfId="4030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8"/>
          </reference>
        </references>
      </pivotArea>
    </format>
    <format dxfId="4029">
      <pivotArea dataOnly="0" labelOnly="1" outline="0" fieldPosition="0">
        <references count="3">
          <reference field="0" count="1" selected="0">
            <x v="54"/>
          </reference>
          <reference field="1" count="1">
            <x v="30"/>
          </reference>
          <reference field="9" count="1" selected="0">
            <x v="38"/>
          </reference>
        </references>
      </pivotArea>
    </format>
    <format dxfId="4028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38"/>
          </reference>
        </references>
      </pivotArea>
    </format>
    <format dxfId="4027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38"/>
          </reference>
        </references>
      </pivotArea>
    </format>
    <format dxfId="4026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38"/>
          </reference>
        </references>
      </pivotArea>
    </format>
    <format dxfId="4025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38"/>
          </reference>
        </references>
      </pivotArea>
    </format>
    <format dxfId="4024">
      <pivotArea dataOnly="0" labelOnly="1" outline="0" fieldPosition="0">
        <references count="3">
          <reference field="0" count="1" selected="0">
            <x v="66"/>
          </reference>
          <reference field="1" count="1">
            <x v="81"/>
          </reference>
          <reference field="9" count="1" selected="0">
            <x v="38"/>
          </reference>
        </references>
      </pivotArea>
    </format>
    <format dxfId="4023">
      <pivotArea dataOnly="0" labelOnly="1" outline="0" fieldPosition="0">
        <references count="3">
          <reference field="0" count="1" selected="0">
            <x v="71"/>
          </reference>
          <reference field="1" count="1">
            <x v="27"/>
          </reference>
          <reference field="9" count="1" selected="0">
            <x v="38"/>
          </reference>
        </references>
      </pivotArea>
    </format>
    <format dxfId="4022">
      <pivotArea dataOnly="0" labelOnly="1" outline="0" fieldPosition="0">
        <references count="3">
          <reference field="0" count="1" selected="0">
            <x v="73"/>
          </reference>
          <reference field="1" count="1">
            <x v="76"/>
          </reference>
          <reference field="9" count="1" selected="0">
            <x v="38"/>
          </reference>
        </references>
      </pivotArea>
    </format>
    <format dxfId="4021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8"/>
          </reference>
        </references>
      </pivotArea>
    </format>
    <format dxfId="4020">
      <pivotArea dataOnly="0" labelOnly="1" outline="0" fieldPosition="0">
        <references count="3">
          <reference field="0" count="1" selected="0">
            <x v="76"/>
          </reference>
          <reference field="1" count="1">
            <x v="24"/>
          </reference>
          <reference field="9" count="1" selected="0">
            <x v="38"/>
          </reference>
        </references>
      </pivotArea>
    </format>
    <format dxfId="4019">
      <pivotArea dataOnly="0" labelOnly="1" outline="0" fieldPosition="0">
        <references count="3">
          <reference field="0" count="1" selected="0">
            <x v="77"/>
          </reference>
          <reference field="1" count="1">
            <x v="68"/>
          </reference>
          <reference field="9" count="1" selected="0">
            <x v="38"/>
          </reference>
        </references>
      </pivotArea>
    </format>
    <format dxfId="4018">
      <pivotArea dataOnly="0" labelOnly="1" outline="0" fieldPosition="0">
        <references count="3">
          <reference field="0" count="1" selected="0">
            <x v="78"/>
          </reference>
          <reference field="1" count="1">
            <x v="67"/>
          </reference>
          <reference field="9" count="1" selected="0">
            <x v="38"/>
          </reference>
        </references>
      </pivotArea>
    </format>
    <format dxfId="4017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8"/>
          </reference>
        </references>
      </pivotArea>
    </format>
    <format dxfId="4016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38"/>
          </reference>
        </references>
      </pivotArea>
    </format>
    <format dxfId="4015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39"/>
          </reference>
        </references>
      </pivotArea>
    </format>
    <format dxfId="4014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39"/>
          </reference>
        </references>
      </pivotArea>
    </format>
    <format dxfId="4013">
      <pivotArea dataOnly="0" labelOnly="1" outline="0" fieldPosition="0">
        <references count="3">
          <reference field="0" count="1" selected="0">
            <x v="6"/>
          </reference>
          <reference field="1" count="1">
            <x v="14"/>
          </reference>
          <reference field="9" count="1" selected="0">
            <x v="39"/>
          </reference>
        </references>
      </pivotArea>
    </format>
    <format dxfId="4012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39"/>
          </reference>
        </references>
      </pivotArea>
    </format>
    <format dxfId="4011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39"/>
          </reference>
        </references>
      </pivotArea>
    </format>
    <format dxfId="4010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39"/>
          </reference>
        </references>
      </pivotArea>
    </format>
    <format dxfId="4009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39"/>
          </reference>
        </references>
      </pivotArea>
    </format>
    <format dxfId="4008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39"/>
          </reference>
        </references>
      </pivotArea>
    </format>
    <format dxfId="4007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39"/>
          </reference>
        </references>
      </pivotArea>
    </format>
    <format dxfId="4006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39"/>
          </reference>
        </references>
      </pivotArea>
    </format>
    <format dxfId="4005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39"/>
          </reference>
        </references>
      </pivotArea>
    </format>
    <format dxfId="4004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39"/>
          </reference>
        </references>
      </pivotArea>
    </format>
    <format dxfId="4003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39"/>
          </reference>
        </references>
      </pivotArea>
    </format>
    <format dxfId="4002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39"/>
          </reference>
        </references>
      </pivotArea>
    </format>
    <format dxfId="4001">
      <pivotArea dataOnly="0" labelOnly="1" outline="0" fieldPosition="0">
        <references count="3">
          <reference field="0" count="1" selected="0">
            <x v="57"/>
          </reference>
          <reference field="1" count="1">
            <x v="57"/>
          </reference>
          <reference field="9" count="1" selected="0">
            <x v="39"/>
          </reference>
        </references>
      </pivotArea>
    </format>
    <format dxfId="4000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39"/>
          </reference>
        </references>
      </pivotArea>
    </format>
    <format dxfId="3999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39"/>
          </reference>
        </references>
      </pivotArea>
    </format>
    <format dxfId="3998">
      <pivotArea dataOnly="0" labelOnly="1" outline="0" fieldPosition="0">
        <references count="3">
          <reference field="0" count="1" selected="0">
            <x v="71"/>
          </reference>
          <reference field="1" count="1">
            <x v="27"/>
          </reference>
          <reference field="9" count="1" selected="0">
            <x v="39"/>
          </reference>
        </references>
      </pivotArea>
    </format>
    <format dxfId="3997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39"/>
          </reference>
        </references>
      </pivotArea>
    </format>
    <format dxfId="3996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39"/>
          </reference>
        </references>
      </pivotArea>
    </format>
    <format dxfId="3995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40"/>
          </reference>
        </references>
      </pivotArea>
    </format>
    <format dxfId="3994">
      <pivotArea dataOnly="0" labelOnly="1" outline="0" fieldPosition="0">
        <references count="3">
          <reference field="0" count="1" selected="0">
            <x v="8"/>
          </reference>
          <reference field="1" count="1">
            <x v="84"/>
          </reference>
          <reference field="9" count="1" selected="0">
            <x v="40"/>
          </reference>
        </references>
      </pivotArea>
    </format>
    <format dxfId="3993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40"/>
          </reference>
        </references>
      </pivotArea>
    </format>
    <format dxfId="3992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40"/>
          </reference>
        </references>
      </pivotArea>
    </format>
    <format dxfId="3991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40"/>
          </reference>
        </references>
      </pivotArea>
    </format>
    <format dxfId="3990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40"/>
          </reference>
        </references>
      </pivotArea>
    </format>
    <format dxfId="3989">
      <pivotArea dataOnly="0" labelOnly="1" outline="0" fieldPosition="0">
        <references count="3">
          <reference field="0" count="1" selected="0">
            <x v="22"/>
          </reference>
          <reference field="1" count="1">
            <x v="64"/>
          </reference>
          <reference field="9" count="1" selected="0">
            <x v="40"/>
          </reference>
        </references>
      </pivotArea>
    </format>
    <format dxfId="3988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40"/>
          </reference>
        </references>
      </pivotArea>
    </format>
    <format dxfId="3987">
      <pivotArea dataOnly="0" labelOnly="1" outline="0" fieldPosition="0">
        <references count="3">
          <reference field="0" count="1" selected="0">
            <x v="31"/>
          </reference>
          <reference field="1" count="1">
            <x v="73"/>
          </reference>
          <reference field="9" count="1" selected="0">
            <x v="40"/>
          </reference>
        </references>
      </pivotArea>
    </format>
    <format dxfId="3986">
      <pivotArea dataOnly="0" labelOnly="1" outline="0" fieldPosition="0">
        <references count="3">
          <reference field="0" count="1" selected="0">
            <x v="33"/>
          </reference>
          <reference field="1" count="1">
            <x v="61"/>
          </reference>
          <reference field="9" count="1" selected="0">
            <x v="40"/>
          </reference>
        </references>
      </pivotArea>
    </format>
    <format dxfId="3985">
      <pivotArea dataOnly="0" labelOnly="1" outline="0" fieldPosition="0">
        <references count="3">
          <reference field="0" count="1" selected="0">
            <x v="34"/>
          </reference>
          <reference field="1" count="1">
            <x v="42"/>
          </reference>
          <reference field="9" count="1" selected="0">
            <x v="40"/>
          </reference>
        </references>
      </pivotArea>
    </format>
    <format dxfId="3984">
      <pivotArea dataOnly="0" labelOnly="1" outline="0" fieldPosition="0">
        <references count="3">
          <reference field="0" count="1" selected="0">
            <x v="36"/>
          </reference>
          <reference field="1" count="1">
            <x v="7"/>
          </reference>
          <reference field="9" count="1" selected="0">
            <x v="40"/>
          </reference>
        </references>
      </pivotArea>
    </format>
    <format dxfId="3983">
      <pivotArea dataOnly="0" labelOnly="1" outline="0" fieldPosition="0">
        <references count="3">
          <reference field="0" count="1" selected="0">
            <x v="40"/>
          </reference>
          <reference field="1" count="1">
            <x v="29"/>
          </reference>
          <reference field="9" count="1" selected="0">
            <x v="40"/>
          </reference>
        </references>
      </pivotArea>
    </format>
    <format dxfId="3982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40"/>
          </reference>
        </references>
      </pivotArea>
    </format>
    <format dxfId="3981">
      <pivotArea dataOnly="0" labelOnly="1" outline="0" fieldPosition="0">
        <references count="3">
          <reference field="0" count="1" selected="0">
            <x v="44"/>
          </reference>
          <reference field="1" count="1">
            <x v="18"/>
          </reference>
          <reference field="9" count="1" selected="0">
            <x v="40"/>
          </reference>
        </references>
      </pivotArea>
    </format>
    <format dxfId="3980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40"/>
          </reference>
        </references>
      </pivotArea>
    </format>
    <format dxfId="3979">
      <pivotArea dataOnly="0" labelOnly="1" outline="0" fieldPosition="0">
        <references count="3">
          <reference field="0" count="1" selected="0">
            <x v="49"/>
          </reference>
          <reference field="1" count="1">
            <x v="11"/>
          </reference>
          <reference field="9" count="1" selected="0">
            <x v="40"/>
          </reference>
        </references>
      </pivotArea>
    </format>
    <format dxfId="3978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40"/>
          </reference>
        </references>
      </pivotArea>
    </format>
    <format dxfId="3977">
      <pivotArea dataOnly="0" labelOnly="1" outline="0" fieldPosition="0">
        <references count="3">
          <reference field="0" count="1" selected="0">
            <x v="52"/>
          </reference>
          <reference field="1" count="1">
            <x v="28"/>
          </reference>
          <reference field="9" count="1" selected="0">
            <x v="40"/>
          </reference>
        </references>
      </pivotArea>
    </format>
    <format dxfId="3976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40"/>
          </reference>
        </references>
      </pivotArea>
    </format>
    <format dxfId="3975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40"/>
          </reference>
        </references>
      </pivotArea>
    </format>
    <format dxfId="3974">
      <pivotArea dataOnly="0" labelOnly="1" outline="0" fieldPosition="0">
        <references count="3">
          <reference field="0" count="1" selected="0">
            <x v="56"/>
          </reference>
          <reference field="1" count="1">
            <x v="23"/>
          </reference>
          <reference field="9" count="1" selected="0">
            <x v="40"/>
          </reference>
        </references>
      </pivotArea>
    </format>
    <format dxfId="3973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40"/>
          </reference>
        </references>
      </pivotArea>
    </format>
    <format dxfId="3972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40"/>
          </reference>
        </references>
      </pivotArea>
    </format>
    <format dxfId="3971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40"/>
          </reference>
        </references>
      </pivotArea>
    </format>
    <format dxfId="3970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40"/>
          </reference>
        </references>
      </pivotArea>
    </format>
    <format dxfId="3969">
      <pivotArea dataOnly="0" labelOnly="1" outline="0" fieldPosition="0">
        <references count="3">
          <reference field="0" count="1" selected="0">
            <x v="64"/>
          </reference>
          <reference field="1" count="1">
            <x v="26"/>
          </reference>
          <reference field="9" count="1" selected="0">
            <x v="40"/>
          </reference>
        </references>
      </pivotArea>
    </format>
    <format dxfId="3968">
      <pivotArea dataOnly="0" labelOnly="1" outline="0" fieldPosition="0">
        <references count="3">
          <reference field="0" count="1" selected="0">
            <x v="66"/>
          </reference>
          <reference field="1" count="1">
            <x v="81"/>
          </reference>
          <reference field="9" count="1" selected="0">
            <x v="40"/>
          </reference>
        </references>
      </pivotArea>
    </format>
    <format dxfId="3967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40"/>
          </reference>
        </references>
      </pivotArea>
    </format>
    <format dxfId="3966">
      <pivotArea dataOnly="0" labelOnly="1" outline="0" fieldPosition="0">
        <references count="3">
          <reference field="0" count="1" selected="0">
            <x v="69"/>
          </reference>
          <reference field="1" count="1">
            <x v="1"/>
          </reference>
          <reference field="9" count="1" selected="0">
            <x v="40"/>
          </reference>
        </references>
      </pivotArea>
    </format>
    <format dxfId="3965">
      <pivotArea dataOnly="0" labelOnly="1" outline="0" fieldPosition="0">
        <references count="3">
          <reference field="0" count="1" selected="0">
            <x v="70"/>
          </reference>
          <reference field="1" count="1">
            <x v="37"/>
          </reference>
          <reference field="9" count="1" selected="0">
            <x v="40"/>
          </reference>
        </references>
      </pivotArea>
    </format>
    <format dxfId="3964">
      <pivotArea dataOnly="0" labelOnly="1" outline="0" fieldPosition="0">
        <references count="3">
          <reference field="0" count="1" selected="0">
            <x v="73"/>
          </reference>
          <reference field="1" count="1">
            <x v="76"/>
          </reference>
          <reference field="9" count="1" selected="0">
            <x v="40"/>
          </reference>
        </references>
      </pivotArea>
    </format>
    <format dxfId="3963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40"/>
          </reference>
        </references>
      </pivotArea>
    </format>
    <format dxfId="3962">
      <pivotArea dataOnly="0" labelOnly="1" outline="0" fieldPosition="0">
        <references count="3">
          <reference field="0" count="1" selected="0">
            <x v="76"/>
          </reference>
          <reference field="1" count="1">
            <x v="24"/>
          </reference>
          <reference field="9" count="1" selected="0">
            <x v="40"/>
          </reference>
        </references>
      </pivotArea>
    </format>
    <format dxfId="3961">
      <pivotArea dataOnly="0" labelOnly="1" outline="0" fieldPosition="0">
        <references count="3">
          <reference field="0" count="1" selected="0">
            <x v="77"/>
          </reference>
          <reference field="1" count="1">
            <x v="68"/>
          </reference>
          <reference field="9" count="1" selected="0">
            <x v="40"/>
          </reference>
        </references>
      </pivotArea>
    </format>
    <format dxfId="3960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40"/>
          </reference>
        </references>
      </pivotArea>
    </format>
    <format dxfId="3959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40"/>
          </reference>
        </references>
      </pivotArea>
    </format>
    <format dxfId="3958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41"/>
          </reference>
        </references>
      </pivotArea>
    </format>
    <format dxfId="3957">
      <pivotArea dataOnly="0" labelOnly="1" outline="0" fieldPosition="0">
        <references count="3">
          <reference field="0" count="1" selected="0">
            <x v="4"/>
          </reference>
          <reference field="1" count="1">
            <x v="19"/>
          </reference>
          <reference field="9" count="1" selected="0">
            <x v="41"/>
          </reference>
        </references>
      </pivotArea>
    </format>
    <format dxfId="3956">
      <pivotArea dataOnly="0" labelOnly="1" outline="0" fieldPosition="0">
        <references count="3">
          <reference field="0" count="1" selected="0">
            <x v="9"/>
          </reference>
          <reference field="1" count="1">
            <x v="43"/>
          </reference>
          <reference field="9" count="1" selected="0">
            <x v="41"/>
          </reference>
        </references>
      </pivotArea>
    </format>
    <format dxfId="3955">
      <pivotArea dataOnly="0" labelOnly="1" outline="0" fieldPosition="0">
        <references count="3">
          <reference field="0" count="1" selected="0">
            <x v="11"/>
          </reference>
          <reference field="1" count="1">
            <x v="48"/>
          </reference>
          <reference field="9" count="1" selected="0">
            <x v="41"/>
          </reference>
        </references>
      </pivotArea>
    </format>
    <format dxfId="3954">
      <pivotArea dataOnly="0" labelOnly="1" outline="0" fieldPosition="0">
        <references count="3">
          <reference field="0" count="1" selected="0">
            <x v="13"/>
          </reference>
          <reference field="1" count="1">
            <x v="74"/>
          </reference>
          <reference field="9" count="1" selected="0">
            <x v="41"/>
          </reference>
        </references>
      </pivotArea>
    </format>
    <format dxfId="3953">
      <pivotArea dataOnly="0" labelOnly="1" outline="0" fieldPosition="0">
        <references count="3">
          <reference field="0" count="1" selected="0">
            <x v="15"/>
          </reference>
          <reference field="1" count="1">
            <x v="62"/>
          </reference>
          <reference field="9" count="1" selected="0">
            <x v="41"/>
          </reference>
        </references>
      </pivotArea>
    </format>
    <format dxfId="3952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41"/>
          </reference>
        </references>
      </pivotArea>
    </format>
    <format dxfId="3951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41"/>
          </reference>
        </references>
      </pivotArea>
    </format>
    <format dxfId="3950">
      <pivotArea dataOnly="0" labelOnly="1" outline="0" fieldPosition="0">
        <references count="3">
          <reference field="0" count="1" selected="0">
            <x v="19"/>
          </reference>
          <reference field="1" count="1">
            <x v="13"/>
          </reference>
          <reference field="9" count="1" selected="0">
            <x v="41"/>
          </reference>
        </references>
      </pivotArea>
    </format>
    <format dxfId="3949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41"/>
          </reference>
        </references>
      </pivotArea>
    </format>
    <format dxfId="3948">
      <pivotArea dataOnly="0" labelOnly="1" outline="0" fieldPosition="0">
        <references count="3">
          <reference field="0" count="1" selected="0">
            <x v="23"/>
          </reference>
          <reference field="1" count="1">
            <x v="33"/>
          </reference>
          <reference field="9" count="1" selected="0">
            <x v="41"/>
          </reference>
        </references>
      </pivotArea>
    </format>
    <format dxfId="3947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41"/>
          </reference>
        </references>
      </pivotArea>
    </format>
    <format dxfId="3946">
      <pivotArea dataOnly="0" labelOnly="1" outline="0" fieldPosition="0">
        <references count="3">
          <reference field="0" count="1" selected="0">
            <x v="27"/>
          </reference>
          <reference field="1" count="1">
            <x v="82"/>
          </reference>
          <reference field="9" count="1" selected="0">
            <x v="41"/>
          </reference>
        </references>
      </pivotArea>
    </format>
    <format dxfId="3945">
      <pivotArea dataOnly="0" labelOnly="1" outline="0" fieldPosition="0">
        <references count="3">
          <reference field="0" count="1" selected="0">
            <x v="31"/>
          </reference>
          <reference field="1" count="1">
            <x v="73"/>
          </reference>
          <reference field="9" count="1" selected="0">
            <x v="41"/>
          </reference>
        </references>
      </pivotArea>
    </format>
    <format dxfId="3944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41"/>
          </reference>
        </references>
      </pivotArea>
    </format>
    <format dxfId="3943">
      <pivotArea dataOnly="0" labelOnly="1" outline="0" fieldPosition="0">
        <references count="3">
          <reference field="0" count="1" selected="0">
            <x v="34"/>
          </reference>
          <reference field="1" count="1">
            <x v="42"/>
          </reference>
          <reference field="9" count="1" selected="0">
            <x v="41"/>
          </reference>
        </references>
      </pivotArea>
    </format>
    <format dxfId="3942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41"/>
          </reference>
        </references>
      </pivotArea>
    </format>
    <format dxfId="3941">
      <pivotArea dataOnly="0" labelOnly="1" outline="0" fieldPosition="0">
        <references count="3">
          <reference field="0" count="1" selected="0">
            <x v="41"/>
          </reference>
          <reference field="1" count="1">
            <x v="8"/>
          </reference>
          <reference field="9" count="1" selected="0">
            <x v="41"/>
          </reference>
        </references>
      </pivotArea>
    </format>
    <format dxfId="3940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41"/>
          </reference>
        </references>
      </pivotArea>
    </format>
    <format dxfId="3939">
      <pivotArea dataOnly="0" labelOnly="1" outline="0" fieldPosition="0">
        <references count="3">
          <reference field="0" count="1" selected="0">
            <x v="44"/>
          </reference>
          <reference field="1" count="1">
            <x v="18"/>
          </reference>
          <reference field="9" count="1" selected="0">
            <x v="41"/>
          </reference>
        </references>
      </pivotArea>
    </format>
    <format dxfId="3938">
      <pivotArea dataOnly="0" labelOnly="1" outline="0" fieldPosition="0">
        <references count="3">
          <reference field="0" count="1" selected="0">
            <x v="46"/>
          </reference>
          <reference field="1" count="1">
            <x v="31"/>
          </reference>
          <reference field="9" count="1" selected="0">
            <x v="41"/>
          </reference>
        </references>
      </pivotArea>
    </format>
    <format dxfId="3937">
      <pivotArea dataOnly="0" labelOnly="1" outline="0" fieldPosition="0">
        <references count="3">
          <reference field="0" count="1" selected="0">
            <x v="49"/>
          </reference>
          <reference field="1" count="1">
            <x v="11"/>
          </reference>
          <reference field="9" count="1" selected="0">
            <x v="41"/>
          </reference>
        </references>
      </pivotArea>
    </format>
    <format dxfId="3936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41"/>
          </reference>
        </references>
      </pivotArea>
    </format>
    <format dxfId="3935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41"/>
          </reference>
        </references>
      </pivotArea>
    </format>
    <format dxfId="3934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41"/>
          </reference>
        </references>
      </pivotArea>
    </format>
    <format dxfId="3933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41"/>
          </reference>
        </references>
      </pivotArea>
    </format>
    <format dxfId="3932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41"/>
          </reference>
        </references>
      </pivotArea>
    </format>
    <format dxfId="3931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41"/>
          </reference>
        </references>
      </pivotArea>
    </format>
    <format dxfId="3930">
      <pivotArea dataOnly="0" labelOnly="1" outline="0" fieldPosition="0">
        <references count="3">
          <reference field="0" count="1" selected="0">
            <x v="74"/>
          </reference>
          <reference field="1" count="1">
            <x v="77"/>
          </reference>
          <reference field="9" count="1" selected="0">
            <x v="41"/>
          </reference>
        </references>
      </pivotArea>
    </format>
    <format dxfId="3929">
      <pivotArea dataOnly="0" labelOnly="1" outline="0" fieldPosition="0">
        <references count="3">
          <reference field="0" count="1" selected="0">
            <x v="76"/>
          </reference>
          <reference field="1" count="1">
            <x v="24"/>
          </reference>
          <reference field="9" count="1" selected="0">
            <x v="41"/>
          </reference>
        </references>
      </pivotArea>
    </format>
    <format dxfId="3928">
      <pivotArea dataOnly="0" labelOnly="1" outline="0" fieldPosition="0">
        <references count="3">
          <reference field="0" count="1" selected="0">
            <x v="79"/>
          </reference>
          <reference field="1" count="1">
            <x v="12"/>
          </reference>
          <reference field="9" count="1" selected="0">
            <x v="41"/>
          </reference>
        </references>
      </pivotArea>
    </format>
    <format dxfId="3927">
      <pivotArea dataOnly="0" labelOnly="1" outline="0" fieldPosition="0">
        <references count="3">
          <reference field="0" count="1" selected="0">
            <x v="81"/>
          </reference>
          <reference field="1" count="1">
            <x v="41"/>
          </reference>
          <reference field="9" count="1" selected="0">
            <x v="41"/>
          </reference>
        </references>
      </pivotArea>
    </format>
    <format dxfId="3926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41"/>
          </reference>
        </references>
      </pivotArea>
    </format>
    <format dxfId="3925">
      <pivotArea dataOnly="0" labelOnly="1" outline="0" fieldPosition="0">
        <references count="3">
          <reference field="0" count="1" selected="0">
            <x v="83"/>
          </reference>
          <reference field="1" count="1">
            <x v="0"/>
          </reference>
          <reference field="9" count="1" selected="0">
            <x v="42"/>
          </reference>
        </references>
      </pivotArea>
    </format>
    <format dxfId="3924">
      <pivotArea dataOnly="0" labelOnly="1" outline="0" fieldPosition="0">
        <references count="3">
          <reference field="0" count="1" selected="0">
            <x v="84"/>
          </reference>
          <reference field="1" count="1">
            <x v="66"/>
          </reference>
          <reference field="9" count="1" selected="0">
            <x v="42"/>
          </reference>
        </references>
      </pivotArea>
    </format>
    <format dxfId="3923">
      <pivotArea dataOnly="0" labelOnly="1" outline="0" fieldPosition="0">
        <references count="3">
          <reference field="0" count="1" selected="0">
            <x v="34"/>
          </reference>
          <reference field="1" count="1">
            <x v="42"/>
          </reference>
          <reference field="9" count="1" selected="0">
            <x v="43"/>
          </reference>
        </references>
      </pivotArea>
    </format>
    <format dxfId="3922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44"/>
          </reference>
        </references>
      </pivotArea>
    </format>
    <format dxfId="3921">
      <pivotArea dataOnly="0" labelOnly="1" outline="0" fieldPosition="0">
        <references count="3">
          <reference field="0" count="1" selected="0">
            <x v="62"/>
          </reference>
          <reference field="1" count="1">
            <x v="72"/>
          </reference>
          <reference field="9" count="1" selected="0">
            <x v="44"/>
          </reference>
        </references>
      </pivotArea>
    </format>
    <format dxfId="3920">
      <pivotArea dataOnly="0" labelOnly="1" outline="0" fieldPosition="0">
        <references count="3">
          <reference field="0" count="1" selected="0">
            <x v="84"/>
          </reference>
          <reference field="1" count="1">
            <x v="66"/>
          </reference>
          <reference field="9" count="1" selected="0">
            <x v="44"/>
          </reference>
        </references>
      </pivotArea>
    </format>
    <format dxfId="3919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45"/>
          </reference>
        </references>
      </pivotArea>
    </format>
    <format dxfId="3918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45"/>
          </reference>
        </references>
      </pivotArea>
    </format>
    <format dxfId="3917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45"/>
          </reference>
        </references>
      </pivotArea>
    </format>
    <format dxfId="3916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45"/>
          </reference>
        </references>
      </pivotArea>
    </format>
    <format dxfId="3915">
      <pivotArea dataOnly="0" labelOnly="1" outline="0" fieldPosition="0">
        <references count="3">
          <reference field="0" count="1" selected="0">
            <x v="31"/>
          </reference>
          <reference field="1" count="1">
            <x v="73"/>
          </reference>
          <reference field="9" count="1" selected="0">
            <x v="45"/>
          </reference>
        </references>
      </pivotArea>
    </format>
    <format dxfId="3914">
      <pivotArea dataOnly="0" labelOnly="1" outline="0" fieldPosition="0">
        <references count="3">
          <reference field="0" count="1" selected="0">
            <x v="34"/>
          </reference>
          <reference field="1" count="1">
            <x v="42"/>
          </reference>
          <reference field="9" count="1" selected="0">
            <x v="45"/>
          </reference>
        </references>
      </pivotArea>
    </format>
    <format dxfId="391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45"/>
          </reference>
        </references>
      </pivotArea>
    </format>
    <format dxfId="3912">
      <pivotArea dataOnly="0" labelOnly="1" outline="0" fieldPosition="0">
        <references count="3">
          <reference field="0" count="1" selected="0">
            <x v="44"/>
          </reference>
          <reference field="1" count="1">
            <x v="18"/>
          </reference>
          <reference field="9" count="1" selected="0">
            <x v="45"/>
          </reference>
        </references>
      </pivotArea>
    </format>
    <format dxfId="3911">
      <pivotArea dataOnly="0" labelOnly="1" outline="0" fieldPosition="0">
        <references count="3">
          <reference field="0" count="1" selected="0">
            <x v="47"/>
          </reference>
          <reference field="1" count="1">
            <x v="60"/>
          </reference>
          <reference field="9" count="1" selected="0">
            <x v="45"/>
          </reference>
        </references>
      </pivotArea>
    </format>
    <format dxfId="3910">
      <pivotArea dataOnly="0" labelOnly="1" outline="0" fieldPosition="0">
        <references count="3">
          <reference field="0" count="1" selected="0">
            <x v="49"/>
          </reference>
          <reference field="1" count="1">
            <x v="11"/>
          </reference>
          <reference field="9" count="1" selected="0">
            <x v="45"/>
          </reference>
        </references>
      </pivotArea>
    </format>
    <format dxfId="3909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45"/>
          </reference>
        </references>
      </pivotArea>
    </format>
    <format dxfId="3908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45"/>
          </reference>
        </references>
      </pivotArea>
    </format>
    <format dxfId="3907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45"/>
          </reference>
        </references>
      </pivotArea>
    </format>
    <format dxfId="3906">
      <pivotArea dataOnly="0" labelOnly="1" outline="0" fieldPosition="0">
        <references count="3">
          <reference field="0" count="1" selected="0">
            <x v="73"/>
          </reference>
          <reference field="1" count="1">
            <x v="76"/>
          </reference>
          <reference field="9" count="1" selected="0">
            <x v="45"/>
          </reference>
        </references>
      </pivotArea>
    </format>
    <format dxfId="3905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45"/>
          </reference>
        </references>
      </pivotArea>
    </format>
    <format dxfId="3904">
      <pivotArea dataOnly="0" labelOnly="1" outline="0" fieldPosition="0">
        <references count="3">
          <reference field="0" count="1" selected="0">
            <x v="83"/>
          </reference>
          <reference field="1" count="1">
            <x v="0"/>
          </reference>
          <reference field="9" count="1" selected="0">
            <x v="45"/>
          </reference>
        </references>
      </pivotArea>
    </format>
    <format dxfId="3903">
      <pivotArea dataOnly="0" labelOnly="1" outline="0" fieldPosition="0">
        <references count="3">
          <reference field="0" count="1" selected="0">
            <x v="84"/>
          </reference>
          <reference field="1" count="1">
            <x v="66"/>
          </reference>
          <reference field="9" count="1" selected="0">
            <x v="45"/>
          </reference>
        </references>
      </pivotArea>
    </format>
    <format dxfId="3902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46"/>
          </reference>
        </references>
      </pivotArea>
    </format>
    <format dxfId="3901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46"/>
          </reference>
        </references>
      </pivotArea>
    </format>
    <format dxfId="3900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46"/>
          </reference>
        </references>
      </pivotArea>
    </format>
    <format dxfId="3899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46"/>
          </reference>
        </references>
      </pivotArea>
    </format>
    <format dxfId="3898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46"/>
          </reference>
        </references>
      </pivotArea>
    </format>
    <format dxfId="3897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46"/>
          </reference>
        </references>
      </pivotArea>
    </format>
    <format dxfId="3896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46"/>
          </reference>
        </references>
      </pivotArea>
    </format>
    <format dxfId="3895">
      <pivotArea dataOnly="0" labelOnly="1" outline="0" fieldPosition="0">
        <references count="3">
          <reference field="0" count="1" selected="0">
            <x v="21"/>
          </reference>
          <reference field="1" count="1">
            <x v="47"/>
          </reference>
          <reference field="9" count="1" selected="0">
            <x v="46"/>
          </reference>
        </references>
      </pivotArea>
    </format>
    <format dxfId="3894">
      <pivotArea dataOnly="0" labelOnly="1" outline="0" fieldPosition="0">
        <references count="3">
          <reference field="0" count="1" selected="0">
            <x v="23"/>
          </reference>
          <reference field="1" count="1">
            <x v="33"/>
          </reference>
          <reference field="9" count="1" selected="0">
            <x v="46"/>
          </reference>
        </references>
      </pivotArea>
    </format>
    <format dxfId="3893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46"/>
          </reference>
        </references>
      </pivotArea>
    </format>
    <format dxfId="3892">
      <pivotArea dataOnly="0" labelOnly="1" outline="0" fieldPosition="0">
        <references count="3">
          <reference field="0" count="1" selected="0">
            <x v="31"/>
          </reference>
          <reference field="1" count="1">
            <x v="73"/>
          </reference>
          <reference field="9" count="1" selected="0">
            <x v="46"/>
          </reference>
        </references>
      </pivotArea>
    </format>
    <format dxfId="3891">
      <pivotArea dataOnly="0" labelOnly="1" outline="0" fieldPosition="0">
        <references count="3">
          <reference field="0" count="1" selected="0">
            <x v="34"/>
          </reference>
          <reference field="1" count="1">
            <x v="42"/>
          </reference>
          <reference field="9" count="1" selected="0">
            <x v="46"/>
          </reference>
        </references>
      </pivotArea>
    </format>
    <format dxfId="3890">
      <pivotArea dataOnly="0" labelOnly="1" outline="0" fieldPosition="0">
        <references count="3">
          <reference field="0" count="1" selected="0">
            <x v="36"/>
          </reference>
          <reference field="1" count="1">
            <x v="7"/>
          </reference>
          <reference field="9" count="1" selected="0">
            <x v="46"/>
          </reference>
        </references>
      </pivotArea>
    </format>
    <format dxfId="3889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46"/>
          </reference>
        </references>
      </pivotArea>
    </format>
    <format dxfId="3888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46"/>
          </reference>
        </references>
      </pivotArea>
    </format>
    <format dxfId="3887">
      <pivotArea dataOnly="0" labelOnly="1" outline="0" fieldPosition="0">
        <references count="3">
          <reference field="0" count="1" selected="0">
            <x v="44"/>
          </reference>
          <reference field="1" count="1">
            <x v="18"/>
          </reference>
          <reference field="9" count="1" selected="0">
            <x v="46"/>
          </reference>
        </references>
      </pivotArea>
    </format>
    <format dxfId="3886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46"/>
          </reference>
        </references>
      </pivotArea>
    </format>
    <format dxfId="3885">
      <pivotArea dataOnly="0" labelOnly="1" outline="0" fieldPosition="0">
        <references count="3">
          <reference field="0" count="1" selected="0">
            <x v="47"/>
          </reference>
          <reference field="1" count="1">
            <x v="60"/>
          </reference>
          <reference field="9" count="1" selected="0">
            <x v="46"/>
          </reference>
        </references>
      </pivotArea>
    </format>
    <format dxfId="3884">
      <pivotArea dataOnly="0" labelOnly="1" outline="0" fieldPosition="0">
        <references count="3">
          <reference field="0" count="1" selected="0">
            <x v="49"/>
          </reference>
          <reference field="1" count="1">
            <x v="11"/>
          </reference>
          <reference field="9" count="1" selected="0">
            <x v="46"/>
          </reference>
        </references>
      </pivotArea>
    </format>
    <format dxfId="3883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46"/>
          </reference>
        </references>
      </pivotArea>
    </format>
    <format dxfId="3882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46"/>
          </reference>
        </references>
      </pivotArea>
    </format>
    <format dxfId="3881">
      <pivotArea dataOnly="0" labelOnly="1" outline="0" fieldPosition="0">
        <references count="3">
          <reference field="0" count="1" selected="0">
            <x v="54"/>
          </reference>
          <reference field="1" count="1">
            <x v="30"/>
          </reference>
          <reference field="9" count="1" selected="0">
            <x v="46"/>
          </reference>
        </references>
      </pivotArea>
    </format>
    <format dxfId="3880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46"/>
          </reference>
        </references>
      </pivotArea>
    </format>
    <format dxfId="3879">
      <pivotArea dataOnly="0" labelOnly="1" outline="0" fieldPosition="0">
        <references count="3">
          <reference field="0" count="1" selected="0">
            <x v="57"/>
          </reference>
          <reference field="1" count="1">
            <x v="57"/>
          </reference>
          <reference field="9" count="1" selected="0">
            <x v="46"/>
          </reference>
        </references>
      </pivotArea>
    </format>
    <format dxfId="3878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46"/>
          </reference>
        </references>
      </pivotArea>
    </format>
    <format dxfId="3877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46"/>
          </reference>
        </references>
      </pivotArea>
    </format>
    <format dxfId="3876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46"/>
          </reference>
        </references>
      </pivotArea>
    </format>
    <format dxfId="3875">
      <pivotArea dataOnly="0" labelOnly="1" outline="0" fieldPosition="0">
        <references count="3">
          <reference field="0" count="1" selected="0">
            <x v="66"/>
          </reference>
          <reference field="1" count="1">
            <x v="81"/>
          </reference>
          <reference field="9" count="1" selected="0">
            <x v="46"/>
          </reference>
        </references>
      </pivotArea>
    </format>
    <format dxfId="3874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46"/>
          </reference>
        </references>
      </pivotArea>
    </format>
    <format dxfId="3873">
      <pivotArea dataOnly="0" labelOnly="1" outline="0" fieldPosition="0">
        <references count="3">
          <reference field="0" count="1" selected="0">
            <x v="72"/>
          </reference>
          <reference field="1" count="1">
            <x v="75"/>
          </reference>
          <reference field="9" count="1" selected="0">
            <x v="46"/>
          </reference>
        </references>
      </pivotArea>
    </format>
    <format dxfId="3872">
      <pivotArea dataOnly="0" labelOnly="1" outline="0" fieldPosition="0">
        <references count="3">
          <reference field="0" count="1" selected="0">
            <x v="73"/>
          </reference>
          <reference field="1" count="1">
            <x v="76"/>
          </reference>
          <reference field="9" count="1" selected="0">
            <x v="46"/>
          </reference>
        </references>
      </pivotArea>
    </format>
    <format dxfId="3871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46"/>
          </reference>
        </references>
      </pivotArea>
    </format>
    <format dxfId="3870">
      <pivotArea dataOnly="0" labelOnly="1" outline="0" fieldPosition="0">
        <references count="3">
          <reference field="0" count="1" selected="0">
            <x v="76"/>
          </reference>
          <reference field="1" count="1">
            <x v="24"/>
          </reference>
          <reference field="9" count="1" selected="0">
            <x v="46"/>
          </reference>
        </references>
      </pivotArea>
    </format>
    <format dxfId="3869">
      <pivotArea dataOnly="0" labelOnly="1" outline="0" fieldPosition="0">
        <references count="3">
          <reference field="0" count="1" selected="0">
            <x v="77"/>
          </reference>
          <reference field="1" count="1">
            <x v="68"/>
          </reference>
          <reference field="9" count="1" selected="0">
            <x v="46"/>
          </reference>
        </references>
      </pivotArea>
    </format>
    <format dxfId="3868">
      <pivotArea dataOnly="0" labelOnly="1" outline="0" fieldPosition="0">
        <references count="3">
          <reference field="0" count="1" selected="0">
            <x v="81"/>
          </reference>
          <reference field="1" count="1">
            <x v="41"/>
          </reference>
          <reference field="9" count="1" selected="0">
            <x v="46"/>
          </reference>
        </references>
      </pivotArea>
    </format>
    <format dxfId="3867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46"/>
          </reference>
        </references>
      </pivotArea>
    </format>
    <format dxfId="3866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47"/>
          </reference>
        </references>
      </pivotArea>
    </format>
    <format dxfId="3865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47"/>
          </reference>
        </references>
      </pivotArea>
    </format>
    <format dxfId="3864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47"/>
          </reference>
        </references>
      </pivotArea>
    </format>
    <format dxfId="3863">
      <pivotArea dataOnly="0" labelOnly="1" outline="0" fieldPosition="0">
        <references count="3">
          <reference field="0" count="1" selected="0">
            <x v="5"/>
          </reference>
          <reference field="1" count="1">
            <x v="59"/>
          </reference>
          <reference field="9" count="1" selected="0">
            <x v="47"/>
          </reference>
        </references>
      </pivotArea>
    </format>
    <format dxfId="3862">
      <pivotArea dataOnly="0" labelOnly="1" outline="0" fieldPosition="0">
        <references count="3">
          <reference field="0" count="1" selected="0">
            <x v="14"/>
          </reference>
          <reference field="1" count="1">
            <x v="6"/>
          </reference>
          <reference field="9" count="1" selected="0">
            <x v="47"/>
          </reference>
        </references>
      </pivotArea>
    </format>
    <format dxfId="3861">
      <pivotArea dataOnly="0" labelOnly="1" outline="0" fieldPosition="0">
        <references count="3">
          <reference field="0" count="1" selected="0">
            <x v="16"/>
          </reference>
          <reference field="1" count="1">
            <x v="83"/>
          </reference>
          <reference field="9" count="1" selected="0">
            <x v="47"/>
          </reference>
        </references>
      </pivotArea>
    </format>
    <format dxfId="3860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47"/>
          </reference>
        </references>
      </pivotArea>
    </format>
    <format dxfId="3859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47"/>
          </reference>
        </references>
      </pivotArea>
    </format>
    <format dxfId="3858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47"/>
          </reference>
        </references>
      </pivotArea>
    </format>
    <format dxfId="3857">
      <pivotArea dataOnly="0" labelOnly="1" outline="0" fieldPosition="0">
        <references count="3">
          <reference field="0" count="1" selected="0">
            <x v="30"/>
          </reference>
          <reference field="1" count="1">
            <x v="10"/>
          </reference>
          <reference field="9" count="1" selected="0">
            <x v="47"/>
          </reference>
        </references>
      </pivotArea>
    </format>
    <format dxfId="3856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47"/>
          </reference>
        </references>
      </pivotArea>
    </format>
    <format dxfId="3855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47"/>
          </reference>
        </references>
      </pivotArea>
    </format>
    <format dxfId="3854">
      <pivotArea dataOnly="0" labelOnly="1" outline="0" fieldPosition="0">
        <references count="3">
          <reference field="0" count="1" selected="0">
            <x v="40"/>
          </reference>
          <reference field="1" count="1">
            <x v="29"/>
          </reference>
          <reference field="9" count="1" selected="0">
            <x v="47"/>
          </reference>
        </references>
      </pivotArea>
    </format>
    <format dxfId="385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47"/>
          </reference>
        </references>
      </pivotArea>
    </format>
    <format dxfId="3852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47"/>
          </reference>
        </references>
      </pivotArea>
    </format>
    <format dxfId="3851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47"/>
          </reference>
        </references>
      </pivotArea>
    </format>
    <format dxfId="3850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47"/>
          </reference>
        </references>
      </pivotArea>
    </format>
    <format dxfId="3849">
      <pivotArea dataOnly="0" labelOnly="1" outline="0" fieldPosition="0">
        <references count="3">
          <reference field="0" count="1" selected="0">
            <x v="55"/>
          </reference>
          <reference field="1" count="1">
            <x v="22"/>
          </reference>
          <reference field="9" count="1" selected="0">
            <x v="47"/>
          </reference>
        </references>
      </pivotArea>
    </format>
    <format dxfId="3848">
      <pivotArea dataOnly="0" labelOnly="1" outline="0" fieldPosition="0">
        <references count="3">
          <reference field="0" count="1" selected="0">
            <x v="57"/>
          </reference>
          <reference field="1" count="1">
            <x v="57"/>
          </reference>
          <reference field="9" count="1" selected="0">
            <x v="47"/>
          </reference>
        </references>
      </pivotArea>
    </format>
    <format dxfId="3847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47"/>
          </reference>
        </references>
      </pivotArea>
    </format>
    <format dxfId="3846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47"/>
          </reference>
        </references>
      </pivotArea>
    </format>
    <format dxfId="3845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47"/>
          </reference>
        </references>
      </pivotArea>
    </format>
    <format dxfId="3844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47"/>
          </reference>
        </references>
      </pivotArea>
    </format>
    <format dxfId="3843">
      <pivotArea dataOnly="0" labelOnly="1" outline="0" fieldPosition="0">
        <references count="3">
          <reference field="0" count="1" selected="0">
            <x v="62"/>
          </reference>
          <reference field="1" count="1">
            <x v="72"/>
          </reference>
          <reference field="9" count="1" selected="0">
            <x v="47"/>
          </reference>
        </references>
      </pivotArea>
    </format>
    <format dxfId="3842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47"/>
          </reference>
        </references>
      </pivotArea>
    </format>
    <format dxfId="3841">
      <pivotArea dataOnly="0" labelOnly="1" outline="0" fieldPosition="0">
        <references count="3">
          <reference field="0" count="1" selected="0">
            <x v="68"/>
          </reference>
          <reference field="1" count="1">
            <x v="85"/>
          </reference>
          <reference field="9" count="1" selected="0">
            <x v="47"/>
          </reference>
        </references>
      </pivotArea>
    </format>
    <format dxfId="3840">
      <pivotArea dataOnly="0" labelOnly="1" outline="0" fieldPosition="0">
        <references count="3">
          <reference field="0" count="1" selected="0">
            <x v="72"/>
          </reference>
          <reference field="1" count="1">
            <x v="75"/>
          </reference>
          <reference field="9" count="1" selected="0">
            <x v="47"/>
          </reference>
        </references>
      </pivotArea>
    </format>
    <format dxfId="3839">
      <pivotArea dataOnly="0" labelOnly="1" outline="0" fieldPosition="0">
        <references count="3">
          <reference field="0" count="1" selected="0">
            <x v="75"/>
          </reference>
          <reference field="1" count="1">
            <x v="21"/>
          </reference>
          <reference field="9" count="1" selected="0">
            <x v="47"/>
          </reference>
        </references>
      </pivotArea>
    </format>
    <format dxfId="3838">
      <pivotArea dataOnly="0" labelOnly="1" outline="0" fieldPosition="0">
        <references count="3">
          <reference field="0" count="1" selected="0">
            <x v="76"/>
          </reference>
          <reference field="1" count="1">
            <x v="24"/>
          </reference>
          <reference field="9" count="1" selected="0">
            <x v="47"/>
          </reference>
        </references>
      </pivotArea>
    </format>
    <format dxfId="3837">
      <pivotArea dataOnly="0" labelOnly="1" outline="0" fieldPosition="0">
        <references count="3">
          <reference field="0" count="1" selected="0">
            <x v="77"/>
          </reference>
          <reference field="1" count="1">
            <x v="68"/>
          </reference>
          <reference field="9" count="1" selected="0">
            <x v="47"/>
          </reference>
        </references>
      </pivotArea>
    </format>
    <format dxfId="3836">
      <pivotArea dataOnly="0" labelOnly="1" outline="0" fieldPosition="0">
        <references count="3">
          <reference field="0" count="1" selected="0">
            <x v="80"/>
          </reference>
          <reference field="1" count="1">
            <x v="78"/>
          </reference>
          <reference field="9" count="1" selected="0">
            <x v="47"/>
          </reference>
        </references>
      </pivotArea>
    </format>
    <format dxfId="3835">
      <pivotArea dataOnly="0" labelOnly="1" outline="0" fieldPosition="0">
        <references count="3">
          <reference field="0" count="1" selected="0">
            <x v="81"/>
          </reference>
          <reference field="1" count="1">
            <x v="41"/>
          </reference>
          <reference field="9" count="1" selected="0">
            <x v="47"/>
          </reference>
        </references>
      </pivotArea>
    </format>
    <format dxfId="3834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47"/>
          </reference>
        </references>
      </pivotArea>
    </format>
    <format dxfId="3833">
      <pivotArea dataOnly="0" labelOnly="1" outline="0" fieldPosition="0">
        <references count="3">
          <reference field="0" count="1" selected="0">
            <x v="83"/>
          </reference>
          <reference field="1" count="1">
            <x v="0"/>
          </reference>
          <reference field="9" count="1" selected="0">
            <x v="47"/>
          </reference>
        </references>
      </pivotArea>
    </format>
    <format dxfId="3832">
      <pivotArea dataOnly="0" labelOnly="1" outline="0" fieldPosition="0">
        <references count="3">
          <reference field="0" count="1" selected="0">
            <x v="84"/>
          </reference>
          <reference field="1" count="1">
            <x v="66"/>
          </reference>
          <reference field="9" count="1" selected="0">
            <x v="47"/>
          </reference>
        </references>
      </pivotArea>
    </format>
    <format dxfId="3831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48"/>
          </reference>
        </references>
      </pivotArea>
    </format>
    <format dxfId="3830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48"/>
          </reference>
        </references>
      </pivotArea>
    </format>
    <format dxfId="3829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48"/>
          </reference>
        </references>
      </pivotArea>
    </format>
    <format dxfId="3828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48"/>
          </reference>
        </references>
      </pivotArea>
    </format>
    <format dxfId="3827">
      <pivotArea dataOnly="0" labelOnly="1" outline="0" fieldPosition="0">
        <references count="3">
          <reference field="0" count="1" selected="0">
            <x v="30"/>
          </reference>
          <reference field="1" count="1">
            <x v="10"/>
          </reference>
          <reference field="9" count="1" selected="0">
            <x v="48"/>
          </reference>
        </references>
      </pivotArea>
    </format>
    <format dxfId="3826">
      <pivotArea dataOnly="0" labelOnly="1" outline="0" fieldPosition="0">
        <references count="3">
          <reference field="0" count="1" selected="0">
            <x v="31"/>
          </reference>
          <reference field="1" count="1">
            <x v="73"/>
          </reference>
          <reference field="9" count="1" selected="0">
            <x v="48"/>
          </reference>
        </references>
      </pivotArea>
    </format>
    <format dxfId="3825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48"/>
          </reference>
        </references>
      </pivotArea>
    </format>
    <format dxfId="3824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48"/>
          </reference>
        </references>
      </pivotArea>
    </format>
    <format dxfId="382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48"/>
          </reference>
        </references>
      </pivotArea>
    </format>
    <format dxfId="3822">
      <pivotArea dataOnly="0" labelOnly="1" outline="0" fieldPosition="0">
        <references count="3">
          <reference field="0" count="1" selected="0">
            <x v="43"/>
          </reference>
          <reference field="1" count="1">
            <x v="20"/>
          </reference>
          <reference field="9" count="1" selected="0">
            <x v="48"/>
          </reference>
        </references>
      </pivotArea>
    </format>
    <format dxfId="3821">
      <pivotArea dataOnly="0" labelOnly="1" outline="0" fieldPosition="0">
        <references count="3">
          <reference field="0" count="1" selected="0">
            <x v="44"/>
          </reference>
          <reference field="1" count="1">
            <x v="18"/>
          </reference>
          <reference field="9" count="1" selected="0">
            <x v="48"/>
          </reference>
        </references>
      </pivotArea>
    </format>
    <format dxfId="3820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48"/>
          </reference>
        </references>
      </pivotArea>
    </format>
    <format dxfId="3819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48"/>
          </reference>
        </references>
      </pivotArea>
    </format>
    <format dxfId="3818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48"/>
          </reference>
        </references>
      </pivotArea>
    </format>
    <format dxfId="3817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48"/>
          </reference>
        </references>
      </pivotArea>
    </format>
    <format dxfId="3816">
      <pivotArea dataOnly="0" labelOnly="1" outline="0" fieldPosition="0">
        <references count="3">
          <reference field="0" count="1" selected="0">
            <x v="62"/>
          </reference>
          <reference field="1" count="1">
            <x v="72"/>
          </reference>
          <reference field="9" count="1" selected="0">
            <x v="48"/>
          </reference>
        </references>
      </pivotArea>
    </format>
    <format dxfId="3815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48"/>
          </reference>
        </references>
      </pivotArea>
    </format>
    <format dxfId="3814">
      <pivotArea dataOnly="0" labelOnly="1" outline="0" fieldPosition="0">
        <references count="3">
          <reference field="0" count="1" selected="0">
            <x v="81"/>
          </reference>
          <reference field="1" count="1">
            <x v="41"/>
          </reference>
          <reference field="9" count="1" selected="0">
            <x v="48"/>
          </reference>
        </references>
      </pivotArea>
    </format>
    <format dxfId="3813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48"/>
          </reference>
        </references>
      </pivotArea>
    </format>
    <format dxfId="3812">
      <pivotArea dataOnly="0" labelOnly="1" outline="0" fieldPosition="0">
        <references count="3">
          <reference field="0" count="1" selected="0">
            <x v="83"/>
          </reference>
          <reference field="1" count="1">
            <x v="0"/>
          </reference>
          <reference field="9" count="1" selected="0">
            <x v="48"/>
          </reference>
        </references>
      </pivotArea>
    </format>
    <format dxfId="3811">
      <pivotArea dataOnly="0" labelOnly="1" outline="0" fieldPosition="0">
        <references count="3">
          <reference field="0" count="1" selected="0">
            <x v="84"/>
          </reference>
          <reference field="1" count="1">
            <x v="66"/>
          </reference>
          <reference field="9" count="1" selected="0">
            <x v="48"/>
          </reference>
        </references>
      </pivotArea>
    </format>
    <format dxfId="3810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49"/>
          </reference>
        </references>
      </pivotArea>
    </format>
    <format dxfId="3809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49"/>
          </reference>
        </references>
      </pivotArea>
    </format>
    <format dxfId="3808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49"/>
          </reference>
        </references>
      </pivotArea>
    </format>
    <format dxfId="3807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49"/>
          </reference>
        </references>
      </pivotArea>
    </format>
    <format dxfId="3806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49"/>
          </reference>
        </references>
      </pivotArea>
    </format>
    <format dxfId="3805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49"/>
          </reference>
        </references>
      </pivotArea>
    </format>
    <format dxfId="3804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49"/>
          </reference>
        </references>
      </pivotArea>
    </format>
    <format dxfId="3803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49"/>
          </reference>
        </references>
      </pivotArea>
    </format>
    <format dxfId="3802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49"/>
          </reference>
        </references>
      </pivotArea>
    </format>
    <format dxfId="3801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49"/>
          </reference>
        </references>
      </pivotArea>
    </format>
    <format dxfId="3800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49"/>
          </reference>
        </references>
      </pivotArea>
    </format>
    <format dxfId="3799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49"/>
          </reference>
        </references>
      </pivotArea>
    </format>
    <format dxfId="3798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49"/>
          </reference>
        </references>
      </pivotArea>
    </format>
    <format dxfId="3797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49"/>
          </reference>
        </references>
      </pivotArea>
    </format>
    <format dxfId="3796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49"/>
          </reference>
        </references>
      </pivotArea>
    </format>
    <format dxfId="3795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49"/>
          </reference>
        </references>
      </pivotArea>
    </format>
    <format dxfId="3794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50"/>
          </reference>
        </references>
      </pivotArea>
    </format>
    <format dxfId="3793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50"/>
          </reference>
        </references>
      </pivotArea>
    </format>
    <format dxfId="3792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50"/>
          </reference>
        </references>
      </pivotArea>
    </format>
    <format dxfId="3791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50"/>
          </reference>
        </references>
      </pivotArea>
    </format>
    <format dxfId="3790">
      <pivotArea dataOnly="0" labelOnly="1" outline="0" fieldPosition="0">
        <references count="3">
          <reference field="0" count="1" selected="0">
            <x v="51"/>
          </reference>
          <reference field="1" count="1">
            <x v="40"/>
          </reference>
          <reference field="9" count="1" selected="0">
            <x v="50"/>
          </reference>
        </references>
      </pivotArea>
    </format>
    <format dxfId="3789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50"/>
          </reference>
        </references>
      </pivotArea>
    </format>
    <format dxfId="3788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50"/>
          </reference>
        </references>
      </pivotArea>
    </format>
    <format dxfId="3787">
      <pivotArea dataOnly="0" labelOnly="1" outline="0" fieldPosition="0">
        <references count="3">
          <reference field="0" count="1" selected="0">
            <x v="62"/>
          </reference>
          <reference field="1" count="1">
            <x v="72"/>
          </reference>
          <reference field="9" count="1" selected="0">
            <x v="50"/>
          </reference>
        </references>
      </pivotArea>
    </format>
    <format dxfId="3786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50"/>
          </reference>
        </references>
      </pivotArea>
    </format>
    <format dxfId="3785">
      <pivotArea dataOnly="0" labelOnly="1" outline="0" fieldPosition="0">
        <references count="3">
          <reference field="0" count="1" selected="0">
            <x v="68"/>
          </reference>
          <reference field="1" count="1">
            <x v="85"/>
          </reference>
          <reference field="9" count="1" selected="0">
            <x v="50"/>
          </reference>
        </references>
      </pivotArea>
    </format>
    <format dxfId="3784">
      <pivotArea dataOnly="0" labelOnly="1" outline="0" fieldPosition="0">
        <references count="3">
          <reference field="0" count="1" selected="0">
            <x v="83"/>
          </reference>
          <reference field="1" count="1">
            <x v="0"/>
          </reference>
          <reference field="9" count="1" selected="0">
            <x v="50"/>
          </reference>
        </references>
      </pivotArea>
    </format>
    <format dxfId="3783">
      <pivotArea dataOnly="0" labelOnly="1" outline="0" fieldPosition="0">
        <references count="3">
          <reference field="0" count="1" selected="0">
            <x v="84"/>
          </reference>
          <reference field="1" count="1">
            <x v="66"/>
          </reference>
          <reference field="9" count="1" selected="0">
            <x v="50"/>
          </reference>
        </references>
      </pivotArea>
    </format>
    <format dxfId="3782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51"/>
          </reference>
        </references>
      </pivotArea>
    </format>
    <format dxfId="3781">
      <pivotArea dataOnly="0" labelOnly="1" outline="0" fieldPosition="0">
        <references count="3">
          <reference field="0" count="1" selected="0">
            <x v="2"/>
          </reference>
          <reference field="1" count="1">
            <x v="54"/>
          </reference>
          <reference field="9" count="1" selected="0">
            <x v="51"/>
          </reference>
        </references>
      </pivotArea>
    </format>
    <format dxfId="3780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51"/>
          </reference>
        </references>
      </pivotArea>
    </format>
    <format dxfId="3779">
      <pivotArea dataOnly="0" labelOnly="1" outline="0" fieldPosition="0">
        <references count="3">
          <reference field="0" count="1" selected="0">
            <x v="5"/>
          </reference>
          <reference field="1" count="1">
            <x v="59"/>
          </reference>
          <reference field="9" count="1" selected="0">
            <x v="51"/>
          </reference>
        </references>
      </pivotArea>
    </format>
    <format dxfId="3778">
      <pivotArea dataOnly="0" labelOnly="1" outline="0" fieldPosition="0">
        <references count="3">
          <reference field="0" count="1" selected="0">
            <x v="10"/>
          </reference>
          <reference field="1" count="1">
            <x v="51"/>
          </reference>
          <reference field="9" count="1" selected="0">
            <x v="51"/>
          </reference>
        </references>
      </pivotArea>
    </format>
    <format dxfId="3777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51"/>
          </reference>
        </references>
      </pivotArea>
    </format>
    <format dxfId="3776">
      <pivotArea dataOnly="0" labelOnly="1" outline="0" fieldPosition="0">
        <references count="3">
          <reference field="0" count="1" selected="0">
            <x v="14"/>
          </reference>
          <reference field="1" count="1">
            <x v="6"/>
          </reference>
          <reference field="9" count="1" selected="0">
            <x v="51"/>
          </reference>
        </references>
      </pivotArea>
    </format>
    <format dxfId="3775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51"/>
          </reference>
        </references>
      </pivotArea>
    </format>
    <format dxfId="3774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51"/>
          </reference>
        </references>
      </pivotArea>
    </format>
    <format dxfId="3773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51"/>
          </reference>
        </references>
      </pivotArea>
    </format>
    <format dxfId="3772">
      <pivotArea dataOnly="0" labelOnly="1" outline="0" fieldPosition="0">
        <references count="3">
          <reference field="0" count="1" selected="0">
            <x v="30"/>
          </reference>
          <reference field="1" count="1">
            <x v="10"/>
          </reference>
          <reference field="9" count="1" selected="0">
            <x v="51"/>
          </reference>
        </references>
      </pivotArea>
    </format>
    <format dxfId="3771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51"/>
          </reference>
        </references>
      </pivotArea>
    </format>
    <format dxfId="3770">
      <pivotArea dataOnly="0" labelOnly="1" outline="0" fieldPosition="0">
        <references count="3">
          <reference field="0" count="1" selected="0">
            <x v="39"/>
          </reference>
          <reference field="1" count="1">
            <x v="17"/>
          </reference>
          <reference field="9" count="1" selected="0">
            <x v="51"/>
          </reference>
        </references>
      </pivotArea>
    </format>
    <format dxfId="3769">
      <pivotArea dataOnly="0" labelOnly="1" outline="0" fieldPosition="0">
        <references count="3">
          <reference field="0" count="1" selected="0">
            <x v="40"/>
          </reference>
          <reference field="1" count="1">
            <x v="29"/>
          </reference>
          <reference field="9" count="1" selected="0">
            <x v="51"/>
          </reference>
        </references>
      </pivotArea>
    </format>
    <format dxfId="3768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51"/>
          </reference>
        </references>
      </pivotArea>
    </format>
    <format dxfId="3767">
      <pivotArea dataOnly="0" labelOnly="1" outline="0" fieldPosition="0">
        <references count="3">
          <reference field="0" count="1" selected="0">
            <x v="45"/>
          </reference>
          <reference field="1" count="1">
            <x v="9"/>
          </reference>
          <reference field="9" count="1" selected="0">
            <x v="51"/>
          </reference>
        </references>
      </pivotArea>
    </format>
    <format dxfId="3766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51"/>
          </reference>
        </references>
      </pivotArea>
    </format>
    <format dxfId="3765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51"/>
          </reference>
        </references>
      </pivotArea>
    </format>
    <format dxfId="3764">
      <pivotArea dataOnly="0" labelOnly="1" outline="0" fieldPosition="0">
        <references count="3">
          <reference field="0" count="1" selected="0">
            <x v="58"/>
          </reference>
          <reference field="1" count="1">
            <x v="65"/>
          </reference>
          <reference field="9" count="1" selected="0">
            <x v="51"/>
          </reference>
        </references>
      </pivotArea>
    </format>
    <format dxfId="3763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51"/>
          </reference>
        </references>
      </pivotArea>
    </format>
    <format dxfId="3762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51"/>
          </reference>
        </references>
      </pivotArea>
    </format>
    <format dxfId="3761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51"/>
          </reference>
        </references>
      </pivotArea>
    </format>
    <format dxfId="3760">
      <pivotArea dataOnly="0" labelOnly="1" outline="0" fieldPosition="0">
        <references count="3">
          <reference field="0" count="1" selected="0">
            <x v="62"/>
          </reference>
          <reference field="1" count="1">
            <x v="72"/>
          </reference>
          <reference field="9" count="1" selected="0">
            <x v="51"/>
          </reference>
        </references>
      </pivotArea>
    </format>
    <format dxfId="3759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51"/>
          </reference>
        </references>
      </pivotArea>
    </format>
    <format dxfId="3758">
      <pivotArea dataOnly="0" labelOnly="1" outline="0" fieldPosition="0">
        <references count="3">
          <reference field="0" count="1" selected="0">
            <x v="68"/>
          </reference>
          <reference field="1" count="1">
            <x v="85"/>
          </reference>
          <reference field="9" count="1" selected="0">
            <x v="51"/>
          </reference>
        </references>
      </pivotArea>
    </format>
    <format dxfId="3757">
      <pivotArea dataOnly="0" labelOnly="1" outline="0" fieldPosition="0">
        <references count="3">
          <reference field="0" count="1" selected="0">
            <x v="72"/>
          </reference>
          <reference field="1" count="1">
            <x v="75"/>
          </reference>
          <reference field="9" count="1" selected="0">
            <x v="51"/>
          </reference>
        </references>
      </pivotArea>
    </format>
    <format dxfId="3756">
      <pivotArea dataOnly="0" labelOnly="1" outline="0" fieldPosition="0">
        <references count="3">
          <reference field="0" count="1" selected="0">
            <x v="81"/>
          </reference>
          <reference field="1" count="1">
            <x v="41"/>
          </reference>
          <reference field="9" count="1" selected="0">
            <x v="51"/>
          </reference>
        </references>
      </pivotArea>
    </format>
    <format dxfId="3755">
      <pivotArea dataOnly="0" labelOnly="1" outline="0" fieldPosition="0">
        <references count="3">
          <reference field="0" count="1" selected="0">
            <x v="82"/>
          </reference>
          <reference field="1" count="1">
            <x v="44"/>
          </reference>
          <reference field="9" count="1" selected="0">
            <x v="51"/>
          </reference>
        </references>
      </pivotArea>
    </format>
    <format dxfId="3754">
      <pivotArea dataOnly="0" labelOnly="1" outline="0" fieldPosition="0">
        <references count="3">
          <reference field="0" count="1" selected="0">
            <x v="83"/>
          </reference>
          <reference field="1" count="1">
            <x v="0"/>
          </reference>
          <reference field="9" count="1" selected="0">
            <x v="51"/>
          </reference>
        </references>
      </pivotArea>
    </format>
    <format dxfId="3753">
      <pivotArea dataOnly="0" labelOnly="1" outline="0" fieldPosition="0">
        <references count="3">
          <reference field="0" count="1" selected="0">
            <x v="84"/>
          </reference>
          <reference field="1" count="1">
            <x v="66"/>
          </reference>
          <reference field="9" count="1" selected="0">
            <x v="51"/>
          </reference>
        </references>
      </pivotArea>
    </format>
    <format dxfId="3752">
      <pivotArea dataOnly="0" labelOnly="1" outline="0" fieldPosition="0">
        <references count="3">
          <reference field="0" count="1" selected="0">
            <x v="1"/>
          </reference>
          <reference field="1" count="1">
            <x v="52"/>
          </reference>
          <reference field="9" count="1" selected="0">
            <x v="52"/>
          </reference>
        </references>
      </pivotArea>
    </format>
    <format dxfId="3751">
      <pivotArea dataOnly="0" labelOnly="1" outline="0" fieldPosition="0">
        <references count="3">
          <reference field="0" count="1" selected="0">
            <x v="3"/>
          </reference>
          <reference field="1" count="1">
            <x v="36"/>
          </reference>
          <reference field="9" count="1" selected="0">
            <x v="52"/>
          </reference>
        </references>
      </pivotArea>
    </format>
    <format dxfId="3750">
      <pivotArea dataOnly="0" labelOnly="1" outline="0" fieldPosition="0">
        <references count="3">
          <reference field="0" count="1" selected="0">
            <x v="12"/>
          </reference>
          <reference field="1" count="1">
            <x v="38"/>
          </reference>
          <reference field="9" count="1" selected="0">
            <x v="52"/>
          </reference>
        </references>
      </pivotArea>
    </format>
    <format dxfId="3749">
      <pivotArea dataOnly="0" labelOnly="1" outline="0" fieldPosition="0">
        <references count="3">
          <reference field="0" count="1" selected="0">
            <x v="17"/>
          </reference>
          <reference field="1" count="1">
            <x v="39"/>
          </reference>
          <reference field="9" count="1" selected="0">
            <x v="52"/>
          </reference>
        </references>
      </pivotArea>
    </format>
    <format dxfId="3748">
      <pivotArea dataOnly="0" labelOnly="1" outline="0" fieldPosition="0">
        <references count="3">
          <reference field="0" count="1" selected="0">
            <x v="18"/>
          </reference>
          <reference field="1" count="1">
            <x v="15"/>
          </reference>
          <reference field="9" count="1" selected="0">
            <x v="52"/>
          </reference>
        </references>
      </pivotArea>
    </format>
    <format dxfId="3747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52"/>
          </reference>
        </references>
      </pivotArea>
    </format>
    <format dxfId="3746">
      <pivotArea dataOnly="0" labelOnly="1" outline="0" fieldPosition="0">
        <references count="3">
          <reference field="0" count="1" selected="0">
            <x v="32"/>
          </reference>
          <reference field="1" count="1">
            <x v="45"/>
          </reference>
          <reference field="9" count="1" selected="0">
            <x v="52"/>
          </reference>
        </references>
      </pivotArea>
    </format>
    <format dxfId="3745">
      <pivotArea dataOnly="0" labelOnly="1" outline="0" fieldPosition="0">
        <references count="3">
          <reference field="0" count="1" selected="0">
            <x v="42"/>
          </reference>
          <reference field="1" count="1">
            <x v="79"/>
          </reference>
          <reference field="9" count="1" selected="0">
            <x v="52"/>
          </reference>
        </references>
      </pivotArea>
    </format>
    <format dxfId="3744">
      <pivotArea dataOnly="0" labelOnly="1" outline="0" fieldPosition="0">
        <references count="3">
          <reference field="0" count="1" selected="0">
            <x v="50"/>
          </reference>
          <reference field="1" count="1">
            <x v="16"/>
          </reference>
          <reference field="9" count="1" selected="0">
            <x v="52"/>
          </reference>
        </references>
      </pivotArea>
    </format>
    <format dxfId="3743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52"/>
          </reference>
        </references>
      </pivotArea>
    </format>
    <format dxfId="3742">
      <pivotArea dataOnly="0" labelOnly="1" outline="0" fieldPosition="0">
        <references count="3">
          <reference field="0" count="1" selected="0">
            <x v="57"/>
          </reference>
          <reference field="1" count="1">
            <x v="57"/>
          </reference>
          <reference field="9" count="1" selected="0">
            <x v="52"/>
          </reference>
        </references>
      </pivotArea>
    </format>
    <format dxfId="3741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52"/>
          </reference>
        </references>
      </pivotArea>
    </format>
    <format dxfId="3740">
      <pivotArea dataOnly="0" labelOnly="1" outline="0" fieldPosition="0">
        <references count="3">
          <reference field="0" count="1" selected="0">
            <x v="60"/>
          </reference>
          <reference field="1" count="1">
            <x v="5"/>
          </reference>
          <reference field="9" count="1" selected="0">
            <x v="52"/>
          </reference>
        </references>
      </pivotArea>
    </format>
    <format dxfId="3739">
      <pivotArea dataOnly="0" labelOnly="1" outline="0" fieldPosition="0">
        <references count="3">
          <reference field="0" count="1" selected="0">
            <x v="61"/>
          </reference>
          <reference field="1" count="1">
            <x v="70"/>
          </reference>
          <reference field="9" count="1" selected="0">
            <x v="52"/>
          </reference>
        </references>
      </pivotArea>
    </format>
    <format dxfId="3738">
      <pivotArea dataOnly="0" labelOnly="1" outline="0" fieldPosition="0">
        <references count="3">
          <reference field="0" count="1" selected="0">
            <x v="67"/>
          </reference>
          <reference field="1" count="1">
            <x v="80"/>
          </reference>
          <reference field="9" count="1" selected="0">
            <x v="52"/>
          </reference>
        </references>
      </pivotArea>
    </format>
    <format dxfId="3737">
      <pivotArea dataOnly="0" labelOnly="1" outline="0" fieldPosition="0">
        <references count="3">
          <reference field="0" count="1" selected="0">
            <x v="53"/>
          </reference>
          <reference field="1" count="1">
            <x v="4"/>
          </reference>
          <reference field="9" count="1" selected="0">
            <x v="53"/>
          </reference>
        </references>
      </pivotArea>
    </format>
    <format dxfId="3736">
      <pivotArea dataOnly="0" labelOnly="1" outline="0" fieldPosition="0">
        <references count="3">
          <reference field="0" count="1" selected="0">
            <x v="59"/>
          </reference>
          <reference field="1" count="1">
            <x v="3"/>
          </reference>
          <reference field="9" count="1" selected="0">
            <x v="53"/>
          </reference>
        </references>
      </pivotArea>
    </format>
    <format dxfId="3735">
      <pivotArea dataOnly="0" labelOnly="1" outline="0" fieldPosition="0">
        <references count="3">
          <reference field="0" count="1" selected="0">
            <x v="62"/>
          </reference>
          <reference field="1" count="1">
            <x v="72"/>
          </reference>
          <reference field="9" count="1" selected="0">
            <x v="53"/>
          </reference>
        </references>
      </pivotArea>
    </format>
    <format dxfId="3734">
      <pivotArea dataOnly="0" labelOnly="1" outline="0" fieldPosition="0">
        <references count="3">
          <reference field="0" count="1" selected="0">
            <x v="25"/>
          </reference>
          <reference field="1" count="1">
            <x v="69"/>
          </reference>
          <reference field="9" count="1" selected="0">
            <x v="54"/>
          </reference>
        </references>
      </pivotArea>
    </format>
    <format dxfId="3733">
      <pivotArea dataOnly="0" labelOnly="1" outline="0" fieldPosition="0">
        <references count="3">
          <reference field="0" count="1" selected="0">
            <x v="43"/>
          </reference>
          <reference field="1" count="1">
            <x v="20"/>
          </reference>
          <reference field="9" count="1" selected="0">
            <x v="54"/>
          </reference>
        </references>
      </pivotArea>
    </format>
    <format dxfId="3732">
      <pivotArea field="1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3" cacheId="5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O3:Q5" firstHeaderRow="1" firstDataRow="1" firstDataCol="2"/>
  <pivotFields count="5">
    <pivotField axis="axisRow" compact="0" numFmtId="1" outline="0" showAll="0" defaultSubtotal="0">
      <items count="180">
        <item h="1" x="128"/>
        <item h="1" x="131"/>
        <item h="1" x="167"/>
        <item h="1" x="134"/>
        <item x="129"/>
        <item h="1" x="59"/>
        <item h="1" x="21"/>
        <item h="1" x="73"/>
        <item h="1" x="99"/>
        <item h="1" x="64"/>
        <item h="1" x="27"/>
        <item h="1" x="95"/>
        <item h="1" x="9"/>
        <item h="1" x="20"/>
        <item h="1" x="41"/>
        <item h="1" x="101"/>
        <item h="1" x="137"/>
        <item h="1" x="138"/>
        <item h="1" x="12"/>
        <item h="1" x="119"/>
        <item h="1" x="147"/>
        <item h="1" x="54"/>
        <item h="1" x="143"/>
        <item h="1" x="23"/>
        <item h="1" x="83"/>
        <item h="1" x="82"/>
        <item h="1" x="113"/>
        <item h="1" x="76"/>
        <item h="1" x="98"/>
        <item h="1" x="13"/>
        <item h="1" x="5"/>
        <item h="1" x="69"/>
        <item h="1" x="173"/>
        <item h="1" x="174"/>
        <item h="1" x="100"/>
        <item h="1" x="22"/>
        <item h="1" x="109"/>
        <item h="1" x="68"/>
        <item h="1" x="77"/>
        <item h="1" x="14"/>
        <item h="1" x="89"/>
        <item h="1" x="63"/>
        <item h="1" x="115"/>
        <item h="1" x="53"/>
        <item h="1" x="61"/>
        <item h="1" x="37"/>
        <item h="1" x="117"/>
        <item h="1" x="150"/>
        <item h="1" x="136"/>
        <item h="1" x="25"/>
        <item h="1" x="152"/>
        <item h="1" x="71"/>
        <item h="1" x="140"/>
        <item h="1" x="141"/>
        <item h="1" x="102"/>
        <item h="1" x="57"/>
        <item h="1" x="74"/>
        <item h="1" x="110"/>
        <item h="1" x="153"/>
        <item h="1" x="0"/>
        <item h="1" x="7"/>
        <item h="1" x="149"/>
        <item h="1" x="16"/>
        <item h="1" x="108"/>
        <item h="1" x="172"/>
        <item h="1" x="33"/>
        <item h="1" x="154"/>
        <item h="1" x="4"/>
        <item h="1" x="93"/>
        <item h="1" x="88"/>
        <item h="1" x="46"/>
        <item h="1" x="114"/>
        <item h="1" x="62"/>
        <item h="1" x="78"/>
        <item h="1" x="118"/>
        <item h="1" x="145"/>
        <item h="1" x="139"/>
        <item h="1" x="142"/>
        <item h="1" x="70"/>
        <item h="1" x="24"/>
        <item h="1" x="146"/>
        <item h="1" x="86"/>
        <item h="1" x="52"/>
        <item h="1" x="135"/>
        <item h="1" x="65"/>
        <item h="1" x="32"/>
        <item h="1" x="56"/>
        <item h="1" x="60"/>
        <item h="1" x="36"/>
        <item h="1" x="106"/>
        <item h="1" x="26"/>
        <item h="1" x="48"/>
        <item h="1" x="155"/>
        <item h="1" x="6"/>
        <item h="1" x="72"/>
        <item h="1" x="87"/>
        <item h="1" x="84"/>
        <item h="1" x="58"/>
        <item h="1" x="31"/>
        <item h="1" x="75"/>
        <item h="1" x="96"/>
        <item h="1" x="94"/>
        <item h="1" x="79"/>
        <item h="1" x="81"/>
        <item h="1" x="35"/>
        <item h="1" x="107"/>
        <item h="1" x="148"/>
        <item h="1" x="144"/>
        <item h="1" x="34"/>
        <item h="1" x="55"/>
        <item h="1" x="116"/>
        <item h="1" x="120"/>
        <item h="1" x="67"/>
        <item h="1" x="105"/>
        <item h="1" x="104"/>
        <item h="1" x="49"/>
        <item h="1" x="30"/>
        <item h="1" x="92"/>
        <item h="1" x="85"/>
        <item h="1" x="91"/>
        <item h="1" x="168"/>
        <item h="1" x="157"/>
        <item h="1" x="158"/>
        <item h="1" x="130"/>
        <item h="1" x="66"/>
        <item h="1" x="51"/>
        <item h="1" x="50"/>
        <item h="1" x="28"/>
        <item h="1" x="39"/>
        <item h="1" x="19"/>
        <item h="1" x="1"/>
        <item h="1" x="2"/>
        <item h="1" x="3"/>
        <item h="1" x="97"/>
        <item h="1" x="159"/>
        <item h="1" x="160"/>
        <item h="1" x="123"/>
        <item h="1" x="124"/>
        <item h="1" x="125"/>
        <item h="1" x="126"/>
        <item h="1" x="127"/>
        <item h="1" x="133"/>
        <item h="1" x="40"/>
        <item h="1" x="29"/>
        <item h="1" x="80"/>
        <item h="1" x="121"/>
        <item h="1" x="111"/>
        <item h="1" x="170"/>
        <item h="1" x="10"/>
        <item h="1" x="17"/>
        <item h="1" x="18"/>
        <item h="1" x="11"/>
        <item h="1" x="15"/>
        <item h="1" x="166"/>
        <item h="1" x="169"/>
        <item h="1" x="161"/>
        <item h="1" x="112"/>
        <item h="1" x="42"/>
        <item h="1" x="43"/>
        <item h="1" x="44"/>
        <item h="1" x="45"/>
        <item h="1" x="90"/>
        <item h="1" x="151"/>
        <item h="1" x="156"/>
        <item h="1" x="162"/>
        <item h="1" x="163"/>
        <item h="1" x="164"/>
        <item h="1" x="165"/>
        <item h="1" x="171"/>
        <item h="1" x="8"/>
        <item h="1" x="122"/>
        <item h="1" x="38"/>
        <item h="1" x="47"/>
        <item h="1" x="175"/>
        <item h="1" x="176"/>
        <item h="1" x="178"/>
        <item h="1" x="103"/>
        <item h="1" x="132"/>
        <item h="1" x="177"/>
        <item h="1" x="179"/>
      </items>
    </pivotField>
    <pivotField axis="axisRow" compact="0" outline="0" showAll="0">
      <items count="191">
        <item h="1" x="166"/>
        <item h="1" x="172"/>
        <item h="1" x="50"/>
        <item h="1" x="9"/>
        <item h="1" x="173"/>
        <item h="1" x="52"/>
        <item h="1" x="49"/>
        <item h="1" x="19"/>
        <item h="1" x="20"/>
        <item h="1" x="21"/>
        <item h="1" x="22"/>
        <item h="1" x="23"/>
        <item h="1" x="25"/>
        <item h="1" x="24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9"/>
        <item h="1" x="40"/>
        <item h="1" x="41"/>
        <item h="1" x="174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167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68"/>
        <item h="1" x="151"/>
        <item h="1" x="157"/>
        <item h="1" x="159"/>
        <item h="1" x="158"/>
        <item h="1" x="160"/>
        <item h="1" x="161"/>
        <item h="1" x="123"/>
        <item h="1" x="124"/>
        <item h="1" x="125"/>
        <item h="1" x="126"/>
        <item h="1" x="127"/>
        <item h="1" x="100"/>
        <item h="1" x="101"/>
        <item h="1" x="102"/>
        <item h="1" x="104"/>
        <item h="1" x="105"/>
        <item h="1" x="106"/>
        <item h="1" x="107"/>
        <item h="1" x="108"/>
        <item h="1" x="109"/>
        <item h="1" x="92"/>
        <item h="1" x="93"/>
        <item h="1" x="94"/>
        <item h="1" x="95"/>
        <item h="1" x="96"/>
        <item h="1" x="97"/>
        <item h="1" x="98"/>
        <item h="1" x="99"/>
        <item h="1" x="110"/>
        <item h="1" x="111"/>
        <item h="1" x="152"/>
        <item h="1" x="153"/>
        <item h="1" x="155"/>
        <item h="1" x="154"/>
        <item x="128"/>
        <item x="129"/>
        <item h="1" x="169"/>
        <item h="1" x="113"/>
        <item h="1" x="114"/>
        <item h="1" x="115"/>
        <item h="1" x="116"/>
        <item h="1" m="1" x="188"/>
        <item h="1" x="122"/>
        <item h="1" x="118"/>
        <item h="1" x="119"/>
        <item h="1" x="120"/>
        <item h="1" x="112"/>
        <item h="1" x="121"/>
        <item h="1" m="1" x="189"/>
        <item h="1" x="170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30"/>
        <item h="1" x="131"/>
        <item h="1" x="133"/>
        <item h="1" x="134"/>
        <item h="1" x="135"/>
        <item h="1" x="136"/>
        <item h="1" x="137"/>
        <item h="1" x="138"/>
        <item h="1" x="139"/>
        <item h="1" x="68"/>
        <item h="1" x="67"/>
        <item h="1" x="66"/>
        <item h="1" x="65"/>
        <item h="1" x="64"/>
        <item h="1" x="63"/>
        <item h="1" x="62"/>
        <item h="1" x="79"/>
        <item h="1" x="78"/>
        <item h="1" x="77"/>
        <item h="1" x="76"/>
        <item h="1" x="75"/>
        <item h="1" x="81"/>
        <item h="1" x="69"/>
        <item h="1" x="74"/>
        <item h="1" x="73"/>
        <item h="1" x="72"/>
        <item h="1" x="71"/>
        <item h="1" x="70"/>
        <item h="1" x="80"/>
        <item h="1" x="51"/>
        <item h="1" x="165"/>
        <item h="1" x="164"/>
        <item h="1" x="163"/>
        <item h="1" x="162"/>
        <item h="1" x="156"/>
        <item h="1" x="171"/>
        <item h="1" x="0"/>
        <item h="1" x="1"/>
        <item h="1" x="7"/>
        <item h="1" x="2"/>
        <item h="1" x="3"/>
        <item h="1" x="4"/>
        <item h="1" x="5"/>
        <item h="1" x="6"/>
        <item h="1" x="42"/>
        <item h="1" x="43"/>
        <item h="1" x="44"/>
        <item h="1" x="45"/>
        <item h="1" x="8"/>
        <item h="1" x="48"/>
        <item h="1" x="18"/>
        <item h="1" x="17"/>
        <item h="1" x="16"/>
        <item h="1" x="15"/>
        <item h="1" x="14"/>
        <item h="1" x="13"/>
        <item h="1" x="12"/>
        <item h="1" x="11"/>
        <item h="1" x="10"/>
        <item h="1" x="38"/>
        <item h="1" x="46"/>
        <item h="1" x="47"/>
        <item h="1" x="175"/>
        <item h="1" x="176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03"/>
        <item h="1" x="117"/>
        <item h="1" x="132"/>
        <item h="1" x="177"/>
        <item h="1" x="187"/>
        <item t="default"/>
      </items>
    </pivotField>
    <pivotField compact="0" outline="0" showAll="0"/>
    <pivotField compact="0" outline="0" showAll="0"/>
    <pivotField dataField="1" compact="0" outline="0" showAll="0"/>
  </pivotFields>
  <rowFields count="2">
    <field x="0"/>
    <field x="1"/>
  </rowFields>
  <rowItems count="2">
    <i>
      <x v="4"/>
      <x v="86"/>
    </i>
    <i t="grand">
      <x/>
    </i>
  </rowItems>
  <colItems count="1">
    <i/>
  </colItems>
  <dataFields count="1">
    <dataField name="Suma de EXISTENCIAS" fld="4" baseField="0" baseItem="0"/>
  </dataFields>
  <formats count="11">
    <format dxfId="2677">
      <pivotArea outline="0" collapsedLevelsAreSubtotals="1" fieldPosition="0"/>
    </format>
    <format dxfId="2676">
      <pivotArea dataOnly="0" labelOnly="1" outline="0" axis="axisValues" fieldPosition="0"/>
    </format>
    <format dxfId="2675">
      <pivotArea outline="0" collapsedLevelsAreSubtotals="1" fieldPosition="0"/>
    </format>
    <format dxfId="2674">
      <pivotArea dataOnly="0" labelOnly="1" outline="0" axis="axisValues" fieldPosition="0"/>
    </format>
    <format dxfId="2673">
      <pivotArea field="0" type="button" dataOnly="0" labelOnly="1" outline="0" axis="axisRow" fieldPosition="0"/>
    </format>
    <format dxfId="2672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671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670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669">
      <pivotArea dataOnly="0" labelOnly="1" outline="0" fieldPosition="0">
        <references count="1">
          <reference field="0" count="21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</reference>
        </references>
      </pivotArea>
    </format>
    <format dxfId="2668">
      <pivotArea dataOnly="0" labelOnly="1" grandRow="1" outline="0" fieldPosition="0"/>
    </format>
    <format dxfId="2667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2" cacheId="5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H3:M53" firstHeaderRow="1" firstDataRow="1" firstDataCol="5"/>
  <pivotFields count="10">
    <pivotField axis="axisRow" compact="0" outline="0" showAll="0" defaultSubtotal="0">
      <items count="87">
        <item h="1" x="64"/>
        <item h="1" x="5"/>
        <item h="1" x="46"/>
        <item x="10"/>
        <item h="1" x="31"/>
        <item h="1" x="17"/>
        <item h="1" x="84"/>
        <item h="1" x="61"/>
        <item h="1" x="69"/>
        <item h="1" x="29"/>
        <item h="1" x="66"/>
        <item h="1" x="40"/>
        <item h="1" x="9"/>
        <item h="1" x="4"/>
        <item h="1" x="7"/>
        <item h="1" x="28"/>
        <item h="1" x="52"/>
        <item h="1" x="65"/>
        <item h="1" x="24"/>
        <item h="1" x="25"/>
        <item h="1" x="18"/>
        <item h="1" x="32"/>
        <item h="1" x="43"/>
        <item h="1" x="86"/>
        <item h="1" x="20"/>
        <item h="1" x="34"/>
        <item h="1" x="11"/>
        <item h="1" x="36"/>
        <item h="1" x="35"/>
        <item h="1" x="26"/>
        <item h="1" x="3"/>
        <item h="1" x="16"/>
        <item h="1" x="60"/>
        <item h="1" x="1"/>
        <item h="1" x="15"/>
        <item h="1" x="76"/>
        <item h="1" x="41"/>
        <item h="1" x="2"/>
        <item h="1" x="6"/>
        <item h="1" x="0"/>
        <item h="1" x="23"/>
        <item h="1" x="54"/>
        <item h="1" x="59"/>
        <item h="1" x="8"/>
        <item h="1" x="51"/>
        <item h="1" x="55"/>
        <item h="1" x="56"/>
        <item h="1" x="27"/>
        <item h="1" x="45"/>
        <item h="1" x="85"/>
        <item h="1" x="14"/>
        <item h="1" x="39"/>
        <item h="1" x="38"/>
        <item h="1" x="13"/>
        <item h="1" x="21"/>
        <item h="1" x="30"/>
        <item h="1" x="12"/>
        <item h="1" x="81"/>
        <item h="1" x="53"/>
        <item h="1" x="62"/>
        <item h="1" x="82"/>
        <item h="1" x="68"/>
        <item h="1" x="67"/>
        <item h="1" x="83"/>
        <item h="1" x="44"/>
        <item h="1" x="78"/>
        <item h="1" x="49"/>
        <item h="1" x="58"/>
        <item h="1" x="33"/>
        <item h="1" x="79"/>
        <item h="1" x="80"/>
        <item h="1" x="75"/>
        <item h="1" x="77"/>
        <item h="1" x="19"/>
        <item h="1" x="22"/>
        <item h="1" x="42"/>
        <item h="1" x="50"/>
        <item h="1" x="57"/>
        <item h="1" x="74"/>
        <item h="1" x="73"/>
        <item h="1" x="63"/>
        <item h="1" x="70"/>
        <item h="1" x="71"/>
        <item h="1" x="47"/>
        <item h="1" x="72"/>
        <item h="1" x="37"/>
        <item h="1" x="48"/>
      </items>
    </pivotField>
    <pivotField axis="axisRow" compact="0" outline="0" showAll="0" sortType="ascending">
      <items count="89">
        <item h="1" x="22"/>
        <item h="1" x="55"/>
        <item h="1" x="70"/>
        <item h="1" x="2"/>
        <item h="1" x="1"/>
        <item h="1" x="6"/>
        <item h="1" x="40"/>
        <item h="1" x="49"/>
        <item h="1" x="68"/>
        <item h="1" x="35"/>
        <item h="1" x="25"/>
        <item h="1" x="26"/>
        <item h="1" x="81"/>
        <item h="1" x="53"/>
        <item h="1" x="82"/>
        <item h="1" x="7"/>
        <item h="1" x="3"/>
        <item h="1" x="20"/>
        <item h="1" x="36"/>
        <item h="1" x="31"/>
        <item h="1" x="47"/>
        <item h="1" x="14"/>
        <item h="1" x="15"/>
        <item h="1" x="33"/>
        <item h="1" x="39"/>
        <item h="1" x="54"/>
        <item h="1" x="80"/>
        <item h="1" x="62"/>
        <item h="1" x="60"/>
        <item h="1" x="34"/>
        <item h="1" x="50"/>
        <item h="1" x="83"/>
        <item h="1" x="57"/>
        <item h="1" x="52"/>
        <item h="1" x="65"/>
        <item x="64"/>
        <item x="10"/>
        <item h="1" x="56"/>
        <item h="1" x="29"/>
        <item h="1" x="4"/>
        <item h="1" x="16"/>
        <item h="1" x="21"/>
        <item h="1" x="43"/>
        <item h="1" x="30"/>
        <item h="1" x="12"/>
        <item h="1" x="32"/>
        <item h="1" m="1" x="87"/>
        <item h="1" x="28"/>
        <item h="1" x="69"/>
        <item h="1" x="86"/>
        <item h="1" x="72"/>
        <item h="1" x="77"/>
        <item h="1" x="5"/>
        <item h="1" x="48"/>
        <item h="1" x="59"/>
        <item h="1" x="46"/>
        <item h="1" x="75"/>
        <item h="1" x="84"/>
        <item h="1" x="76"/>
        <item h="1" x="74"/>
        <item h="1" x="17"/>
        <item h="1" x="42"/>
        <item h="1" x="78"/>
        <item h="1" x="67"/>
        <item h="1" x="73"/>
        <item h="1" x="79"/>
        <item h="1" x="41"/>
        <item h="1" x="19"/>
        <item h="1" x="71"/>
        <item h="1" x="38"/>
        <item h="1" x="24"/>
        <item h="1" x="0"/>
        <item h="1" x="63"/>
        <item h="1" x="23"/>
        <item h="1" x="18"/>
        <item h="1" x="66"/>
        <item h="1" x="27"/>
        <item h="1" x="45"/>
        <item h="1" x="37"/>
        <item h="1" x="85"/>
        <item h="1" x="13"/>
        <item h="1" x="11"/>
        <item h="1" x="8"/>
        <item h="1" x="58"/>
        <item h="1" x="44"/>
        <item h="1" x="9"/>
        <item h="1" x="61"/>
        <item h="1" x="51"/>
        <item t="default"/>
      </items>
    </pivotField>
    <pivotField dataField="1"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axis="axisRow" compact="0" outline="0" showAll="0" defaultSubtotal="0">
      <items count="39">
        <item x="1"/>
        <item x="6"/>
        <item x="0"/>
        <item x="33"/>
        <item m="1" x="37"/>
        <item x="34"/>
        <item x="35"/>
        <item x="2"/>
        <item m="1" x="36"/>
        <item x="32"/>
        <item x="31"/>
        <item x="13"/>
        <item x="28"/>
        <item x="8"/>
        <item x="16"/>
        <item x="29"/>
        <item x="30"/>
        <item m="1" x="38"/>
        <item x="14"/>
        <item x="27"/>
        <item x="26"/>
        <item x="5"/>
        <item x="23"/>
        <item x="24"/>
        <item x="25"/>
        <item x="21"/>
        <item x="7"/>
        <item x="10"/>
        <item x="4"/>
        <item x="22"/>
        <item x="11"/>
        <item x="20"/>
        <item x="15"/>
        <item x="9"/>
        <item x="3"/>
        <item x="17"/>
        <item x="18"/>
        <item x="19"/>
        <item x="12"/>
      </items>
    </pivotField>
    <pivotField axis="axisRow" compact="0" outline="0" showAll="0" defaultSubtotal="0">
      <items count="8">
        <item x="5"/>
        <item x="6"/>
        <item x="4"/>
        <item x="7"/>
        <item x="0"/>
        <item x="3"/>
        <item x="1"/>
        <item x="2"/>
      </items>
    </pivotField>
    <pivotField axis="axisRow" compact="0" outline="0" multipleItemSelectionAllowed="1" showAll="0" defaultSubtotal="0">
      <items count="62">
        <item x="56"/>
        <item x="16"/>
        <item x="39"/>
        <item x="60"/>
        <item x="59"/>
        <item x="58"/>
        <item x="57"/>
        <item x="38"/>
        <item x="46"/>
        <item x="55"/>
        <item x="45"/>
        <item x="27"/>
        <item x="11"/>
        <item x="0"/>
        <item x="4"/>
        <item x="54"/>
        <item x="44"/>
        <item x="28"/>
        <item x="23"/>
        <item x="13"/>
        <item x="6"/>
        <item x="30"/>
        <item x="50"/>
        <item x="29"/>
        <item x="10"/>
        <item x="24"/>
        <item x="32"/>
        <item m="1" x="61"/>
        <item x="33"/>
        <item x="52"/>
        <item x="53"/>
        <item x="51"/>
        <item x="47"/>
        <item x="48"/>
        <item x="49"/>
        <item x="43"/>
        <item x="15"/>
        <item x="3"/>
        <item x="40"/>
        <item x="26"/>
        <item x="14"/>
        <item x="41"/>
        <item x="42"/>
        <item x="20"/>
        <item x="21"/>
        <item x="19"/>
        <item x="18"/>
        <item x="22"/>
        <item x="25"/>
        <item x="7"/>
        <item x="31"/>
        <item x="34"/>
        <item x="35"/>
        <item x="36"/>
        <item x="37"/>
        <item x="8"/>
        <item x="2"/>
        <item x="9"/>
        <item x="1"/>
        <item x="5"/>
        <item x="12"/>
        <item x="17"/>
      </items>
    </pivotField>
  </pivotFields>
  <rowFields count="5">
    <field x="0"/>
    <field x="1"/>
    <field x="9"/>
    <field x="7"/>
    <field x="8"/>
  </rowFields>
  <rowItems count="50">
    <i>
      <x v="3"/>
      <x v="36"/>
      <x v="2"/>
      <x v="5"/>
      <x v="4"/>
    </i>
    <i r="2">
      <x v="3"/>
      <x v="5"/>
      <x v="4"/>
    </i>
    <i r="2">
      <x v="4"/>
      <x v="5"/>
      <x v="4"/>
    </i>
    <i r="2">
      <x v="5"/>
      <x v="5"/>
      <x v="4"/>
    </i>
    <i r="2">
      <x v="6"/>
      <x v="5"/>
      <x v="4"/>
    </i>
    <i r="2">
      <x v="7"/>
      <x v="5"/>
      <x v="4"/>
    </i>
    <i r="2">
      <x v="8"/>
      <x v="5"/>
      <x v="4"/>
    </i>
    <i r="2">
      <x v="9"/>
      <x v="5"/>
      <x v="4"/>
    </i>
    <i r="2">
      <x v="10"/>
      <x v="5"/>
      <x v="4"/>
    </i>
    <i r="2">
      <x v="11"/>
      <x v="13"/>
      <x v="4"/>
    </i>
    <i r="4">
      <x v="5"/>
    </i>
    <i r="2">
      <x v="12"/>
      <x v="3"/>
      <x v="5"/>
    </i>
    <i r="3">
      <x v="5"/>
      <x v="4"/>
    </i>
    <i r="3">
      <x v="13"/>
      <x v="4"/>
    </i>
    <i r="2">
      <x v="13"/>
      <x v="2"/>
      <x v="4"/>
    </i>
    <i r="2">
      <x v="14"/>
      <x v="1"/>
      <x v="4"/>
    </i>
    <i r="3">
      <x v="5"/>
      <x v="4"/>
    </i>
    <i r="2">
      <x v="15"/>
      <x v="5"/>
      <x v="4"/>
    </i>
    <i r="2">
      <x v="18"/>
      <x v="1"/>
      <x v="4"/>
    </i>
    <i r="2">
      <x v="19"/>
      <x v="1"/>
      <x v="4"/>
    </i>
    <i r="3">
      <x v="7"/>
      <x v="4"/>
    </i>
    <i r="3">
      <x v="26"/>
      <x v="4"/>
    </i>
    <i r="2">
      <x v="20"/>
      <x v="10"/>
      <x v="4"/>
    </i>
    <i r="2">
      <x v="21"/>
      <x v="11"/>
      <x v="4"/>
    </i>
    <i r="2">
      <x v="22"/>
      <x v="18"/>
      <x v="4"/>
    </i>
    <i r="2">
      <x v="23"/>
      <x/>
      <x v="4"/>
    </i>
    <i r="2">
      <x v="24"/>
      <x v="22"/>
      <x v="4"/>
    </i>
    <i r="2">
      <x v="26"/>
      <x v="13"/>
      <x v="4"/>
    </i>
    <i r="2">
      <x v="28"/>
      <x v="13"/>
      <x v="4"/>
    </i>
    <i r="2">
      <x v="29"/>
      <x v="13"/>
      <x v="4"/>
    </i>
    <i r="2">
      <x v="32"/>
      <x v="21"/>
      <x v="4"/>
    </i>
    <i r="2">
      <x v="35"/>
      <x v="26"/>
      <x v="4"/>
    </i>
    <i r="2">
      <x v="37"/>
      <x v="28"/>
      <x v="4"/>
    </i>
    <i r="2">
      <x v="39"/>
      <x v="26"/>
      <x v="4"/>
    </i>
    <i r="2">
      <x v="42"/>
      <x v="21"/>
      <x v="4"/>
    </i>
    <i r="2">
      <x v="44"/>
      <x v="26"/>
      <x v="4"/>
    </i>
    <i r="2">
      <x v="45"/>
      <x v="34"/>
      <x v="4"/>
    </i>
    <i r="2">
      <x v="49"/>
      <x v="13"/>
      <x v="4"/>
    </i>
    <i r="2">
      <x v="50"/>
      <x v="26"/>
      <x v="4"/>
    </i>
    <i r="2">
      <x v="51"/>
      <x v="13"/>
      <x v="4"/>
    </i>
    <i r="2">
      <x v="52"/>
      <x v="13"/>
      <x v="4"/>
    </i>
    <i r="2">
      <x v="54"/>
      <x v="13"/>
      <x v="4"/>
    </i>
    <i r="2">
      <x v="55"/>
      <x v="13"/>
      <x v="4"/>
    </i>
    <i r="2">
      <x v="56"/>
      <x v="7"/>
      <x v="4"/>
    </i>
    <i r="2">
      <x v="57"/>
      <x v="26"/>
      <x v="4"/>
    </i>
    <i r="2">
      <x v="59"/>
      <x v="1"/>
      <x v="4"/>
    </i>
    <i r="2">
      <x v="60"/>
      <x v="11"/>
      <x v="4"/>
    </i>
    <i r="2">
      <x v="61"/>
      <x v="26"/>
      <x v="4"/>
    </i>
    <i t="default" r="1">
      <x v="36"/>
    </i>
    <i t="grand">
      <x/>
    </i>
  </rowItems>
  <colItems count="1">
    <i/>
  </colItems>
  <dataFields count="1">
    <dataField name="Suma de CANTIDAD" fld="2" baseField="0" baseItem="0"/>
  </dataFields>
  <formats count="24">
    <format dxfId="2701">
      <pivotArea field="0" type="button" dataOnly="0" labelOnly="1" outline="0" axis="axisRow" fieldPosition="0"/>
    </format>
    <format dxfId="2700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699">
      <pivotArea dataOnly="0" labelOnly="1" outline="0" fieldPosition="0">
        <references count="1">
          <reference field="0" count="5">
            <x v="50"/>
            <x v="51"/>
            <x v="52"/>
            <x v="53"/>
            <x v="54"/>
          </reference>
        </references>
      </pivotArea>
    </format>
    <format dxfId="2698">
      <pivotArea outline="0" collapsedLevelsAreSubtotals="1" fieldPosition="0"/>
    </format>
    <format dxfId="2697">
      <pivotArea dataOnly="0" labelOnly="1" outline="0" axis="axisValues" fieldPosition="0"/>
    </format>
    <format dxfId="2696">
      <pivotArea field="8" type="button" dataOnly="0" labelOnly="1" outline="0" axis="axisRow" fieldPosition="4"/>
    </format>
    <format dxfId="2695">
      <pivotArea dataOnly="0" labelOnly="1" grandRow="1" outline="0" fieldPosition="0"/>
    </format>
    <format dxfId="2694">
      <pivotArea dataOnly="0" labelOnly="1" outline="0" fieldPosition="0">
        <references count="2">
          <reference field="0" count="1" selected="0">
            <x v="18"/>
          </reference>
          <reference field="1" count="0" defaultSubtotal="1"/>
        </references>
      </pivotArea>
    </format>
    <format dxfId="2693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0"/>
          </reference>
          <reference field="8" count="1">
            <x v="1"/>
          </reference>
          <reference field="9" count="1" selected="0">
            <x v="1"/>
          </reference>
        </references>
      </pivotArea>
    </format>
    <format dxfId="2692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6"/>
          </reference>
          <reference field="8" count="1">
            <x v="2"/>
          </reference>
          <reference field="9" count="1" selected="0">
            <x v="2"/>
          </reference>
        </references>
      </pivotArea>
    </format>
    <format dxfId="2691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6"/>
          </reference>
          <reference field="8" count="1">
            <x v="2"/>
          </reference>
          <reference field="9" count="1" selected="0">
            <x v="3"/>
          </reference>
        </references>
      </pivotArea>
    </format>
    <format dxfId="2690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6"/>
          </reference>
          <reference field="8" count="1">
            <x v="2"/>
          </reference>
          <reference field="9" count="1" selected="0">
            <x v="4"/>
          </reference>
        </references>
      </pivotArea>
    </format>
    <format dxfId="2689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6"/>
          </reference>
          <reference field="8" count="1">
            <x v="2"/>
          </reference>
          <reference field="9" count="1" selected="0">
            <x v="5"/>
          </reference>
        </references>
      </pivotArea>
    </format>
    <format dxfId="2688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6"/>
          </reference>
          <reference field="8" count="1">
            <x v="2"/>
          </reference>
          <reference field="9" count="1" selected="0">
            <x v="6"/>
          </reference>
        </references>
      </pivotArea>
    </format>
    <format dxfId="2687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6"/>
          </reference>
          <reference field="8" count="1">
            <x v="2"/>
          </reference>
          <reference field="9" count="1" selected="0">
            <x v="7"/>
          </reference>
        </references>
      </pivotArea>
    </format>
    <format dxfId="2686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6"/>
          </reference>
          <reference field="8" count="1">
            <x v="2"/>
          </reference>
          <reference field="9" count="1" selected="0">
            <x v="8"/>
          </reference>
        </references>
      </pivotArea>
    </format>
    <format dxfId="2685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>
            <x v="2"/>
          </reference>
          <reference field="9" count="1" selected="0">
            <x v="9"/>
          </reference>
        </references>
      </pivotArea>
    </format>
    <format dxfId="2684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6"/>
          </reference>
          <reference field="8" count="1">
            <x v="2"/>
          </reference>
          <reference field="9" count="1" selected="0">
            <x v="10"/>
          </reference>
        </references>
      </pivotArea>
    </format>
    <format dxfId="2683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>
            <x v="0"/>
          </reference>
          <reference field="9" count="1" selected="0">
            <x v="12"/>
          </reference>
        </references>
      </pivotArea>
    </format>
    <format dxfId="2682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2">
            <x v="0"/>
            <x v="3"/>
          </reference>
          <reference field="9" count="1" selected="0">
            <x v="13"/>
          </reference>
        </references>
      </pivotArea>
    </format>
    <format dxfId="2681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1"/>
          </reference>
          <reference field="8" count="1">
            <x v="2"/>
          </reference>
          <reference field="9" count="1" selected="0">
            <x v="14"/>
          </reference>
        </references>
      </pivotArea>
    </format>
    <format dxfId="2680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1"/>
          </reference>
          <reference field="8" count="1">
            <x v="2"/>
          </reference>
          <reference field="9" count="1" selected="0">
            <x v="15"/>
          </reference>
        </references>
      </pivotArea>
    </format>
    <format dxfId="2679">
      <pivotArea dataOnly="0" labelOnly="1" outline="0" fieldPosition="0">
        <references count="5">
          <reference field="0" count="1" selected="0">
            <x v="18"/>
          </reference>
          <reference field="1" count="0" selected="0"/>
          <reference field="7" count="1" selected="0">
            <x v="7"/>
          </reference>
          <reference field="8" count="1">
            <x v="2"/>
          </reference>
          <reference field="9" count="1" selected="0">
            <x v="16"/>
          </reference>
        </references>
      </pivotArea>
    </format>
    <format dxfId="2678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4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A3:E51" firstHeaderRow="1" firstDataRow="1" firstDataCol="4"/>
  <pivotFields count="16">
    <pivotField axis="axisRow" compact="0" outline="0" showAll="0" defaultSubtotal="0">
      <items count="96">
        <item h="1" x="73"/>
        <item h="1" x="26"/>
        <item h="1" x="71"/>
        <item h="1" x="40"/>
        <item x="27"/>
        <item h="1" x="34"/>
        <item h="1" x="80"/>
        <item h="1" x="46"/>
        <item h="1" x="77"/>
        <item h="1" x="86"/>
        <item h="1" x="50"/>
        <item h="1" x="91"/>
        <item h="1" x="35"/>
        <item h="1" x="28"/>
        <item h="1" x="70"/>
        <item h="1" x="52"/>
        <item h="1" x="53"/>
        <item h="1" x="12"/>
        <item h="1" x="1"/>
        <item h="1" x="94"/>
        <item h="1" x="55"/>
        <item h="1" x="89"/>
        <item h="1" x="16"/>
        <item h="1" x="74"/>
        <item h="1" x="2"/>
        <item h="1" x="36"/>
        <item h="1" x="3"/>
        <item h="1" x="78"/>
        <item h="1" x="88"/>
        <item h="1" x="17"/>
        <item h="1" x="95"/>
        <item h="1" x="43"/>
        <item h="1" x="93"/>
        <item h="1" x="8"/>
        <item h="1" x="29"/>
        <item h="1" x="22"/>
        <item h="1" x="49"/>
        <item h="1" x="14"/>
        <item h="1" x="13"/>
        <item h="1" x="92"/>
        <item h="1" x="42"/>
        <item h="1" x="5"/>
        <item h="1" x="48"/>
        <item h="1" x="18"/>
        <item h="1" x="15"/>
        <item h="1" x="20"/>
        <item h="1" x="64"/>
        <item h="1" x="41"/>
        <item h="1" x="56"/>
        <item h="1" x="19"/>
        <item h="1" x="0"/>
        <item h="1" x="6"/>
        <item h="1" x="10"/>
        <item h="1" x="54"/>
        <item h="1" x="51"/>
        <item h="1" x="59"/>
        <item h="1" x="60"/>
        <item h="1" x="30"/>
        <item h="1" x="39"/>
        <item h="1" x="44"/>
        <item h="1" x="45"/>
        <item h="1" x="72"/>
        <item h="1" x="90"/>
        <item h="1" x="7"/>
        <item h="1" x="4"/>
        <item h="1" x="87"/>
        <item h="1" x="23"/>
        <item h="1" x="68"/>
        <item h="1" x="69"/>
        <item h="1" x="24"/>
        <item h="1" x="38"/>
        <item h="1" x="79"/>
        <item h="1" x="82"/>
        <item h="1" x="83"/>
        <item h="1" x="33"/>
        <item h="1" x="84"/>
        <item h="1" x="47"/>
        <item h="1" x="85"/>
        <item h="1" x="21"/>
        <item h="1" x="9"/>
        <item h="1" x="58"/>
        <item h="1" x="76"/>
        <item h="1" x="67"/>
        <item h="1" x="65"/>
        <item h="1" x="81"/>
        <item h="1" x="11"/>
        <item h="1" x="61"/>
        <item h="1" x="62"/>
        <item h="1" x="57"/>
        <item h="1" x="75"/>
        <item h="1" x="63"/>
        <item h="1" x="66"/>
        <item h="1" x="25"/>
        <item h="1" x="31"/>
        <item h="1" x="32"/>
        <item h="1" x="37"/>
      </items>
    </pivotField>
    <pivotField axis="axisRow" compact="0" outline="0" showAll="0" defaultSubtotal="0">
      <items count="97">
        <item h="1" x="44"/>
        <item h="1" x="19"/>
        <item h="1" x="93"/>
        <item h="1" x="18"/>
        <item h="1" x="0"/>
        <item h="1" x="80"/>
        <item h="1" x="52"/>
        <item h="1" x="43"/>
        <item h="1" x="14"/>
        <item h="1" x="36"/>
        <item h="1" x="42"/>
        <item h="1" x="77"/>
        <item h="1" x="1"/>
        <item h="1" x="5"/>
        <item h="1" x="8"/>
        <item h="1" x="49"/>
        <item h="1" x="34"/>
        <item h="1" x="71"/>
        <item h="1" x="23"/>
        <item h="1" x="20"/>
        <item h="1" x="64"/>
        <item h="1" x="68"/>
        <item h="1" x="54"/>
        <item h="1" x="51"/>
        <item h="1" x="72"/>
        <item h="1" x="48"/>
        <item h="1" x="29"/>
        <item h="1" x="15"/>
        <item h="1" x="16"/>
        <item h="1" x="94"/>
        <item h="1" x="74"/>
        <item x="73"/>
        <item x="27"/>
        <item h="1" x="45"/>
        <item h="1" x="28"/>
        <item h="1" x="12"/>
        <item h="1" x="38"/>
        <item h="1" x="17"/>
        <item h="1" x="90"/>
        <item h="1" m="1" x="96"/>
        <item h="1" x="55"/>
        <item h="1" x="35"/>
        <item h="1" x="95"/>
        <item h="1" x="91"/>
        <item h="1" x="26"/>
        <item h="1" x="59"/>
        <item h="1" x="40"/>
        <item h="1" x="86"/>
        <item h="1" x="41"/>
        <item h="1" x="46"/>
        <item h="1" x="13"/>
        <item h="1" x="88"/>
        <item h="1" x="92"/>
        <item h="1" x="89"/>
        <item h="1" x="56"/>
        <item h="1" x="69"/>
        <item h="1" x="2"/>
        <item h="1" x="6"/>
        <item h="1" x="10"/>
        <item h="1" x="3"/>
        <item h="1" x="70"/>
        <item h="1" x="7"/>
        <item h="1" x="4"/>
        <item h="1" x="87"/>
        <item h="1" x="24"/>
        <item h="1" x="22"/>
        <item h="1" x="30"/>
        <item h="1" x="60"/>
        <item h="1" x="53"/>
        <item h="1" x="50"/>
        <item h="1" x="39"/>
        <item h="1" x="79"/>
        <item h="1" x="82"/>
        <item h="1" x="83"/>
        <item h="1" x="33"/>
        <item h="1" x="84"/>
        <item h="1" x="47"/>
        <item h="1" x="85"/>
        <item h="1" x="21"/>
        <item h="1" x="78"/>
        <item h="1" x="9"/>
        <item h="1" x="58"/>
        <item h="1" x="76"/>
        <item h="1" x="67"/>
        <item h="1" x="65"/>
        <item h="1" x="81"/>
        <item h="1" x="11"/>
        <item h="1" x="61"/>
        <item h="1" x="62"/>
        <item h="1" x="57"/>
        <item h="1" x="75"/>
        <item h="1" x="63"/>
        <item h="1" x="66"/>
        <item h="1" x="25"/>
        <item h="1" x="31"/>
        <item h="1" x="32"/>
        <item h="1" x="37"/>
      </items>
    </pivotField>
    <pivotField dataField="1" compact="0" outline="0" showAll="0"/>
    <pivotField compact="0" outline="0" showAll="0">
      <items count="419">
        <item x="80"/>
        <item x="226"/>
        <item x="284"/>
        <item x="286"/>
        <item x="211"/>
        <item x="253"/>
        <item x="208"/>
        <item x="257"/>
        <item x="35"/>
        <item x="341"/>
        <item x="209"/>
        <item x="343"/>
        <item x="146"/>
        <item x="36"/>
        <item x="355"/>
        <item x="154"/>
        <item x="345"/>
        <item x="241"/>
        <item x="251"/>
        <item x="113"/>
        <item x="12"/>
        <item x="177"/>
        <item x="246"/>
        <item x="260"/>
        <item x="293"/>
        <item x="371"/>
        <item x="402"/>
        <item x="59"/>
        <item x="407"/>
        <item x="353"/>
        <item x="231"/>
        <item x="89"/>
        <item x="164"/>
        <item x="11"/>
        <item x="304"/>
        <item x="197"/>
        <item x="414"/>
        <item x="320"/>
        <item x="389"/>
        <item x="99"/>
        <item x="262"/>
        <item x="108"/>
        <item x="329"/>
        <item x="374"/>
        <item x="13"/>
        <item x="90"/>
        <item x="261"/>
        <item x="234"/>
        <item x="360"/>
        <item x="383"/>
        <item x="367"/>
        <item x="17"/>
        <item x="258"/>
        <item x="237"/>
        <item x="82"/>
        <item x="8"/>
        <item x="73"/>
        <item x="366"/>
        <item x="274"/>
        <item x="38"/>
        <item x="265"/>
        <item x="377"/>
        <item x="416"/>
        <item x="344"/>
        <item x="380"/>
        <item x="29"/>
        <item x="101"/>
        <item x="282"/>
        <item x="85"/>
        <item x="47"/>
        <item x="79"/>
        <item x="406"/>
        <item x="236"/>
        <item x="243"/>
        <item x="275"/>
        <item x="385"/>
        <item x="280"/>
        <item x="296"/>
        <item x="334"/>
        <item x="131"/>
        <item x="303"/>
        <item x="268"/>
        <item x="370"/>
        <item x="9"/>
        <item x="64"/>
        <item x="409"/>
        <item x="364"/>
        <item x="415"/>
        <item x="358"/>
        <item x="124"/>
        <item x="342"/>
        <item x="233"/>
        <item x="292"/>
        <item x="155"/>
        <item x="128"/>
        <item x="413"/>
        <item x="78"/>
        <item x="55"/>
        <item x="387"/>
        <item x="207"/>
        <item x="288"/>
        <item x="83"/>
        <item x="365"/>
        <item x="87"/>
        <item x="321"/>
        <item x="375"/>
        <item x="352"/>
        <item x="363"/>
        <item x="300"/>
        <item x="391"/>
        <item x="115"/>
        <item x="331"/>
        <item x="404"/>
        <item x="410"/>
        <item x="359"/>
        <item x="291"/>
        <item x="270"/>
        <item x="198"/>
        <item x="400"/>
        <item x="81"/>
        <item x="248"/>
        <item x="95"/>
        <item x="379"/>
        <item x="401"/>
        <item x="356"/>
        <item x="294"/>
        <item x="135"/>
        <item x="259"/>
        <item x="317"/>
        <item x="232"/>
        <item x="256"/>
        <item x="318"/>
        <item x="338"/>
        <item x="376"/>
        <item x="417"/>
        <item x="98"/>
        <item x="277"/>
        <item x="227"/>
        <item x="319"/>
        <item x="196"/>
        <item x="3"/>
        <item x="250"/>
        <item x="122"/>
        <item x="405"/>
        <item x="324"/>
        <item x="347"/>
        <item x="368"/>
        <item x="298"/>
        <item x="289"/>
        <item x="67"/>
        <item x="398"/>
        <item x="180"/>
        <item x="403"/>
        <item x="283"/>
        <item x="369"/>
        <item x="395"/>
        <item x="333"/>
        <item x="267"/>
        <item x="119"/>
        <item x="109"/>
        <item x="28"/>
        <item x="240"/>
        <item x="93"/>
        <item x="279"/>
        <item x="199"/>
        <item x="382"/>
        <item x="276"/>
        <item x="373"/>
        <item x="266"/>
        <item x="272"/>
        <item x="393"/>
        <item x="381"/>
        <item x="372"/>
        <item x="255"/>
        <item x="271"/>
        <item x="305"/>
        <item x="20"/>
        <item x="327"/>
        <item x="142"/>
        <item x="295"/>
        <item x="281"/>
        <item x="204"/>
        <item x="394"/>
        <item x="141"/>
        <item x="140"/>
        <item x="316"/>
        <item x="335"/>
        <item x="214"/>
        <item x="23"/>
        <item x="346"/>
        <item x="399"/>
        <item x="309"/>
        <item x="285"/>
        <item x="412"/>
        <item x="242"/>
        <item x="217"/>
        <item x="326"/>
        <item x="357"/>
        <item x="129"/>
        <item x="332"/>
        <item x="308"/>
        <item x="273"/>
        <item x="408"/>
        <item x="212"/>
        <item x="384"/>
        <item x="337"/>
        <item x="354"/>
        <item x="269"/>
        <item x="290"/>
        <item x="205"/>
        <item x="351"/>
        <item x="287"/>
        <item x="397"/>
        <item x="299"/>
        <item x="195"/>
        <item x="297"/>
        <item x="249"/>
        <item x="247"/>
        <item x="315"/>
        <item x="378"/>
        <item x="306"/>
        <item x="264"/>
        <item x="24"/>
        <item x="252"/>
        <item x="230"/>
        <item x="325"/>
        <item x="411"/>
        <item x="301"/>
        <item x="216"/>
        <item x="386"/>
        <item x="152"/>
        <item x="77"/>
        <item x="239"/>
        <item x="348"/>
        <item x="396"/>
        <item x="336"/>
        <item x="14"/>
        <item x="76"/>
        <item x="245"/>
        <item x="362"/>
        <item x="330"/>
        <item x="278"/>
        <item x="311"/>
        <item x="392"/>
        <item x="349"/>
        <item x="229"/>
        <item x="328"/>
        <item x="263"/>
        <item x="339"/>
        <item x="323"/>
        <item x="361"/>
        <item x="313"/>
        <item x="340"/>
        <item x="6"/>
        <item x="244"/>
        <item x="390"/>
        <item x="254"/>
        <item x="228"/>
        <item x="307"/>
        <item x="322"/>
        <item x="350"/>
        <item x="310"/>
        <item x="235"/>
        <item x="213"/>
        <item x="238"/>
        <item x="388"/>
        <item x="302"/>
        <item x="215"/>
        <item x="314"/>
        <item x="312"/>
        <item x="210"/>
        <item h="1" x="0"/>
        <item h="1" x="193"/>
        <item h="1" x="18"/>
        <item h="1" x="19"/>
        <item h="1" x="194"/>
        <item h="1" x="200"/>
        <item h="1" x="201"/>
        <item h="1" x="202"/>
        <item h="1" x="203"/>
        <item h="1" x="206"/>
        <item h="1" x="116"/>
        <item h="1" x="218"/>
        <item h="1" x="219"/>
        <item h="1" x="220"/>
        <item h="1" x="221"/>
        <item h="1" x="222"/>
        <item h="1" x="223"/>
        <item h="1" x="224"/>
        <item h="1" x="117"/>
        <item h="1" x="225"/>
        <item h="1" x="71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8"/>
        <item h="1" x="179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66"/>
        <item h="1" x="167"/>
        <item h="1" x="5"/>
        <item h="1" x="103"/>
        <item h="1" x="104"/>
        <item h="1" x="105"/>
        <item h="1" x="106"/>
        <item h="1" x="107"/>
        <item h="1" x="110"/>
        <item h="1" x="111"/>
        <item h="1" x="112"/>
        <item h="1" x="114"/>
        <item h="1" x="118"/>
        <item h="1" x="120"/>
        <item h="1" x="121"/>
        <item h="1" x="123"/>
        <item h="1" x="125"/>
        <item h="1" x="126"/>
        <item h="1" x="127"/>
        <item h="1" x="75"/>
        <item h="1" x="102"/>
        <item h="1" x="130"/>
        <item h="1" x="132"/>
        <item h="1" x="133"/>
        <item h="1" x="134"/>
        <item h="1" x="136"/>
        <item h="1" x="137"/>
        <item h="1" x="138"/>
        <item h="1" x="139"/>
        <item h="1" x="143"/>
        <item h="1" x="144"/>
        <item h="1" x="145"/>
        <item h="1" x="147"/>
        <item h="1" x="148"/>
        <item h="1" x="149"/>
        <item h="1" x="7"/>
        <item h="1" x="150"/>
        <item h="1" x="151"/>
        <item h="1" x="153"/>
        <item h="1" x="156"/>
        <item h="1" x="157"/>
        <item h="1" x="158"/>
        <item h="1" x="159"/>
        <item h="1" x="160"/>
        <item h="1" x="161"/>
        <item h="1" x="86"/>
        <item h="1" x="162"/>
        <item h="1" x="163"/>
        <item h="1" x="32"/>
        <item h="1" x="97"/>
        <item h="1" x="165"/>
        <item h="1" x="84"/>
        <item h="1" x="88"/>
        <item h="1" x="91"/>
        <item h="1" x="92"/>
        <item h="1" x="94"/>
        <item h="1" x="96"/>
        <item h="1" x="72"/>
        <item h="1" x="100"/>
        <item h="1" x="1"/>
        <item h="1" x="2"/>
        <item h="1" x="4"/>
        <item h="1" x="10"/>
        <item h="1" x="15"/>
        <item h="1" x="16"/>
        <item h="1" x="21"/>
        <item h="1" x="22"/>
        <item h="1" x="25"/>
        <item h="1" x="26"/>
        <item h="1" x="27"/>
        <item h="1" x="30"/>
        <item h="1" x="31"/>
        <item h="1" x="33"/>
        <item h="1" x="34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8"/>
        <item h="1" x="49"/>
        <item h="1" x="50"/>
        <item h="1" x="51"/>
        <item h="1" x="52"/>
        <item h="1" x="53"/>
        <item h="1" x="54"/>
        <item h="1" x="56"/>
        <item h="1" x="57"/>
        <item h="1" x="58"/>
        <item h="1" x="60"/>
        <item h="1" x="61"/>
        <item h="1" x="62"/>
        <item h="1" x="63"/>
        <item h="1" x="65"/>
        <item h="1" x="66"/>
        <item h="1" x="68"/>
        <item h="1" x="69"/>
        <item h="1" x="70"/>
        <item h="1" x="74"/>
        <item t="default"/>
      </items>
    </pivotField>
    <pivotField compact="0" outline="0" showAll="0" defaultSubtotal="0"/>
    <pivotField compact="0" outline="0" showAll="0"/>
    <pivotField compact="0" numFmtId="14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Row" compact="0" outline="0" showAll="0" defaultSubtotal="0">
      <items count="66">
        <item x="52"/>
        <item x="51"/>
        <item x="63"/>
        <item x="49"/>
        <item x="61"/>
        <item x="62"/>
        <item x="53"/>
        <item x="55"/>
        <item x="59"/>
        <item x="64"/>
        <item x="65"/>
        <item x="56"/>
        <item x="58"/>
        <item x="57"/>
        <item x="54"/>
        <item x="26"/>
        <item x="1"/>
        <item x="50"/>
        <item x="42"/>
        <item x="22"/>
        <item x="25"/>
        <item x="43"/>
        <item x="21"/>
        <item x="9"/>
        <item x="10"/>
        <item x="4"/>
        <item x="15"/>
        <item x="16"/>
        <item x="60"/>
        <item x="48"/>
        <item x="33"/>
        <item x="6"/>
        <item x="0"/>
        <item x="47"/>
        <item x="44"/>
        <item x="32"/>
        <item x="45"/>
        <item x="34"/>
        <item x="28"/>
        <item x="13"/>
        <item x="46"/>
        <item x="5"/>
        <item x="37"/>
        <item x="38"/>
        <item x="39"/>
        <item x="40"/>
        <item x="35"/>
        <item x="41"/>
        <item x="20"/>
        <item x="23"/>
        <item x="7"/>
        <item x="29"/>
        <item x="30"/>
        <item x="31"/>
        <item x="24"/>
        <item x="19"/>
        <item x="36"/>
        <item x="27"/>
        <item x="17"/>
        <item x="12"/>
        <item x="18"/>
        <item x="3"/>
        <item x="2"/>
        <item x="14"/>
        <item x="8"/>
        <item x="11"/>
      </items>
    </pivotField>
    <pivotField compact="0" outline="0" showAll="0" defaultSubtotal="0"/>
    <pivotField compact="0" outline="0" showAll="0">
      <items count="135">
        <item x="133"/>
        <item x="132"/>
        <item x="131"/>
        <item x="130"/>
        <item x="129"/>
        <item x="128"/>
        <item x="127"/>
        <item x="124"/>
        <item x="126"/>
        <item x="125"/>
        <item x="123"/>
        <item x="118"/>
        <item x="119"/>
        <item x="120"/>
        <item x="121"/>
        <item x="122"/>
        <item x="106"/>
        <item x="105"/>
        <item x="104"/>
        <item x="103"/>
        <item x="91"/>
        <item x="102"/>
        <item x="101"/>
        <item x="100"/>
        <item x="99"/>
        <item x="98"/>
        <item x="97"/>
        <item x="113"/>
        <item x="116"/>
        <item x="114"/>
        <item x="108"/>
        <item x="109"/>
        <item x="110"/>
        <item x="107"/>
        <item x="96"/>
        <item x="112"/>
        <item x="111"/>
        <item x="117"/>
        <item x="115"/>
        <item x="95"/>
        <item x="92"/>
        <item x="93"/>
        <item x="94"/>
        <item x="89"/>
        <item x="90"/>
        <item x="83"/>
        <item x="88"/>
        <item x="87"/>
        <item x="86"/>
        <item x="85"/>
        <item x="84"/>
        <item x="82"/>
        <item x="81"/>
        <item x="80"/>
        <item x="78"/>
        <item x="77"/>
        <item x="76"/>
        <item x="73"/>
        <item x="72"/>
        <item x="74"/>
        <item x="75"/>
        <item x="79"/>
        <item x="71"/>
        <item x="70"/>
        <item x="69"/>
        <item x="68"/>
        <item x="67"/>
        <item x="65"/>
        <item x="66"/>
        <item x="64"/>
        <item x="63"/>
        <item x="62"/>
        <item x="61"/>
        <item x="60"/>
        <item x="59"/>
        <item x="58"/>
        <item x="57"/>
        <item x="49"/>
        <item x="50"/>
        <item x="51"/>
        <item x="52"/>
        <item x="53"/>
        <item x="55"/>
        <item x="56"/>
        <item x="54"/>
        <item x="0"/>
        <item x="44"/>
        <item x="45"/>
        <item x="46"/>
        <item x="47"/>
        <item x="4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1"/>
        <item x="12"/>
        <item x="13"/>
        <item x="4"/>
        <item x="5"/>
        <item x="6"/>
        <item x="7"/>
        <item x="8"/>
        <item x="9"/>
        <item x="10"/>
        <item x="1"/>
        <item x="2"/>
        <item x="3"/>
        <item t="default"/>
      </items>
    </pivotField>
  </pivotFields>
  <rowFields count="4">
    <field x="0"/>
    <field x="1"/>
    <field x="13"/>
    <field x="11"/>
  </rowFields>
  <rowItems count="48">
    <i>
      <x v="4"/>
      <x v="32"/>
      <x v="2"/>
      <x v="1"/>
    </i>
    <i r="2">
      <x v="7"/>
      <x v="1"/>
    </i>
    <i r="2">
      <x v="8"/>
      <x v="1"/>
    </i>
    <i r="2">
      <x v="9"/>
      <x v="1"/>
    </i>
    <i r="2">
      <x v="10"/>
      <x v="1"/>
    </i>
    <i r="2">
      <x v="11"/>
      <x v="1"/>
    </i>
    <i r="2">
      <x v="12"/>
      <x v="1"/>
    </i>
    <i r="2">
      <x v="13"/>
      <x v="1"/>
    </i>
    <i r="2">
      <x v="14"/>
      <x v="1"/>
    </i>
    <i r="2">
      <x v="15"/>
      <x v="1"/>
    </i>
    <i r="2">
      <x v="16"/>
      <x v="1"/>
    </i>
    <i r="2">
      <x v="18"/>
      <x v="1"/>
    </i>
    <i r="2">
      <x v="19"/>
      <x v="1"/>
    </i>
    <i r="2">
      <x v="20"/>
      <x v="1"/>
    </i>
    <i r="2">
      <x v="21"/>
      <x v="1"/>
    </i>
    <i r="2">
      <x v="22"/>
      <x v="1"/>
    </i>
    <i r="2">
      <x v="23"/>
      <x v="1"/>
    </i>
    <i r="2">
      <x v="24"/>
      <x v="1"/>
    </i>
    <i r="2">
      <x v="25"/>
      <x v="1"/>
    </i>
    <i r="2">
      <x v="26"/>
      <x v="1"/>
    </i>
    <i r="2">
      <x v="27"/>
      <x v="1"/>
    </i>
    <i r="2">
      <x v="28"/>
      <x v="1"/>
    </i>
    <i r="2">
      <x v="30"/>
      <x v="1"/>
    </i>
    <i r="2">
      <x v="31"/>
      <x v="1"/>
    </i>
    <i r="2">
      <x v="32"/>
      <x v="1"/>
    </i>
    <i r="2">
      <x v="35"/>
      <x v="1"/>
    </i>
    <i r="2">
      <x v="36"/>
      <x v="1"/>
    </i>
    <i r="2">
      <x v="39"/>
      <x v="1"/>
    </i>
    <i r="2">
      <x v="40"/>
      <x v="1"/>
    </i>
    <i r="2">
      <x v="41"/>
      <x v="1"/>
    </i>
    <i r="2">
      <x v="42"/>
      <x v="1"/>
    </i>
    <i r="2">
      <x v="43"/>
      <x v="1"/>
    </i>
    <i r="2">
      <x v="44"/>
      <x v="1"/>
    </i>
    <i r="2">
      <x v="45"/>
      <x v="1"/>
    </i>
    <i r="2">
      <x v="46"/>
      <x v="1"/>
    </i>
    <i r="2">
      <x v="50"/>
      <x v="1"/>
    </i>
    <i r="2">
      <x v="52"/>
      <x v="1"/>
    </i>
    <i r="2">
      <x v="54"/>
      <x v="1"/>
    </i>
    <i r="2">
      <x v="55"/>
      <x v="1"/>
    </i>
    <i r="2">
      <x v="56"/>
      <x v="1"/>
    </i>
    <i r="2">
      <x v="57"/>
      <x v="1"/>
    </i>
    <i r="2">
      <x v="58"/>
      <x v="1"/>
    </i>
    <i r="2">
      <x v="61"/>
      <x v="1"/>
    </i>
    <i r="2">
      <x v="62"/>
      <x v="1"/>
    </i>
    <i r="2">
      <x v="63"/>
      <x v="1"/>
    </i>
    <i r="2">
      <x v="64"/>
      <x v="1"/>
    </i>
    <i r="2">
      <x v="65"/>
      <x v="1"/>
    </i>
    <i t="grand">
      <x/>
    </i>
  </rowItems>
  <colItems count="1">
    <i/>
  </colItems>
  <dataFields count="1">
    <dataField name="Suma de CANTIDAD" fld="2" baseField="0" baseItem="0"/>
  </dataFields>
  <formats count="13">
    <format dxfId="2714">
      <pivotArea field="0" type="button" dataOnly="0" labelOnly="1" outline="0" axis="axisRow" fieldPosition="0"/>
    </format>
    <format dxfId="2713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712">
      <pivotArea dataOnly="0" labelOnly="1" outline="0" fieldPosition="0">
        <references count="1">
          <reference field="0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2711">
      <pivotArea outline="0" collapsedLevelsAreSubtotals="1" fieldPosition="0"/>
    </format>
    <format dxfId="2710">
      <pivotArea dataOnly="0" labelOnly="1" outline="0" axis="axisValues" fieldPosition="0"/>
    </format>
    <format dxfId="2709">
      <pivotArea grandRow="1" outline="0" collapsedLevelsAreSubtotals="1" fieldPosition="0"/>
    </format>
    <format dxfId="2708">
      <pivotArea field="15" type="button" dataOnly="0" labelOnly="1" outline="0"/>
    </format>
    <format dxfId="2707">
      <pivotArea dataOnly="0" labelOnly="1" grandRow="1" outline="0" fieldPosition="0"/>
    </format>
    <format dxfId="2706">
      <pivotArea dataOnly="0" outline="0" axis="axisValues" fieldPosition="0"/>
    </format>
    <format dxfId="2705">
      <pivotArea field="3" type="button" dataOnly="0" labelOnly="1" outline="0"/>
    </format>
    <format dxfId="2704">
      <pivotArea dataOnly="0" labelOnly="1" grandRow="1" outline="0" fieldPosition="0"/>
    </format>
    <format dxfId="2703">
      <pivotArea outline="0" collapsedLevelsAreSubtotals="1" fieldPosition="0"/>
    </format>
    <format dxfId="270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1" cacheId="4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A3:E207" firstHeaderRow="1" firstDataRow="1" firstDataCol="5"/>
  <pivotFields count="16"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>
      <items count="293">
        <item x="201"/>
        <item x="252"/>
        <item x="251"/>
        <item x="250"/>
        <item x="249"/>
        <item x="248"/>
        <item x="247"/>
        <item x="246"/>
        <item x="245"/>
        <item x="244"/>
        <item x="190"/>
        <item x="151"/>
        <item x="132"/>
        <item x="131"/>
        <item x="287"/>
        <item x="291"/>
        <item x="290"/>
        <item x="282"/>
        <item x="281"/>
        <item x="289"/>
        <item x="288"/>
        <item x="286"/>
        <item x="285"/>
        <item x="284"/>
        <item x="283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5"/>
        <item x="266"/>
        <item x="264"/>
        <item x="263"/>
        <item x="254"/>
        <item x="253"/>
        <item x="255"/>
        <item x="261"/>
        <item x="262"/>
        <item x="256"/>
        <item x="257"/>
        <item x="258"/>
        <item x="259"/>
        <item x="260"/>
        <item x="210"/>
        <item x="243"/>
        <item x="242"/>
        <item x="241"/>
        <item x="240"/>
        <item x="239"/>
        <item x="237"/>
        <item x="236"/>
        <item x="235"/>
        <item x="234"/>
        <item x="233"/>
        <item x="221"/>
        <item x="220"/>
        <item x="219"/>
        <item x="218"/>
        <item x="200"/>
        <item x="217"/>
        <item x="216"/>
        <item x="215"/>
        <item x="214"/>
        <item x="213"/>
        <item x="212"/>
        <item x="223"/>
        <item x="224"/>
        <item x="225"/>
        <item x="222"/>
        <item x="211"/>
        <item x="227"/>
        <item x="226"/>
        <item x="228"/>
        <item x="232"/>
        <item x="231"/>
        <item x="230"/>
        <item x="229"/>
        <item x="206"/>
        <item x="209"/>
        <item x="202"/>
        <item x="203"/>
        <item x="204"/>
        <item x="205"/>
        <item x="207"/>
        <item x="208"/>
        <item x="198"/>
        <item x="199"/>
        <item x="192"/>
        <item x="197"/>
        <item x="196"/>
        <item x="195"/>
        <item x="194"/>
        <item x="193"/>
        <item x="191"/>
        <item x="189"/>
        <item x="188"/>
        <item x="159"/>
        <item x="182"/>
        <item x="180"/>
        <item x="179"/>
        <item x="178"/>
        <item x="187"/>
        <item x="186"/>
        <item x="185"/>
        <item x="184"/>
        <item x="183"/>
        <item x="169"/>
        <item x="170"/>
        <item x="174"/>
        <item x="175"/>
        <item x="176"/>
        <item x="172"/>
        <item x="171"/>
        <item x="173"/>
        <item x="177"/>
        <item x="181"/>
        <item x="168"/>
        <item x="167"/>
        <item x="166"/>
        <item x="165"/>
        <item x="164"/>
        <item x="155"/>
        <item x="156"/>
        <item x="157"/>
        <item x="160"/>
        <item x="158"/>
        <item x="161"/>
        <item x="153"/>
        <item x="154"/>
        <item x="152"/>
        <item x="162"/>
        <item x="163"/>
        <item x="137"/>
        <item x="136"/>
        <item x="238"/>
        <item x="150"/>
        <item x="149"/>
        <item x="148"/>
        <item x="147"/>
        <item x="135"/>
        <item x="146"/>
        <item x="134"/>
        <item x="145"/>
        <item x="144"/>
        <item x="143"/>
        <item x="142"/>
        <item x="141"/>
        <item x="140"/>
        <item x="139"/>
        <item x="138"/>
        <item x="133"/>
        <item x="130"/>
        <item x="125"/>
        <item x="126"/>
        <item x="127"/>
        <item x="128"/>
        <item x="129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1"/>
        <item x="72"/>
        <item x="73"/>
        <item x="74"/>
        <item x="75"/>
        <item x="76"/>
        <item x="77"/>
        <item x="78"/>
        <item x="66"/>
        <item x="67"/>
        <item x="68"/>
        <item x="69"/>
        <item x="7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7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28"/>
        <item x="29"/>
        <item x="30"/>
        <item x="31"/>
        <item x="32"/>
        <item x="33"/>
        <item x="34"/>
        <item x="35"/>
        <item x="36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0"/>
        <item x="1"/>
        <item x="2"/>
        <item x="3"/>
        <item t="default"/>
      </items>
    </pivotField>
    <pivotField axis="axisRow" compact="0" numFmtId="14" outline="0" showAll="0" defaultSubtotal="0">
      <items count="47">
        <item x="45"/>
        <item x="46"/>
        <item x="44"/>
        <item x="43"/>
        <item x="42"/>
        <item x="41"/>
        <item x="40"/>
        <item x="35"/>
        <item x="37"/>
        <item x="38"/>
        <item x="36"/>
        <item x="33"/>
        <item x="32"/>
        <item x="31"/>
        <item x="30"/>
        <item x="29"/>
        <item x="28"/>
        <item x="27"/>
        <item x="26"/>
        <item x="25"/>
        <item x="24"/>
        <item x="23"/>
        <item x="39"/>
        <item x="22"/>
        <item x="21"/>
        <item x="34"/>
        <item x="20"/>
        <item x="19"/>
        <item x="15"/>
        <item x="16"/>
        <item x="17"/>
        <item x="18"/>
        <item x="1"/>
        <item x="14"/>
        <item x="13"/>
        <item x="12"/>
        <item x="11"/>
        <item x="6"/>
        <item x="7"/>
        <item x="8"/>
        <item x="9"/>
        <item x="10"/>
        <item x="5"/>
        <item x="0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66">
        <item x="52"/>
        <item x="51"/>
        <item x="63"/>
        <item x="49"/>
        <item x="13"/>
        <item x="61"/>
        <item x="47"/>
        <item x="62"/>
        <item x="45"/>
        <item x="33"/>
        <item x="53"/>
        <item x="0"/>
        <item x="55"/>
        <item x="59"/>
        <item x="64"/>
        <item x="65"/>
        <item x="56"/>
        <item x="58"/>
        <item x="57"/>
        <item x="54"/>
        <item x="26"/>
        <item x="1"/>
        <item x="32"/>
        <item x="50"/>
        <item x="42"/>
        <item x="22"/>
        <item x="28"/>
        <item x="34"/>
        <item x="25"/>
        <item x="6"/>
        <item x="43"/>
        <item x="21"/>
        <item x="9"/>
        <item x="10"/>
        <item x="4"/>
        <item x="15"/>
        <item x="46"/>
        <item x="44"/>
        <item x="16"/>
        <item x="60"/>
        <item x="48"/>
        <item x="5"/>
        <item x="37"/>
        <item x="38"/>
        <item x="39"/>
        <item x="40"/>
        <item x="35"/>
        <item x="41"/>
        <item x="20"/>
        <item x="23"/>
        <item x="7"/>
        <item x="29"/>
        <item x="30"/>
        <item x="31"/>
        <item x="24"/>
        <item x="19"/>
        <item x="36"/>
        <item x="27"/>
        <item x="17"/>
        <item x="12"/>
        <item x="18"/>
        <item x="3"/>
        <item x="2"/>
        <item x="14"/>
        <item x="8"/>
        <item x="11"/>
      </items>
    </pivotField>
    <pivotField axis="axisRow" compact="0" outline="0" showAll="0" defaultSubtotal="0">
      <items count="3">
        <item x="1"/>
        <item x="2"/>
        <item sd="0" x="0"/>
      </items>
    </pivotField>
    <pivotField axis="axisRow" compact="0" outline="0" showAll="0" defaultSubtotal="0">
      <items count="134">
        <item x="133"/>
        <item x="132"/>
        <item x="131"/>
        <item x="130"/>
        <item x="129"/>
        <item x="128"/>
        <item x="127"/>
        <item x="124"/>
        <item x="126"/>
        <item x="125"/>
        <item x="123"/>
        <item x="118"/>
        <item x="119"/>
        <item x="120"/>
        <item x="121"/>
        <item x="122"/>
        <item x="106"/>
        <item x="105"/>
        <item x="104"/>
        <item x="103"/>
        <item x="91"/>
        <item x="102"/>
        <item x="101"/>
        <item x="100"/>
        <item x="99"/>
        <item x="98"/>
        <item x="97"/>
        <item x="113"/>
        <item x="116"/>
        <item x="114"/>
        <item x="108"/>
        <item x="109"/>
        <item x="110"/>
        <item x="107"/>
        <item x="96"/>
        <item x="112"/>
        <item x="111"/>
        <item x="117"/>
        <item x="115"/>
        <item x="95"/>
        <item x="92"/>
        <item x="93"/>
        <item x="94"/>
        <item x="89"/>
        <item x="90"/>
        <item x="83"/>
        <item x="88"/>
        <item x="87"/>
        <item x="86"/>
        <item x="85"/>
        <item x="84"/>
        <item x="82"/>
        <item x="81"/>
        <item x="80"/>
        <item x="78"/>
        <item x="77"/>
        <item x="76"/>
        <item x="73"/>
        <item x="72"/>
        <item x="74"/>
        <item x="75"/>
        <item x="79"/>
        <item x="71"/>
        <item x="70"/>
        <item x="69"/>
        <item x="68"/>
        <item x="67"/>
        <item x="65"/>
        <item x="66"/>
        <item x="64"/>
        <item x="0"/>
        <item x="54"/>
        <item x="55"/>
        <item x="56"/>
        <item x="57"/>
        <item x="58"/>
        <item x="59"/>
        <item x="60"/>
        <item x="61"/>
        <item x="62"/>
        <item x="63"/>
        <item x="49"/>
        <item x="50"/>
        <item x="51"/>
        <item x="52"/>
        <item x="53"/>
        <item x="44"/>
        <item x="45"/>
        <item x="46"/>
        <item x="47"/>
        <item x="4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1"/>
        <item x="12"/>
        <item x="13"/>
        <item x="4"/>
        <item x="5"/>
        <item x="6"/>
        <item x="7"/>
        <item x="8"/>
        <item x="9"/>
        <item x="10"/>
        <item x="1"/>
        <item x="2"/>
        <item x="3"/>
      </items>
    </pivotField>
  </pivotFields>
  <rowFields count="5">
    <field x="13"/>
    <field x="14"/>
    <field x="15"/>
    <field x="6"/>
    <field x="5"/>
  </rowFields>
  <rowItems count="204">
    <i>
      <x/>
      <x v="2"/>
    </i>
    <i>
      <x v="1"/>
      <x/>
      <x v="17"/>
      <x v="7"/>
      <x v="65"/>
    </i>
    <i r="1">
      <x v="2"/>
    </i>
    <i>
      <x v="2"/>
      <x/>
      <x v="7"/>
      <x/>
      <x v="33"/>
    </i>
    <i r="1">
      <x v="2"/>
    </i>
    <i>
      <x v="3"/>
      <x/>
      <x v="18"/>
      <x v="7"/>
      <x v="66"/>
    </i>
    <i r="1">
      <x v="2"/>
    </i>
    <i>
      <x v="4"/>
      <x/>
      <x v="64"/>
      <x v="18"/>
      <x v="128"/>
    </i>
    <i r="1">
      <x v="2"/>
    </i>
    <i>
      <x v="5"/>
      <x/>
      <x v="13"/>
      <x v="5"/>
      <x v="50"/>
    </i>
    <i r="1">
      <x v="2"/>
    </i>
    <i>
      <x v="6"/>
      <x/>
      <x v="53"/>
      <x v="16"/>
      <x v="107"/>
    </i>
    <i r="2">
      <x v="61"/>
      <x v="16"/>
      <x v="125"/>
    </i>
    <i r="1">
      <x v="2"/>
    </i>
    <i>
      <x v="7"/>
      <x/>
      <x v="14"/>
      <x v="5"/>
      <x v="51"/>
    </i>
    <i r="1">
      <x v="2"/>
    </i>
    <i>
      <x v="8"/>
      <x v="2"/>
    </i>
    <i>
      <x v="9"/>
      <x/>
      <x v="57"/>
      <x v="17"/>
      <x v="121"/>
    </i>
    <i r="2">
      <x v="67"/>
      <x v="18"/>
      <x v="137"/>
    </i>
    <i r="2">
      <x v="84"/>
      <x v="27"/>
      <x v="165"/>
    </i>
    <i r="1">
      <x v="2"/>
    </i>
    <i>
      <x v="10"/>
      <x v="2"/>
    </i>
    <i>
      <x v="11"/>
      <x/>
      <x v="56"/>
      <x v="16"/>
      <x v="110"/>
    </i>
    <i r="2">
      <x v="60"/>
      <x v="16"/>
      <x v="124"/>
    </i>
    <i r="1">
      <x v="2"/>
    </i>
    <i>
      <x v="12"/>
      <x/>
      <x v="6"/>
      <x/>
      <x v="30"/>
    </i>
    <i r="1">
      <x v="2"/>
    </i>
    <i>
      <x v="13"/>
      <x/>
      <x v="1"/>
      <x/>
      <x v="25"/>
    </i>
    <i r="2">
      <x v="2"/>
      <x/>
      <x v="25"/>
    </i>
    <i r="1">
      <x v="2"/>
    </i>
    <i>
      <x v="14"/>
      <x/>
      <x v="8"/>
      <x/>
      <x v="31"/>
    </i>
    <i r="2">
      <x v="9"/>
      <x/>
      <x v="32"/>
    </i>
    <i r="1">
      <x v="2"/>
    </i>
    <i>
      <x v="15"/>
      <x/>
      <x/>
      <x/>
      <x v="17"/>
    </i>
    <i r="1">
      <x v="2"/>
    </i>
    <i>
      <x v="16"/>
      <x/>
      <x v="2"/>
      <x/>
      <x v="26"/>
    </i>
    <i r="1">
      <x v="2"/>
    </i>
    <i>
      <x v="17"/>
      <x/>
      <x v="3"/>
      <x/>
      <x v="27"/>
    </i>
    <i r="1">
      <x v="2"/>
    </i>
    <i>
      <x v="18"/>
      <x/>
      <x v="4"/>
      <x/>
      <x v="28"/>
    </i>
    <i r="1">
      <x v="2"/>
    </i>
    <i>
      <x v="19"/>
      <x/>
      <x v="5"/>
      <x/>
      <x v="29"/>
    </i>
    <i r="1">
      <x v="2"/>
    </i>
    <i>
      <x v="20"/>
      <x/>
      <x v="10"/>
      <x v="4"/>
      <x v="42"/>
    </i>
    <i r="2">
      <x v="106"/>
      <x v="28"/>
      <x v="212"/>
    </i>
    <i r="1">
      <x v="2"/>
    </i>
    <i>
      <x v="21"/>
      <x/>
      <x v="12"/>
      <x v="5"/>
      <x v="49"/>
    </i>
    <i r="2">
      <x v="13"/>
      <x v="5"/>
      <x v="49"/>
    </i>
    <i r="1">
      <x v="2"/>
    </i>
    <i>
      <x v="22"/>
      <x/>
      <x v="62"/>
      <x v="18"/>
      <x v="126"/>
    </i>
    <i r="1">
      <x v="2"/>
    </i>
    <i>
      <x v="23"/>
      <x/>
      <x v="11"/>
      <x v="5"/>
      <x v="48"/>
    </i>
    <i r="1">
      <x v="2"/>
    </i>
    <i>
      <x v="24"/>
      <x/>
      <x v="23"/>
      <x v="7"/>
      <x v="71"/>
    </i>
    <i r="2">
      <x v="38"/>
      <x v="8"/>
      <x v="85"/>
    </i>
    <i r="1">
      <x v="2"/>
    </i>
    <i>
      <x v="25"/>
      <x/>
      <x v="16"/>
      <x v="7"/>
      <x v="64"/>
    </i>
    <i r="2">
      <x v="99"/>
      <x v="28"/>
      <x v="205"/>
    </i>
    <i r="1">
      <x v="2"/>
    </i>
    <i>
      <x v="26"/>
      <x/>
      <x v="66"/>
      <x v="18"/>
      <x v="130"/>
    </i>
    <i r="1">
      <x v="2"/>
    </i>
    <i>
      <x v="27"/>
      <x/>
      <x v="63"/>
      <x v="18"/>
      <x v="127"/>
    </i>
    <i r="1">
      <x v="2"/>
    </i>
    <i>
      <x v="28"/>
      <x/>
      <x v="22"/>
      <x v="7"/>
      <x v="70"/>
    </i>
    <i r="2">
      <x v="28"/>
      <x v="8"/>
      <x v="84"/>
    </i>
    <i r="2">
      <x v="30"/>
      <x v="8"/>
      <x v="75"/>
    </i>
    <i r="2">
      <x v="50"/>
      <x v="12"/>
      <x v="102"/>
    </i>
    <i r="2">
      <x v="83"/>
      <x v="27"/>
      <x v="164"/>
    </i>
    <i r="2">
      <x v="85"/>
      <x v="27"/>
      <x v="166"/>
    </i>
    <i r="2">
      <x v="93"/>
      <x v="32"/>
      <x v="198"/>
    </i>
    <i r="1">
      <x v="2"/>
    </i>
    <i>
      <x v="29"/>
      <x/>
      <x v="58"/>
      <x v="17"/>
      <x v="122"/>
    </i>
    <i r="2">
      <x v="59"/>
      <x v="17"/>
      <x v="123"/>
    </i>
    <i r="2">
      <x v="68"/>
      <x v="18"/>
      <x v="138"/>
    </i>
    <i r="2">
      <x v="133"/>
      <x v="43"/>
      <x v="267"/>
    </i>
    <i r="1">
      <x v="2"/>
    </i>
    <i>
      <x v="30"/>
      <x/>
      <x v="24"/>
      <x v="7"/>
      <x v="72"/>
    </i>
    <i r="2">
      <x v="31"/>
      <x v="8"/>
      <x v="76"/>
    </i>
    <i r="1">
      <x v="2"/>
    </i>
    <i>
      <x v="31"/>
      <x v="1"/>
      <x v="41"/>
      <x v="11"/>
      <x v="93"/>
    </i>
    <i r="2">
      <x v="44"/>
      <x v="12"/>
      <x v="96"/>
    </i>
    <i r="2">
      <x v="45"/>
      <x v="12"/>
      <x v="97"/>
    </i>
    <i r="2">
      <x v="54"/>
      <x v="16"/>
      <x v="108"/>
    </i>
    <i r="1">
      <x v="2"/>
    </i>
    <i>
      <x v="32"/>
      <x/>
      <x v="70"/>
      <x v="42"/>
      <x v="287"/>
    </i>
    <i r="1">
      <x v="1"/>
      <x v="19"/>
      <x v="7"/>
      <x v="67"/>
    </i>
    <i r="2">
      <x v="20"/>
      <x v="7"/>
      <x v="68"/>
    </i>
    <i r="3">
      <x v="25"/>
      <x v="68"/>
    </i>
    <i r="2">
      <x v="55"/>
      <x v="16"/>
      <x v="109"/>
    </i>
    <i r="2">
      <x v="80"/>
      <x v="20"/>
      <x v="153"/>
    </i>
    <i r="2">
      <x v="81"/>
      <x v="27"/>
      <x v="162"/>
    </i>
    <i r="2">
      <x v="109"/>
      <x v="38"/>
      <x v="231"/>
    </i>
    <i r="2">
      <x v="111"/>
      <x v="39"/>
      <x v="233"/>
    </i>
    <i r="1">
      <x v="2"/>
    </i>
    <i>
      <x v="33"/>
      <x/>
      <x v="25"/>
      <x v="7"/>
      <x v="73"/>
    </i>
    <i r="2">
      <x v="32"/>
      <x v="8"/>
      <x v="77"/>
    </i>
    <i r="2">
      <x v="33"/>
      <x v="8"/>
      <x v="78"/>
    </i>
    <i r="2">
      <x v="34"/>
      <x v="8"/>
      <x v="79"/>
    </i>
    <i r="2">
      <x v="35"/>
      <x v="8"/>
      <x v="80"/>
    </i>
    <i r="2">
      <x v="36"/>
      <x v="8"/>
      <x v="81"/>
    </i>
    <i r="2">
      <x v="37"/>
      <x v="8"/>
      <x v="83"/>
    </i>
    <i r="2">
      <x v="46"/>
      <x v="12"/>
      <x v="98"/>
    </i>
    <i r="2">
      <x v="51"/>
      <x v="14"/>
      <x v="104"/>
    </i>
    <i r="2">
      <x v="120"/>
      <x v="35"/>
      <x v="224"/>
    </i>
    <i r="1">
      <x v="2"/>
    </i>
    <i>
      <x v="34"/>
      <x/>
      <x v="42"/>
      <x v="11"/>
      <x v="94"/>
    </i>
    <i r="2">
      <x v="43"/>
      <x v="11"/>
      <x v="95"/>
    </i>
    <i r="2">
      <x v="47"/>
      <x v="12"/>
      <x v="99"/>
    </i>
    <i r="2">
      <x v="73"/>
      <x v="21"/>
      <x v="142"/>
    </i>
    <i r="2">
      <x v="82"/>
      <x v="27"/>
      <x v="163"/>
    </i>
    <i r="2">
      <x v="96"/>
      <x v="28"/>
      <x v="202"/>
    </i>
    <i r="2">
      <x v="124"/>
      <x v="45"/>
      <x v="269"/>
    </i>
    <i r="2">
      <x v="127"/>
      <x v="46"/>
      <x v="274"/>
    </i>
    <i r="2">
      <x v="131"/>
      <x v="43"/>
      <x v="265"/>
    </i>
    <i r="1">
      <x v="2"/>
    </i>
    <i>
      <x v="35"/>
      <x/>
      <x v="21"/>
      <x v="7"/>
      <x v="69"/>
    </i>
    <i r="2">
      <x v="27"/>
      <x v="9"/>
      <x v="82"/>
    </i>
    <i r="2">
      <x v="91"/>
      <x v="32"/>
      <x v="196"/>
    </i>
    <i r="2">
      <x v="107"/>
      <x v="37"/>
      <x v="228"/>
    </i>
    <i r="2">
      <x v="117"/>
      <x v="35"/>
      <x v="221"/>
    </i>
    <i r="2">
      <x v="119"/>
      <x v="35"/>
      <x v="223"/>
    </i>
    <i r="1">
      <x v="2"/>
    </i>
    <i>
      <x v="36"/>
      <x v="2"/>
    </i>
    <i>
      <x v="37"/>
      <x/>
      <x v="65"/>
      <x v="18"/>
      <x v="129"/>
    </i>
    <i r="2">
      <x v="69"/>
      <x v="18"/>
      <x v="139"/>
    </i>
    <i>
      <x v="38"/>
      <x/>
      <x v="26"/>
      <x v="7"/>
      <x v="74"/>
    </i>
    <i r="2">
      <x v="29"/>
      <x v="8"/>
      <x v="86"/>
    </i>
    <i r="3">
      <x v="9"/>
      <x v="86"/>
    </i>
    <i r="2">
      <x v="39"/>
      <x v="10"/>
      <x v="53"/>
    </i>
    <i r="2">
      <x v="48"/>
      <x v="12"/>
      <x v="100"/>
    </i>
    <i r="2">
      <x v="49"/>
      <x v="12"/>
      <x v="101"/>
    </i>
    <i r="2">
      <x v="86"/>
      <x v="31"/>
      <x v="191"/>
    </i>
    <i r="2">
      <x v="95"/>
      <x v="28"/>
      <x v="201"/>
    </i>
    <i r="2">
      <x v="98"/>
      <x v="28"/>
      <x v="204"/>
    </i>
    <i r="2">
      <x v="110"/>
      <x v="38"/>
      <x v="232"/>
    </i>
    <i r="1">
      <x v="2"/>
    </i>
    <i>
      <x v="39"/>
      <x v="2"/>
    </i>
    <i>
      <x v="40"/>
      <x/>
      <x v="9"/>
      <x/>
      <x v="32"/>
    </i>
    <i r="2">
      <x v="15"/>
      <x v="5"/>
      <x v="52"/>
    </i>
    <i r="2">
      <x v="40"/>
      <x v="11"/>
      <x v="87"/>
    </i>
    <i r="2">
      <x v="52"/>
      <x v="15"/>
      <x v="105"/>
    </i>
    <i>
      <x v="41"/>
      <x/>
      <x v="72"/>
      <x v="21"/>
      <x v="143"/>
    </i>
    <i r="2">
      <x v="76"/>
      <x v="20"/>
      <x v="157"/>
    </i>
    <i r="2">
      <x v="129"/>
      <x v="46"/>
      <x v="276"/>
    </i>
    <i r="2">
      <x v="132"/>
      <x v="43"/>
      <x v="266"/>
    </i>
    <i r="1">
      <x v="2"/>
    </i>
    <i>
      <x v="42"/>
      <x v="1"/>
      <x v="77"/>
      <x v="20"/>
      <x v="156"/>
    </i>
    <i r="1">
      <x v="2"/>
    </i>
    <i>
      <x v="43"/>
      <x v="1"/>
      <x v="74"/>
      <x v="20"/>
      <x v="159"/>
    </i>
    <i r="1">
      <x v="2"/>
    </i>
    <i>
      <x v="44"/>
      <x v="1"/>
      <x v="75"/>
      <x v="20"/>
      <x v="158"/>
    </i>
    <i r="1">
      <x v="2"/>
    </i>
    <i>
      <x v="45"/>
      <x v="1"/>
      <x v="78"/>
      <x v="20"/>
      <x v="155"/>
    </i>
    <i r="1">
      <x v="2"/>
    </i>
    <i>
      <x v="46"/>
      <x/>
      <x v="79"/>
      <x v="20"/>
      <x v="154"/>
    </i>
    <i r="2">
      <x v="87"/>
      <x v="31"/>
      <x v="192"/>
    </i>
    <i r="2">
      <x v="88"/>
      <x v="31"/>
      <x v="193"/>
    </i>
    <i r="2">
      <x v="89"/>
      <x v="31"/>
      <x v="194"/>
    </i>
    <i r="1">
      <x v="2"/>
    </i>
    <i>
      <x v="47"/>
      <x v="2"/>
    </i>
    <i>
      <x v="48"/>
      <x/>
      <x v="71"/>
      <x v="21"/>
      <x v="160"/>
    </i>
    <i r="2">
      <x v="113"/>
      <x v="41"/>
      <x v="242"/>
    </i>
    <i r="2">
      <x v="114"/>
      <x v="41"/>
      <x v="243"/>
    </i>
    <i r="1">
      <x v="2"/>
    </i>
    <i>
      <x v="49"/>
      <x/>
      <x v="105"/>
      <x v="28"/>
      <x v="211"/>
    </i>
    <i r="1">
      <x v="2"/>
    </i>
    <i>
      <x v="50"/>
      <x/>
      <x v="94"/>
      <x v="28"/>
      <x v="200"/>
    </i>
    <i r="2">
      <x v="97"/>
      <x v="28"/>
      <x v="203"/>
    </i>
    <i r="1">
      <x v="2"/>
    </i>
    <i>
      <x v="51"/>
      <x/>
      <x v="100"/>
      <x v="28"/>
      <x v="206"/>
    </i>
    <i r="1">
      <x v="2"/>
    </i>
    <i>
      <x v="52"/>
      <x/>
      <x v="101"/>
      <x v="28"/>
      <x v="207"/>
    </i>
    <i r="1">
      <x v="2"/>
    </i>
    <i>
      <x v="53"/>
      <x/>
      <x v="102"/>
      <x v="28"/>
      <x v="208"/>
    </i>
    <i r="1">
      <x v="2"/>
    </i>
    <i>
      <x v="54"/>
      <x/>
      <x v="103"/>
      <x v="28"/>
      <x v="209"/>
    </i>
    <i r="1">
      <x v="2"/>
    </i>
    <i>
      <x v="55"/>
      <x/>
      <x v="104"/>
      <x v="28"/>
      <x v="210"/>
    </i>
    <i r="1">
      <x v="2"/>
    </i>
    <i>
      <x v="56"/>
      <x v="1"/>
      <x v="90"/>
      <x v="31"/>
      <x v="195"/>
    </i>
    <i r="1">
      <x v="2"/>
    </i>
    <i>
      <x v="57"/>
      <x/>
      <x v="92"/>
      <x v="32"/>
      <x v="197"/>
    </i>
    <i r="1">
      <x v="2"/>
    </i>
    <i>
      <x v="58"/>
      <x v="1"/>
      <x v="112"/>
      <x v="39"/>
      <x v="234"/>
    </i>
    <i r="2">
      <x v="115"/>
      <x v="41"/>
      <x v="244"/>
    </i>
    <i r="2">
      <x v="116"/>
      <x v="35"/>
      <x v="255"/>
    </i>
    <i r="2">
      <x v="118"/>
      <x v="35"/>
      <x v="222"/>
    </i>
    <i r="1">
      <x v="2"/>
    </i>
    <i>
      <x v="59"/>
      <x/>
      <x v="108"/>
      <x v="38"/>
      <x v="230"/>
    </i>
    <i r="1">
      <x v="2"/>
    </i>
    <i>
      <x v="60"/>
      <x v="2"/>
    </i>
    <i>
      <x v="61"/>
      <x/>
      <x v="121"/>
      <x v="42"/>
      <x v="256"/>
    </i>
    <i r="1">
      <x v="2"/>
    </i>
    <i>
      <x v="62"/>
      <x/>
      <x v="122"/>
      <x v="42"/>
      <x v="257"/>
    </i>
    <i r="1">
      <x v="2"/>
    </i>
    <i>
      <x v="63"/>
      <x/>
      <x v="123"/>
      <x v="42"/>
      <x v="258"/>
    </i>
    <i r="1">
      <x v="2"/>
    </i>
    <i>
      <x v="64"/>
      <x/>
      <x v="125"/>
      <x v="45"/>
      <x v="270"/>
    </i>
    <i r="2">
      <x v="126"/>
      <x v="45"/>
      <x v="273"/>
    </i>
    <i r="2">
      <x v="130"/>
      <x v="46"/>
      <x v="277"/>
    </i>
    <i r="1">
      <x v="2"/>
    </i>
    <i>
      <x v="65"/>
      <x v="1"/>
      <x v="128"/>
      <x v="46"/>
      <x v="275"/>
    </i>
    <i r="1">
      <x v="2"/>
    </i>
    <i t="grand">
      <x/>
    </i>
  </rowItems>
  <colItems count="1">
    <i/>
  </colItems>
  <formats count="46">
    <format dxfId="2666">
      <pivotArea type="all" dataOnly="0" outline="0" fieldPosition="0"/>
    </format>
    <format dxfId="2665">
      <pivotArea field="13" type="button" dataOnly="0" labelOnly="1" outline="0" axis="axisRow" fieldPosition="0"/>
    </format>
    <format dxfId="2664">
      <pivotArea field="14" type="button" dataOnly="0" labelOnly="1" outline="0" axis="axisRow" fieldPosition="1"/>
    </format>
    <format dxfId="2663">
      <pivotArea field="15" type="button" dataOnly="0" labelOnly="1" outline="0" axis="axisRow" fieldPosition="2"/>
    </format>
    <format dxfId="2662">
      <pivotArea dataOnly="0" labelOnly="1" outline="0" fieldPosition="0">
        <references count="1">
          <reference field="13" count="36">
            <x v="1"/>
            <x v="2"/>
            <x v="3"/>
            <x v="4"/>
            <x v="5"/>
            <x v="6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7"/>
            <x v="38"/>
            <x v="40"/>
          </reference>
        </references>
      </pivotArea>
    </format>
    <format dxfId="2661">
      <pivotArea dataOnly="0" labelOnly="1" grandRow="1" outline="0" fieldPosition="0"/>
    </format>
    <format dxfId="2660">
      <pivotArea dataOnly="0" labelOnly="1" outline="0" fieldPosition="0">
        <references count="2">
          <reference field="13" count="1" selected="0">
            <x v="1"/>
          </reference>
          <reference field="14" count="1">
            <x v="0"/>
          </reference>
        </references>
      </pivotArea>
    </format>
    <format dxfId="2659">
      <pivotArea dataOnly="0" labelOnly="1" outline="0" fieldPosition="0">
        <references count="2">
          <reference field="13" count="1" selected="0">
            <x v="31"/>
          </reference>
          <reference field="14" count="1">
            <x v="1"/>
          </reference>
        </references>
      </pivotArea>
    </format>
    <format dxfId="2658">
      <pivotArea dataOnly="0" labelOnly="1" outline="0" fieldPosition="0">
        <references count="2">
          <reference field="13" count="1" selected="0">
            <x v="33"/>
          </reference>
          <reference field="14" count="1">
            <x v="0"/>
          </reference>
        </references>
      </pivotArea>
    </format>
    <format dxfId="2657">
      <pivotArea dataOnly="0" labelOnly="1" outline="0" fieldPosition="0">
        <references count="3">
          <reference field="13" count="1" selected="0">
            <x v="1"/>
          </reference>
          <reference field="14" count="1" selected="0">
            <x v="0"/>
          </reference>
          <reference field="15" count="1">
            <x v="17"/>
          </reference>
        </references>
      </pivotArea>
    </format>
    <format dxfId="2656">
      <pivotArea dataOnly="0" labelOnly="1" outline="0" fieldPosition="0">
        <references count="3">
          <reference field="13" count="1" selected="0">
            <x v="2"/>
          </reference>
          <reference field="14" count="1" selected="0">
            <x v="0"/>
          </reference>
          <reference field="15" count="1">
            <x v="7"/>
          </reference>
        </references>
      </pivotArea>
    </format>
    <format dxfId="2655">
      <pivotArea dataOnly="0" labelOnly="1" outline="0" fieldPosition="0">
        <references count="3">
          <reference field="13" count="1" selected="0">
            <x v="3"/>
          </reference>
          <reference field="14" count="1" selected="0">
            <x v="0"/>
          </reference>
          <reference field="15" count="1">
            <x v="18"/>
          </reference>
        </references>
      </pivotArea>
    </format>
    <format dxfId="2654">
      <pivotArea dataOnly="0" labelOnly="1" outline="0" fieldPosition="0">
        <references count="3">
          <reference field="13" count="1" selected="0">
            <x v="4"/>
          </reference>
          <reference field="14" count="1" selected="0">
            <x v="0"/>
          </reference>
          <reference field="15" count="1">
            <x v="64"/>
          </reference>
        </references>
      </pivotArea>
    </format>
    <format dxfId="2653">
      <pivotArea dataOnly="0" labelOnly="1" outline="0" fieldPosition="0">
        <references count="3">
          <reference field="13" count="1" selected="0">
            <x v="5"/>
          </reference>
          <reference field="14" count="1" selected="0">
            <x v="0"/>
          </reference>
          <reference field="15" count="1">
            <x v="13"/>
          </reference>
        </references>
      </pivotArea>
    </format>
    <format dxfId="2652">
      <pivotArea dataOnly="0" labelOnly="1" outline="0" fieldPosition="0">
        <references count="3">
          <reference field="13" count="1" selected="0">
            <x v="6"/>
          </reference>
          <reference field="14" count="1" selected="0">
            <x v="0"/>
          </reference>
          <reference field="15" count="2">
            <x v="53"/>
            <x v="61"/>
          </reference>
        </references>
      </pivotArea>
    </format>
    <format dxfId="2651">
      <pivotArea dataOnly="0" labelOnly="1" outline="0" fieldPosition="0">
        <references count="3">
          <reference field="13" count="1" selected="0">
            <x v="7"/>
          </reference>
          <reference field="14" count="1" selected="0">
            <x v="0"/>
          </reference>
          <reference field="15" count="1">
            <x v="14"/>
          </reference>
        </references>
      </pivotArea>
    </format>
    <format dxfId="2650">
      <pivotArea dataOnly="0" labelOnly="1" outline="0" fieldPosition="0">
        <references count="3">
          <reference field="13" count="1" selected="0">
            <x v="9"/>
          </reference>
          <reference field="14" count="1" selected="0">
            <x v="0"/>
          </reference>
          <reference field="15" count="2">
            <x v="57"/>
            <x v="67"/>
          </reference>
        </references>
      </pivotArea>
    </format>
    <format dxfId="2649">
      <pivotArea dataOnly="0" labelOnly="1" outline="0" fieldPosition="0">
        <references count="3">
          <reference field="13" count="1" selected="0">
            <x v="11"/>
          </reference>
          <reference field="14" count="1" selected="0">
            <x v="0"/>
          </reference>
          <reference field="15" count="2">
            <x v="56"/>
            <x v="60"/>
          </reference>
        </references>
      </pivotArea>
    </format>
    <format dxfId="2648">
      <pivotArea dataOnly="0" labelOnly="1" outline="0" fieldPosition="0">
        <references count="3">
          <reference field="13" count="1" selected="0">
            <x v="12"/>
          </reference>
          <reference field="14" count="1" selected="0">
            <x v="0"/>
          </reference>
          <reference field="15" count="1">
            <x v="6"/>
          </reference>
        </references>
      </pivotArea>
    </format>
    <format dxfId="2647">
      <pivotArea dataOnly="0" labelOnly="1" outline="0" fieldPosition="0">
        <references count="3">
          <reference field="13" count="1" selected="0">
            <x v="13"/>
          </reference>
          <reference field="14" count="1" selected="0">
            <x v="0"/>
          </reference>
          <reference field="15" count="2">
            <x v="1"/>
            <x v="2"/>
          </reference>
        </references>
      </pivotArea>
    </format>
    <format dxfId="2646">
      <pivotArea dataOnly="0" labelOnly="1" outline="0" fieldPosition="0">
        <references count="3">
          <reference field="13" count="1" selected="0">
            <x v="14"/>
          </reference>
          <reference field="14" count="1" selected="0">
            <x v="0"/>
          </reference>
          <reference field="15" count="2">
            <x v="8"/>
            <x v="9"/>
          </reference>
        </references>
      </pivotArea>
    </format>
    <format dxfId="2645">
      <pivotArea dataOnly="0" labelOnly="1" outline="0" fieldPosition="0">
        <references count="3">
          <reference field="13" count="1" selected="0">
            <x v="15"/>
          </reference>
          <reference field="14" count="1" selected="0">
            <x v="0"/>
          </reference>
          <reference field="15" count="1">
            <x v="0"/>
          </reference>
        </references>
      </pivotArea>
    </format>
    <format dxfId="2644">
      <pivotArea dataOnly="0" labelOnly="1" outline="0" fieldPosition="0">
        <references count="3">
          <reference field="13" count="1" selected="0">
            <x v="16"/>
          </reference>
          <reference field="14" count="1" selected="0">
            <x v="0"/>
          </reference>
          <reference field="15" count="1">
            <x v="2"/>
          </reference>
        </references>
      </pivotArea>
    </format>
    <format dxfId="2643">
      <pivotArea dataOnly="0" labelOnly="1" outline="0" fieldPosition="0">
        <references count="3">
          <reference field="13" count="1" selected="0">
            <x v="17"/>
          </reference>
          <reference field="14" count="1" selected="0">
            <x v="0"/>
          </reference>
          <reference field="15" count="1">
            <x v="3"/>
          </reference>
        </references>
      </pivotArea>
    </format>
    <format dxfId="2642">
      <pivotArea dataOnly="0" labelOnly="1" outline="0" fieldPosition="0">
        <references count="3">
          <reference field="13" count="1" selected="0">
            <x v="18"/>
          </reference>
          <reference field="14" count="1" selected="0">
            <x v="0"/>
          </reference>
          <reference field="15" count="1">
            <x v="4"/>
          </reference>
        </references>
      </pivotArea>
    </format>
    <format dxfId="2641">
      <pivotArea dataOnly="0" labelOnly="1" outline="0" fieldPosition="0">
        <references count="3">
          <reference field="13" count="1" selected="0">
            <x v="19"/>
          </reference>
          <reference field="14" count="1" selected="0">
            <x v="0"/>
          </reference>
          <reference field="15" count="1">
            <x v="5"/>
          </reference>
        </references>
      </pivotArea>
    </format>
    <format dxfId="2640">
      <pivotArea dataOnly="0" labelOnly="1" outline="0" fieldPosition="0">
        <references count="3">
          <reference field="13" count="1" selected="0">
            <x v="20"/>
          </reference>
          <reference field="14" count="1" selected="0">
            <x v="0"/>
          </reference>
          <reference field="15" count="1">
            <x v="10"/>
          </reference>
        </references>
      </pivotArea>
    </format>
    <format dxfId="2639">
      <pivotArea dataOnly="0" labelOnly="1" outline="0" fieldPosition="0">
        <references count="3">
          <reference field="13" count="1" selected="0">
            <x v="21"/>
          </reference>
          <reference field="14" count="1" selected="0">
            <x v="0"/>
          </reference>
          <reference field="15" count="2">
            <x v="12"/>
            <x v="13"/>
          </reference>
        </references>
      </pivotArea>
    </format>
    <format dxfId="2638">
      <pivotArea dataOnly="0" labelOnly="1" outline="0" fieldPosition="0">
        <references count="3">
          <reference field="13" count="1" selected="0">
            <x v="22"/>
          </reference>
          <reference field="14" count="1" selected="0">
            <x v="0"/>
          </reference>
          <reference field="15" count="1">
            <x v="62"/>
          </reference>
        </references>
      </pivotArea>
    </format>
    <format dxfId="2637">
      <pivotArea dataOnly="0" labelOnly="1" outline="0" fieldPosition="0">
        <references count="3">
          <reference field="13" count="1" selected="0">
            <x v="23"/>
          </reference>
          <reference field="14" count="1" selected="0">
            <x v="0"/>
          </reference>
          <reference field="15" count="1">
            <x v="11"/>
          </reference>
        </references>
      </pivotArea>
    </format>
    <format dxfId="2636">
      <pivotArea dataOnly="0" labelOnly="1" outline="0" fieldPosition="0">
        <references count="3">
          <reference field="13" count="1" selected="0">
            <x v="24"/>
          </reference>
          <reference field="14" count="1" selected="0">
            <x v="0"/>
          </reference>
          <reference field="15" count="2">
            <x v="23"/>
            <x v="38"/>
          </reference>
        </references>
      </pivotArea>
    </format>
    <format dxfId="2635">
      <pivotArea dataOnly="0" labelOnly="1" outline="0" fieldPosition="0">
        <references count="3">
          <reference field="13" count="1" selected="0">
            <x v="25"/>
          </reference>
          <reference field="14" count="1" selected="0">
            <x v="0"/>
          </reference>
          <reference field="15" count="1">
            <x v="16"/>
          </reference>
        </references>
      </pivotArea>
    </format>
    <format dxfId="2634">
      <pivotArea dataOnly="0" labelOnly="1" outline="0" fieldPosition="0">
        <references count="3">
          <reference field="13" count="1" selected="0">
            <x v="26"/>
          </reference>
          <reference field="14" count="1" selected="0">
            <x v="0"/>
          </reference>
          <reference field="15" count="1">
            <x v="66"/>
          </reference>
        </references>
      </pivotArea>
    </format>
    <format dxfId="2633">
      <pivotArea dataOnly="0" labelOnly="1" outline="0" fieldPosition="0">
        <references count="3">
          <reference field="13" count="1" selected="0">
            <x v="27"/>
          </reference>
          <reference field="14" count="1" selected="0">
            <x v="0"/>
          </reference>
          <reference field="15" count="1">
            <x v="63"/>
          </reference>
        </references>
      </pivotArea>
    </format>
    <format dxfId="2632">
      <pivotArea dataOnly="0" labelOnly="1" outline="0" fieldPosition="0">
        <references count="3">
          <reference field="13" count="1" selected="0">
            <x v="28"/>
          </reference>
          <reference field="14" count="1" selected="0">
            <x v="0"/>
          </reference>
          <reference field="15" count="4">
            <x v="22"/>
            <x v="28"/>
            <x v="30"/>
            <x v="50"/>
          </reference>
        </references>
      </pivotArea>
    </format>
    <format dxfId="2631">
      <pivotArea dataOnly="0" labelOnly="1" outline="0" fieldPosition="0">
        <references count="3">
          <reference field="13" count="1" selected="0">
            <x v="29"/>
          </reference>
          <reference field="14" count="1" selected="0">
            <x v="0"/>
          </reference>
          <reference field="15" count="3">
            <x v="58"/>
            <x v="59"/>
            <x v="68"/>
          </reference>
        </references>
      </pivotArea>
    </format>
    <format dxfId="2630">
      <pivotArea dataOnly="0" labelOnly="1" outline="0" fieldPosition="0">
        <references count="3">
          <reference field="13" count="1" selected="0">
            <x v="30"/>
          </reference>
          <reference field="14" count="1" selected="0">
            <x v="0"/>
          </reference>
          <reference field="15" count="2">
            <x v="24"/>
            <x v="31"/>
          </reference>
        </references>
      </pivotArea>
    </format>
    <format dxfId="2629">
      <pivotArea dataOnly="0" labelOnly="1" outline="0" fieldPosition="0">
        <references count="3">
          <reference field="13" count="1" selected="0">
            <x v="31"/>
          </reference>
          <reference field="14" count="1" selected="0">
            <x v="1"/>
          </reference>
          <reference field="15" count="4">
            <x v="41"/>
            <x v="44"/>
            <x v="45"/>
            <x v="54"/>
          </reference>
        </references>
      </pivotArea>
    </format>
    <format dxfId="2628">
      <pivotArea dataOnly="0" labelOnly="1" outline="0" fieldPosition="0">
        <references count="3">
          <reference field="13" count="1" selected="0">
            <x v="32"/>
          </reference>
          <reference field="14" count="1" selected="0">
            <x v="1"/>
          </reference>
          <reference field="15" count="3">
            <x v="19"/>
            <x v="20"/>
            <x v="55"/>
          </reference>
        </references>
      </pivotArea>
    </format>
    <format dxfId="2627">
      <pivotArea dataOnly="0" labelOnly="1" outline="0" fieldPosition="0">
        <references count="3">
          <reference field="13" count="1" selected="0">
            <x v="33"/>
          </reference>
          <reference field="14" count="1" selected="0">
            <x v="0"/>
          </reference>
          <reference field="15" count="9">
            <x v="25"/>
            <x v="32"/>
            <x v="33"/>
            <x v="34"/>
            <x v="35"/>
            <x v="36"/>
            <x v="37"/>
            <x v="46"/>
            <x v="51"/>
          </reference>
        </references>
      </pivotArea>
    </format>
    <format dxfId="2626">
      <pivotArea dataOnly="0" labelOnly="1" outline="0" fieldPosition="0">
        <references count="3">
          <reference field="13" count="1" selected="0">
            <x v="34"/>
          </reference>
          <reference field="14" count="1" selected="0">
            <x v="0"/>
          </reference>
          <reference field="15" count="3">
            <x v="42"/>
            <x v="43"/>
            <x v="47"/>
          </reference>
        </references>
      </pivotArea>
    </format>
    <format dxfId="2625">
      <pivotArea dataOnly="0" labelOnly="1" outline="0" fieldPosition="0">
        <references count="3">
          <reference field="13" count="1" selected="0">
            <x v="35"/>
          </reference>
          <reference field="14" count="1" selected="0">
            <x v="0"/>
          </reference>
          <reference field="15" count="2">
            <x v="21"/>
            <x v="27"/>
          </reference>
        </references>
      </pivotArea>
    </format>
    <format dxfId="2624">
      <pivotArea dataOnly="0" labelOnly="1" outline="0" fieldPosition="0">
        <references count="3">
          <reference field="13" count="1" selected="0">
            <x v="37"/>
          </reference>
          <reference field="14" count="1" selected="0">
            <x v="0"/>
          </reference>
          <reference field="15" count="2">
            <x v="65"/>
            <x v="69"/>
          </reference>
        </references>
      </pivotArea>
    </format>
    <format dxfId="2623">
      <pivotArea dataOnly="0" labelOnly="1" outline="0" fieldPosition="0">
        <references count="3">
          <reference field="13" count="1" selected="0">
            <x v="38"/>
          </reference>
          <reference field="14" count="1" selected="0">
            <x v="0"/>
          </reference>
          <reference field="15" count="5">
            <x v="26"/>
            <x v="29"/>
            <x v="39"/>
            <x v="48"/>
            <x v="49"/>
          </reference>
        </references>
      </pivotArea>
    </format>
    <format dxfId="2622">
      <pivotArea dataOnly="0" labelOnly="1" outline="0" fieldPosition="0">
        <references count="3">
          <reference field="13" count="1" selected="0">
            <x v="40"/>
          </reference>
          <reference field="14" count="1" selected="0">
            <x v="0"/>
          </reference>
          <reference field="15" count="4">
            <x v="9"/>
            <x v="15"/>
            <x v="40"/>
            <x v="52"/>
          </reference>
        </references>
      </pivotArea>
    </format>
    <format dxfId="2621">
      <pivotArea dataOnly="0" labelOnly="1" outline="0" fieldPosition="0">
        <references count="5">
          <reference field="5" count="1" defaultSubtotal="1">
            <x v="65"/>
          </reference>
          <reference field="6" count="1" selected="0">
            <x v="7"/>
          </reference>
          <reference field="13" count="1" selected="0">
            <x v="1"/>
          </reference>
          <reference field="14" count="1" selected="0">
            <x v="0"/>
          </reference>
          <reference field="15" count="1" selected="0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a2" displayName="Tabla2" ref="A1:P1211" headerRowDxfId="6373" dataDxfId="6372" tableBorderDxfId="6371">
  <autoFilter ref="A1:P1211"/>
  <tableColumns count="16">
    <tableColumn id="1" name="CODIGO" totalsRowLabel="Total" dataDxfId="6370" totalsRowDxfId="6369" dataCellStyle="Normal 10"/>
    <tableColumn id="2" name="DESCRIPCION" dataDxfId="6368" totalsRowDxfId="6367" dataCellStyle="Normal 10">
      <calculatedColumnFormula>IFERROR(VLOOKUP(Tabla2[[#This Row],[CODIGO]],INVENTARIO!A:B,2,0)," ")</calculatedColumnFormula>
    </tableColumn>
    <tableColumn id="3" name="CANTIDAD" dataDxfId="6366" totalsRowDxfId="6365"/>
    <tableColumn id="4" name="COSTO" dataDxfId="6364" totalsRowDxfId="6363"/>
    <tableColumn id="16" name="N° Pedido/N° Venta" dataDxfId="6362" totalsRowDxfId="6361"/>
    <tableColumn id="5" name="N° GUIA" dataDxfId="6360" totalsRowDxfId="6359"/>
    <tableColumn id="6" name="FECHA" dataDxfId="6358" totalsRowDxfId="6357"/>
    <tableColumn id="7" name="Venta" dataDxfId="6356" totalsRowDxfId="6355"/>
    <tableColumn id="15" name="Serie Módulo" dataDxfId="6354" totalsRowDxfId="6353"/>
    <tableColumn id="10" name="Lote" dataDxfId="6352" totalsRowDxfId="6351"/>
    <tableColumn id="11" name="Fecha Tub." dataDxfId="6350" totalsRowDxfId="6349"/>
    <tableColumn id="12" name="Marca" dataDxfId="6348" totalsRowDxfId="6347"/>
    <tableColumn id="13" name="Status" dataDxfId="6346" totalsRowDxfId="6345"/>
    <tableColumn id="9" name="Proyecto" dataDxfId="6344" totalsRowDxfId="6343"/>
    <tableColumn id="14" name="REGIÓN" dataDxfId="6342" totalsRowDxfId="6341"/>
    <tableColumn id="8" name="N° FACTURA" totalsRowFunction="sum" dataDxfId="6340" totalsRowDxfId="63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J1690" totalsRowShown="0" headerRowDxfId="6338" dataDxfId="6337" tableBorderDxfId="6336">
  <autoFilter ref="A1:J1690"/>
  <tableColumns count="10">
    <tableColumn id="1" name="CODIGO" dataDxfId="6335" dataCellStyle="Normal 10"/>
    <tableColumn id="2" name="DESCRIPCION" dataDxfId="6334" dataCellStyle="Normal 10">
      <calculatedColumnFormula>IFERROR(VLOOKUP(Tabla1[[#This Row],[CODIGO]],INVENTARIO!A:B,2,0)," ")</calculatedColumnFormula>
    </tableColumn>
    <tableColumn id="3" name="CANTIDAD" dataDxfId="6333"/>
    <tableColumn id="4" name="COSTO" dataDxfId="6332"/>
    <tableColumn id="5" name="N° GUIA" dataDxfId="6331"/>
    <tableColumn id="6" name="FECHA" dataDxfId="6330"/>
    <tableColumn id="8" name="Lote" dataDxfId="6329"/>
    <tableColumn id="9" name="Solicitado" dataDxfId="6328"/>
    <tableColumn id="10" name="Status" dataDxfId="6327"/>
    <tableColumn id="7" name="PROYECTO" dataDxfId="63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1:E195" totalsRowShown="0" headerRowDxfId="6325" dataDxfId="6324" tableBorderDxfId="6323">
  <autoFilter ref="A1:E195"/>
  <tableColumns count="5">
    <tableColumn id="1" name="CODIGO" dataDxfId="6322" dataCellStyle="Normal 10"/>
    <tableColumn id="2" name="DESCRIPCION" dataDxfId="6321" dataCellStyle="Normal 10"/>
    <tableColumn id="3" name="ENTRADAS" dataDxfId="6320">
      <calculatedColumnFormula>SUMIF(ENTRADAS!A:A,INVENTARIO!A2,ENTRADAS!C:C)</calculatedColumnFormula>
    </tableColumn>
    <tableColumn id="4" name="SALIDAS" dataDxfId="6319">
      <calculatedColumnFormula>SUMIF(SALIDAS!A:A,INVENTARIO!A2,SALIDAS!C:C)</calculatedColumnFormula>
    </tableColumn>
    <tableColumn id="5" name="EXISTENCIAS" dataDxfId="6318">
      <calculatedColumnFormula>C2-D2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G2209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4" sqref="B4"/>
    </sheetView>
  </sheetViews>
  <sheetFormatPr baseColWidth="10" defaultColWidth="14.453125" defaultRowHeight="15" customHeight="1" x14ac:dyDescent="0.35"/>
  <cols>
    <col min="1" max="1" width="10.81640625" style="17" customWidth="1"/>
    <col min="2" max="2" width="38.26953125" style="66" customWidth="1"/>
    <col min="3" max="3" width="12.81640625" style="17" customWidth="1"/>
    <col min="4" max="4" width="12.26953125" style="20" customWidth="1"/>
    <col min="5" max="5" width="21.6328125" style="76" customWidth="1"/>
    <col min="6" max="6" width="10.6328125" style="20" customWidth="1"/>
    <col min="7" max="7" width="9.81640625" style="79" customWidth="1"/>
    <col min="8" max="8" width="10.36328125" style="17" customWidth="1"/>
    <col min="9" max="9" width="16.81640625" style="17" customWidth="1"/>
    <col min="10" max="10" width="14" style="17" customWidth="1"/>
    <col min="11" max="11" width="17.81640625" style="17" customWidth="1"/>
    <col min="12" max="12" width="10.6328125" style="17" customWidth="1"/>
    <col min="13" max="13" width="15.36328125" style="17" customWidth="1"/>
    <col min="14" max="14" width="24.90625" style="17" customWidth="1"/>
    <col min="15" max="15" width="11.90625" style="17" customWidth="1"/>
    <col min="16" max="16" width="12.54296875" style="39" customWidth="1"/>
    <col min="17" max="33" width="10.7265625" style="17" customWidth="1"/>
    <col min="34" max="16384" width="14.453125" style="17"/>
  </cols>
  <sheetData>
    <row r="1" spans="1:33" ht="12.5" customHeight="1" x14ac:dyDescent="0.35">
      <c r="A1" s="11" t="s">
        <v>0</v>
      </c>
      <c r="B1" s="63" t="s">
        <v>1</v>
      </c>
      <c r="C1" s="12" t="s">
        <v>2</v>
      </c>
      <c r="D1" s="13" t="s">
        <v>3</v>
      </c>
      <c r="E1" s="75" t="s">
        <v>321</v>
      </c>
      <c r="F1" s="9" t="s">
        <v>9</v>
      </c>
      <c r="G1" s="77" t="s">
        <v>4</v>
      </c>
      <c r="H1" s="36" t="s">
        <v>167</v>
      </c>
      <c r="I1" s="9" t="s">
        <v>275</v>
      </c>
      <c r="J1" s="9" t="s">
        <v>214</v>
      </c>
      <c r="K1" s="9" t="s">
        <v>238</v>
      </c>
      <c r="L1" s="9" t="s">
        <v>239</v>
      </c>
      <c r="M1" s="9" t="s">
        <v>233</v>
      </c>
      <c r="N1" s="9" t="s">
        <v>182</v>
      </c>
      <c r="O1" s="9" t="s">
        <v>256</v>
      </c>
      <c r="P1" s="37" t="s">
        <v>332</v>
      </c>
      <c r="Q1" s="16"/>
      <c r="R1" s="16"/>
      <c r="S1" s="16"/>
      <c r="T1" s="16"/>
      <c r="U1" s="16"/>
      <c r="V1" s="16"/>
      <c r="W1" s="90" t="s">
        <v>9</v>
      </c>
      <c r="X1" s="91" t="s">
        <v>332</v>
      </c>
      <c r="Y1" s="16"/>
      <c r="Z1" s="16"/>
      <c r="AA1" s="16"/>
      <c r="AB1" s="16"/>
      <c r="AC1" s="16"/>
      <c r="AD1" s="16"/>
      <c r="AE1" s="16"/>
      <c r="AF1" s="16"/>
      <c r="AG1" s="16"/>
    </row>
    <row r="2" spans="1:33" ht="14.25" customHeight="1" x14ac:dyDescent="0.35">
      <c r="A2" s="12">
        <v>2000350</v>
      </c>
      <c r="B2" s="63" t="str">
        <f>IFERROR(VLOOKUP(Tabla2[[#This Row],[CODIGO]],INVENTARIO!A:B,2,0)," ")</f>
        <v>Codo PE 90º  25 mm EF.</v>
      </c>
      <c r="C2" s="12">
        <v>2</v>
      </c>
      <c r="D2" s="13"/>
      <c r="E2" s="75"/>
      <c r="F2" s="9">
        <v>443</v>
      </c>
      <c r="G2" s="77">
        <v>46099</v>
      </c>
      <c r="H2" s="9" t="s">
        <v>181</v>
      </c>
      <c r="I2" s="9"/>
      <c r="J2" s="9"/>
      <c r="K2" s="9"/>
      <c r="L2" s="9"/>
      <c r="M2" s="9"/>
      <c r="N2" s="9" t="s">
        <v>253</v>
      </c>
      <c r="O2" s="9"/>
      <c r="P2" s="37"/>
      <c r="Q2" s="10"/>
      <c r="R2" s="10"/>
      <c r="S2" s="10"/>
      <c r="T2" s="10"/>
      <c r="U2" s="10"/>
      <c r="V2" s="10"/>
      <c r="W2" s="99"/>
      <c r="X2" s="99"/>
      <c r="Y2" s="10"/>
      <c r="Z2" s="10"/>
      <c r="AA2" s="10"/>
      <c r="AB2" s="10"/>
      <c r="AC2" s="10"/>
      <c r="AD2" s="10"/>
      <c r="AE2" s="10"/>
      <c r="AF2" s="10"/>
      <c r="AG2" s="10"/>
    </row>
    <row r="3" spans="1:33" ht="14.25" customHeight="1" x14ac:dyDescent="0.35">
      <c r="A3" s="12">
        <v>301329</v>
      </c>
      <c r="B3" s="63" t="str">
        <f>IFERROR(VLOOKUP(Tabla2[[#This Row],[CODIGO]],INVENTARIO!A:B,2,0)," ")</f>
        <v>Copla PE100 025mm EF</v>
      </c>
      <c r="C3" s="12">
        <v>2</v>
      </c>
      <c r="D3" s="13"/>
      <c r="E3" s="75"/>
      <c r="F3" s="9">
        <v>443</v>
      </c>
      <c r="G3" s="77">
        <v>46099</v>
      </c>
      <c r="H3" s="9" t="s">
        <v>181</v>
      </c>
      <c r="I3" s="9"/>
      <c r="J3" s="9"/>
      <c r="K3" s="9"/>
      <c r="L3" s="9"/>
      <c r="M3" s="9"/>
      <c r="N3" s="9" t="s">
        <v>253</v>
      </c>
      <c r="O3" s="9"/>
      <c r="P3" s="37"/>
      <c r="Q3" s="10"/>
      <c r="R3" s="10"/>
      <c r="S3" s="10"/>
      <c r="T3" s="10"/>
      <c r="U3" s="10"/>
      <c r="V3" s="10"/>
      <c r="W3" s="99"/>
      <c r="X3" s="99"/>
      <c r="Y3" s="10"/>
      <c r="Z3" s="10"/>
      <c r="AA3" s="10"/>
      <c r="AB3" s="10"/>
      <c r="AC3" s="10"/>
      <c r="AD3" s="10"/>
      <c r="AE3" s="10"/>
      <c r="AF3" s="10"/>
      <c r="AG3" s="10"/>
    </row>
    <row r="4" spans="1:33" ht="14.25" customHeight="1" x14ac:dyDescent="0.35">
      <c r="A4" s="12">
        <v>2000350</v>
      </c>
      <c r="B4" s="63" t="str">
        <f>IFERROR(VLOOKUP(Tabla2[[#This Row],[CODIGO]],INVENTARIO!A:B,2,0)," ")</f>
        <v>Codo PE 90º  25 mm EF.</v>
      </c>
      <c r="C4" s="12">
        <v>1</v>
      </c>
      <c r="D4" s="13"/>
      <c r="E4" s="75"/>
      <c r="F4" s="9">
        <v>444</v>
      </c>
      <c r="G4" s="77">
        <v>46099</v>
      </c>
      <c r="H4" s="9" t="s">
        <v>181</v>
      </c>
      <c r="I4" s="9"/>
      <c r="J4" s="9"/>
      <c r="K4" s="9"/>
      <c r="L4" s="9"/>
      <c r="M4" s="9"/>
      <c r="N4" s="9" t="s">
        <v>195</v>
      </c>
      <c r="O4" s="9"/>
      <c r="P4" s="37"/>
      <c r="Q4" s="10"/>
      <c r="R4" s="10"/>
      <c r="S4" s="10"/>
      <c r="T4" s="10"/>
      <c r="U4" s="10"/>
      <c r="V4" s="10"/>
      <c r="W4" s="99"/>
      <c r="X4" s="99"/>
      <c r="Y4" s="10"/>
      <c r="Z4" s="10"/>
      <c r="AA4" s="10"/>
      <c r="AB4" s="10"/>
      <c r="AC4" s="10"/>
      <c r="AD4" s="10"/>
      <c r="AE4" s="10"/>
      <c r="AF4" s="10"/>
      <c r="AG4" s="10"/>
    </row>
    <row r="5" spans="1:33" ht="14.25" customHeight="1" x14ac:dyDescent="0.35">
      <c r="A5" s="12">
        <v>301329</v>
      </c>
      <c r="B5" s="63" t="str">
        <f>IFERROR(VLOOKUP(Tabla2[[#This Row],[CODIGO]],INVENTARIO!A:B,2,0)," ")</f>
        <v>Copla PE100 025mm EF</v>
      </c>
      <c r="C5" s="12">
        <v>1</v>
      </c>
      <c r="D5" s="13"/>
      <c r="E5" s="75"/>
      <c r="F5" s="9">
        <v>444</v>
      </c>
      <c r="G5" s="77">
        <v>46099</v>
      </c>
      <c r="H5" s="9" t="s">
        <v>181</v>
      </c>
      <c r="I5" s="9"/>
      <c r="J5" s="9"/>
      <c r="K5" s="9"/>
      <c r="L5" s="9"/>
      <c r="M5" s="9"/>
      <c r="N5" s="9" t="s">
        <v>195</v>
      </c>
      <c r="O5" s="9"/>
      <c r="P5" s="37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</row>
    <row r="6" spans="1:33" ht="14.25" customHeight="1" x14ac:dyDescent="0.35">
      <c r="A6" s="12">
        <v>301329</v>
      </c>
      <c r="B6" s="63" t="str">
        <f>IFERROR(VLOOKUP(Tabla2[[#This Row],[CODIGO]],INVENTARIO!A:B,2,0)," ")</f>
        <v>Copla PE100 025mm EF</v>
      </c>
      <c r="C6" s="12">
        <v>2</v>
      </c>
      <c r="D6" s="13"/>
      <c r="E6" s="75"/>
      <c r="F6" s="9">
        <v>445</v>
      </c>
      <c r="G6" s="77">
        <v>46099</v>
      </c>
      <c r="H6" s="9" t="s">
        <v>181</v>
      </c>
      <c r="I6" s="9"/>
      <c r="J6" s="9"/>
      <c r="K6" s="9"/>
      <c r="L6" s="9"/>
      <c r="M6" s="9"/>
      <c r="N6" s="9" t="s">
        <v>356</v>
      </c>
      <c r="O6" s="9"/>
      <c r="P6" s="37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</row>
    <row r="7" spans="1:33" ht="14.25" customHeight="1" x14ac:dyDescent="0.35">
      <c r="A7" s="12">
        <v>301749</v>
      </c>
      <c r="B7" s="63" t="str">
        <f>IFERROR(VLOOKUP(Tabla2[[#This Row],[CODIGO]],INVENTARIO!A:B,2,0)," ")</f>
        <v>Tubería PE80 025mm Rollo</v>
      </c>
      <c r="C7" s="12">
        <v>4.2</v>
      </c>
      <c r="D7" s="13"/>
      <c r="E7" s="75"/>
      <c r="F7" s="9">
        <v>445</v>
      </c>
      <c r="G7" s="77">
        <v>46099</v>
      </c>
      <c r="H7" s="9" t="s">
        <v>181</v>
      </c>
      <c r="I7" s="9"/>
      <c r="J7" s="9"/>
      <c r="K7" s="9"/>
      <c r="L7" s="9"/>
      <c r="M7" s="9"/>
      <c r="N7" s="9" t="s">
        <v>356</v>
      </c>
      <c r="O7" s="9"/>
      <c r="P7" s="37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</row>
    <row r="8" spans="1:33" ht="14.25" customHeight="1" x14ac:dyDescent="0.35">
      <c r="A8" s="12">
        <v>301329</v>
      </c>
      <c r="B8" s="63" t="str">
        <f>IFERROR(VLOOKUP(Tabla2[[#This Row],[CODIGO]],INVENTARIO!A:B,2,0)," ")</f>
        <v>Copla PE100 025mm EF</v>
      </c>
      <c r="C8" s="12">
        <v>2</v>
      </c>
      <c r="D8" s="13"/>
      <c r="E8" s="75"/>
      <c r="F8" s="9">
        <v>442</v>
      </c>
      <c r="G8" s="77">
        <v>46099</v>
      </c>
      <c r="H8" s="9" t="s">
        <v>181</v>
      </c>
      <c r="I8" s="9"/>
      <c r="J8" s="9"/>
      <c r="K8" s="9"/>
      <c r="L8" s="9"/>
      <c r="M8" s="9"/>
      <c r="N8" s="9" t="s">
        <v>357</v>
      </c>
      <c r="O8" s="9"/>
      <c r="P8" s="37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</row>
    <row r="9" spans="1:33" ht="14.25" customHeight="1" x14ac:dyDescent="0.35">
      <c r="A9" s="12">
        <v>302065</v>
      </c>
      <c r="B9" s="63" t="str">
        <f>IFERROR(VLOOKUP(Tabla2[[#This Row],[CODIGO]],INVENTARIO!A:B,2,0)," ")</f>
        <v>Tubería PE80 110mm Tira</v>
      </c>
      <c r="C9" s="12">
        <v>480</v>
      </c>
      <c r="D9" s="13">
        <v>5084640</v>
      </c>
      <c r="E9" s="75">
        <v>883642</v>
      </c>
      <c r="F9" s="9">
        <v>3567639</v>
      </c>
      <c r="G9" s="77">
        <v>46099</v>
      </c>
      <c r="H9" s="9" t="s">
        <v>167</v>
      </c>
      <c r="I9" s="9"/>
      <c r="J9" s="9" t="s">
        <v>284</v>
      </c>
      <c r="K9" s="34">
        <v>45868</v>
      </c>
      <c r="L9" s="9" t="s">
        <v>240</v>
      </c>
      <c r="M9" s="9"/>
      <c r="N9" s="9" t="s">
        <v>207</v>
      </c>
      <c r="O9" s="9" t="s">
        <v>258</v>
      </c>
      <c r="P9" s="37">
        <v>1390220</v>
      </c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</row>
    <row r="10" spans="1:33" ht="14.25" customHeight="1" x14ac:dyDescent="0.35">
      <c r="A10" s="12">
        <v>302065</v>
      </c>
      <c r="B10" s="63" t="str">
        <f>IFERROR(VLOOKUP(Tabla2[[#This Row],[CODIGO]],INVENTARIO!A:B,2,0)," ")</f>
        <v>Tubería PE80 110mm Tira</v>
      </c>
      <c r="C10" s="12">
        <v>552</v>
      </c>
      <c r="D10" s="13">
        <v>5847336</v>
      </c>
      <c r="E10" s="75">
        <v>4500519765</v>
      </c>
      <c r="F10" s="9">
        <v>3567638</v>
      </c>
      <c r="G10" s="77">
        <v>46099</v>
      </c>
      <c r="H10" s="9" t="s">
        <v>167</v>
      </c>
      <c r="I10" s="9"/>
      <c r="J10" s="9" t="s">
        <v>284</v>
      </c>
      <c r="K10" s="34">
        <v>45882</v>
      </c>
      <c r="L10" s="9" t="s">
        <v>240</v>
      </c>
      <c r="M10" s="9"/>
      <c r="N10" s="9" t="s">
        <v>274</v>
      </c>
      <c r="O10" s="9" t="s">
        <v>258</v>
      </c>
      <c r="P10" s="37">
        <v>1390219</v>
      </c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</row>
    <row r="11" spans="1:33" ht="14.25" customHeight="1" x14ac:dyDescent="0.35">
      <c r="A11" s="12">
        <v>2005136</v>
      </c>
      <c r="B11" s="63" t="str">
        <f>IFERROR(VLOOKUP(Tabla2[[#This Row],[CODIGO]],INVENTARIO!A:B,2,0)," ")</f>
        <v>Tubo PVC 160 mm PN6 CG Amarillo</v>
      </c>
      <c r="C11" s="12">
        <v>1</v>
      </c>
      <c r="D11" s="13">
        <v>54504</v>
      </c>
      <c r="E11" s="75">
        <v>883641</v>
      </c>
      <c r="F11" s="9">
        <v>3567637</v>
      </c>
      <c r="G11" s="77">
        <v>46099</v>
      </c>
      <c r="H11" s="9" t="s">
        <v>167</v>
      </c>
      <c r="I11" s="9"/>
      <c r="J11" s="9"/>
      <c r="K11" s="9"/>
      <c r="L11" s="9"/>
      <c r="M11" s="9"/>
      <c r="N11" s="9" t="s">
        <v>254</v>
      </c>
      <c r="O11" s="9" t="s">
        <v>258</v>
      </c>
      <c r="P11" s="37">
        <v>1390218</v>
      </c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</row>
    <row r="12" spans="1:33" ht="14.25" customHeight="1" x14ac:dyDescent="0.35">
      <c r="A12" s="12">
        <v>303345</v>
      </c>
      <c r="B12" s="63" t="str">
        <f>IFERROR(VLOOKUP(Tabla2[[#This Row],[CODIGO]],INVENTARIO!A:B,2,0)," ")</f>
        <v>Copla PE100 050mm EF</v>
      </c>
      <c r="C12" s="12">
        <v>1</v>
      </c>
      <c r="D12" s="13"/>
      <c r="E12" s="75"/>
      <c r="F12" s="9">
        <v>990</v>
      </c>
      <c r="G12" s="77">
        <v>46073</v>
      </c>
      <c r="H12" s="9" t="s">
        <v>181</v>
      </c>
      <c r="I12" s="9"/>
      <c r="J12" s="9"/>
      <c r="K12" s="9"/>
      <c r="L12" s="9"/>
      <c r="M12" s="9"/>
      <c r="N12" s="9" t="s">
        <v>322</v>
      </c>
      <c r="O12" s="9"/>
      <c r="P12" s="37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</row>
    <row r="13" spans="1:33" ht="14.25" customHeight="1" x14ac:dyDescent="0.35">
      <c r="A13" s="12">
        <v>2002262</v>
      </c>
      <c r="B13" s="63" t="str">
        <f>IFERROR(VLOOKUP(Tabla2[[#This Row],[CODIGO]],INVENTARIO!A:B,2,0)," ")</f>
        <v>Tubería PE80 050mm Rollo</v>
      </c>
      <c r="C13" s="12">
        <v>0.3</v>
      </c>
      <c r="D13" s="13"/>
      <c r="E13" s="75"/>
      <c r="F13" s="9">
        <v>990</v>
      </c>
      <c r="G13" s="77">
        <v>46073</v>
      </c>
      <c r="H13" s="9" t="s">
        <v>181</v>
      </c>
      <c r="I13" s="9"/>
      <c r="J13" s="9"/>
      <c r="K13" s="9"/>
      <c r="L13" s="9"/>
      <c r="M13" s="9"/>
      <c r="N13" s="9" t="s">
        <v>322</v>
      </c>
      <c r="O13" s="9"/>
      <c r="P13" s="37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</row>
    <row r="14" spans="1:33" ht="14.25" customHeight="1" x14ac:dyDescent="0.35">
      <c r="A14" s="12">
        <v>2005135</v>
      </c>
      <c r="B14" s="63" t="str">
        <f>IFERROR(VLOOKUP(Tabla2[[#This Row],[CODIGO]],INVENTARIO!A:B,2,0)," ")</f>
        <v>Tubo PVC 110 mm PN6 CG Amarillo Tira 6 m</v>
      </c>
      <c r="C14" s="12">
        <v>2.7</v>
      </c>
      <c r="D14" s="13"/>
      <c r="E14" s="75"/>
      <c r="F14" s="9">
        <v>990</v>
      </c>
      <c r="G14" s="77">
        <v>46073</v>
      </c>
      <c r="H14" s="9" t="s">
        <v>181</v>
      </c>
      <c r="I14" s="9"/>
      <c r="J14" s="9"/>
      <c r="K14" s="9"/>
      <c r="L14" s="9"/>
      <c r="M14" s="9"/>
      <c r="N14" s="9" t="s">
        <v>322</v>
      </c>
      <c r="O14" s="9"/>
      <c r="P14" s="37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</row>
    <row r="15" spans="1:33" ht="14.25" customHeight="1" x14ac:dyDescent="0.35">
      <c r="A15" s="12">
        <v>301329</v>
      </c>
      <c r="B15" s="63" t="str">
        <f>IFERROR(VLOOKUP(Tabla2[[#This Row],[CODIGO]],INVENTARIO!A:B,2,0)," ")</f>
        <v>Copla PE100 025mm EF</v>
      </c>
      <c r="C15" s="12">
        <v>2</v>
      </c>
      <c r="D15" s="13"/>
      <c r="E15" s="75"/>
      <c r="F15" s="9">
        <v>401</v>
      </c>
      <c r="G15" s="77">
        <v>46094</v>
      </c>
      <c r="H15" s="9" t="s">
        <v>181</v>
      </c>
      <c r="I15" s="9"/>
      <c r="J15" s="9"/>
      <c r="K15" s="9"/>
      <c r="L15" s="9"/>
      <c r="M15" s="9"/>
      <c r="N15" s="9" t="s">
        <v>254</v>
      </c>
      <c r="O15" s="9"/>
      <c r="P15" s="37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</row>
    <row r="16" spans="1:33" ht="14.25" customHeight="1" x14ac:dyDescent="0.35">
      <c r="A16" s="12">
        <v>301749</v>
      </c>
      <c r="B16" s="63" t="str">
        <f>IFERROR(VLOOKUP(Tabla2[[#This Row],[CODIGO]],INVENTARIO!A:B,2,0)," ")</f>
        <v>Tubería PE80 025mm Rollo</v>
      </c>
      <c r="C16" s="12">
        <v>2</v>
      </c>
      <c r="D16" s="13"/>
      <c r="E16" s="75"/>
      <c r="F16" s="9">
        <v>401</v>
      </c>
      <c r="G16" s="77">
        <v>46094</v>
      </c>
      <c r="H16" s="9" t="s">
        <v>181</v>
      </c>
      <c r="I16" s="9"/>
      <c r="J16" s="9"/>
      <c r="K16" s="9"/>
      <c r="L16" s="9"/>
      <c r="M16" s="9"/>
      <c r="N16" s="9" t="s">
        <v>254</v>
      </c>
      <c r="O16" s="9"/>
      <c r="P16" s="37"/>
      <c r="Q16" s="10"/>
      <c r="R16" s="10"/>
      <c r="S16" s="10"/>
      <c r="T16" s="10"/>
      <c r="U16" s="10"/>
      <c r="V16" s="10"/>
      <c r="Y16" s="10"/>
      <c r="Z16" s="10"/>
      <c r="AA16" s="10"/>
      <c r="AB16" s="10"/>
      <c r="AC16" s="10"/>
      <c r="AD16" s="10"/>
      <c r="AE16" s="10"/>
      <c r="AF16" s="10"/>
      <c r="AG16" s="10"/>
    </row>
    <row r="17" spans="1:33" ht="14.25" customHeight="1" x14ac:dyDescent="0.35">
      <c r="A17" s="12">
        <v>303345</v>
      </c>
      <c r="B17" s="63" t="str">
        <f>IFERROR(VLOOKUP(Tabla2[[#This Row],[CODIGO]],INVENTARIO!A:B,2,0)," ")</f>
        <v>Copla PE100 050mm EF</v>
      </c>
      <c r="C17" s="12">
        <v>3</v>
      </c>
      <c r="D17" s="13"/>
      <c r="E17" s="75"/>
      <c r="F17" s="9">
        <v>401</v>
      </c>
      <c r="G17" s="77">
        <v>46094</v>
      </c>
      <c r="H17" s="9" t="s">
        <v>181</v>
      </c>
      <c r="I17" s="9"/>
      <c r="J17" s="9"/>
      <c r="K17" s="9"/>
      <c r="L17" s="9"/>
      <c r="M17" s="9"/>
      <c r="N17" s="9" t="s">
        <v>254</v>
      </c>
      <c r="O17" s="9"/>
      <c r="P17" s="37"/>
      <c r="Q17" s="10"/>
      <c r="R17" s="10"/>
      <c r="S17" s="10"/>
      <c r="T17" s="10"/>
      <c r="U17" s="10"/>
      <c r="V17" s="10"/>
      <c r="Y17" s="10"/>
      <c r="Z17" s="10"/>
      <c r="AA17" s="10"/>
      <c r="AB17" s="10"/>
      <c r="AC17" s="10"/>
      <c r="AD17" s="10"/>
      <c r="AE17" s="10"/>
      <c r="AF17" s="10"/>
      <c r="AG17" s="10"/>
    </row>
    <row r="18" spans="1:33" ht="14.25" customHeight="1" x14ac:dyDescent="0.35">
      <c r="A18" s="12">
        <v>302659</v>
      </c>
      <c r="B18" s="63" t="str">
        <f>IFERROR(VLOOKUP(Tabla2[[#This Row],[CODIGO]],INVENTARIO!A:B,2,0)," ")</f>
        <v>Copla PE100 063mm EF</v>
      </c>
      <c r="C18" s="12">
        <v>1</v>
      </c>
      <c r="D18" s="13"/>
      <c r="E18" s="75"/>
      <c r="F18" s="9">
        <v>401</v>
      </c>
      <c r="G18" s="77">
        <v>46094</v>
      </c>
      <c r="H18" s="9" t="s">
        <v>181</v>
      </c>
      <c r="I18" s="9"/>
      <c r="J18" s="9"/>
      <c r="K18" s="9"/>
      <c r="L18" s="9"/>
      <c r="M18" s="9"/>
      <c r="N18" s="9" t="s">
        <v>254</v>
      </c>
      <c r="O18" s="9"/>
      <c r="P18" s="37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</row>
    <row r="19" spans="1:33" ht="14.25" customHeight="1" x14ac:dyDescent="0.35">
      <c r="A19" s="12">
        <v>302065</v>
      </c>
      <c r="B19" s="63" t="str">
        <f>IFERROR(VLOOKUP(Tabla2[[#This Row],[CODIGO]],INVENTARIO!A:B,2,0)," ")</f>
        <v>Tubería PE80 110mm Tira</v>
      </c>
      <c r="C19" s="12">
        <v>2</v>
      </c>
      <c r="D19" s="13"/>
      <c r="E19" s="75"/>
      <c r="F19" s="9">
        <v>401</v>
      </c>
      <c r="G19" s="77">
        <v>46094</v>
      </c>
      <c r="H19" s="9" t="s">
        <v>181</v>
      </c>
      <c r="I19" s="9"/>
      <c r="J19" s="9"/>
      <c r="K19" s="9"/>
      <c r="L19" s="9"/>
      <c r="M19" s="9"/>
      <c r="N19" s="9" t="s">
        <v>254</v>
      </c>
      <c r="O19" s="9"/>
      <c r="P19" s="37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</row>
    <row r="20" spans="1:33" ht="14.25" customHeight="1" x14ac:dyDescent="0.35">
      <c r="A20" s="12">
        <v>301751</v>
      </c>
      <c r="B20" s="63" t="str">
        <f>IFERROR(VLOOKUP(Tabla2[[#This Row],[CODIGO]],INVENTARIO!A:B,2,0)," ")</f>
        <v>Tubería PE80 050mm SDR11 Tira</v>
      </c>
      <c r="C20" s="12">
        <v>2</v>
      </c>
      <c r="D20" s="13"/>
      <c r="E20" s="75"/>
      <c r="F20" s="9">
        <v>401</v>
      </c>
      <c r="G20" s="77">
        <v>46094</v>
      </c>
      <c r="H20" s="9" t="s">
        <v>181</v>
      </c>
      <c r="I20" s="9"/>
      <c r="J20" s="9"/>
      <c r="K20" s="9"/>
      <c r="L20" s="9"/>
      <c r="M20" s="9"/>
      <c r="N20" s="9" t="s">
        <v>254</v>
      </c>
      <c r="O20" s="9"/>
      <c r="P20" s="37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</row>
    <row r="21" spans="1:33" ht="14.25" customHeight="1" x14ac:dyDescent="0.35">
      <c r="A21" s="12">
        <v>2002262</v>
      </c>
      <c r="B21" s="63" t="str">
        <f>IFERROR(VLOOKUP(Tabla2[[#This Row],[CODIGO]],INVENTARIO!A:B,2,0)," ")</f>
        <v>Tubería PE80 050mm Rollo</v>
      </c>
      <c r="C21" s="12">
        <v>1200</v>
      </c>
      <c r="D21" s="13">
        <v>3098400</v>
      </c>
      <c r="E21" s="75">
        <v>883642</v>
      </c>
      <c r="F21" s="9">
        <v>3567553</v>
      </c>
      <c r="G21" s="77">
        <v>46093</v>
      </c>
      <c r="H21" s="9" t="s">
        <v>167</v>
      </c>
      <c r="I21" s="9"/>
      <c r="J21" s="9" t="s">
        <v>216</v>
      </c>
      <c r="K21" s="34">
        <v>45751</v>
      </c>
      <c r="L21" s="9"/>
      <c r="M21" s="9"/>
      <c r="N21" s="9" t="s">
        <v>207</v>
      </c>
      <c r="O21" s="9" t="s">
        <v>258</v>
      </c>
      <c r="P21" s="37">
        <v>1375116</v>
      </c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</row>
    <row r="22" spans="1:33" ht="14.25" customHeight="1" x14ac:dyDescent="0.35">
      <c r="A22" s="12">
        <v>2002263</v>
      </c>
      <c r="B22" s="63" t="str">
        <f>IFERROR(VLOOKUP(Tabla2[[#This Row],[CODIGO]],INVENTARIO!A:B,2,0)," ")</f>
        <v>Tubería PE80 063mm Rollo</v>
      </c>
      <c r="C22" s="12">
        <v>100</v>
      </c>
      <c r="D22" s="13">
        <v>373300</v>
      </c>
      <c r="E22" s="75">
        <v>883642</v>
      </c>
      <c r="F22" s="9">
        <v>3567553</v>
      </c>
      <c r="G22" s="77">
        <v>46093</v>
      </c>
      <c r="H22" s="9" t="s">
        <v>167</v>
      </c>
      <c r="I22" s="9"/>
      <c r="J22" s="9" t="s">
        <v>218</v>
      </c>
      <c r="K22" s="34">
        <v>45764</v>
      </c>
      <c r="L22" s="9"/>
      <c r="M22" s="9"/>
      <c r="N22" s="9" t="s">
        <v>207</v>
      </c>
      <c r="O22" s="9" t="s">
        <v>258</v>
      </c>
      <c r="P22" s="37">
        <v>1375116</v>
      </c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</row>
    <row r="23" spans="1:33" ht="14.25" customHeight="1" x14ac:dyDescent="0.35">
      <c r="A23" s="12">
        <v>2002263</v>
      </c>
      <c r="B23" s="63" t="str">
        <f>IFERROR(VLOOKUP(Tabla2[[#This Row],[CODIGO]],INVENTARIO!A:B,2,0)," ")</f>
        <v>Tubería PE80 063mm Rollo</v>
      </c>
      <c r="C23" s="12">
        <v>400</v>
      </c>
      <c r="D23" s="13">
        <v>1493200</v>
      </c>
      <c r="E23" s="75">
        <v>4500519755</v>
      </c>
      <c r="F23" s="9">
        <v>3567554</v>
      </c>
      <c r="G23" s="77">
        <v>46093</v>
      </c>
      <c r="H23" s="9" t="s">
        <v>167</v>
      </c>
      <c r="I23" s="9"/>
      <c r="J23" s="9" t="s">
        <v>218</v>
      </c>
      <c r="K23" s="34">
        <v>45764</v>
      </c>
      <c r="L23" s="9"/>
      <c r="M23" s="9"/>
      <c r="N23" s="9" t="s">
        <v>333</v>
      </c>
      <c r="O23" s="9" t="s">
        <v>258</v>
      </c>
      <c r="P23" s="37">
        <v>1375117</v>
      </c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</row>
    <row r="24" spans="1:33" ht="14.25" customHeight="1" x14ac:dyDescent="0.35">
      <c r="A24" s="12">
        <v>301770</v>
      </c>
      <c r="B24" s="63" t="str">
        <f>IFERROR(VLOOKUP(Tabla2[[#This Row],[CODIGO]],INVENTARIO!A:B,2,0)," ")</f>
        <v>Válvula PE100 Dn 160mm</v>
      </c>
      <c r="C24" s="12">
        <v>1</v>
      </c>
      <c r="D24" s="13">
        <v>301635</v>
      </c>
      <c r="E24" s="75">
        <v>4500520097</v>
      </c>
      <c r="F24" s="9">
        <v>3567580</v>
      </c>
      <c r="G24" s="77">
        <v>46094</v>
      </c>
      <c r="H24" s="9" t="s">
        <v>166</v>
      </c>
      <c r="I24" s="9"/>
      <c r="J24" s="9"/>
      <c r="K24" s="9"/>
      <c r="L24" s="9"/>
      <c r="M24" s="9"/>
      <c r="N24" s="9" t="s">
        <v>193</v>
      </c>
      <c r="O24" s="9"/>
      <c r="P24" s="37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</row>
    <row r="25" spans="1:33" ht="14.25" customHeight="1" x14ac:dyDescent="0.35">
      <c r="A25" s="12">
        <v>301327</v>
      </c>
      <c r="B25" s="63" t="str">
        <f>IFERROR(VLOOKUP(Tabla2[[#This Row],[CODIGO]],INVENTARIO!A:B,2,0)," ")</f>
        <v>Tapa PE  050 mm Termo F.</v>
      </c>
      <c r="C25" s="12">
        <v>4</v>
      </c>
      <c r="D25" s="13">
        <v>12252</v>
      </c>
      <c r="E25" s="75">
        <v>4500520039</v>
      </c>
      <c r="F25" s="9">
        <v>3567581</v>
      </c>
      <c r="G25" s="77">
        <v>46094</v>
      </c>
      <c r="H25" s="9" t="s">
        <v>166</v>
      </c>
      <c r="I25" s="9"/>
      <c r="J25" s="9"/>
      <c r="K25" s="9"/>
      <c r="L25" s="9"/>
      <c r="M25" s="9"/>
      <c r="N25" s="9" t="s">
        <v>201</v>
      </c>
      <c r="O25" s="9"/>
      <c r="P25" s="37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</row>
    <row r="26" spans="1:33" ht="14.25" customHeight="1" x14ac:dyDescent="0.35">
      <c r="A26" s="12">
        <v>303015</v>
      </c>
      <c r="B26" s="63" t="str">
        <f>IFERROR(VLOOKUP(Tabla2[[#This Row],[CODIGO]],INVENTARIO!A:B,2,0)," ")</f>
        <v>Tee PE 110 mm Electro F.</v>
      </c>
      <c r="C26" s="12">
        <v>1</v>
      </c>
      <c r="D26" s="13">
        <v>22160</v>
      </c>
      <c r="E26" s="75">
        <v>4500520039</v>
      </c>
      <c r="F26" s="9">
        <v>3567581</v>
      </c>
      <c r="G26" s="77">
        <v>46094</v>
      </c>
      <c r="H26" s="9" t="s">
        <v>166</v>
      </c>
      <c r="I26" s="9"/>
      <c r="J26" s="9"/>
      <c r="K26" s="9"/>
      <c r="L26" s="9"/>
      <c r="M26" s="9"/>
      <c r="N26" s="9" t="s">
        <v>201</v>
      </c>
      <c r="O26" s="9"/>
      <c r="P26" s="37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</row>
    <row r="27" spans="1:33" ht="14.25" customHeight="1" x14ac:dyDescent="0.35">
      <c r="A27" s="12">
        <v>302992</v>
      </c>
      <c r="B27" s="63" t="str">
        <f>IFERROR(VLOOKUP(Tabla2[[#This Row],[CODIGO]],INVENTARIO!A:B,2,0)," ")</f>
        <v>Codo PE100 90° 050mm EF</v>
      </c>
      <c r="C27" s="12">
        <v>4</v>
      </c>
      <c r="D27" s="13">
        <v>22868</v>
      </c>
      <c r="E27" s="75">
        <v>4500520039</v>
      </c>
      <c r="F27" s="9">
        <v>3567581</v>
      </c>
      <c r="G27" s="77">
        <v>46094</v>
      </c>
      <c r="H27" s="9" t="s">
        <v>166</v>
      </c>
      <c r="I27" s="9"/>
      <c r="J27" s="9"/>
      <c r="K27" s="9"/>
      <c r="L27" s="9"/>
      <c r="M27" s="9"/>
      <c r="N27" s="9" t="s">
        <v>201</v>
      </c>
      <c r="O27" s="9"/>
      <c r="P27" s="37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</row>
    <row r="28" spans="1:33" ht="14.25" customHeight="1" x14ac:dyDescent="0.35">
      <c r="A28" s="12">
        <v>303439</v>
      </c>
      <c r="B28" s="63" t="str">
        <f>IFERROR(VLOOKUP(Tabla2[[#This Row],[CODIGO]],INVENTARIO!A:B,2,0)," ")</f>
        <v>Reductor PE 110-50 mm Termo F.</v>
      </c>
      <c r="C28" s="12">
        <v>1</v>
      </c>
      <c r="D28" s="13">
        <v>6928</v>
      </c>
      <c r="E28" s="75">
        <v>4500520039</v>
      </c>
      <c r="F28" s="9">
        <v>3567581</v>
      </c>
      <c r="G28" s="77">
        <v>46094</v>
      </c>
      <c r="H28" s="9" t="s">
        <v>166</v>
      </c>
      <c r="I28" s="9"/>
      <c r="J28" s="9"/>
      <c r="K28" s="9"/>
      <c r="L28" s="9"/>
      <c r="M28" s="9"/>
      <c r="N28" s="9" t="s">
        <v>201</v>
      </c>
      <c r="O28" s="9"/>
      <c r="P28" s="37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</row>
    <row r="29" spans="1:33" ht="14.25" customHeight="1" x14ac:dyDescent="0.35">
      <c r="A29" s="12">
        <v>301685</v>
      </c>
      <c r="B29" s="63" t="str">
        <f>IFERROR(VLOOKUP(Tabla2[[#This Row],[CODIGO]],INVENTARIO!A:B,2,0)," ")</f>
        <v>Reductor PE100 110-63 mm TF.</v>
      </c>
      <c r="C29" s="12">
        <v>1</v>
      </c>
      <c r="D29" s="13">
        <v>5263</v>
      </c>
      <c r="E29" s="75">
        <v>4500520039</v>
      </c>
      <c r="F29" s="9">
        <v>3567581</v>
      </c>
      <c r="G29" s="77">
        <v>46094</v>
      </c>
      <c r="H29" s="9" t="s">
        <v>166</v>
      </c>
      <c r="I29" s="9"/>
      <c r="J29" s="9"/>
      <c r="K29" s="9"/>
      <c r="L29" s="9"/>
      <c r="M29" s="9"/>
      <c r="N29" s="9" t="s">
        <v>201</v>
      </c>
      <c r="O29" s="9"/>
      <c r="P29" s="37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</row>
    <row r="30" spans="1:33" ht="14.25" customHeight="1" x14ac:dyDescent="0.35">
      <c r="A30" s="12">
        <v>302317</v>
      </c>
      <c r="B30" s="63" t="str">
        <f>IFERROR(VLOOKUP(Tabla2[[#This Row],[CODIGO]],INVENTARIO!A:B,2,0)," ")</f>
        <v>Tapa PE 110 mm Termo F.</v>
      </c>
      <c r="C30" s="12">
        <v>1</v>
      </c>
      <c r="D30" s="13">
        <v>9752</v>
      </c>
      <c r="E30" s="75">
        <v>4500520039</v>
      </c>
      <c r="F30" s="9">
        <v>3567581</v>
      </c>
      <c r="G30" s="77">
        <v>46094</v>
      </c>
      <c r="H30" s="9" t="s">
        <v>166</v>
      </c>
      <c r="I30" s="9"/>
      <c r="J30" s="9"/>
      <c r="K30" s="9"/>
      <c r="L30" s="9"/>
      <c r="M30" s="9"/>
      <c r="N30" s="9" t="s">
        <v>201</v>
      </c>
      <c r="O30" s="9"/>
      <c r="P30" s="37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</row>
    <row r="31" spans="1:33" ht="14.25" customHeight="1" x14ac:dyDescent="0.35">
      <c r="A31" s="12">
        <v>2002263</v>
      </c>
      <c r="B31" s="63" t="str">
        <f>IFERROR(VLOOKUP(Tabla2[[#This Row],[CODIGO]],INVENTARIO!A:B,2,0)," ")</f>
        <v>Tubería PE80 063mm Rollo</v>
      </c>
      <c r="C31" s="12">
        <v>150</v>
      </c>
      <c r="D31" s="13">
        <v>559950</v>
      </c>
      <c r="E31" s="75">
        <v>4500519755</v>
      </c>
      <c r="F31" s="9">
        <v>3567555</v>
      </c>
      <c r="G31" s="77">
        <v>46093</v>
      </c>
      <c r="H31" s="9" t="s">
        <v>167</v>
      </c>
      <c r="I31" s="9"/>
      <c r="J31" s="9" t="s">
        <v>218</v>
      </c>
      <c r="K31" s="34">
        <v>45764</v>
      </c>
      <c r="L31" s="9" t="s">
        <v>240</v>
      </c>
      <c r="M31" s="9"/>
      <c r="N31" s="9" t="s">
        <v>333</v>
      </c>
      <c r="O31" s="9" t="s">
        <v>258</v>
      </c>
      <c r="P31" s="37">
        <v>1375118</v>
      </c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</row>
    <row r="32" spans="1:33" ht="14.25" customHeight="1" x14ac:dyDescent="0.35">
      <c r="A32" s="12">
        <v>303368</v>
      </c>
      <c r="B32" s="63" t="str">
        <f>IFERROR(VLOOKUP(Tabla2[[#This Row],[CODIGO]],INVENTARIO!A:B,2,0)," ")</f>
        <v>Cinta Plástica "Línea GN", 30 x 0.1</v>
      </c>
      <c r="C32" s="12">
        <v>2000</v>
      </c>
      <c r="D32" s="13">
        <v>242000</v>
      </c>
      <c r="E32" s="75">
        <v>883642</v>
      </c>
      <c r="F32" s="9">
        <v>3567511</v>
      </c>
      <c r="G32" s="77">
        <v>46091</v>
      </c>
      <c r="H32" s="9" t="s">
        <v>167</v>
      </c>
      <c r="I32" s="9"/>
      <c r="J32" s="9"/>
      <c r="K32" s="9"/>
      <c r="L32" s="9"/>
      <c r="M32" s="9"/>
      <c r="N32" s="9" t="s">
        <v>207</v>
      </c>
      <c r="O32" s="9" t="s">
        <v>258</v>
      </c>
      <c r="P32" s="37">
        <v>1375103</v>
      </c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</row>
    <row r="33" spans="1:33" ht="14.25" customHeight="1" x14ac:dyDescent="0.35">
      <c r="A33" s="12">
        <v>1002167</v>
      </c>
      <c r="B33" s="63" t="str">
        <f>IFERROR(VLOOKUP(Tabla2[[#This Row],[CODIGO]],INVENTARIO!A:B,2,0)," ")</f>
        <v>Cable Trazador Cu 14 AWG Aisl. THW Roj</v>
      </c>
      <c r="C33" s="12">
        <v>2000</v>
      </c>
      <c r="D33" s="13">
        <v>588000</v>
      </c>
      <c r="E33" s="75">
        <v>883642</v>
      </c>
      <c r="F33" s="9">
        <v>3567511</v>
      </c>
      <c r="G33" s="77">
        <v>46091</v>
      </c>
      <c r="H33" s="9" t="s">
        <v>167</v>
      </c>
      <c r="I33" s="9"/>
      <c r="J33" s="9"/>
      <c r="K33" s="9"/>
      <c r="L33" s="9"/>
      <c r="M33" s="9"/>
      <c r="N33" s="9" t="s">
        <v>207</v>
      </c>
      <c r="O33" s="9" t="s">
        <v>258</v>
      </c>
      <c r="P33" s="37">
        <v>1375103</v>
      </c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</row>
    <row r="34" spans="1:33" ht="14.25" customHeight="1" x14ac:dyDescent="0.35">
      <c r="A34" s="12">
        <v>303510</v>
      </c>
      <c r="B34" s="63" t="str">
        <f>IFERROR(VLOOKUP(Tabla2[[#This Row],[CODIGO]],INVENTARIO!A:B,2,0)," ")</f>
        <v>Guardallave Hormigón 125 mm con Tapa</v>
      </c>
      <c r="C34" s="12">
        <v>3</v>
      </c>
      <c r="D34" s="13">
        <v>11700</v>
      </c>
      <c r="E34" s="75">
        <v>4500519835</v>
      </c>
      <c r="F34" s="9">
        <v>3567507</v>
      </c>
      <c r="G34" s="77">
        <v>46091</v>
      </c>
      <c r="H34" s="9" t="s">
        <v>167</v>
      </c>
      <c r="I34" s="9"/>
      <c r="J34" s="9"/>
      <c r="K34" s="9"/>
      <c r="L34" s="9"/>
      <c r="M34" s="9"/>
      <c r="N34" s="9" t="s">
        <v>361</v>
      </c>
      <c r="O34" s="9" t="s">
        <v>257</v>
      </c>
      <c r="P34" s="37">
        <v>1375101</v>
      </c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</row>
    <row r="35" spans="1:33" ht="14.25" customHeight="1" x14ac:dyDescent="0.35">
      <c r="A35" s="12">
        <v>303368</v>
      </c>
      <c r="B35" s="63" t="str">
        <f>IFERROR(VLOOKUP(Tabla2[[#This Row],[CODIGO]],INVENTARIO!A:B,2,0)," ")</f>
        <v>Cinta Plástica "Línea GN", 30 x 0.1</v>
      </c>
      <c r="C35" s="12">
        <v>400</v>
      </c>
      <c r="D35" s="13">
        <v>48400</v>
      </c>
      <c r="E35" s="75">
        <v>4500519835</v>
      </c>
      <c r="F35" s="9">
        <v>3567507</v>
      </c>
      <c r="G35" s="77">
        <v>46091</v>
      </c>
      <c r="H35" s="9" t="s">
        <v>167</v>
      </c>
      <c r="I35" s="9"/>
      <c r="J35" s="9"/>
      <c r="K35" s="9"/>
      <c r="L35" s="9"/>
      <c r="M35" s="9"/>
      <c r="N35" s="9" t="s">
        <v>361</v>
      </c>
      <c r="O35" s="9" t="s">
        <v>257</v>
      </c>
      <c r="P35" s="37">
        <v>1375101</v>
      </c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</row>
    <row r="36" spans="1:33" ht="14.25" customHeight="1" x14ac:dyDescent="0.35">
      <c r="A36" s="12">
        <v>1002167</v>
      </c>
      <c r="B36" s="63" t="str">
        <f>IFERROR(VLOOKUP(Tabla2[[#This Row],[CODIGO]],INVENTARIO!A:B,2,0)," ")</f>
        <v>Cable Trazador Cu 14 AWG Aisl. THW Roj</v>
      </c>
      <c r="C36" s="12">
        <v>400</v>
      </c>
      <c r="D36" s="13">
        <v>117600</v>
      </c>
      <c r="E36" s="75">
        <v>4500519835</v>
      </c>
      <c r="F36" s="9">
        <v>3567507</v>
      </c>
      <c r="G36" s="77">
        <v>46091</v>
      </c>
      <c r="H36" s="9" t="s">
        <v>167</v>
      </c>
      <c r="I36" s="9"/>
      <c r="J36" s="9"/>
      <c r="K36" s="9"/>
      <c r="L36" s="9"/>
      <c r="M36" s="9"/>
      <c r="N36" s="9" t="s">
        <v>361</v>
      </c>
      <c r="O36" s="9" t="s">
        <v>257</v>
      </c>
      <c r="P36" s="37">
        <v>1375101</v>
      </c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</row>
    <row r="37" spans="1:33" ht="14.25" customHeight="1" x14ac:dyDescent="0.35">
      <c r="A37" s="12">
        <v>301749</v>
      </c>
      <c r="B37" s="63" t="str">
        <f>IFERROR(VLOOKUP(Tabla2[[#This Row],[CODIGO]],INVENTARIO!A:B,2,0)," ")</f>
        <v>Tubería PE80 025mm Rollo</v>
      </c>
      <c r="C37" s="12">
        <v>150</v>
      </c>
      <c r="D37" s="13">
        <v>114750</v>
      </c>
      <c r="E37" s="75">
        <v>4500519835</v>
      </c>
      <c r="F37" s="9">
        <v>3567507</v>
      </c>
      <c r="G37" s="77">
        <v>46091</v>
      </c>
      <c r="H37" s="9" t="s">
        <v>167</v>
      </c>
      <c r="I37" s="9"/>
      <c r="J37" s="9"/>
      <c r="K37" s="9"/>
      <c r="L37" s="9"/>
      <c r="M37" s="9"/>
      <c r="N37" s="9" t="s">
        <v>361</v>
      </c>
      <c r="O37" s="9" t="s">
        <v>257</v>
      </c>
      <c r="P37" s="37">
        <v>1375101</v>
      </c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</row>
    <row r="38" spans="1:33" ht="14.25" customHeight="1" x14ac:dyDescent="0.35">
      <c r="A38" s="12">
        <v>2008481</v>
      </c>
      <c r="B38" s="63" t="str">
        <f>IFERROR(VLOOKUP(Tabla2[[#This Row],[CODIGO]],INVENTARIO!A:B,2,0)," ")</f>
        <v>Tapa Tornillo Bronce 3/4" HE Bspt.</v>
      </c>
      <c r="C38" s="12">
        <v>28</v>
      </c>
      <c r="D38" s="13">
        <v>28</v>
      </c>
      <c r="E38" s="75">
        <v>4500519835</v>
      </c>
      <c r="F38" s="9">
        <v>3567507</v>
      </c>
      <c r="G38" s="77">
        <v>46091</v>
      </c>
      <c r="H38" s="9" t="s">
        <v>167</v>
      </c>
      <c r="I38" s="9"/>
      <c r="J38" s="9"/>
      <c r="K38" s="9"/>
      <c r="L38" s="9"/>
      <c r="M38" s="9"/>
      <c r="N38" s="9" t="s">
        <v>361</v>
      </c>
      <c r="O38" s="9" t="s">
        <v>257</v>
      </c>
      <c r="P38" s="37">
        <v>1375101</v>
      </c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</row>
    <row r="39" spans="1:33" ht="14.25" customHeight="1" x14ac:dyDescent="0.35">
      <c r="A39" s="12">
        <v>302737</v>
      </c>
      <c r="B39" s="63" t="str">
        <f>IFERROR(VLOOKUP(Tabla2[[#This Row],[CODIGO]],INVENTARIO!A:B,2,0)," ")</f>
        <v>Válvula Bola 3/4" Hi Un Cuerpo Pn5 Arco</v>
      </c>
      <c r="C39" s="12">
        <v>28</v>
      </c>
      <c r="D39" s="13">
        <v>460460</v>
      </c>
      <c r="E39" s="75">
        <v>4500519835</v>
      </c>
      <c r="F39" s="9">
        <v>3567507</v>
      </c>
      <c r="G39" s="77">
        <v>46091</v>
      </c>
      <c r="H39" s="9" t="s">
        <v>167</v>
      </c>
      <c r="I39" s="9"/>
      <c r="J39" s="9"/>
      <c r="K39" s="9"/>
      <c r="L39" s="9"/>
      <c r="M39" s="9"/>
      <c r="N39" s="9" t="s">
        <v>361</v>
      </c>
      <c r="O39" s="9" t="s">
        <v>257</v>
      </c>
      <c r="P39" s="37">
        <v>1375101</v>
      </c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</row>
    <row r="40" spans="1:33" ht="14.25" customHeight="1" x14ac:dyDescent="0.35">
      <c r="A40" s="12">
        <v>303368</v>
      </c>
      <c r="B40" s="63" t="str">
        <f>IFERROR(VLOOKUP(Tabla2[[#This Row],[CODIGO]],INVENTARIO!A:B,2,0)," ")</f>
        <v>Cinta Plástica "Línea GN", 30 x 0.1</v>
      </c>
      <c r="C40" s="12">
        <v>1200</v>
      </c>
      <c r="D40" s="13">
        <v>145200</v>
      </c>
      <c r="E40" s="75">
        <v>4500519765</v>
      </c>
      <c r="F40" s="9">
        <v>3567506</v>
      </c>
      <c r="G40" s="77">
        <v>46091</v>
      </c>
      <c r="H40" s="9" t="s">
        <v>167</v>
      </c>
      <c r="I40" s="9"/>
      <c r="J40" s="9"/>
      <c r="K40" s="9"/>
      <c r="L40" s="9"/>
      <c r="M40" s="9"/>
      <c r="N40" s="9" t="s">
        <v>274</v>
      </c>
      <c r="O40" s="9" t="s">
        <v>258</v>
      </c>
      <c r="P40" s="37">
        <v>1375100</v>
      </c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</row>
    <row r="41" spans="1:33" ht="14.25" customHeight="1" x14ac:dyDescent="0.35">
      <c r="A41" s="12">
        <v>1002167</v>
      </c>
      <c r="B41" s="63" t="str">
        <f>IFERROR(VLOOKUP(Tabla2[[#This Row],[CODIGO]],INVENTARIO!A:B,2,0)," ")</f>
        <v>Cable Trazador Cu 14 AWG Aisl. THW Roj</v>
      </c>
      <c r="C41" s="12">
        <v>1200</v>
      </c>
      <c r="D41" s="13">
        <v>352800</v>
      </c>
      <c r="E41" s="75">
        <v>4500519765</v>
      </c>
      <c r="F41" s="9">
        <v>3567506</v>
      </c>
      <c r="G41" s="77">
        <v>46091</v>
      </c>
      <c r="H41" s="9" t="s">
        <v>167</v>
      </c>
      <c r="I41" s="9"/>
      <c r="J41" s="9"/>
      <c r="K41" s="9"/>
      <c r="L41" s="9"/>
      <c r="M41" s="9"/>
      <c r="N41" s="9" t="s">
        <v>274</v>
      </c>
      <c r="O41" s="9" t="s">
        <v>258</v>
      </c>
      <c r="P41" s="37">
        <v>1375100</v>
      </c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</row>
    <row r="42" spans="1:33" ht="14.25" customHeight="1" x14ac:dyDescent="0.35">
      <c r="A42" s="12">
        <v>303510</v>
      </c>
      <c r="B42" s="63" t="str">
        <f>IFERROR(VLOOKUP(Tabla2[[#This Row],[CODIGO]],INVENTARIO!A:B,2,0)," ")</f>
        <v>Guardallave Hormigón 125 mm con Tapa</v>
      </c>
      <c r="C42" s="12">
        <v>37</v>
      </c>
      <c r="D42" s="13">
        <v>144300</v>
      </c>
      <c r="E42" s="75">
        <v>4500519755</v>
      </c>
      <c r="F42" s="9">
        <v>3567508</v>
      </c>
      <c r="G42" s="77">
        <v>46091</v>
      </c>
      <c r="H42" s="9" t="s">
        <v>167</v>
      </c>
      <c r="I42" s="9"/>
      <c r="J42" s="9"/>
      <c r="K42" s="9"/>
      <c r="L42" s="9"/>
      <c r="M42" s="9"/>
      <c r="N42" s="9" t="s">
        <v>333</v>
      </c>
      <c r="O42" s="9" t="s">
        <v>258</v>
      </c>
      <c r="P42" s="37">
        <v>1375102</v>
      </c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</row>
    <row r="43" spans="1:33" ht="14.25" customHeight="1" x14ac:dyDescent="0.35">
      <c r="A43" s="12">
        <v>303368</v>
      </c>
      <c r="B43" s="63" t="str">
        <f>IFERROR(VLOOKUP(Tabla2[[#This Row],[CODIGO]],INVENTARIO!A:B,2,0)," ")</f>
        <v>Cinta Plástica "Línea GN", 30 x 0.1</v>
      </c>
      <c r="C43" s="12">
        <v>2000</v>
      </c>
      <c r="D43" s="13">
        <v>242000</v>
      </c>
      <c r="E43" s="75">
        <v>4500519755</v>
      </c>
      <c r="F43" s="9">
        <v>3567508</v>
      </c>
      <c r="G43" s="77">
        <v>46091</v>
      </c>
      <c r="H43" s="9" t="s">
        <v>167</v>
      </c>
      <c r="I43" s="9"/>
      <c r="J43" s="9"/>
      <c r="K43" s="9"/>
      <c r="L43" s="9"/>
      <c r="M43" s="9"/>
      <c r="N43" s="9" t="s">
        <v>333</v>
      </c>
      <c r="O43" s="9" t="s">
        <v>258</v>
      </c>
      <c r="P43" s="37">
        <v>1375102</v>
      </c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</row>
    <row r="44" spans="1:33" ht="14.25" customHeight="1" x14ac:dyDescent="0.35">
      <c r="A44" s="12">
        <v>1002167</v>
      </c>
      <c r="B44" s="63" t="str">
        <f>IFERROR(VLOOKUP(Tabla2[[#This Row],[CODIGO]],INVENTARIO!A:B,2,0)," ")</f>
        <v>Cable Trazador Cu 14 AWG Aisl. THW Roj</v>
      </c>
      <c r="C44" s="12">
        <v>2000</v>
      </c>
      <c r="D44" s="13">
        <v>588000</v>
      </c>
      <c r="E44" s="75">
        <v>4500519755</v>
      </c>
      <c r="F44" s="9">
        <v>3567508</v>
      </c>
      <c r="G44" s="77">
        <v>46091</v>
      </c>
      <c r="H44" s="9" t="s">
        <v>167</v>
      </c>
      <c r="I44" s="9"/>
      <c r="J44" s="9"/>
      <c r="K44" s="9"/>
      <c r="L44" s="9"/>
      <c r="M44" s="9"/>
      <c r="N44" s="9" t="s">
        <v>333</v>
      </c>
      <c r="O44" s="9" t="s">
        <v>258</v>
      </c>
      <c r="P44" s="37">
        <v>1375102</v>
      </c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</row>
    <row r="45" spans="1:33" ht="14.25" customHeight="1" x14ac:dyDescent="0.35">
      <c r="A45" s="12">
        <v>2008481</v>
      </c>
      <c r="B45" s="63" t="str">
        <f>IFERROR(VLOOKUP(Tabla2[[#This Row],[CODIGO]],INVENTARIO!A:B,2,0)," ")</f>
        <v>Tapa Tornillo Bronce 3/4" HE Bspt.</v>
      </c>
      <c r="C45" s="12">
        <v>79</v>
      </c>
      <c r="D45" s="13">
        <v>79</v>
      </c>
      <c r="E45" s="75">
        <v>4500519755</v>
      </c>
      <c r="F45" s="9">
        <v>3567508</v>
      </c>
      <c r="G45" s="77">
        <v>46091</v>
      </c>
      <c r="H45" s="9" t="s">
        <v>167</v>
      </c>
      <c r="I45" s="9"/>
      <c r="J45" s="9"/>
      <c r="K45" s="9"/>
      <c r="L45" s="9"/>
      <c r="M45" s="9"/>
      <c r="N45" s="9" t="s">
        <v>333</v>
      </c>
      <c r="O45" s="9" t="s">
        <v>258</v>
      </c>
      <c r="P45" s="37">
        <v>1375102</v>
      </c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</row>
    <row r="46" spans="1:33" ht="14.25" customHeight="1" x14ac:dyDescent="0.35">
      <c r="A46" s="12">
        <v>302737</v>
      </c>
      <c r="B46" s="63" t="str">
        <f>IFERROR(VLOOKUP(Tabla2[[#This Row],[CODIGO]],INVENTARIO!A:B,2,0)," ")</f>
        <v>Válvula Bola 3/4" Hi Un Cuerpo Pn5 Arco</v>
      </c>
      <c r="C46" s="12">
        <v>79</v>
      </c>
      <c r="D46" s="13">
        <v>1299155</v>
      </c>
      <c r="E46" s="75">
        <v>4500519755</v>
      </c>
      <c r="F46" s="9">
        <v>3567508</v>
      </c>
      <c r="G46" s="77">
        <v>46091</v>
      </c>
      <c r="H46" s="9" t="s">
        <v>167</v>
      </c>
      <c r="I46" s="9"/>
      <c r="J46" s="9"/>
      <c r="K46" s="9"/>
      <c r="L46" s="9"/>
      <c r="M46" s="9"/>
      <c r="N46" s="9" t="s">
        <v>333</v>
      </c>
      <c r="O46" s="9" t="s">
        <v>258</v>
      </c>
      <c r="P46" s="37">
        <v>1375102</v>
      </c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</row>
    <row r="47" spans="1:33" ht="14.25" customHeight="1" x14ac:dyDescent="0.35">
      <c r="A47" s="12">
        <v>2006391</v>
      </c>
      <c r="B47" s="63" t="str">
        <f>IFERROR(VLOOKUP(Tabla2[[#This Row],[CODIGO]],INVENTARIO!A:B,2,0)," ")</f>
        <v>Guardallave Fierro Fundido C/Tapa</v>
      </c>
      <c r="C47" s="12">
        <v>3</v>
      </c>
      <c r="D47" s="13">
        <v>80769</v>
      </c>
      <c r="E47" s="75">
        <v>4500519755</v>
      </c>
      <c r="F47" s="9">
        <v>3567508</v>
      </c>
      <c r="G47" s="77">
        <v>46091</v>
      </c>
      <c r="H47" s="9" t="s">
        <v>167</v>
      </c>
      <c r="I47" s="9"/>
      <c r="J47" s="9"/>
      <c r="K47" s="9"/>
      <c r="L47" s="9"/>
      <c r="M47" s="9"/>
      <c r="N47" s="9" t="s">
        <v>333</v>
      </c>
      <c r="O47" s="9" t="s">
        <v>258</v>
      </c>
      <c r="P47" s="37">
        <v>1375102</v>
      </c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</row>
    <row r="48" spans="1:33" ht="14.25" customHeight="1" x14ac:dyDescent="0.35">
      <c r="A48" s="12">
        <v>2007948</v>
      </c>
      <c r="B48" s="63" t="str">
        <f>IFERROR(VLOOKUP(Tabla2[[#This Row],[CODIGO]],INVENTARIO!A:B,2,0)," ")</f>
        <v>Tubo PVC Hidraulico 110 mm Pn6 Celeste</v>
      </c>
      <c r="C48" s="12">
        <v>6</v>
      </c>
      <c r="D48" s="13">
        <v>14556</v>
      </c>
      <c r="E48" s="75">
        <v>4500519755</v>
      </c>
      <c r="F48" s="9">
        <v>3567508</v>
      </c>
      <c r="G48" s="77">
        <v>46091</v>
      </c>
      <c r="H48" s="9" t="s">
        <v>167</v>
      </c>
      <c r="I48" s="9"/>
      <c r="J48" s="9"/>
      <c r="K48" s="9"/>
      <c r="L48" s="9"/>
      <c r="M48" s="9"/>
      <c r="N48" s="9" t="s">
        <v>333</v>
      </c>
      <c r="O48" s="9" t="s">
        <v>258</v>
      </c>
      <c r="P48" s="37">
        <v>1375102</v>
      </c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</row>
    <row r="49" spans="1:33" ht="14.25" customHeight="1" x14ac:dyDescent="0.35">
      <c r="A49" s="12">
        <v>301749</v>
      </c>
      <c r="B49" s="63" t="str">
        <f>IFERROR(VLOOKUP(Tabla2[[#This Row],[CODIGO]],INVENTARIO!A:B,2,0)," ")</f>
        <v>Tubería PE80 025mm Rollo</v>
      </c>
      <c r="C49" s="12">
        <v>600</v>
      </c>
      <c r="D49" s="13">
        <v>459000</v>
      </c>
      <c r="E49" s="75">
        <v>4500519755</v>
      </c>
      <c r="F49" s="9">
        <v>3567508</v>
      </c>
      <c r="G49" s="77">
        <v>46091</v>
      </c>
      <c r="H49" s="9" t="s">
        <v>167</v>
      </c>
      <c r="I49" s="9"/>
      <c r="J49" s="9"/>
      <c r="K49" s="9"/>
      <c r="L49" s="9"/>
      <c r="M49" s="9"/>
      <c r="N49" s="9" t="s">
        <v>333</v>
      </c>
      <c r="O49" s="9" t="s">
        <v>258</v>
      </c>
      <c r="P49" s="37">
        <v>1375102</v>
      </c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</row>
    <row r="50" spans="1:33" ht="14.25" customHeight="1" x14ac:dyDescent="0.35">
      <c r="A50" s="12">
        <v>301051</v>
      </c>
      <c r="B50" s="63" t="str">
        <f>IFERROR(VLOOKUP(Tabla2[[#This Row],[CODIGO]],INVENTARIO!A:B,2,0)," ")</f>
        <v>Tapping Tee PE 50-32 mm</v>
      </c>
      <c r="C50" s="12">
        <v>1</v>
      </c>
      <c r="D50" s="13">
        <v>19760</v>
      </c>
      <c r="E50" s="75">
        <v>4500519923</v>
      </c>
      <c r="F50" s="9">
        <v>3567519</v>
      </c>
      <c r="G50" s="77">
        <v>46091</v>
      </c>
      <c r="H50" s="9" t="s">
        <v>166</v>
      </c>
      <c r="I50" s="9"/>
      <c r="J50" s="9"/>
      <c r="K50" s="9"/>
      <c r="L50" s="9"/>
      <c r="M50" s="9"/>
      <c r="N50" s="9" t="s">
        <v>344</v>
      </c>
      <c r="O50" s="9"/>
      <c r="P50" s="37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</row>
    <row r="51" spans="1:33" ht="14.25" customHeight="1" x14ac:dyDescent="0.35">
      <c r="A51" s="12">
        <v>302992</v>
      </c>
      <c r="B51" s="63" t="str">
        <f>IFERROR(VLOOKUP(Tabla2[[#This Row],[CODIGO]],INVENTARIO!A:B,2,0)," ")</f>
        <v>Codo PE100 90° 050mm EF</v>
      </c>
      <c r="C51" s="12">
        <v>1</v>
      </c>
      <c r="D51" s="13">
        <v>5717</v>
      </c>
      <c r="E51" s="75">
        <v>4500519923</v>
      </c>
      <c r="F51" s="9">
        <v>3567519</v>
      </c>
      <c r="G51" s="77">
        <v>46091</v>
      </c>
      <c r="H51" s="9" t="s">
        <v>166</v>
      </c>
      <c r="I51" s="9"/>
      <c r="J51" s="9"/>
      <c r="K51" s="9"/>
      <c r="L51" s="9"/>
      <c r="M51" s="9"/>
      <c r="N51" s="9" t="s">
        <v>344</v>
      </c>
      <c r="O51" s="9"/>
      <c r="P51" s="37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</row>
    <row r="52" spans="1:33" ht="14.25" customHeight="1" x14ac:dyDescent="0.35">
      <c r="A52" s="12">
        <v>101624</v>
      </c>
      <c r="B52" s="63" t="str">
        <f>IFERROR(VLOOKUP(Tabla2[[#This Row],[CODIGO]],INVENTARIO!A:B,2,0)," ")</f>
        <v>Tapping Tee PE 50-25 mm</v>
      </c>
      <c r="C52" s="12">
        <v>28</v>
      </c>
      <c r="D52" s="13">
        <v>436800</v>
      </c>
      <c r="E52" s="75">
        <v>4500519835</v>
      </c>
      <c r="F52" s="9">
        <v>3567517</v>
      </c>
      <c r="G52" s="77">
        <v>46091</v>
      </c>
      <c r="H52" s="9" t="s">
        <v>166</v>
      </c>
      <c r="I52" s="9"/>
      <c r="J52" s="9"/>
      <c r="K52" s="9"/>
      <c r="L52" s="9"/>
      <c r="M52" s="9"/>
      <c r="N52" s="9" t="s">
        <v>361</v>
      </c>
      <c r="O52" s="9"/>
      <c r="P52" s="37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</row>
    <row r="53" spans="1:33" ht="14.25" customHeight="1" x14ac:dyDescent="0.35">
      <c r="A53" s="12">
        <v>300109</v>
      </c>
      <c r="B53" s="63" t="str">
        <f>IFERROR(VLOOKUP(Tabla2[[#This Row],[CODIGO]],INVENTARIO!A:B,2,0)," ")</f>
        <v>Risers de Acero 3/4" Bsp x 25 mm</v>
      </c>
      <c r="C53" s="12">
        <v>28</v>
      </c>
      <c r="D53" s="13">
        <v>840028</v>
      </c>
      <c r="E53" s="75">
        <v>4500519835</v>
      </c>
      <c r="F53" s="9">
        <v>3567517</v>
      </c>
      <c r="G53" s="77">
        <v>46091</v>
      </c>
      <c r="H53" s="9" t="s">
        <v>166</v>
      </c>
      <c r="I53" s="9"/>
      <c r="J53" s="9"/>
      <c r="K53" s="9"/>
      <c r="L53" s="9"/>
      <c r="M53" s="9"/>
      <c r="N53" s="9" t="s">
        <v>361</v>
      </c>
      <c r="O53" s="9"/>
      <c r="P53" s="37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</row>
    <row r="54" spans="1:33" ht="14.25" customHeight="1" x14ac:dyDescent="0.35">
      <c r="A54" s="12">
        <v>300712</v>
      </c>
      <c r="B54" s="63" t="str">
        <f>IFERROR(VLOOKUP(Tabla2[[#This Row],[CODIGO]],INVENTARIO!A:B,2,0)," ")</f>
        <v>Tapa PE  025 mm Termo F.</v>
      </c>
      <c r="C54" s="12">
        <v>1</v>
      </c>
      <c r="D54" s="13">
        <v>1373</v>
      </c>
      <c r="E54" s="75">
        <v>4500519835</v>
      </c>
      <c r="F54" s="9">
        <v>3567517</v>
      </c>
      <c r="G54" s="77">
        <v>46091</v>
      </c>
      <c r="H54" s="9" t="s">
        <v>166</v>
      </c>
      <c r="I54" s="9"/>
      <c r="J54" s="9"/>
      <c r="K54" s="9"/>
      <c r="L54" s="9"/>
      <c r="M54" s="9"/>
      <c r="N54" s="9" t="s">
        <v>361</v>
      </c>
      <c r="O54" s="9"/>
      <c r="P54" s="37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</row>
    <row r="55" spans="1:33" ht="14.25" customHeight="1" x14ac:dyDescent="0.35">
      <c r="A55" s="12">
        <v>301327</v>
      </c>
      <c r="B55" s="63" t="str">
        <f>IFERROR(VLOOKUP(Tabla2[[#This Row],[CODIGO]],INVENTARIO!A:B,2,0)," ")</f>
        <v>Tapa PE  050 mm Termo F.</v>
      </c>
      <c r="C55" s="12">
        <v>1</v>
      </c>
      <c r="D55" s="13">
        <v>3063</v>
      </c>
      <c r="E55" s="75">
        <v>4500519835</v>
      </c>
      <c r="F55" s="9">
        <v>3567517</v>
      </c>
      <c r="G55" s="77">
        <v>46091</v>
      </c>
      <c r="H55" s="9" t="s">
        <v>166</v>
      </c>
      <c r="I55" s="9"/>
      <c r="J55" s="9"/>
      <c r="K55" s="9"/>
      <c r="L55" s="9"/>
      <c r="M55" s="9"/>
      <c r="N55" s="9" t="s">
        <v>361</v>
      </c>
      <c r="O55" s="9"/>
      <c r="P55" s="37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</row>
    <row r="56" spans="1:33" ht="14.25" customHeight="1" x14ac:dyDescent="0.35">
      <c r="A56" s="12">
        <v>301329</v>
      </c>
      <c r="B56" s="63" t="str">
        <f>IFERROR(VLOOKUP(Tabla2[[#This Row],[CODIGO]],INVENTARIO!A:B,2,0)," ")</f>
        <v>Copla PE100 025mm EF</v>
      </c>
      <c r="C56" s="12">
        <v>57</v>
      </c>
      <c r="D56" s="13">
        <v>124146</v>
      </c>
      <c r="E56" s="75">
        <v>4500519835</v>
      </c>
      <c r="F56" s="9">
        <v>3567517</v>
      </c>
      <c r="G56" s="77">
        <v>46091</v>
      </c>
      <c r="H56" s="9" t="s">
        <v>166</v>
      </c>
      <c r="I56" s="9"/>
      <c r="J56" s="9"/>
      <c r="K56" s="9"/>
      <c r="L56" s="9"/>
      <c r="M56" s="9"/>
      <c r="N56" s="9" t="s">
        <v>361</v>
      </c>
      <c r="O56" s="9"/>
      <c r="P56" s="37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</row>
    <row r="57" spans="1:33" ht="14.25" customHeight="1" x14ac:dyDescent="0.35">
      <c r="A57" s="12">
        <v>302678</v>
      </c>
      <c r="B57" s="63" t="str">
        <f>IFERROR(VLOOKUP(Tabla2[[#This Row],[CODIGO]],INVENTARIO!A:B,2,0)," ")</f>
        <v>Reductor PE  63-50 mm Electro F.</v>
      </c>
      <c r="C57" s="12">
        <v>1</v>
      </c>
      <c r="D57" s="13">
        <v>13128</v>
      </c>
      <c r="E57" s="75">
        <v>4500519835</v>
      </c>
      <c r="F57" s="9">
        <v>3567517</v>
      </c>
      <c r="G57" s="77">
        <v>46091</v>
      </c>
      <c r="H57" s="9" t="s">
        <v>166</v>
      </c>
      <c r="I57" s="9"/>
      <c r="J57" s="9"/>
      <c r="K57" s="9"/>
      <c r="L57" s="9"/>
      <c r="M57" s="9"/>
      <c r="N57" s="9" t="s">
        <v>361</v>
      </c>
      <c r="O57" s="9"/>
      <c r="P57" s="37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</row>
    <row r="58" spans="1:33" ht="14.25" customHeight="1" x14ac:dyDescent="0.35">
      <c r="A58" s="12">
        <v>302992</v>
      </c>
      <c r="B58" s="63" t="str">
        <f>IFERROR(VLOOKUP(Tabla2[[#This Row],[CODIGO]],INVENTARIO!A:B,2,0)," ")</f>
        <v>Codo PE100 90° 050mm EF</v>
      </c>
      <c r="C58" s="12">
        <v>6</v>
      </c>
      <c r="D58" s="13">
        <v>34302</v>
      </c>
      <c r="E58" s="75">
        <v>4500519835</v>
      </c>
      <c r="F58" s="9">
        <v>3567517</v>
      </c>
      <c r="G58" s="77">
        <v>46091</v>
      </c>
      <c r="H58" s="9" t="s">
        <v>166</v>
      </c>
      <c r="I58" s="9"/>
      <c r="J58" s="9"/>
      <c r="K58" s="9"/>
      <c r="L58" s="9"/>
      <c r="M58" s="9"/>
      <c r="N58" s="9" t="s">
        <v>361</v>
      </c>
      <c r="O58" s="9"/>
      <c r="P58" s="37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</row>
    <row r="59" spans="1:33" ht="14.25" customHeight="1" x14ac:dyDescent="0.35">
      <c r="A59" s="12">
        <v>303345</v>
      </c>
      <c r="B59" s="63" t="str">
        <f>IFERROR(VLOOKUP(Tabla2[[#This Row],[CODIGO]],INVENTARIO!A:B,2,0)," ")</f>
        <v>Copla PE100 050mm EF</v>
      </c>
      <c r="C59" s="12">
        <v>7</v>
      </c>
      <c r="D59" s="13">
        <v>23114</v>
      </c>
      <c r="E59" s="75">
        <v>4500519835</v>
      </c>
      <c r="F59" s="9">
        <v>3567517</v>
      </c>
      <c r="G59" s="77">
        <v>46091</v>
      </c>
      <c r="H59" s="9" t="s">
        <v>166</v>
      </c>
      <c r="I59" s="9"/>
      <c r="J59" s="9"/>
      <c r="K59" s="9"/>
      <c r="L59" s="9"/>
      <c r="M59" s="9"/>
      <c r="N59" s="9" t="s">
        <v>361</v>
      </c>
      <c r="O59" s="9"/>
      <c r="P59" s="37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</row>
    <row r="60" spans="1:33" ht="14.25" customHeight="1" x14ac:dyDescent="0.35">
      <c r="A60" s="12">
        <v>2003911</v>
      </c>
      <c r="B60" s="63" t="str">
        <f>IFERROR(VLOOKUP(Tabla2[[#This Row],[CODIGO]],INVENTARIO!A:B,2,0)," ")</f>
        <v>Válvula EFv PE 25 mm Para Tap. Tee</v>
      </c>
      <c r="C60" s="12">
        <v>27</v>
      </c>
      <c r="D60" s="13">
        <v>193698</v>
      </c>
      <c r="E60" s="75">
        <v>4500519835</v>
      </c>
      <c r="F60" s="9">
        <v>3567517</v>
      </c>
      <c r="G60" s="77">
        <v>46091</v>
      </c>
      <c r="H60" s="9" t="s">
        <v>166</v>
      </c>
      <c r="I60" s="9"/>
      <c r="J60" s="9"/>
      <c r="K60" s="9"/>
      <c r="L60" s="9"/>
      <c r="M60" s="9"/>
      <c r="N60" s="9" t="s">
        <v>361</v>
      </c>
      <c r="O60" s="9"/>
      <c r="P60" s="37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</row>
    <row r="61" spans="1:33" ht="14.25" customHeight="1" x14ac:dyDescent="0.35">
      <c r="A61" s="12">
        <v>300717</v>
      </c>
      <c r="B61" s="63" t="str">
        <f>IFERROR(VLOOKUP(Tabla2[[#This Row],[CODIGO]],INVENTARIO!A:B,2,0)," ")</f>
        <v>Tee PE 160 mm Termo F.</v>
      </c>
      <c r="C61" s="12">
        <v>12</v>
      </c>
      <c r="D61" s="13">
        <v>361044</v>
      </c>
      <c r="E61" s="75">
        <v>4500519755</v>
      </c>
      <c r="F61" s="9">
        <v>3567516</v>
      </c>
      <c r="G61" s="77">
        <v>46091</v>
      </c>
      <c r="H61" s="9" t="s">
        <v>166</v>
      </c>
      <c r="I61" s="9"/>
      <c r="J61" s="9"/>
      <c r="K61" s="9"/>
      <c r="L61" s="9"/>
      <c r="M61" s="9"/>
      <c r="N61" s="9" t="s">
        <v>333</v>
      </c>
      <c r="O61" s="9"/>
      <c r="P61" s="37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</row>
    <row r="62" spans="1:33" ht="14.25" customHeight="1" x14ac:dyDescent="0.35">
      <c r="A62" s="12">
        <v>300133</v>
      </c>
      <c r="B62" s="63" t="str">
        <f>IFERROR(VLOOKUP(Tabla2[[#This Row],[CODIGO]],INVENTARIO!A:B,2,0)," ")</f>
        <v>Reductor PE 160-110 mm Electro F.</v>
      </c>
      <c r="C62" s="12">
        <v>1</v>
      </c>
      <c r="D62" s="13">
        <v>26003</v>
      </c>
      <c r="E62" s="75">
        <v>4500519755</v>
      </c>
      <c r="F62" s="9">
        <v>3567516</v>
      </c>
      <c r="G62" s="77">
        <v>46091</v>
      </c>
      <c r="H62" s="9" t="s">
        <v>166</v>
      </c>
      <c r="I62" s="9"/>
      <c r="J62" s="9"/>
      <c r="K62" s="9"/>
      <c r="L62" s="9"/>
      <c r="M62" s="9"/>
      <c r="N62" s="9" t="s">
        <v>333</v>
      </c>
      <c r="O62" s="9"/>
      <c r="P62" s="37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</row>
    <row r="63" spans="1:33" ht="14.25" customHeight="1" x14ac:dyDescent="0.35">
      <c r="A63" s="12">
        <v>301685</v>
      </c>
      <c r="B63" s="63" t="str">
        <f>IFERROR(VLOOKUP(Tabla2[[#This Row],[CODIGO]],INVENTARIO!A:B,2,0)," ")</f>
        <v>Reductor PE100 110-63 mm TF.</v>
      </c>
      <c r="C63" s="12">
        <v>1</v>
      </c>
      <c r="D63" s="13">
        <v>5263</v>
      </c>
      <c r="E63" s="75">
        <v>4500519755</v>
      </c>
      <c r="F63" s="9">
        <v>3567516</v>
      </c>
      <c r="G63" s="77">
        <v>46091</v>
      </c>
      <c r="H63" s="9" t="s">
        <v>166</v>
      </c>
      <c r="I63" s="9"/>
      <c r="J63" s="9"/>
      <c r="K63" s="9"/>
      <c r="L63" s="9"/>
      <c r="M63" s="9"/>
      <c r="N63" s="9" t="s">
        <v>333</v>
      </c>
      <c r="O63" s="9"/>
      <c r="P63" s="37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33" ht="14.25" customHeight="1" x14ac:dyDescent="0.35">
      <c r="A64" s="12">
        <v>302659</v>
      </c>
      <c r="B64" s="63" t="str">
        <f>IFERROR(VLOOKUP(Tabla2[[#This Row],[CODIGO]],INVENTARIO!A:B,2,0)," ")</f>
        <v>Copla PE100 063mm EF</v>
      </c>
      <c r="C64" s="12">
        <v>27</v>
      </c>
      <c r="D64" s="13">
        <v>124956</v>
      </c>
      <c r="E64" s="75">
        <v>4500519755</v>
      </c>
      <c r="F64" s="9">
        <v>3567516</v>
      </c>
      <c r="G64" s="77">
        <v>46091</v>
      </c>
      <c r="H64" s="9" t="s">
        <v>166</v>
      </c>
      <c r="I64" s="9"/>
      <c r="J64" s="9"/>
      <c r="K64" s="9"/>
      <c r="L64" s="9"/>
      <c r="M64" s="9"/>
      <c r="N64" s="9" t="s">
        <v>333</v>
      </c>
      <c r="O64" s="9"/>
      <c r="P64" s="37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</row>
    <row r="65" spans="1:33" ht="14.25" customHeight="1" x14ac:dyDescent="0.35">
      <c r="A65" s="12">
        <v>300422</v>
      </c>
      <c r="B65" s="63" t="str">
        <f>IFERROR(VLOOKUP(Tabla2[[#This Row],[CODIGO]],INVENTARIO!A:B,2,0)," ")</f>
        <v>Tapa PE 160 mm Termo F.</v>
      </c>
      <c r="C65" s="12">
        <v>2</v>
      </c>
      <c r="D65" s="13">
        <v>36863</v>
      </c>
      <c r="E65" s="75">
        <v>4500519755</v>
      </c>
      <c r="F65" s="9">
        <v>3567516</v>
      </c>
      <c r="G65" s="77">
        <v>46091</v>
      </c>
      <c r="H65" s="9" t="s">
        <v>166</v>
      </c>
      <c r="I65" s="9"/>
      <c r="J65" s="9"/>
      <c r="K65" s="9"/>
      <c r="L65" s="9"/>
      <c r="M65" s="9"/>
      <c r="N65" s="9" t="s">
        <v>333</v>
      </c>
      <c r="O65" s="9"/>
      <c r="P65" s="37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</row>
    <row r="66" spans="1:33" ht="14.25" customHeight="1" x14ac:dyDescent="0.35">
      <c r="A66" s="12">
        <v>300117</v>
      </c>
      <c r="B66" s="63" t="str">
        <f>IFERROR(VLOOKUP(Tabla2[[#This Row],[CODIGO]],INVENTARIO!A:B,2,0)," ")</f>
        <v>Copla PE100 160mm EF</v>
      </c>
      <c r="C66" s="12">
        <v>10</v>
      </c>
      <c r="D66" s="13">
        <v>82810</v>
      </c>
      <c r="E66" s="75">
        <v>4500519755</v>
      </c>
      <c r="F66" s="9">
        <v>3567516</v>
      </c>
      <c r="G66" s="77">
        <v>46091</v>
      </c>
      <c r="H66" s="9" t="s">
        <v>166</v>
      </c>
      <c r="I66" s="9"/>
      <c r="J66" s="9"/>
      <c r="K66" s="9"/>
      <c r="L66" s="9"/>
      <c r="M66" s="9"/>
      <c r="N66" s="9" t="s">
        <v>333</v>
      </c>
      <c r="O66" s="9"/>
      <c r="P66" s="37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</row>
    <row r="67" spans="1:33" ht="14.25" customHeight="1" x14ac:dyDescent="0.35">
      <c r="A67" s="12">
        <v>300527</v>
      </c>
      <c r="B67" s="63" t="str">
        <f>IFERROR(VLOOKUP(Tabla2[[#This Row],[CODIGO]],INVENTARIO!A:B,2,0)," ")</f>
        <v>Tapping Tee PE 160-25 mm</v>
      </c>
      <c r="C67" s="12">
        <v>1</v>
      </c>
      <c r="D67" s="13">
        <v>16321</v>
      </c>
      <c r="E67" s="75">
        <v>4500519755</v>
      </c>
      <c r="F67" s="9">
        <v>3567516</v>
      </c>
      <c r="G67" s="77">
        <v>46091</v>
      </c>
      <c r="H67" s="9" t="s">
        <v>166</v>
      </c>
      <c r="I67" s="9"/>
      <c r="J67" s="9"/>
      <c r="K67" s="9"/>
      <c r="L67" s="9"/>
      <c r="M67" s="9"/>
      <c r="N67" s="9" t="s">
        <v>333</v>
      </c>
      <c r="O67" s="9"/>
      <c r="P67" s="37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</row>
    <row r="68" spans="1:33" ht="14.25" customHeight="1" x14ac:dyDescent="0.35">
      <c r="A68" s="12">
        <v>300109</v>
      </c>
      <c r="B68" s="63" t="str">
        <f>IFERROR(VLOOKUP(Tabla2[[#This Row],[CODIGO]],INVENTARIO!A:B,2,0)," ")</f>
        <v>Risers de Acero 3/4" Bsp x 25 mm</v>
      </c>
      <c r="C68" s="12">
        <v>79</v>
      </c>
      <c r="D68" s="13">
        <v>2370079</v>
      </c>
      <c r="E68" s="75">
        <v>4500519755</v>
      </c>
      <c r="F68" s="9">
        <v>3567516</v>
      </c>
      <c r="G68" s="77">
        <v>46091</v>
      </c>
      <c r="H68" s="9" t="s">
        <v>166</v>
      </c>
      <c r="I68" s="9"/>
      <c r="J68" s="9"/>
      <c r="K68" s="9"/>
      <c r="L68" s="9"/>
      <c r="M68" s="9"/>
      <c r="N68" s="9" t="s">
        <v>333</v>
      </c>
      <c r="O68" s="9"/>
      <c r="P68" s="37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</row>
    <row r="69" spans="1:33" ht="14.25" customHeight="1" x14ac:dyDescent="0.35">
      <c r="A69" s="12">
        <v>301329</v>
      </c>
      <c r="B69" s="63" t="str">
        <f>IFERROR(VLOOKUP(Tabla2[[#This Row],[CODIGO]],INVENTARIO!A:B,2,0)," ")</f>
        <v>Copla PE100 025mm EF</v>
      </c>
      <c r="C69" s="12">
        <v>207</v>
      </c>
      <c r="D69" s="13">
        <v>450846</v>
      </c>
      <c r="E69" s="75">
        <v>4500519755</v>
      </c>
      <c r="F69" s="9">
        <v>3567516</v>
      </c>
      <c r="G69" s="77">
        <v>46091</v>
      </c>
      <c r="H69" s="9" t="s">
        <v>166</v>
      </c>
      <c r="I69" s="9"/>
      <c r="J69" s="9"/>
      <c r="K69" s="9"/>
      <c r="L69" s="9"/>
      <c r="M69" s="9"/>
      <c r="N69" s="9" t="s">
        <v>333</v>
      </c>
      <c r="O69" s="9"/>
      <c r="P69" s="37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</row>
    <row r="70" spans="1:33" ht="14.25" customHeight="1" x14ac:dyDescent="0.35">
      <c r="A70" s="12">
        <v>300712</v>
      </c>
      <c r="B70" s="63" t="str">
        <f>IFERROR(VLOOKUP(Tabla2[[#This Row],[CODIGO]],INVENTARIO!A:B,2,0)," ")</f>
        <v>Tapa PE  025 mm Termo F.</v>
      </c>
      <c r="C70" s="12">
        <v>29</v>
      </c>
      <c r="D70" s="13">
        <v>39817</v>
      </c>
      <c r="E70" s="75">
        <v>4500519755</v>
      </c>
      <c r="F70" s="9">
        <v>3567516</v>
      </c>
      <c r="G70" s="77">
        <v>46091</v>
      </c>
      <c r="H70" s="9" t="s">
        <v>166</v>
      </c>
      <c r="I70" s="9"/>
      <c r="J70" s="9"/>
      <c r="K70" s="9"/>
      <c r="L70" s="9"/>
      <c r="M70" s="9"/>
      <c r="N70" s="9" t="s">
        <v>333</v>
      </c>
      <c r="O70" s="9"/>
      <c r="P70" s="37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</row>
    <row r="71" spans="1:33" ht="14.25" customHeight="1" x14ac:dyDescent="0.35">
      <c r="A71" s="12">
        <v>301987</v>
      </c>
      <c r="B71" s="63" t="str">
        <f>IFERROR(VLOOKUP(Tabla2[[#This Row],[CODIGO]],INVENTARIO!A:B,2,0)," ")</f>
        <v>Codo PE100 90° 063mm EF</v>
      </c>
      <c r="C71" s="12">
        <v>2</v>
      </c>
      <c r="D71" s="13">
        <v>23554</v>
      </c>
      <c r="E71" s="75">
        <v>4500519755</v>
      </c>
      <c r="F71" s="9">
        <v>3567516</v>
      </c>
      <c r="G71" s="77">
        <v>46091</v>
      </c>
      <c r="H71" s="9" t="s">
        <v>166</v>
      </c>
      <c r="I71" s="9"/>
      <c r="J71" s="9"/>
      <c r="K71" s="9"/>
      <c r="L71" s="9"/>
      <c r="M71" s="9"/>
      <c r="N71" s="9" t="s">
        <v>333</v>
      </c>
      <c r="O71" s="9"/>
      <c r="P71" s="37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</row>
    <row r="72" spans="1:33" ht="14.25" customHeight="1" x14ac:dyDescent="0.35">
      <c r="A72" s="12">
        <v>303018</v>
      </c>
      <c r="B72" s="63" t="str">
        <f>IFERROR(VLOOKUP(Tabla2[[#This Row],[CODIGO]],INVENTARIO!A:B,2,0)," ")</f>
        <v>Reductor PE  63-50 mm Termo F.</v>
      </c>
      <c r="C72" s="12">
        <v>3</v>
      </c>
      <c r="D72" s="13">
        <v>9762</v>
      </c>
      <c r="E72" s="75">
        <v>4500519755</v>
      </c>
      <c r="F72" s="9">
        <v>3567516</v>
      </c>
      <c r="G72" s="77">
        <v>46091</v>
      </c>
      <c r="H72" s="9" t="s">
        <v>166</v>
      </c>
      <c r="I72" s="9"/>
      <c r="J72" s="9"/>
      <c r="K72" s="9"/>
      <c r="L72" s="9"/>
      <c r="M72" s="9"/>
      <c r="N72" s="9" t="s">
        <v>333</v>
      </c>
      <c r="O72" s="9"/>
      <c r="P72" s="37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</row>
    <row r="73" spans="1:33" ht="14.25" customHeight="1" x14ac:dyDescent="0.35">
      <c r="A73" s="12">
        <v>303345</v>
      </c>
      <c r="B73" s="63" t="str">
        <f>IFERROR(VLOOKUP(Tabla2[[#This Row],[CODIGO]],INVENTARIO!A:B,2,0)," ")</f>
        <v>Copla PE100 050mm EF</v>
      </c>
      <c r="C73" s="12">
        <v>22</v>
      </c>
      <c r="D73" s="13">
        <v>72644</v>
      </c>
      <c r="E73" s="75">
        <v>4500519755</v>
      </c>
      <c r="F73" s="9">
        <v>3567516</v>
      </c>
      <c r="G73" s="77">
        <v>46091</v>
      </c>
      <c r="H73" s="9" t="s">
        <v>166</v>
      </c>
      <c r="I73" s="9"/>
      <c r="J73" s="9"/>
      <c r="K73" s="9"/>
      <c r="L73" s="9"/>
      <c r="M73" s="9"/>
      <c r="N73" s="9" t="s">
        <v>333</v>
      </c>
      <c r="O73" s="9"/>
      <c r="P73" s="37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</row>
    <row r="74" spans="1:33" ht="14.25" customHeight="1" x14ac:dyDescent="0.35">
      <c r="A74" s="12">
        <v>302678</v>
      </c>
      <c r="B74" s="63" t="str">
        <f>IFERROR(VLOOKUP(Tabla2[[#This Row],[CODIGO]],INVENTARIO!A:B,2,0)," ")</f>
        <v>Reductor PE  63-50 mm Electro F.</v>
      </c>
      <c r="C74" s="12">
        <v>6</v>
      </c>
      <c r="D74" s="13">
        <v>78768</v>
      </c>
      <c r="E74" s="75">
        <v>4500519755</v>
      </c>
      <c r="F74" s="9">
        <v>3567516</v>
      </c>
      <c r="G74" s="77">
        <v>46091</v>
      </c>
      <c r="H74" s="9" t="s">
        <v>166</v>
      </c>
      <c r="I74" s="9"/>
      <c r="J74" s="9"/>
      <c r="K74" s="9"/>
      <c r="L74" s="9"/>
      <c r="M74" s="9"/>
      <c r="N74" s="9" t="s">
        <v>333</v>
      </c>
      <c r="O74" s="9"/>
      <c r="P74" s="37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</row>
    <row r="75" spans="1:33" ht="14.25" customHeight="1" x14ac:dyDescent="0.35">
      <c r="A75" s="12">
        <v>2008302</v>
      </c>
      <c r="B75" s="63" t="str">
        <f>IFERROR(VLOOKUP(Tabla2[[#This Row],[CODIGO]],INVENTARIO!A:B,2,0)," ")</f>
        <v>Tapa PE 063 mm Electro F.</v>
      </c>
      <c r="C75" s="12">
        <v>2</v>
      </c>
      <c r="D75" s="13">
        <v>27246</v>
      </c>
      <c r="E75" s="75">
        <v>4500519755</v>
      </c>
      <c r="F75" s="9">
        <v>3567516</v>
      </c>
      <c r="G75" s="77">
        <v>46091</v>
      </c>
      <c r="H75" s="9" t="s">
        <v>166</v>
      </c>
      <c r="I75" s="9"/>
      <c r="J75" s="9"/>
      <c r="K75" s="9"/>
      <c r="L75" s="9"/>
      <c r="M75" s="9"/>
      <c r="N75" s="9" t="s">
        <v>333</v>
      </c>
      <c r="O75" s="9"/>
      <c r="P75" s="37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</row>
    <row r="76" spans="1:33" ht="14.25" customHeight="1" x14ac:dyDescent="0.35">
      <c r="A76" s="12">
        <v>2003965</v>
      </c>
      <c r="B76" s="63" t="str">
        <f>IFERROR(VLOOKUP(Tabla2[[#This Row],[CODIGO]],INVENTARIO!A:B,2,0)," ")</f>
        <v>Válvula PE100 Dn 63mm</v>
      </c>
      <c r="C76" s="12">
        <v>3</v>
      </c>
      <c r="D76" s="13">
        <v>235926</v>
      </c>
      <c r="E76" s="75">
        <v>4500519755</v>
      </c>
      <c r="F76" s="9">
        <v>3567516</v>
      </c>
      <c r="G76" s="77">
        <v>46091</v>
      </c>
      <c r="H76" s="9" t="s">
        <v>166</v>
      </c>
      <c r="I76" s="9"/>
      <c r="J76" s="9"/>
      <c r="K76" s="9"/>
      <c r="L76" s="9"/>
      <c r="M76" s="9"/>
      <c r="N76" s="9" t="s">
        <v>333</v>
      </c>
      <c r="O76" s="9"/>
      <c r="P76" s="37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</row>
    <row r="77" spans="1:33" ht="14.25" customHeight="1" x14ac:dyDescent="0.35">
      <c r="A77" s="12">
        <v>300108</v>
      </c>
      <c r="B77" s="63" t="str">
        <f>IFERROR(VLOOKUP(Tabla2[[#This Row],[CODIGO]],INVENTARIO!A:B,2,0)," ")</f>
        <v>Tapping Tee PE 63-25 mm</v>
      </c>
      <c r="C77" s="12">
        <v>46</v>
      </c>
      <c r="D77" s="13">
        <v>740922</v>
      </c>
      <c r="E77" s="75">
        <v>4500519755</v>
      </c>
      <c r="F77" s="9">
        <v>3567516</v>
      </c>
      <c r="G77" s="77">
        <v>46091</v>
      </c>
      <c r="H77" s="9" t="s">
        <v>166</v>
      </c>
      <c r="I77" s="9"/>
      <c r="J77" s="9"/>
      <c r="K77" s="9"/>
      <c r="L77" s="9"/>
      <c r="M77" s="9"/>
      <c r="N77" s="9" t="s">
        <v>333</v>
      </c>
      <c r="O77" s="9"/>
      <c r="P77" s="37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</row>
    <row r="78" spans="1:33" ht="14.25" customHeight="1" x14ac:dyDescent="0.35">
      <c r="A78" s="12">
        <v>2003911</v>
      </c>
      <c r="B78" s="63" t="str">
        <f>IFERROR(VLOOKUP(Tabla2[[#This Row],[CODIGO]],INVENTARIO!A:B,2,0)," ")</f>
        <v>Válvula EFv PE 25 mm Para Tap. Tee</v>
      </c>
      <c r="C78" s="12">
        <v>90</v>
      </c>
      <c r="D78" s="13">
        <v>645660</v>
      </c>
      <c r="E78" s="75">
        <v>4500519755</v>
      </c>
      <c r="F78" s="9">
        <v>3567516</v>
      </c>
      <c r="G78" s="77">
        <v>46091</v>
      </c>
      <c r="H78" s="9" t="s">
        <v>166</v>
      </c>
      <c r="I78" s="9"/>
      <c r="J78" s="9"/>
      <c r="K78" s="9"/>
      <c r="L78" s="9"/>
      <c r="M78" s="9"/>
      <c r="N78" s="9" t="s">
        <v>333</v>
      </c>
      <c r="O78" s="9"/>
      <c r="P78" s="37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</row>
    <row r="79" spans="1:33" ht="14.25" customHeight="1" x14ac:dyDescent="0.35">
      <c r="A79" s="12">
        <v>400205</v>
      </c>
      <c r="B79" s="63" t="str">
        <f>IFERROR(VLOOKUP(Tabla2[[#This Row],[CODIGO]],INVENTARIO!A:B,2,0)," ")</f>
        <v>Tee PE  50 mm Electro F.</v>
      </c>
      <c r="C79" s="12">
        <v>1</v>
      </c>
      <c r="D79" s="13">
        <v>5913</v>
      </c>
      <c r="E79" s="75">
        <v>4500519755</v>
      </c>
      <c r="F79" s="9">
        <v>3567516</v>
      </c>
      <c r="G79" s="77">
        <v>46091</v>
      </c>
      <c r="H79" s="9" t="s">
        <v>166</v>
      </c>
      <c r="I79" s="9"/>
      <c r="J79" s="9"/>
      <c r="K79" s="9"/>
      <c r="L79" s="9"/>
      <c r="M79" s="9"/>
      <c r="N79" s="9" t="s">
        <v>333</v>
      </c>
      <c r="O79" s="9"/>
      <c r="P79" s="37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</row>
    <row r="80" spans="1:33" ht="14.25" customHeight="1" x14ac:dyDescent="0.35">
      <c r="A80" s="12">
        <v>301327</v>
      </c>
      <c r="B80" s="63" t="str">
        <f>IFERROR(VLOOKUP(Tabla2[[#This Row],[CODIGO]],INVENTARIO!A:B,2,0)," ")</f>
        <v>Tapa PE  050 mm Termo F.</v>
      </c>
      <c r="C80" s="12">
        <v>10</v>
      </c>
      <c r="D80" s="13">
        <v>30630</v>
      </c>
      <c r="E80" s="75">
        <v>4500519755</v>
      </c>
      <c r="F80" s="9">
        <v>3567516</v>
      </c>
      <c r="G80" s="77">
        <v>46091</v>
      </c>
      <c r="H80" s="9" t="s">
        <v>166</v>
      </c>
      <c r="I80" s="9"/>
      <c r="J80" s="9"/>
      <c r="K80" s="9"/>
      <c r="L80" s="9"/>
      <c r="M80" s="9"/>
      <c r="N80" s="9" t="s">
        <v>333</v>
      </c>
      <c r="O80" s="9"/>
      <c r="P80" s="37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</row>
    <row r="81" spans="1:33" ht="14.25" customHeight="1" x14ac:dyDescent="0.35">
      <c r="A81" s="12">
        <v>101624</v>
      </c>
      <c r="B81" s="63" t="str">
        <f>IFERROR(VLOOKUP(Tabla2[[#This Row],[CODIGO]],INVENTARIO!A:B,2,0)," ")</f>
        <v>Tapping Tee PE 50-25 mm</v>
      </c>
      <c r="C81" s="12">
        <v>52</v>
      </c>
      <c r="D81" s="13">
        <v>811200</v>
      </c>
      <c r="E81" s="75">
        <v>4500519755</v>
      </c>
      <c r="F81" s="9">
        <v>3567516</v>
      </c>
      <c r="G81" s="77">
        <v>46091</v>
      </c>
      <c r="H81" s="9" t="s">
        <v>166</v>
      </c>
      <c r="I81" s="9"/>
      <c r="J81" s="9"/>
      <c r="K81" s="9"/>
      <c r="L81" s="9"/>
      <c r="M81" s="9"/>
      <c r="N81" s="9" t="s">
        <v>333</v>
      </c>
      <c r="O81" s="9"/>
      <c r="P81" s="37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</row>
    <row r="82" spans="1:33" ht="14.25" customHeight="1" x14ac:dyDescent="0.35">
      <c r="A82" s="12">
        <v>302659</v>
      </c>
      <c r="B82" s="63" t="str">
        <f>IFERROR(VLOOKUP(Tabla2[[#This Row],[CODIGO]],INVENTARIO!A:B,2,0)," ")</f>
        <v>Copla PE100 063mm EF</v>
      </c>
      <c r="C82" s="12">
        <v>1</v>
      </c>
      <c r="D82" s="13">
        <v>4628</v>
      </c>
      <c r="E82" s="75">
        <v>4500519757</v>
      </c>
      <c r="F82" s="9">
        <v>3567515</v>
      </c>
      <c r="G82" s="77">
        <v>46091</v>
      </c>
      <c r="H82" s="9" t="s">
        <v>166</v>
      </c>
      <c r="I82" s="9"/>
      <c r="J82" s="9"/>
      <c r="K82" s="9"/>
      <c r="L82" s="9"/>
      <c r="M82" s="9"/>
      <c r="N82" s="9" t="s">
        <v>254</v>
      </c>
      <c r="O82" s="9"/>
      <c r="P82" s="37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</row>
    <row r="83" spans="1:33" ht="14.25" customHeight="1" x14ac:dyDescent="0.35">
      <c r="A83" s="12">
        <v>2008302</v>
      </c>
      <c r="B83" s="63" t="str">
        <f>IFERROR(VLOOKUP(Tabla2[[#This Row],[CODIGO]],INVENTARIO!A:B,2,0)," ")</f>
        <v>Tapa PE 063 mm Electro F.</v>
      </c>
      <c r="C83" s="12">
        <v>7</v>
      </c>
      <c r="D83" s="13">
        <v>95361</v>
      </c>
      <c r="E83" s="75">
        <v>4500519758</v>
      </c>
      <c r="F83" s="9">
        <v>3567514</v>
      </c>
      <c r="G83" s="77">
        <v>46091</v>
      </c>
      <c r="H83" s="9" t="s">
        <v>166</v>
      </c>
      <c r="I83" s="9"/>
      <c r="J83" s="9"/>
      <c r="K83" s="9"/>
      <c r="L83" s="9"/>
      <c r="M83" s="9"/>
      <c r="N83" s="9" t="s">
        <v>207</v>
      </c>
      <c r="O83" s="9"/>
      <c r="P83" s="37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</row>
    <row r="84" spans="1:33" ht="14.25" customHeight="1" x14ac:dyDescent="0.35">
      <c r="A84" s="12">
        <v>302659</v>
      </c>
      <c r="B84" s="63" t="str">
        <f>IFERROR(VLOOKUP(Tabla2[[#This Row],[CODIGO]],INVENTARIO!A:B,2,0)," ")</f>
        <v>Copla PE100 063mm EF</v>
      </c>
      <c r="C84" s="12">
        <v>5</v>
      </c>
      <c r="D84" s="13">
        <v>23140</v>
      </c>
      <c r="E84" s="75">
        <v>4500519758</v>
      </c>
      <c r="F84" s="9">
        <v>3567514</v>
      </c>
      <c r="G84" s="77">
        <v>46091</v>
      </c>
      <c r="H84" s="9" t="s">
        <v>166</v>
      </c>
      <c r="I84" s="9"/>
      <c r="J84" s="9"/>
      <c r="K84" s="9"/>
      <c r="L84" s="9"/>
      <c r="M84" s="9"/>
      <c r="N84" s="9" t="s">
        <v>207</v>
      </c>
      <c r="O84" s="9"/>
      <c r="P84" s="37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</row>
    <row r="85" spans="1:33" ht="14.25" customHeight="1" x14ac:dyDescent="0.35">
      <c r="A85" s="12">
        <v>303345</v>
      </c>
      <c r="B85" s="63" t="str">
        <f>IFERROR(VLOOKUP(Tabla2[[#This Row],[CODIGO]],INVENTARIO!A:B,2,0)," ")</f>
        <v>Copla PE100 050mm EF</v>
      </c>
      <c r="C85" s="12">
        <v>10</v>
      </c>
      <c r="D85" s="13">
        <v>33020</v>
      </c>
      <c r="E85" s="75">
        <v>4500519765</v>
      </c>
      <c r="F85" s="9">
        <v>3567513</v>
      </c>
      <c r="G85" s="77">
        <v>46091</v>
      </c>
      <c r="H85" s="9" t="s">
        <v>166</v>
      </c>
      <c r="I85" s="9"/>
      <c r="J85" s="9"/>
      <c r="K85" s="9"/>
      <c r="L85" s="9"/>
      <c r="M85" s="9"/>
      <c r="N85" s="9" t="s">
        <v>274</v>
      </c>
      <c r="O85" s="9"/>
      <c r="P85" s="37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</row>
    <row r="86" spans="1:33" ht="14.25" customHeight="1" x14ac:dyDescent="0.35">
      <c r="A86" s="12">
        <v>301327</v>
      </c>
      <c r="B86" s="63" t="str">
        <f>IFERROR(VLOOKUP(Tabla2[[#This Row],[CODIGO]],INVENTARIO!A:B,2,0)," ")</f>
        <v>Tapa PE  050 mm Termo F.</v>
      </c>
      <c r="C86" s="12">
        <v>10</v>
      </c>
      <c r="D86" s="13">
        <v>30630</v>
      </c>
      <c r="E86" s="75">
        <v>4500519765</v>
      </c>
      <c r="F86" s="9">
        <v>3567513</v>
      </c>
      <c r="G86" s="77">
        <v>46091</v>
      </c>
      <c r="H86" s="9" t="s">
        <v>166</v>
      </c>
      <c r="I86" s="9"/>
      <c r="J86" s="9"/>
      <c r="K86" s="9"/>
      <c r="L86" s="9"/>
      <c r="M86" s="9"/>
      <c r="N86" s="9" t="s">
        <v>274</v>
      </c>
      <c r="O86" s="9"/>
      <c r="P86" s="37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</row>
    <row r="87" spans="1:33" ht="14.25" customHeight="1" x14ac:dyDescent="0.35">
      <c r="A87" s="12">
        <v>303017</v>
      </c>
      <c r="B87" s="63" t="str">
        <f>IFERROR(VLOOKUP(Tabla2[[#This Row],[CODIGO]],INVENTARIO!A:B,2,0)," ")</f>
        <v>Codo PE100 90° 110mm EF</v>
      </c>
      <c r="C87" s="12">
        <v>10</v>
      </c>
      <c r="D87" s="13">
        <v>316920</v>
      </c>
      <c r="E87" s="75">
        <v>4500519765</v>
      </c>
      <c r="F87" s="9">
        <v>3567513</v>
      </c>
      <c r="G87" s="77">
        <v>46091</v>
      </c>
      <c r="H87" s="9" t="s">
        <v>166</v>
      </c>
      <c r="I87" s="9"/>
      <c r="J87" s="9"/>
      <c r="K87" s="9"/>
      <c r="L87" s="9"/>
      <c r="M87" s="9"/>
      <c r="N87" s="9" t="s">
        <v>274</v>
      </c>
      <c r="O87" s="9"/>
      <c r="P87" s="37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</row>
    <row r="88" spans="1:33" ht="14.25" customHeight="1" x14ac:dyDescent="0.35">
      <c r="A88" s="12">
        <v>302338</v>
      </c>
      <c r="B88" s="63" t="str">
        <f>IFERROR(VLOOKUP(Tabla2[[#This Row],[CODIGO]],INVENTARIO!A:B,2,0)," ")</f>
        <v>Codo PE100 45° 110mm EF</v>
      </c>
      <c r="C88" s="12">
        <v>6</v>
      </c>
      <c r="D88" s="13">
        <v>62622</v>
      </c>
      <c r="E88" s="75">
        <v>4500519765</v>
      </c>
      <c r="F88" s="9">
        <v>3567513</v>
      </c>
      <c r="G88" s="77">
        <v>46091</v>
      </c>
      <c r="H88" s="9" t="s">
        <v>166</v>
      </c>
      <c r="I88" s="9"/>
      <c r="J88" s="9"/>
      <c r="K88" s="9"/>
      <c r="L88" s="9"/>
      <c r="M88" s="9"/>
      <c r="N88" s="9" t="s">
        <v>274</v>
      </c>
      <c r="O88" s="9"/>
      <c r="P88" s="37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</row>
    <row r="89" spans="1:33" ht="14.25" customHeight="1" x14ac:dyDescent="0.35">
      <c r="A89" s="12">
        <v>302317</v>
      </c>
      <c r="B89" s="63" t="str">
        <f>IFERROR(VLOOKUP(Tabla2[[#This Row],[CODIGO]],INVENTARIO!A:B,2,0)," ")</f>
        <v>Tapa PE 110 mm Termo F.</v>
      </c>
      <c r="C89" s="12">
        <v>12</v>
      </c>
      <c r="D89" s="13">
        <v>117024</v>
      </c>
      <c r="E89" s="75">
        <v>4500519765</v>
      </c>
      <c r="F89" s="9">
        <v>3567513</v>
      </c>
      <c r="G89" s="77">
        <v>46091</v>
      </c>
      <c r="H89" s="9" t="s">
        <v>166</v>
      </c>
      <c r="I89" s="9"/>
      <c r="J89" s="9"/>
      <c r="K89" s="9"/>
      <c r="L89" s="9"/>
      <c r="M89" s="9"/>
      <c r="N89" s="9" t="s">
        <v>274</v>
      </c>
      <c r="O89" s="9"/>
      <c r="P89" s="37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</row>
    <row r="90" spans="1:33" ht="14.25" customHeight="1" x14ac:dyDescent="0.35">
      <c r="A90" s="12">
        <v>303015</v>
      </c>
      <c r="B90" s="63" t="str">
        <f>IFERROR(VLOOKUP(Tabla2[[#This Row],[CODIGO]],INVENTARIO!A:B,2,0)," ")</f>
        <v>Tee PE 110 mm Electro F.</v>
      </c>
      <c r="C90" s="12">
        <v>8</v>
      </c>
      <c r="D90" s="13">
        <v>177280</v>
      </c>
      <c r="E90" s="75">
        <v>4500519765</v>
      </c>
      <c r="F90" s="9">
        <v>3567513</v>
      </c>
      <c r="G90" s="77">
        <v>46091</v>
      </c>
      <c r="H90" s="9" t="s">
        <v>166</v>
      </c>
      <c r="I90" s="9"/>
      <c r="J90" s="9"/>
      <c r="K90" s="9"/>
      <c r="L90" s="9"/>
      <c r="M90" s="9"/>
      <c r="N90" s="9" t="s">
        <v>274</v>
      </c>
      <c r="O90" s="9"/>
      <c r="P90" s="37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</row>
    <row r="91" spans="1:33" ht="14.25" customHeight="1" x14ac:dyDescent="0.35">
      <c r="A91" s="12">
        <v>303439</v>
      </c>
      <c r="B91" s="63" t="str">
        <f>IFERROR(VLOOKUP(Tabla2[[#This Row],[CODIGO]],INVENTARIO!A:B,2,0)," ")</f>
        <v>Reductor PE 110-50 mm Termo F.</v>
      </c>
      <c r="C91" s="12">
        <v>4</v>
      </c>
      <c r="D91" s="13">
        <v>27712</v>
      </c>
      <c r="E91" s="75">
        <v>4500519765</v>
      </c>
      <c r="F91" s="9">
        <v>3567513</v>
      </c>
      <c r="G91" s="77">
        <v>46091</v>
      </c>
      <c r="H91" s="9" t="s">
        <v>166</v>
      </c>
      <c r="I91" s="9"/>
      <c r="J91" s="9"/>
      <c r="K91" s="9"/>
      <c r="L91" s="9"/>
      <c r="M91" s="9"/>
      <c r="N91" s="9" t="s">
        <v>274</v>
      </c>
      <c r="O91" s="9"/>
      <c r="P91" s="37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</row>
    <row r="92" spans="1:33" ht="14.25" customHeight="1" x14ac:dyDescent="0.35">
      <c r="A92" s="12">
        <v>2000350</v>
      </c>
      <c r="B92" s="63" t="str">
        <f>IFERROR(VLOOKUP(Tabla2[[#This Row],[CODIGO]],INVENTARIO!A:B,2,0)," ")</f>
        <v>Codo PE 90º  25 mm EF.</v>
      </c>
      <c r="C92" s="12">
        <v>1</v>
      </c>
      <c r="D92" s="13">
        <v>6132</v>
      </c>
      <c r="E92" s="75">
        <v>4500519770</v>
      </c>
      <c r="F92" s="9">
        <v>3567512</v>
      </c>
      <c r="G92" s="77">
        <v>46091</v>
      </c>
      <c r="H92" s="9" t="s">
        <v>166</v>
      </c>
      <c r="I92" s="9"/>
      <c r="J92" s="9"/>
      <c r="K92" s="9"/>
      <c r="L92" s="9"/>
      <c r="M92" s="9"/>
      <c r="N92" s="9" t="s">
        <v>261</v>
      </c>
      <c r="O92" s="9"/>
      <c r="P92" s="37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</row>
    <row r="93" spans="1:33" ht="14.25" customHeight="1" x14ac:dyDescent="0.35">
      <c r="A93" s="12">
        <v>2003911</v>
      </c>
      <c r="B93" s="63" t="str">
        <f>IFERROR(VLOOKUP(Tabla2[[#This Row],[CODIGO]],INVENTARIO!A:B,2,0)," ")</f>
        <v>Válvula EFv PE 25 mm Para Tap. Tee</v>
      </c>
      <c r="C93" s="12">
        <v>1</v>
      </c>
      <c r="D93" s="13">
        <v>7174</v>
      </c>
      <c r="E93" s="75">
        <v>4500519771</v>
      </c>
      <c r="F93" s="9">
        <v>3567510</v>
      </c>
      <c r="G93" s="77">
        <v>46091</v>
      </c>
      <c r="H93" s="9" t="s">
        <v>166</v>
      </c>
      <c r="I93" s="9"/>
      <c r="J93" s="9"/>
      <c r="K93" s="9"/>
      <c r="L93" s="9"/>
      <c r="M93" s="9"/>
      <c r="N93" s="9" t="s">
        <v>195</v>
      </c>
      <c r="O93" s="9"/>
      <c r="P93" s="37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</row>
    <row r="94" spans="1:33" ht="14.25" customHeight="1" x14ac:dyDescent="0.35">
      <c r="A94" s="12">
        <v>2000350</v>
      </c>
      <c r="B94" s="63" t="str">
        <f>IFERROR(VLOOKUP(Tabla2[[#This Row],[CODIGO]],INVENTARIO!A:B,2,0)," ")</f>
        <v>Codo PE 90º  25 mm EF.</v>
      </c>
      <c r="C94" s="12">
        <v>2</v>
      </c>
      <c r="D94" s="13">
        <v>12264</v>
      </c>
      <c r="E94" s="75">
        <v>4500519771</v>
      </c>
      <c r="F94" s="9">
        <v>3567510</v>
      </c>
      <c r="G94" s="77">
        <v>46091</v>
      </c>
      <c r="H94" s="9" t="s">
        <v>166</v>
      </c>
      <c r="I94" s="9"/>
      <c r="J94" s="9"/>
      <c r="K94" s="9"/>
      <c r="L94" s="9"/>
      <c r="M94" s="9"/>
      <c r="N94" s="9" t="s">
        <v>195</v>
      </c>
      <c r="O94" s="9"/>
      <c r="P94" s="37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</row>
    <row r="95" spans="1:33" ht="14.25" customHeight="1" x14ac:dyDescent="0.35">
      <c r="A95" s="12">
        <v>301329</v>
      </c>
      <c r="B95" s="63" t="str">
        <f>IFERROR(VLOOKUP(Tabla2[[#This Row],[CODIGO]],INVENTARIO!A:B,2,0)," ")</f>
        <v>Copla PE100 025mm EF</v>
      </c>
      <c r="C95" s="12">
        <v>1</v>
      </c>
      <c r="D95" s="13">
        <v>2178</v>
      </c>
      <c r="E95" s="75">
        <v>4500519771</v>
      </c>
      <c r="F95" s="9">
        <v>3567510</v>
      </c>
      <c r="G95" s="77">
        <v>46091</v>
      </c>
      <c r="H95" s="9" t="s">
        <v>166</v>
      </c>
      <c r="I95" s="9"/>
      <c r="J95" s="9"/>
      <c r="K95" s="9"/>
      <c r="L95" s="9"/>
      <c r="M95" s="9"/>
      <c r="N95" s="9" t="s">
        <v>195</v>
      </c>
      <c r="O95" s="9"/>
      <c r="P95" s="37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</row>
    <row r="96" spans="1:33" ht="14.25" customHeight="1" x14ac:dyDescent="0.35">
      <c r="A96" s="12">
        <v>302992</v>
      </c>
      <c r="B96" s="63" t="str">
        <f>IFERROR(VLOOKUP(Tabla2[[#This Row],[CODIGO]],INVENTARIO!A:B,2,0)," ")</f>
        <v>Codo PE100 90° 050mm EF</v>
      </c>
      <c r="C96" s="12">
        <v>2</v>
      </c>
      <c r="D96" s="13">
        <v>11434</v>
      </c>
      <c r="E96" s="75">
        <v>4500519772</v>
      </c>
      <c r="F96" s="9">
        <v>3567509</v>
      </c>
      <c r="G96" s="77">
        <v>46091</v>
      </c>
      <c r="H96" s="9" t="s">
        <v>166</v>
      </c>
      <c r="I96" s="9"/>
      <c r="J96" s="9"/>
      <c r="K96" s="9"/>
      <c r="L96" s="9"/>
      <c r="M96" s="9"/>
      <c r="N96" s="9" t="s">
        <v>344</v>
      </c>
      <c r="O96" s="9"/>
      <c r="P96" s="37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</row>
    <row r="97" spans="1:33" ht="14.25" customHeight="1" x14ac:dyDescent="0.35">
      <c r="A97" s="12">
        <v>2004185</v>
      </c>
      <c r="B97" s="63" t="str">
        <f>IFERROR(VLOOKUP(Tabla2[[#This Row],[CODIGO]],INVENTARIO!A:B,2,0)," ")</f>
        <v>Anillo Cámara Modular 800x800 H=150 E6</v>
      </c>
      <c r="C97" s="12">
        <v>6</v>
      </c>
      <c r="D97" s="13">
        <v>606624</v>
      </c>
      <c r="E97" s="75">
        <v>4500519495</v>
      </c>
      <c r="F97" s="9">
        <v>3567467</v>
      </c>
      <c r="G97" s="77">
        <v>46087</v>
      </c>
      <c r="H97" s="9" t="s">
        <v>167</v>
      </c>
      <c r="I97" s="9"/>
      <c r="J97" s="9"/>
      <c r="K97" s="9"/>
      <c r="L97" s="9"/>
      <c r="M97" s="9"/>
      <c r="N97" s="9" t="s">
        <v>193</v>
      </c>
      <c r="O97" s="9" t="s">
        <v>258</v>
      </c>
      <c r="P97" s="37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</row>
    <row r="98" spans="1:33" ht="14.25" customHeight="1" x14ac:dyDescent="0.35">
      <c r="A98" s="12">
        <v>2004186</v>
      </c>
      <c r="B98" s="63" t="str">
        <f>IFERROR(VLOOKUP(Tabla2[[#This Row],[CODIGO]],INVENTARIO!A:B,2,0)," ")</f>
        <v>Tapa AX-S Composite 800x800 B125</v>
      </c>
      <c r="C98" s="12">
        <v>1</v>
      </c>
      <c r="D98" s="13">
        <v>462522</v>
      </c>
      <c r="E98" s="75">
        <v>4500519495</v>
      </c>
      <c r="F98" s="9">
        <v>3567467</v>
      </c>
      <c r="G98" s="77">
        <v>46087</v>
      </c>
      <c r="H98" s="9" t="s">
        <v>167</v>
      </c>
      <c r="I98" s="9"/>
      <c r="J98" s="9"/>
      <c r="K98" s="9"/>
      <c r="L98" s="9"/>
      <c r="M98" s="9"/>
      <c r="N98" s="9" t="s">
        <v>193</v>
      </c>
      <c r="O98" s="9" t="s">
        <v>258</v>
      </c>
      <c r="P98" s="37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</row>
    <row r="99" spans="1:33" ht="14.25" customHeight="1" x14ac:dyDescent="0.35">
      <c r="A99" s="12">
        <v>2006391</v>
      </c>
      <c r="B99" s="63" t="str">
        <f>IFERROR(VLOOKUP(Tabla2[[#This Row],[CODIGO]],INVENTARIO!A:B,2,0)," ")</f>
        <v>Guardallave Fierro Fundido C/Tapa</v>
      </c>
      <c r="C99" s="12">
        <v>1</v>
      </c>
      <c r="D99" s="13">
        <v>26923</v>
      </c>
      <c r="E99" s="75">
        <v>4500519494</v>
      </c>
      <c r="F99" s="9">
        <v>3567466</v>
      </c>
      <c r="G99" s="77">
        <v>46087</v>
      </c>
      <c r="H99" s="9" t="s">
        <v>167</v>
      </c>
      <c r="I99" s="9"/>
      <c r="J99" s="9"/>
      <c r="K99" s="9"/>
      <c r="L99" s="9"/>
      <c r="M99" s="9"/>
      <c r="N99" s="9" t="s">
        <v>357</v>
      </c>
      <c r="O99" s="9" t="s">
        <v>258</v>
      </c>
      <c r="P99" s="37">
        <v>1375093</v>
      </c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</row>
    <row r="100" spans="1:33" ht="14.25" customHeight="1" x14ac:dyDescent="0.35">
      <c r="A100" s="12">
        <v>302737</v>
      </c>
      <c r="B100" s="63" t="str">
        <f>IFERROR(VLOOKUP(Tabla2[[#This Row],[CODIGO]],INVENTARIO!A:B,2,0)," ")</f>
        <v>Válvula Bola 3/4" Hi Un Cuerpo Pn5 Arco</v>
      </c>
      <c r="C100" s="12">
        <v>1</v>
      </c>
      <c r="D100" s="13">
        <v>16445</v>
      </c>
      <c r="E100" s="75">
        <v>4500519494</v>
      </c>
      <c r="F100" s="9">
        <v>3567466</v>
      </c>
      <c r="G100" s="77">
        <v>46087</v>
      </c>
      <c r="H100" s="9" t="s">
        <v>167</v>
      </c>
      <c r="I100" s="9"/>
      <c r="J100" s="9"/>
      <c r="K100" s="9"/>
      <c r="L100" s="9"/>
      <c r="M100" s="9"/>
      <c r="N100" s="9" t="s">
        <v>357</v>
      </c>
      <c r="O100" s="9" t="s">
        <v>258</v>
      </c>
      <c r="P100" s="37">
        <v>1375093</v>
      </c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</row>
    <row r="101" spans="1:33" ht="14.25" customHeight="1" x14ac:dyDescent="0.35">
      <c r="A101" s="12">
        <v>2008481</v>
      </c>
      <c r="B101" s="63" t="str">
        <f>IFERROR(VLOOKUP(Tabla2[[#This Row],[CODIGO]],INVENTARIO!A:B,2,0)," ")</f>
        <v>Tapa Tornillo Bronce 3/4" HE Bspt.</v>
      </c>
      <c r="C101" s="12">
        <v>1</v>
      </c>
      <c r="D101" s="13">
        <v>1</v>
      </c>
      <c r="E101" s="75">
        <v>4500519494</v>
      </c>
      <c r="F101" s="9">
        <v>3567466</v>
      </c>
      <c r="G101" s="77">
        <v>46087</v>
      </c>
      <c r="H101" s="9" t="s">
        <v>167</v>
      </c>
      <c r="I101" s="9"/>
      <c r="J101" s="9"/>
      <c r="K101" s="9"/>
      <c r="L101" s="9"/>
      <c r="M101" s="9"/>
      <c r="N101" s="9" t="s">
        <v>357</v>
      </c>
      <c r="O101" s="9" t="s">
        <v>258</v>
      </c>
      <c r="P101" s="37">
        <v>1375093</v>
      </c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</row>
    <row r="102" spans="1:33" ht="14.25" customHeight="1" x14ac:dyDescent="0.35">
      <c r="A102" s="12">
        <v>2006391</v>
      </c>
      <c r="B102" s="63" t="str">
        <f>IFERROR(VLOOKUP(Tabla2[[#This Row],[CODIGO]],INVENTARIO!A:B,2,0)," ")</f>
        <v>Guardallave Fierro Fundido C/Tapa</v>
      </c>
      <c r="C102" s="12">
        <v>1</v>
      </c>
      <c r="D102" s="13">
        <v>26923</v>
      </c>
      <c r="E102" s="75">
        <v>4500519493</v>
      </c>
      <c r="F102" s="9">
        <v>3567465</v>
      </c>
      <c r="G102" s="77">
        <v>46087</v>
      </c>
      <c r="H102" s="9" t="s">
        <v>167</v>
      </c>
      <c r="I102" s="9"/>
      <c r="J102" s="9"/>
      <c r="K102" s="9"/>
      <c r="L102" s="9"/>
      <c r="M102" s="9"/>
      <c r="N102" s="9" t="s">
        <v>356</v>
      </c>
      <c r="O102" s="9" t="s">
        <v>258</v>
      </c>
      <c r="P102" s="37">
        <v>1375092</v>
      </c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</row>
    <row r="103" spans="1:33" ht="14.25" customHeight="1" x14ac:dyDescent="0.35">
      <c r="A103" s="12">
        <v>302737</v>
      </c>
      <c r="B103" s="63" t="str">
        <f>IFERROR(VLOOKUP(Tabla2[[#This Row],[CODIGO]],INVENTARIO!A:B,2,0)," ")</f>
        <v>Válvula Bola 3/4" Hi Un Cuerpo Pn5 Arco</v>
      </c>
      <c r="C103" s="12">
        <v>1</v>
      </c>
      <c r="D103" s="13">
        <v>16445</v>
      </c>
      <c r="E103" s="75">
        <v>4500519493</v>
      </c>
      <c r="F103" s="9">
        <v>3567465</v>
      </c>
      <c r="G103" s="77">
        <v>46087</v>
      </c>
      <c r="H103" s="9" t="s">
        <v>167</v>
      </c>
      <c r="I103" s="9"/>
      <c r="J103" s="9"/>
      <c r="K103" s="9"/>
      <c r="L103" s="9"/>
      <c r="M103" s="9"/>
      <c r="N103" s="9" t="s">
        <v>356</v>
      </c>
      <c r="O103" s="9" t="s">
        <v>258</v>
      </c>
      <c r="P103" s="37">
        <v>1375092</v>
      </c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</row>
    <row r="104" spans="1:33" ht="14.25" customHeight="1" x14ac:dyDescent="0.35">
      <c r="A104" s="12">
        <v>2008481</v>
      </c>
      <c r="B104" s="63" t="str">
        <f>IFERROR(VLOOKUP(Tabla2[[#This Row],[CODIGO]],INVENTARIO!A:B,2,0)," ")</f>
        <v>Tapa Tornillo Bronce 3/4" HE Bspt.</v>
      </c>
      <c r="C104" s="12">
        <v>1</v>
      </c>
      <c r="D104" s="13">
        <v>1</v>
      </c>
      <c r="E104" s="75">
        <v>4500519493</v>
      </c>
      <c r="F104" s="9">
        <v>3567465</v>
      </c>
      <c r="G104" s="77">
        <v>46087</v>
      </c>
      <c r="H104" s="9" t="s">
        <v>167</v>
      </c>
      <c r="I104" s="9"/>
      <c r="J104" s="9"/>
      <c r="K104" s="9"/>
      <c r="L104" s="9"/>
      <c r="M104" s="9"/>
      <c r="N104" s="9" t="s">
        <v>356</v>
      </c>
      <c r="O104" s="9" t="s">
        <v>258</v>
      </c>
      <c r="P104" s="37">
        <v>1375092</v>
      </c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</row>
    <row r="105" spans="1:33" ht="14.25" customHeight="1" x14ac:dyDescent="0.35">
      <c r="A105" s="12">
        <v>301749</v>
      </c>
      <c r="B105" s="63" t="str">
        <f>IFERROR(VLOOKUP(Tabla2[[#This Row],[CODIGO]],INVENTARIO!A:B,2,0)," ")</f>
        <v>Tubería PE80 025mm Rollo</v>
      </c>
      <c r="C105" s="12">
        <v>50</v>
      </c>
      <c r="D105" s="13">
        <v>38250</v>
      </c>
      <c r="E105" s="75">
        <v>4500519493</v>
      </c>
      <c r="F105" s="9">
        <v>3567465</v>
      </c>
      <c r="G105" s="77">
        <v>46087</v>
      </c>
      <c r="H105" s="9" t="s">
        <v>167</v>
      </c>
      <c r="I105" s="9"/>
      <c r="J105" s="9" t="s">
        <v>217</v>
      </c>
      <c r="K105" s="34">
        <v>45883</v>
      </c>
      <c r="L105" s="9"/>
      <c r="M105" s="9"/>
      <c r="N105" s="9" t="s">
        <v>356</v>
      </c>
      <c r="O105" s="9" t="s">
        <v>258</v>
      </c>
      <c r="P105" s="37">
        <v>1375092</v>
      </c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</row>
    <row r="106" spans="1:33" ht="14.25" customHeight="1" x14ac:dyDescent="0.35">
      <c r="A106" s="12">
        <v>2008481</v>
      </c>
      <c r="B106" s="63" t="str">
        <f>IFERROR(VLOOKUP(Tabla2[[#This Row],[CODIGO]],INVENTARIO!A:B,2,0)," ")</f>
        <v>Tapa Tornillo Bronce 3/4" HE Bspt.</v>
      </c>
      <c r="C106" s="12">
        <v>1</v>
      </c>
      <c r="D106" s="13">
        <v>1</v>
      </c>
      <c r="E106" s="75">
        <v>4500519492</v>
      </c>
      <c r="F106" s="9">
        <v>3567464</v>
      </c>
      <c r="G106" s="77">
        <v>46087</v>
      </c>
      <c r="H106" s="9" t="s">
        <v>167</v>
      </c>
      <c r="I106" s="9"/>
      <c r="J106" s="9"/>
      <c r="K106" s="9"/>
      <c r="L106" s="9"/>
      <c r="M106" s="9"/>
      <c r="N106" s="9" t="s">
        <v>358</v>
      </c>
      <c r="O106" s="9" t="s">
        <v>258</v>
      </c>
      <c r="P106" s="37">
        <v>1375091</v>
      </c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</row>
    <row r="107" spans="1:33" ht="14.25" customHeight="1" x14ac:dyDescent="0.35">
      <c r="A107" s="12">
        <v>302737</v>
      </c>
      <c r="B107" s="63" t="str">
        <f>IFERROR(VLOOKUP(Tabla2[[#This Row],[CODIGO]],INVENTARIO!A:B,2,0)," ")</f>
        <v>Válvula Bola 3/4" Hi Un Cuerpo Pn5 Arco</v>
      </c>
      <c r="C107" s="12">
        <v>1</v>
      </c>
      <c r="D107" s="13">
        <v>16445</v>
      </c>
      <c r="E107" s="75">
        <v>4500519492</v>
      </c>
      <c r="F107" s="9">
        <v>3567464</v>
      </c>
      <c r="G107" s="77">
        <v>46087</v>
      </c>
      <c r="H107" s="9" t="s">
        <v>167</v>
      </c>
      <c r="I107" s="9"/>
      <c r="J107" s="9"/>
      <c r="K107" s="9"/>
      <c r="L107" s="9"/>
      <c r="M107" s="9"/>
      <c r="N107" s="9" t="s">
        <v>358</v>
      </c>
      <c r="O107" s="9" t="s">
        <v>258</v>
      </c>
      <c r="P107" s="37">
        <v>1375091</v>
      </c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</row>
    <row r="108" spans="1:33" ht="14.25" customHeight="1" x14ac:dyDescent="0.35">
      <c r="A108" s="12">
        <v>303368</v>
      </c>
      <c r="B108" s="63" t="str">
        <f>IFERROR(VLOOKUP(Tabla2[[#This Row],[CODIGO]],INVENTARIO!A:B,2,0)," ")</f>
        <v>Cinta Plástica "Línea GN", 30 x 0.1</v>
      </c>
      <c r="C108" s="12">
        <v>100</v>
      </c>
      <c r="D108" s="13">
        <v>12100</v>
      </c>
      <c r="E108" s="75">
        <v>4500519492</v>
      </c>
      <c r="F108" s="9">
        <v>3567464</v>
      </c>
      <c r="G108" s="77">
        <v>46087</v>
      </c>
      <c r="H108" s="9" t="s">
        <v>167</v>
      </c>
      <c r="I108" s="9"/>
      <c r="J108" s="9"/>
      <c r="K108" s="9"/>
      <c r="L108" s="9"/>
      <c r="M108" s="9"/>
      <c r="N108" s="9" t="s">
        <v>358</v>
      </c>
      <c r="O108" s="9" t="s">
        <v>258</v>
      </c>
      <c r="P108" s="37">
        <v>1375091</v>
      </c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</row>
    <row r="109" spans="1:33" ht="14.25" customHeight="1" x14ac:dyDescent="0.35">
      <c r="A109" s="12">
        <v>1002167</v>
      </c>
      <c r="B109" s="63" t="str">
        <f>IFERROR(VLOOKUP(Tabla2[[#This Row],[CODIGO]],INVENTARIO!A:B,2,0)," ")</f>
        <v>Cable Trazador Cu 14 AWG Aisl. THW Roj</v>
      </c>
      <c r="C109" s="12">
        <v>100</v>
      </c>
      <c r="D109" s="13">
        <v>29400</v>
      </c>
      <c r="E109" s="75">
        <v>4500519492</v>
      </c>
      <c r="F109" s="9">
        <v>3567464</v>
      </c>
      <c r="G109" s="77">
        <v>46087</v>
      </c>
      <c r="H109" s="9" t="s">
        <v>167</v>
      </c>
      <c r="I109" s="9"/>
      <c r="J109" s="9"/>
      <c r="K109" s="9"/>
      <c r="L109" s="9"/>
      <c r="M109" s="9"/>
      <c r="N109" s="9" t="s">
        <v>358</v>
      </c>
      <c r="O109" s="9" t="s">
        <v>258</v>
      </c>
      <c r="P109" s="37">
        <v>1375091</v>
      </c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</row>
    <row r="110" spans="1:33" ht="14.25" customHeight="1" x14ac:dyDescent="0.35">
      <c r="A110" s="12">
        <v>2006391</v>
      </c>
      <c r="B110" s="63" t="str">
        <f>IFERROR(VLOOKUP(Tabla2[[#This Row],[CODIGO]],INVENTARIO!A:B,2,0)," ")</f>
        <v>Guardallave Fierro Fundido C/Tapa</v>
      </c>
      <c r="C110" s="12">
        <v>1</v>
      </c>
      <c r="D110" s="13">
        <v>26923</v>
      </c>
      <c r="E110" s="75">
        <v>4500519492</v>
      </c>
      <c r="F110" s="9">
        <v>3567464</v>
      </c>
      <c r="G110" s="77">
        <v>46087</v>
      </c>
      <c r="H110" s="9" t="s">
        <v>167</v>
      </c>
      <c r="I110" s="9"/>
      <c r="J110" s="9"/>
      <c r="K110" s="9"/>
      <c r="L110" s="9"/>
      <c r="M110" s="9"/>
      <c r="N110" s="9" t="s">
        <v>358</v>
      </c>
      <c r="O110" s="9" t="s">
        <v>258</v>
      </c>
      <c r="P110" s="37">
        <v>1375091</v>
      </c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</row>
    <row r="111" spans="1:33" ht="14.25" customHeight="1" x14ac:dyDescent="0.35">
      <c r="A111" s="12">
        <v>303510</v>
      </c>
      <c r="B111" s="63" t="str">
        <f>IFERROR(VLOOKUP(Tabla2[[#This Row],[CODIGO]],INVENTARIO!A:B,2,0)," ")</f>
        <v>Guardallave Hormigón 125 mm con Tapa</v>
      </c>
      <c r="C111" s="12">
        <v>3</v>
      </c>
      <c r="D111" s="13">
        <v>11700</v>
      </c>
      <c r="E111" s="75">
        <v>4500519492</v>
      </c>
      <c r="F111" s="9">
        <v>3567464</v>
      </c>
      <c r="G111" s="77">
        <v>46087</v>
      </c>
      <c r="H111" s="9" t="s">
        <v>167</v>
      </c>
      <c r="I111" s="9"/>
      <c r="J111" s="9"/>
      <c r="K111" s="9"/>
      <c r="L111" s="9"/>
      <c r="M111" s="9"/>
      <c r="N111" s="9" t="s">
        <v>358</v>
      </c>
      <c r="O111" s="9" t="s">
        <v>258</v>
      </c>
      <c r="P111" s="37">
        <v>1375091</v>
      </c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</row>
    <row r="112" spans="1:33" ht="14.25" customHeight="1" x14ac:dyDescent="0.35">
      <c r="A112" s="12">
        <v>2002263</v>
      </c>
      <c r="B112" s="63" t="str">
        <f>IFERROR(VLOOKUP(Tabla2[[#This Row],[CODIGO]],INVENTARIO!A:B,2,0)," ")</f>
        <v>Tubería PE80 063mm Rollo</v>
      </c>
      <c r="C112" s="12">
        <v>150</v>
      </c>
      <c r="D112" s="13">
        <v>559950</v>
      </c>
      <c r="E112" s="75">
        <v>4500519492</v>
      </c>
      <c r="F112" s="9">
        <v>3567464</v>
      </c>
      <c r="G112" s="77">
        <v>46087</v>
      </c>
      <c r="H112" s="9" t="s">
        <v>167</v>
      </c>
      <c r="I112" s="9"/>
      <c r="J112" s="9" t="s">
        <v>218</v>
      </c>
      <c r="K112" s="34">
        <v>45877</v>
      </c>
      <c r="L112" s="9" t="s">
        <v>240</v>
      </c>
      <c r="M112" s="9"/>
      <c r="N112" s="9" t="s">
        <v>358</v>
      </c>
      <c r="O112" s="9" t="s">
        <v>258</v>
      </c>
      <c r="P112" s="37">
        <v>1375091</v>
      </c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</row>
    <row r="113" spans="1:33" ht="14.25" customHeight="1" x14ac:dyDescent="0.35">
      <c r="A113" s="12">
        <v>2007948</v>
      </c>
      <c r="B113" s="63" t="str">
        <f>IFERROR(VLOOKUP(Tabla2[[#This Row],[CODIGO]],INVENTARIO!A:B,2,0)," ")</f>
        <v>Tubo PVC Hidraulico 110 mm Pn6 Celeste</v>
      </c>
      <c r="C113" s="12">
        <v>6</v>
      </c>
      <c r="D113" s="13">
        <v>14556</v>
      </c>
      <c r="E113" s="75">
        <v>4500519492</v>
      </c>
      <c r="F113" s="9">
        <v>3567464</v>
      </c>
      <c r="G113" s="77">
        <v>46087</v>
      </c>
      <c r="H113" s="9" t="s">
        <v>167</v>
      </c>
      <c r="I113" s="9"/>
      <c r="J113" s="9"/>
      <c r="K113" s="9"/>
      <c r="L113" s="9"/>
      <c r="M113" s="9"/>
      <c r="N113" s="9" t="s">
        <v>358</v>
      </c>
      <c r="O113" s="9" t="s">
        <v>258</v>
      </c>
      <c r="P113" s="37">
        <v>1375091</v>
      </c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</row>
    <row r="114" spans="1:33" ht="14.25" customHeight="1" x14ac:dyDescent="0.35">
      <c r="A114" s="12">
        <v>2004186</v>
      </c>
      <c r="B114" s="63" t="str">
        <f>IFERROR(VLOOKUP(Tabla2[[#This Row],[CODIGO]],INVENTARIO!A:B,2,0)," ")</f>
        <v>Tapa AX-S Composite 800x800 B125</v>
      </c>
      <c r="C114" s="12">
        <v>1</v>
      </c>
      <c r="D114" s="13">
        <v>462522</v>
      </c>
      <c r="E114" s="75">
        <v>4500519492</v>
      </c>
      <c r="F114" s="9">
        <v>3567464</v>
      </c>
      <c r="G114" s="77">
        <v>46087</v>
      </c>
      <c r="H114" s="9" t="s">
        <v>167</v>
      </c>
      <c r="I114" s="9"/>
      <c r="J114" s="9"/>
      <c r="K114" s="9"/>
      <c r="L114" s="9"/>
      <c r="M114" s="9"/>
      <c r="N114" s="9" t="s">
        <v>358</v>
      </c>
      <c r="O114" s="9" t="s">
        <v>258</v>
      </c>
      <c r="P114" s="37">
        <v>1375091</v>
      </c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</row>
    <row r="115" spans="1:33" ht="14.25" customHeight="1" x14ac:dyDescent="0.35">
      <c r="A115" s="12">
        <v>2004185</v>
      </c>
      <c r="B115" s="63" t="str">
        <f>IFERROR(VLOOKUP(Tabla2[[#This Row],[CODIGO]],INVENTARIO!A:B,2,0)," ")</f>
        <v>Anillo Cámara Modular 800x800 H=150 E6</v>
      </c>
      <c r="C115" s="12">
        <v>6</v>
      </c>
      <c r="D115" s="13">
        <v>606624</v>
      </c>
      <c r="E115" s="75">
        <v>4500519492</v>
      </c>
      <c r="F115" s="9">
        <v>3567464</v>
      </c>
      <c r="G115" s="77">
        <v>46087</v>
      </c>
      <c r="H115" s="9" t="s">
        <v>167</v>
      </c>
      <c r="I115" s="9"/>
      <c r="J115" s="9"/>
      <c r="K115" s="9"/>
      <c r="L115" s="9"/>
      <c r="M115" s="9"/>
      <c r="N115" s="9" t="s">
        <v>358</v>
      </c>
      <c r="O115" s="9" t="s">
        <v>258</v>
      </c>
      <c r="P115" s="37">
        <v>1375091</v>
      </c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</row>
    <row r="116" spans="1:33" ht="14.25" customHeight="1" x14ac:dyDescent="0.35">
      <c r="A116" s="12">
        <v>300130</v>
      </c>
      <c r="B116" s="63" t="str">
        <f>IFERROR(VLOOKUP(Tabla2[[#This Row],[CODIGO]],INVENTARIO!A:B,2,0)," ")</f>
        <v>Tee PE  63 mm Electro F.</v>
      </c>
      <c r="C116" s="12">
        <v>3</v>
      </c>
      <c r="D116" s="13">
        <v>34710</v>
      </c>
      <c r="E116" s="75">
        <v>4500519492</v>
      </c>
      <c r="F116" s="9">
        <v>3567472</v>
      </c>
      <c r="G116" s="77">
        <v>46087</v>
      </c>
      <c r="H116" s="9" t="s">
        <v>166</v>
      </c>
      <c r="I116" s="9"/>
      <c r="J116" s="9"/>
      <c r="K116" s="9"/>
      <c r="L116" s="9"/>
      <c r="M116" s="9"/>
      <c r="N116" s="9" t="s">
        <v>358</v>
      </c>
      <c r="O116" s="9"/>
      <c r="P116" s="37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</row>
    <row r="117" spans="1:33" ht="14.25" customHeight="1" x14ac:dyDescent="0.35">
      <c r="A117" s="12">
        <v>300108</v>
      </c>
      <c r="B117" s="63" t="str">
        <f>IFERROR(VLOOKUP(Tabla2[[#This Row],[CODIGO]],INVENTARIO!A:B,2,0)," ")</f>
        <v>Tapping Tee PE 63-25 mm</v>
      </c>
      <c r="C117" s="12">
        <v>1</v>
      </c>
      <c r="D117" s="13">
        <v>16107</v>
      </c>
      <c r="E117" s="75">
        <v>4500519492</v>
      </c>
      <c r="F117" s="9">
        <v>3567472</v>
      </c>
      <c r="G117" s="77">
        <v>46087</v>
      </c>
      <c r="H117" s="9" t="s">
        <v>166</v>
      </c>
      <c r="I117" s="9"/>
      <c r="J117" s="9"/>
      <c r="K117" s="9"/>
      <c r="L117" s="9"/>
      <c r="M117" s="9"/>
      <c r="N117" s="9" t="s">
        <v>358</v>
      </c>
      <c r="O117" s="9"/>
      <c r="P117" s="37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</row>
    <row r="118" spans="1:33" ht="14.25" customHeight="1" x14ac:dyDescent="0.35">
      <c r="A118" s="12">
        <v>301334</v>
      </c>
      <c r="B118" s="63" t="str">
        <f>IFERROR(VLOOKUP(Tabla2[[#This Row],[CODIGO]],INVENTARIO!A:B,2,0)," ")</f>
        <v>Codo PE100 90° 160mm TF</v>
      </c>
      <c r="C118" s="12">
        <v>4</v>
      </c>
      <c r="D118" s="13">
        <v>116240</v>
      </c>
      <c r="E118" s="75">
        <v>4500519453</v>
      </c>
      <c r="F118" s="9">
        <v>3567471</v>
      </c>
      <c r="G118" s="77">
        <v>46087</v>
      </c>
      <c r="H118" s="9" t="s">
        <v>166</v>
      </c>
      <c r="I118" s="9"/>
      <c r="J118" s="9"/>
      <c r="K118" s="9"/>
      <c r="L118" s="9"/>
      <c r="M118" s="9"/>
      <c r="N118" s="9" t="s">
        <v>193</v>
      </c>
      <c r="O118" s="9"/>
      <c r="P118" s="37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</row>
    <row r="119" spans="1:33" ht="14.25" customHeight="1" x14ac:dyDescent="0.35">
      <c r="A119" s="12">
        <v>300109</v>
      </c>
      <c r="B119" s="63" t="str">
        <f>IFERROR(VLOOKUP(Tabla2[[#This Row],[CODIGO]],INVENTARIO!A:B,2,0)," ")</f>
        <v>Risers de Acero 3/4" Bsp x 25 mm</v>
      </c>
      <c r="C119" s="12">
        <v>1</v>
      </c>
      <c r="D119" s="13">
        <v>30001</v>
      </c>
      <c r="E119" s="75">
        <v>4500519492</v>
      </c>
      <c r="F119" s="9">
        <v>3567459</v>
      </c>
      <c r="G119" s="77">
        <v>46087</v>
      </c>
      <c r="H119" s="9" t="s">
        <v>166</v>
      </c>
      <c r="I119" s="9"/>
      <c r="J119" s="9"/>
      <c r="K119" s="9"/>
      <c r="L119" s="9"/>
      <c r="M119" s="9"/>
      <c r="N119" s="9" t="s">
        <v>358</v>
      </c>
      <c r="O119" s="9"/>
      <c r="P119" s="37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</row>
    <row r="120" spans="1:33" ht="14.25" customHeight="1" x14ac:dyDescent="0.35">
      <c r="A120" s="12">
        <v>301329</v>
      </c>
      <c r="B120" s="63" t="str">
        <f>IFERROR(VLOOKUP(Tabla2[[#This Row],[CODIGO]],INVENTARIO!A:B,2,0)," ")</f>
        <v>Copla PE100 025mm EF</v>
      </c>
      <c r="C120" s="12">
        <v>3</v>
      </c>
      <c r="D120" s="13">
        <v>6534</v>
      </c>
      <c r="E120" s="75">
        <v>4500519492</v>
      </c>
      <c r="F120" s="9">
        <v>3567459</v>
      </c>
      <c r="G120" s="77">
        <v>46087</v>
      </c>
      <c r="H120" s="9" t="s">
        <v>166</v>
      </c>
      <c r="I120" s="9"/>
      <c r="J120" s="9"/>
      <c r="K120" s="9"/>
      <c r="L120" s="9"/>
      <c r="M120" s="9"/>
      <c r="N120" s="9" t="s">
        <v>358</v>
      </c>
      <c r="O120" s="9"/>
      <c r="P120" s="37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</row>
    <row r="121" spans="1:33" ht="14.25" customHeight="1" x14ac:dyDescent="0.35">
      <c r="A121" s="12">
        <v>303362</v>
      </c>
      <c r="B121" s="63" t="str">
        <f>IFERROR(VLOOKUP(Tabla2[[#This Row],[CODIGO]],INVENTARIO!A:B,2,0)," ")</f>
        <v>Reductor PE  50-40 mm Electro F.</v>
      </c>
      <c r="C121" s="12">
        <v>1</v>
      </c>
      <c r="D121" s="13">
        <v>6296</v>
      </c>
      <c r="E121" s="75">
        <v>4500519492</v>
      </c>
      <c r="F121" s="9">
        <v>3567459</v>
      </c>
      <c r="G121" s="77">
        <v>46087</v>
      </c>
      <c r="H121" s="9" t="s">
        <v>166</v>
      </c>
      <c r="I121" s="9"/>
      <c r="J121" s="9"/>
      <c r="K121" s="9"/>
      <c r="L121" s="9"/>
      <c r="M121" s="9"/>
      <c r="N121" s="9" t="s">
        <v>358</v>
      </c>
      <c r="O121" s="9"/>
      <c r="P121" s="37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</row>
    <row r="122" spans="1:33" ht="14.25" customHeight="1" x14ac:dyDescent="0.35">
      <c r="A122" s="12">
        <v>303345</v>
      </c>
      <c r="B122" s="63" t="str">
        <f>IFERROR(VLOOKUP(Tabla2[[#This Row],[CODIGO]],INVENTARIO!A:B,2,0)," ")</f>
        <v>Copla PE100 050mm EF</v>
      </c>
      <c r="C122" s="12">
        <v>3</v>
      </c>
      <c r="D122" s="13">
        <v>9906</v>
      </c>
      <c r="E122" s="75">
        <v>4500519492</v>
      </c>
      <c r="F122" s="9">
        <v>3567459</v>
      </c>
      <c r="G122" s="77">
        <v>46087</v>
      </c>
      <c r="H122" s="9" t="s">
        <v>166</v>
      </c>
      <c r="I122" s="9"/>
      <c r="J122" s="9"/>
      <c r="K122" s="9"/>
      <c r="L122" s="9"/>
      <c r="M122" s="9"/>
      <c r="N122" s="9" t="s">
        <v>358</v>
      </c>
      <c r="O122" s="9"/>
      <c r="P122" s="37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</row>
    <row r="123" spans="1:33" ht="14.25" customHeight="1" x14ac:dyDescent="0.35">
      <c r="A123" s="12">
        <v>302992</v>
      </c>
      <c r="B123" s="63" t="str">
        <f>IFERROR(VLOOKUP(Tabla2[[#This Row],[CODIGO]],INVENTARIO!A:B,2,0)," ")</f>
        <v>Codo PE100 90° 050mm EF</v>
      </c>
      <c r="C123" s="12">
        <v>3</v>
      </c>
      <c r="D123" s="13">
        <v>17151</v>
      </c>
      <c r="E123" s="75">
        <v>4500519492</v>
      </c>
      <c r="F123" s="9">
        <v>3567459</v>
      </c>
      <c r="G123" s="77">
        <v>46087</v>
      </c>
      <c r="H123" s="9" t="s">
        <v>166</v>
      </c>
      <c r="I123" s="9"/>
      <c r="J123" s="9"/>
      <c r="K123" s="9"/>
      <c r="L123" s="9"/>
      <c r="M123" s="9"/>
      <c r="N123" s="9" t="s">
        <v>358</v>
      </c>
      <c r="O123" s="9"/>
      <c r="P123" s="3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</row>
    <row r="124" spans="1:33" ht="14.25" customHeight="1" x14ac:dyDescent="0.35">
      <c r="A124" s="12">
        <v>302991</v>
      </c>
      <c r="B124" s="63" t="str">
        <f>IFERROR(VLOOKUP(Tabla2[[#This Row],[CODIGO]],INVENTARIO!A:B,2,0)," ")</f>
        <v>Copla PE100 110mm EF</v>
      </c>
      <c r="C124" s="12">
        <v>1</v>
      </c>
      <c r="D124" s="13">
        <v>10791</v>
      </c>
      <c r="E124" s="75">
        <v>4500519492</v>
      </c>
      <c r="F124" s="9">
        <v>3567459</v>
      </c>
      <c r="G124" s="77">
        <v>46087</v>
      </c>
      <c r="H124" s="9" t="s">
        <v>166</v>
      </c>
      <c r="I124" s="9"/>
      <c r="J124" s="9"/>
      <c r="K124" s="9"/>
      <c r="L124" s="9"/>
      <c r="M124" s="9"/>
      <c r="N124" s="9" t="s">
        <v>358</v>
      </c>
      <c r="O124" s="9"/>
      <c r="P124" s="37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</row>
    <row r="125" spans="1:33" ht="14.25" customHeight="1" x14ac:dyDescent="0.35">
      <c r="A125" s="12">
        <v>301327</v>
      </c>
      <c r="B125" s="63" t="str">
        <f>IFERROR(VLOOKUP(Tabla2[[#This Row],[CODIGO]],INVENTARIO!A:B,2,0)," ")</f>
        <v>Tapa PE  050 mm Termo F.</v>
      </c>
      <c r="C125" s="12">
        <v>1</v>
      </c>
      <c r="D125" s="13">
        <v>3063</v>
      </c>
      <c r="E125" s="75">
        <v>4500519492</v>
      </c>
      <c r="F125" s="9">
        <v>3567459</v>
      </c>
      <c r="G125" s="77">
        <v>46087</v>
      </c>
      <c r="H125" s="9" t="s">
        <v>166</v>
      </c>
      <c r="I125" s="9"/>
      <c r="J125" s="9"/>
      <c r="K125" s="9"/>
      <c r="L125" s="9"/>
      <c r="M125" s="9"/>
      <c r="N125" s="9" t="s">
        <v>358</v>
      </c>
      <c r="O125" s="9"/>
      <c r="P125" s="37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</row>
    <row r="126" spans="1:33" ht="14.25" customHeight="1" x14ac:dyDescent="0.35">
      <c r="A126" s="12">
        <v>300712</v>
      </c>
      <c r="B126" s="63" t="str">
        <f>IFERROR(VLOOKUP(Tabla2[[#This Row],[CODIGO]],INVENTARIO!A:B,2,0)," ")</f>
        <v>Tapa PE  025 mm Termo F.</v>
      </c>
      <c r="C126" s="12">
        <v>1</v>
      </c>
      <c r="D126" s="13">
        <v>1373</v>
      </c>
      <c r="E126" s="75">
        <v>4500519492</v>
      </c>
      <c r="F126" s="9">
        <v>3567459</v>
      </c>
      <c r="G126" s="77">
        <v>46087</v>
      </c>
      <c r="H126" s="9" t="s">
        <v>166</v>
      </c>
      <c r="I126" s="9"/>
      <c r="J126" s="9"/>
      <c r="K126" s="9"/>
      <c r="L126" s="9"/>
      <c r="M126" s="9"/>
      <c r="N126" s="9" t="s">
        <v>358</v>
      </c>
      <c r="O126" s="9"/>
      <c r="P126" s="37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</row>
    <row r="127" spans="1:33" ht="14.25" customHeight="1" x14ac:dyDescent="0.35">
      <c r="A127" s="12">
        <v>300414</v>
      </c>
      <c r="B127" s="63" t="str">
        <f>IFERROR(VLOOKUP(Tabla2[[#This Row],[CODIGO]],INVENTARIO!A:B,2,0)," ")</f>
        <v>Válvula PE100 Dn 50mm</v>
      </c>
      <c r="C127" s="12">
        <v>1</v>
      </c>
      <c r="D127" s="13">
        <v>83109</v>
      </c>
      <c r="E127" s="75">
        <v>4500519492</v>
      </c>
      <c r="F127" s="9">
        <v>3567459</v>
      </c>
      <c r="G127" s="77">
        <v>46087</v>
      </c>
      <c r="H127" s="9" t="s">
        <v>166</v>
      </c>
      <c r="I127" s="9"/>
      <c r="J127" s="9"/>
      <c r="K127" s="9"/>
      <c r="L127" s="9"/>
      <c r="M127" s="9"/>
      <c r="N127" s="9" t="s">
        <v>358</v>
      </c>
      <c r="O127" s="9"/>
      <c r="P127" s="37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</row>
    <row r="128" spans="1:33" ht="14.25" customHeight="1" x14ac:dyDescent="0.35">
      <c r="A128" s="12">
        <v>2002454</v>
      </c>
      <c r="B128" s="63" t="str">
        <f>IFERROR(VLOOKUP(Tabla2[[#This Row],[CODIGO]],INVENTARIO!A:B,2,0)," ")</f>
        <v>MRP-400-(4/1,2)-(S)-2</v>
      </c>
      <c r="C128" s="12">
        <v>1</v>
      </c>
      <c r="D128" s="13">
        <v>3974296</v>
      </c>
      <c r="E128" s="75">
        <v>4500519492</v>
      </c>
      <c r="F128" s="9">
        <v>3567459</v>
      </c>
      <c r="G128" s="77">
        <v>46087</v>
      </c>
      <c r="H128" s="9" t="s">
        <v>166</v>
      </c>
      <c r="I128" s="9" t="s">
        <v>359</v>
      </c>
      <c r="J128" s="9"/>
      <c r="K128" s="9"/>
      <c r="L128" s="9"/>
      <c r="M128" s="9"/>
      <c r="N128" s="9" t="s">
        <v>358</v>
      </c>
      <c r="O128" s="9"/>
      <c r="P128" s="37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</row>
    <row r="129" spans="1:33" ht="14.25" customHeight="1" x14ac:dyDescent="0.35">
      <c r="A129" s="12">
        <v>2008302</v>
      </c>
      <c r="B129" s="63" t="str">
        <f>IFERROR(VLOOKUP(Tabla2[[#This Row],[CODIGO]],INVENTARIO!A:B,2,0)," ")</f>
        <v>Tapa PE 063 mm Electro F.</v>
      </c>
      <c r="C129" s="12">
        <v>3</v>
      </c>
      <c r="D129" s="13">
        <v>40869</v>
      </c>
      <c r="E129" s="75">
        <v>4500519492</v>
      </c>
      <c r="F129" s="9">
        <v>3567459</v>
      </c>
      <c r="G129" s="77">
        <v>46087</v>
      </c>
      <c r="H129" s="9" t="s">
        <v>166</v>
      </c>
      <c r="I129" s="9"/>
      <c r="J129" s="9"/>
      <c r="K129" s="9"/>
      <c r="L129" s="9"/>
      <c r="M129" s="9"/>
      <c r="N129" s="9" t="s">
        <v>358</v>
      </c>
      <c r="O129" s="9"/>
      <c r="P129" s="37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</row>
    <row r="130" spans="1:33" ht="14.25" customHeight="1" x14ac:dyDescent="0.35">
      <c r="A130" s="12">
        <v>302678</v>
      </c>
      <c r="B130" s="63" t="str">
        <f>IFERROR(VLOOKUP(Tabla2[[#This Row],[CODIGO]],INVENTARIO!A:B,2,0)," ")</f>
        <v>Reductor PE  63-50 mm Electro F.</v>
      </c>
      <c r="C130" s="12">
        <v>1</v>
      </c>
      <c r="D130" s="13">
        <v>13128</v>
      </c>
      <c r="E130" s="75">
        <v>4500519492</v>
      </c>
      <c r="F130" s="9">
        <v>3567459</v>
      </c>
      <c r="G130" s="77">
        <v>46087</v>
      </c>
      <c r="H130" s="9" t="s">
        <v>166</v>
      </c>
      <c r="I130" s="9"/>
      <c r="J130" s="9"/>
      <c r="K130" s="9"/>
      <c r="L130" s="9"/>
      <c r="M130" s="9"/>
      <c r="N130" s="9" t="s">
        <v>358</v>
      </c>
      <c r="O130" s="9"/>
      <c r="P130" s="37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</row>
    <row r="131" spans="1:33" ht="14.25" customHeight="1" x14ac:dyDescent="0.35">
      <c r="A131" s="12">
        <v>302659</v>
      </c>
      <c r="B131" s="63" t="str">
        <f>IFERROR(VLOOKUP(Tabla2[[#This Row],[CODIGO]],INVENTARIO!A:B,2,0)," ")</f>
        <v>Copla PE100 063mm EF</v>
      </c>
      <c r="C131" s="12">
        <v>9</v>
      </c>
      <c r="D131" s="13">
        <v>41652</v>
      </c>
      <c r="E131" s="75">
        <v>4500519492</v>
      </c>
      <c r="F131" s="9">
        <v>3567459</v>
      </c>
      <c r="G131" s="77">
        <v>46087</v>
      </c>
      <c r="H131" s="9" t="s">
        <v>166</v>
      </c>
      <c r="I131" s="9"/>
      <c r="J131" s="9"/>
      <c r="K131" s="9"/>
      <c r="L131" s="9"/>
      <c r="M131" s="9"/>
      <c r="N131" s="9" t="s">
        <v>358</v>
      </c>
      <c r="O131" s="9"/>
      <c r="P131" s="37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</row>
    <row r="132" spans="1:33" ht="14.25" customHeight="1" x14ac:dyDescent="0.35">
      <c r="A132" s="12">
        <v>301987</v>
      </c>
      <c r="B132" s="63" t="str">
        <f>IFERROR(VLOOKUP(Tabla2[[#This Row],[CODIGO]],INVENTARIO!A:B,2,0)," ")</f>
        <v>Codo PE100 90° 063mm EF</v>
      </c>
      <c r="C132" s="12">
        <v>3</v>
      </c>
      <c r="D132" s="13">
        <v>35331</v>
      </c>
      <c r="E132" s="75">
        <v>4500519492</v>
      </c>
      <c r="F132" s="9">
        <v>3567459</v>
      </c>
      <c r="G132" s="77">
        <v>46087</v>
      </c>
      <c r="H132" s="9" t="s">
        <v>166</v>
      </c>
      <c r="I132" s="9"/>
      <c r="J132" s="9"/>
      <c r="K132" s="9"/>
      <c r="L132" s="9"/>
      <c r="M132" s="9"/>
      <c r="N132" s="9" t="s">
        <v>358</v>
      </c>
      <c r="O132" s="9"/>
      <c r="P132" s="37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</row>
    <row r="133" spans="1:33" ht="14.25" customHeight="1" x14ac:dyDescent="0.35">
      <c r="A133" s="12">
        <v>301685</v>
      </c>
      <c r="B133" s="63" t="str">
        <f>IFERROR(VLOOKUP(Tabla2[[#This Row],[CODIGO]],INVENTARIO!A:B,2,0)," ")</f>
        <v>Reductor PE100 110-63 mm TF.</v>
      </c>
      <c r="C133" s="12">
        <v>1</v>
      </c>
      <c r="D133" s="13">
        <v>5263</v>
      </c>
      <c r="E133" s="75">
        <v>4500519492</v>
      </c>
      <c r="F133" s="9">
        <v>3567459</v>
      </c>
      <c r="G133" s="77">
        <v>46087</v>
      </c>
      <c r="H133" s="9" t="s">
        <v>166</v>
      </c>
      <c r="I133" s="9"/>
      <c r="J133" s="9"/>
      <c r="K133" s="9"/>
      <c r="L133" s="9"/>
      <c r="M133" s="9"/>
      <c r="N133" s="9" t="s">
        <v>358</v>
      </c>
      <c r="O133" s="9"/>
      <c r="P133" s="37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</row>
    <row r="134" spans="1:33" ht="14.25" customHeight="1" x14ac:dyDescent="0.35">
      <c r="A134" s="12">
        <v>301044</v>
      </c>
      <c r="B134" s="63" t="str">
        <f>IFERROR(VLOOKUP(Tabla2[[#This Row],[CODIGO]],INVENTARIO!A:B,2,0)," ")</f>
        <v>Codo PE100 45° 063mm EF</v>
      </c>
      <c r="C134" s="12">
        <v>8</v>
      </c>
      <c r="D134" s="13">
        <v>48600</v>
      </c>
      <c r="E134" s="75">
        <v>4500519492</v>
      </c>
      <c r="F134" s="9">
        <v>3567459</v>
      </c>
      <c r="G134" s="77">
        <v>46087</v>
      </c>
      <c r="H134" s="9" t="s">
        <v>166</v>
      </c>
      <c r="I134" s="9"/>
      <c r="J134" s="9"/>
      <c r="K134" s="9"/>
      <c r="L134" s="9"/>
      <c r="M134" s="9"/>
      <c r="N134" s="9" t="s">
        <v>358</v>
      </c>
      <c r="O134" s="9"/>
      <c r="P134" s="37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</row>
    <row r="135" spans="1:33" ht="14.25" customHeight="1" x14ac:dyDescent="0.35">
      <c r="A135" s="12">
        <v>2003911</v>
      </c>
      <c r="B135" s="63" t="str">
        <f>IFERROR(VLOOKUP(Tabla2[[#This Row],[CODIGO]],INVENTARIO!A:B,2,0)," ")</f>
        <v>Válvula EFv PE 25 mm Para Tap. Tee</v>
      </c>
      <c r="C135" s="12">
        <v>1</v>
      </c>
      <c r="D135" s="13">
        <v>7174</v>
      </c>
      <c r="E135" s="75">
        <v>4500519494</v>
      </c>
      <c r="F135" s="9">
        <v>3567462</v>
      </c>
      <c r="G135" s="77">
        <v>46087</v>
      </c>
      <c r="H135" s="9" t="s">
        <v>166</v>
      </c>
      <c r="I135" s="9"/>
      <c r="J135" s="9"/>
      <c r="K135" s="9"/>
      <c r="L135" s="9"/>
      <c r="M135" s="9"/>
      <c r="N135" s="9" t="s">
        <v>357</v>
      </c>
      <c r="O135" s="9"/>
      <c r="P135" s="37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</row>
    <row r="136" spans="1:33" ht="14.25" customHeight="1" x14ac:dyDescent="0.35">
      <c r="A136" s="12">
        <v>301329</v>
      </c>
      <c r="B136" s="63" t="str">
        <f>IFERROR(VLOOKUP(Tabla2[[#This Row],[CODIGO]],INVENTARIO!A:B,2,0)," ")</f>
        <v>Copla PE100 025mm EF</v>
      </c>
      <c r="C136" s="12">
        <v>4</v>
      </c>
      <c r="D136" s="13">
        <v>8712</v>
      </c>
      <c r="E136" s="75">
        <v>4500519494</v>
      </c>
      <c r="F136" s="9">
        <v>3567462</v>
      </c>
      <c r="G136" s="77">
        <v>46087</v>
      </c>
      <c r="H136" s="9" t="s">
        <v>166</v>
      </c>
      <c r="I136" s="9"/>
      <c r="J136" s="9"/>
      <c r="K136" s="9"/>
      <c r="L136" s="9"/>
      <c r="M136" s="9"/>
      <c r="N136" s="9" t="s">
        <v>357</v>
      </c>
      <c r="O136" s="9"/>
      <c r="P136" s="37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</row>
    <row r="137" spans="1:33" ht="14.25" customHeight="1" x14ac:dyDescent="0.35">
      <c r="A137" s="12">
        <v>301099</v>
      </c>
      <c r="B137" s="63" t="str">
        <f>IFERROR(VLOOKUP(Tabla2[[#This Row],[CODIGO]],INVENTARIO!A:B,2,0)," ")</f>
        <v>Válvula PE100 Dn 25mm</v>
      </c>
      <c r="C137" s="12">
        <v>1</v>
      </c>
      <c r="D137" s="13">
        <v>61631</v>
      </c>
      <c r="E137" s="75">
        <v>4500519494</v>
      </c>
      <c r="F137" s="9">
        <v>3567462</v>
      </c>
      <c r="G137" s="77">
        <v>46087</v>
      </c>
      <c r="H137" s="9" t="s">
        <v>166</v>
      </c>
      <c r="I137" s="9"/>
      <c r="J137" s="9"/>
      <c r="K137" s="9"/>
      <c r="L137" s="9"/>
      <c r="M137" s="9"/>
      <c r="N137" s="9" t="s">
        <v>357</v>
      </c>
      <c r="O137" s="9"/>
      <c r="P137" s="37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</row>
    <row r="138" spans="1:33" ht="14.25" customHeight="1" x14ac:dyDescent="0.35">
      <c r="A138" s="12">
        <v>300109</v>
      </c>
      <c r="B138" s="63" t="str">
        <f>IFERROR(VLOOKUP(Tabla2[[#This Row],[CODIGO]],INVENTARIO!A:B,2,0)," ")</f>
        <v>Risers de Acero 3/4" Bsp x 25 mm</v>
      </c>
      <c r="C138" s="12">
        <v>1</v>
      </c>
      <c r="D138" s="13">
        <v>30001</v>
      </c>
      <c r="E138" s="75">
        <v>4500519494</v>
      </c>
      <c r="F138" s="9">
        <v>3567462</v>
      </c>
      <c r="G138" s="77">
        <v>46087</v>
      </c>
      <c r="H138" s="9" t="s">
        <v>166</v>
      </c>
      <c r="I138" s="9"/>
      <c r="J138" s="9"/>
      <c r="K138" s="9"/>
      <c r="L138" s="9"/>
      <c r="M138" s="9"/>
      <c r="N138" s="9" t="s">
        <v>357</v>
      </c>
      <c r="O138" s="9"/>
      <c r="P138" s="37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</row>
    <row r="139" spans="1:33" ht="14.25" customHeight="1" x14ac:dyDescent="0.35">
      <c r="A139" s="12">
        <v>101624</v>
      </c>
      <c r="B139" s="63" t="str">
        <f>IFERROR(VLOOKUP(Tabla2[[#This Row],[CODIGO]],INVENTARIO!A:B,2,0)," ")</f>
        <v>Tapping Tee PE 50-25 mm</v>
      </c>
      <c r="C139" s="12">
        <v>1</v>
      </c>
      <c r="D139" s="13">
        <v>15600</v>
      </c>
      <c r="E139" s="75">
        <v>4500519494</v>
      </c>
      <c r="F139" s="9">
        <v>3567462</v>
      </c>
      <c r="G139" s="77">
        <v>46087</v>
      </c>
      <c r="H139" s="9" t="s">
        <v>166</v>
      </c>
      <c r="I139" s="9"/>
      <c r="J139" s="9"/>
      <c r="K139" s="9"/>
      <c r="L139" s="9"/>
      <c r="M139" s="9"/>
      <c r="N139" s="9" t="s">
        <v>357</v>
      </c>
      <c r="O139" s="9"/>
      <c r="P139" s="37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</row>
    <row r="140" spans="1:33" ht="14.25" customHeight="1" x14ac:dyDescent="0.35">
      <c r="A140" s="12">
        <v>2003911</v>
      </c>
      <c r="B140" s="63" t="str">
        <f>IFERROR(VLOOKUP(Tabla2[[#This Row],[CODIGO]],INVENTARIO!A:B,2,0)," ")</f>
        <v>Válvula EFv PE 25 mm Para Tap. Tee</v>
      </c>
      <c r="C140" s="12">
        <v>1</v>
      </c>
      <c r="D140" s="13">
        <v>7174</v>
      </c>
      <c r="E140" s="75">
        <v>4500519493</v>
      </c>
      <c r="F140" s="9">
        <v>3567460</v>
      </c>
      <c r="G140" s="77">
        <v>46087</v>
      </c>
      <c r="H140" s="9" t="s">
        <v>166</v>
      </c>
      <c r="I140" s="9"/>
      <c r="J140" s="9"/>
      <c r="K140" s="9"/>
      <c r="L140" s="9"/>
      <c r="M140" s="9"/>
      <c r="N140" s="9" t="s">
        <v>356</v>
      </c>
      <c r="O140" s="9"/>
      <c r="P140" s="37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</row>
    <row r="141" spans="1:33" ht="14.25" customHeight="1" x14ac:dyDescent="0.35">
      <c r="A141" s="12">
        <v>2000350</v>
      </c>
      <c r="B141" s="63" t="str">
        <f>IFERROR(VLOOKUP(Tabla2[[#This Row],[CODIGO]],INVENTARIO!A:B,2,0)," ")</f>
        <v>Codo PE 90º  25 mm EF.</v>
      </c>
      <c r="C141" s="12">
        <v>2</v>
      </c>
      <c r="D141" s="13">
        <v>12264</v>
      </c>
      <c r="E141" s="75">
        <v>4500519493</v>
      </c>
      <c r="F141" s="9">
        <v>3567460</v>
      </c>
      <c r="G141" s="77">
        <v>46087</v>
      </c>
      <c r="H141" s="9" t="s">
        <v>166</v>
      </c>
      <c r="I141" s="9"/>
      <c r="J141" s="9"/>
      <c r="K141" s="9"/>
      <c r="L141" s="9"/>
      <c r="M141" s="9"/>
      <c r="N141" s="9" t="s">
        <v>356</v>
      </c>
      <c r="O141" s="9"/>
      <c r="P141" s="37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</row>
    <row r="142" spans="1:33" ht="14.25" customHeight="1" x14ac:dyDescent="0.35">
      <c r="A142" s="12">
        <v>301329</v>
      </c>
      <c r="B142" s="63" t="str">
        <f>IFERROR(VLOOKUP(Tabla2[[#This Row],[CODIGO]],INVENTARIO!A:B,2,0)," ")</f>
        <v>Copla PE100 025mm EF</v>
      </c>
      <c r="C142" s="12">
        <v>4</v>
      </c>
      <c r="D142" s="13">
        <v>8712</v>
      </c>
      <c r="E142" s="75">
        <v>4500519493</v>
      </c>
      <c r="F142" s="9">
        <v>3567460</v>
      </c>
      <c r="G142" s="77">
        <v>46087</v>
      </c>
      <c r="H142" s="9" t="s">
        <v>166</v>
      </c>
      <c r="I142" s="9"/>
      <c r="J142" s="9"/>
      <c r="K142" s="9"/>
      <c r="L142" s="9"/>
      <c r="M142" s="9"/>
      <c r="N142" s="9" t="s">
        <v>356</v>
      </c>
      <c r="O142" s="9"/>
      <c r="P142" s="37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</row>
    <row r="143" spans="1:33" ht="14.25" customHeight="1" x14ac:dyDescent="0.35">
      <c r="A143" s="12">
        <v>301099</v>
      </c>
      <c r="B143" s="63" t="str">
        <f>IFERROR(VLOOKUP(Tabla2[[#This Row],[CODIGO]],INVENTARIO!A:B,2,0)," ")</f>
        <v>Válvula PE100 Dn 25mm</v>
      </c>
      <c r="C143" s="12">
        <v>1</v>
      </c>
      <c r="D143" s="13">
        <v>61631</v>
      </c>
      <c r="E143" s="75">
        <v>4500519493</v>
      </c>
      <c r="F143" s="9">
        <v>3567460</v>
      </c>
      <c r="G143" s="77">
        <v>46087</v>
      </c>
      <c r="H143" s="9" t="s">
        <v>166</v>
      </c>
      <c r="I143" s="9"/>
      <c r="J143" s="9"/>
      <c r="K143" s="9"/>
      <c r="L143" s="9"/>
      <c r="M143" s="9"/>
      <c r="N143" s="9" t="s">
        <v>356</v>
      </c>
      <c r="O143" s="9"/>
      <c r="P143" s="37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</row>
    <row r="144" spans="1:33" ht="14.25" customHeight="1" x14ac:dyDescent="0.35">
      <c r="A144" s="12">
        <v>300109</v>
      </c>
      <c r="B144" s="63" t="str">
        <f>IFERROR(VLOOKUP(Tabla2[[#This Row],[CODIGO]],INVENTARIO!A:B,2,0)," ")</f>
        <v>Risers de Acero 3/4" Bsp x 25 mm</v>
      </c>
      <c r="C144" s="12">
        <v>1</v>
      </c>
      <c r="D144" s="13">
        <v>30001</v>
      </c>
      <c r="E144" s="75">
        <v>4500519493</v>
      </c>
      <c r="F144" s="9">
        <v>3567460</v>
      </c>
      <c r="G144" s="77">
        <v>46087</v>
      </c>
      <c r="H144" s="9" t="s">
        <v>166</v>
      </c>
      <c r="I144" s="9"/>
      <c r="J144" s="9"/>
      <c r="K144" s="9"/>
      <c r="L144" s="9"/>
      <c r="M144" s="9"/>
      <c r="N144" s="9" t="s">
        <v>356</v>
      </c>
      <c r="O144" s="9"/>
      <c r="P144" s="37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</row>
    <row r="145" spans="1:33" ht="14.25" customHeight="1" x14ac:dyDescent="0.35">
      <c r="A145" s="12">
        <v>101624</v>
      </c>
      <c r="B145" s="63" t="str">
        <f>IFERROR(VLOOKUP(Tabla2[[#This Row],[CODIGO]],INVENTARIO!A:B,2,0)," ")</f>
        <v>Tapping Tee PE 50-25 mm</v>
      </c>
      <c r="C145" s="12">
        <v>1</v>
      </c>
      <c r="D145" s="13">
        <v>15600</v>
      </c>
      <c r="E145" s="75">
        <v>4500519493</v>
      </c>
      <c r="F145" s="9">
        <v>3567460</v>
      </c>
      <c r="G145" s="77">
        <v>46087</v>
      </c>
      <c r="H145" s="9" t="s">
        <v>166</v>
      </c>
      <c r="I145" s="9"/>
      <c r="J145" s="9"/>
      <c r="K145" s="9"/>
      <c r="L145" s="9"/>
      <c r="M145" s="9"/>
      <c r="N145" s="9" t="s">
        <v>356</v>
      </c>
      <c r="O145" s="9"/>
      <c r="P145" s="37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</row>
    <row r="146" spans="1:33" ht="14.25" customHeight="1" x14ac:dyDescent="0.35">
      <c r="A146" s="12">
        <v>2002453</v>
      </c>
      <c r="B146" s="63" t="str">
        <f>IFERROR(VLOOKUP(Tabla2[[#This Row],[CODIGO]],INVENTARIO!A:B,2,0)," ")</f>
        <v>MRP-120-(4/1,2)-(S)-2</v>
      </c>
      <c r="C146" s="12">
        <v>1</v>
      </c>
      <c r="D146" s="13">
        <v>3209763</v>
      </c>
      <c r="E146" s="75">
        <v>4500519495</v>
      </c>
      <c r="F146" s="9">
        <v>3567463</v>
      </c>
      <c r="G146" s="77">
        <v>46087</v>
      </c>
      <c r="H146" s="9" t="s">
        <v>166</v>
      </c>
      <c r="I146" s="53" t="s">
        <v>355</v>
      </c>
      <c r="J146" s="9"/>
      <c r="K146" s="9"/>
      <c r="L146" s="9"/>
      <c r="M146" s="9"/>
      <c r="N146" s="9" t="s">
        <v>193</v>
      </c>
      <c r="O146" s="9"/>
      <c r="P146" s="37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</row>
    <row r="147" spans="1:33" ht="14.25" customHeight="1" x14ac:dyDescent="0.35">
      <c r="A147" s="12">
        <v>2003911</v>
      </c>
      <c r="B147" s="63" t="str">
        <f>IFERROR(VLOOKUP(Tabla2[[#This Row],[CODIGO]],INVENTARIO!A:B,2,0)," ")</f>
        <v>Válvula EFv PE 25 mm Para Tap. Tee</v>
      </c>
      <c r="C147" s="12">
        <v>1</v>
      </c>
      <c r="D147" s="13"/>
      <c r="E147" s="75"/>
      <c r="F147" s="9">
        <v>391</v>
      </c>
      <c r="G147" s="77">
        <v>46086</v>
      </c>
      <c r="H147" s="9" t="s">
        <v>181</v>
      </c>
      <c r="I147" s="9"/>
      <c r="J147" s="9"/>
      <c r="K147" s="9"/>
      <c r="L147" s="9"/>
      <c r="M147" s="9"/>
      <c r="N147" s="9" t="s">
        <v>195</v>
      </c>
      <c r="O147" s="9"/>
      <c r="P147" s="37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</row>
    <row r="148" spans="1:33" ht="14.25" customHeight="1" x14ac:dyDescent="0.35">
      <c r="A148" s="12">
        <v>2000350</v>
      </c>
      <c r="B148" s="63" t="str">
        <f>IFERROR(VLOOKUP(Tabla2[[#This Row],[CODIGO]],INVENTARIO!A:B,2,0)," ")</f>
        <v>Codo PE 90º  25 mm EF.</v>
      </c>
      <c r="C148" s="12">
        <v>1</v>
      </c>
      <c r="D148" s="13"/>
      <c r="E148" s="75"/>
      <c r="F148" s="9">
        <v>391</v>
      </c>
      <c r="G148" s="77">
        <v>46086</v>
      </c>
      <c r="H148" s="9" t="s">
        <v>181</v>
      </c>
      <c r="I148" s="9"/>
      <c r="J148" s="9"/>
      <c r="K148" s="9"/>
      <c r="L148" s="9"/>
      <c r="M148" s="9"/>
      <c r="N148" s="9" t="s">
        <v>195</v>
      </c>
      <c r="O148" s="9"/>
      <c r="P148" s="37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</row>
    <row r="149" spans="1:33" ht="13" customHeight="1" x14ac:dyDescent="0.35">
      <c r="A149" s="12">
        <v>300108</v>
      </c>
      <c r="B149" s="63" t="str">
        <f>IFERROR(VLOOKUP(Tabla2[[#This Row],[CODIGO]],INVENTARIO!A:B,2,0)," ")</f>
        <v>Tapping Tee PE 63-25 mm</v>
      </c>
      <c r="C149" s="12">
        <v>4</v>
      </c>
      <c r="D149" s="13">
        <v>64428</v>
      </c>
      <c r="E149" s="75">
        <v>4500519455</v>
      </c>
      <c r="F149" s="9">
        <v>3567443</v>
      </c>
      <c r="G149" s="77">
        <v>46086</v>
      </c>
      <c r="H149" s="9" t="s">
        <v>166</v>
      </c>
      <c r="I149" s="9"/>
      <c r="J149" s="9"/>
      <c r="K149" s="9"/>
      <c r="L149" s="9"/>
      <c r="M149" s="9"/>
      <c r="N149" s="9" t="s">
        <v>200</v>
      </c>
      <c r="O149" s="9"/>
      <c r="P149" s="37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</row>
    <row r="150" spans="1:33" ht="14.25" customHeight="1" x14ac:dyDescent="0.35">
      <c r="A150" s="12">
        <v>2003911</v>
      </c>
      <c r="B150" s="63" t="str">
        <f>IFERROR(VLOOKUP(Tabla2[[#This Row],[CODIGO]],INVENTARIO!A:B,2,0)," ")</f>
        <v>Válvula EFv PE 25 mm Para Tap. Tee</v>
      </c>
      <c r="C150" s="12">
        <v>8</v>
      </c>
      <c r="D150" s="13">
        <v>57392</v>
      </c>
      <c r="E150" s="75">
        <v>4500519455</v>
      </c>
      <c r="F150" s="9">
        <v>3567443</v>
      </c>
      <c r="G150" s="77">
        <v>46086</v>
      </c>
      <c r="H150" s="9" t="s">
        <v>166</v>
      </c>
      <c r="I150" s="9"/>
      <c r="J150" s="9"/>
      <c r="K150" s="9"/>
      <c r="L150" s="9"/>
      <c r="M150" s="9"/>
      <c r="N150" s="9" t="s">
        <v>200</v>
      </c>
      <c r="O150" s="9"/>
      <c r="P150" s="37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</row>
    <row r="151" spans="1:33" ht="14.25" customHeight="1" x14ac:dyDescent="0.35">
      <c r="A151" s="12">
        <v>300109</v>
      </c>
      <c r="B151" s="63" t="str">
        <f>IFERROR(VLOOKUP(Tabla2[[#This Row],[CODIGO]],INVENTARIO!A:B,2,0)," ")</f>
        <v>Risers de Acero 3/4" Bsp x 25 mm</v>
      </c>
      <c r="C151" s="12">
        <v>8</v>
      </c>
      <c r="D151" s="13">
        <v>240008</v>
      </c>
      <c r="E151" s="75">
        <v>4500519455</v>
      </c>
      <c r="F151" s="9">
        <v>3567443</v>
      </c>
      <c r="G151" s="77">
        <v>46086</v>
      </c>
      <c r="H151" s="9" t="s">
        <v>166</v>
      </c>
      <c r="I151" s="9"/>
      <c r="J151" s="9"/>
      <c r="K151" s="9"/>
      <c r="L151" s="9"/>
      <c r="M151" s="9"/>
      <c r="N151" s="9" t="s">
        <v>200</v>
      </c>
      <c r="O151" s="9"/>
      <c r="P151" s="37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</row>
    <row r="152" spans="1:33" ht="14.25" customHeight="1" x14ac:dyDescent="0.35">
      <c r="A152" s="12">
        <v>301666</v>
      </c>
      <c r="B152" s="63" t="str">
        <f>IFERROR(VLOOKUP(Tabla2[[#This Row],[CODIGO]],INVENTARIO!A:B,2,0)," ")</f>
        <v>Tapping Tee PE 110-25 mm</v>
      </c>
      <c r="C152" s="12">
        <v>4</v>
      </c>
      <c r="D152" s="13">
        <v>48336</v>
      </c>
      <c r="E152" s="75">
        <v>4500519455</v>
      </c>
      <c r="F152" s="9">
        <v>3567443</v>
      </c>
      <c r="G152" s="77">
        <v>46086</v>
      </c>
      <c r="H152" s="9" t="s">
        <v>166</v>
      </c>
      <c r="I152" s="9"/>
      <c r="J152" s="9"/>
      <c r="K152" s="9"/>
      <c r="L152" s="9"/>
      <c r="M152" s="9"/>
      <c r="N152" s="9" t="s">
        <v>200</v>
      </c>
      <c r="O152" s="9"/>
      <c r="P152" s="37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</row>
    <row r="153" spans="1:33" ht="14.25" customHeight="1" x14ac:dyDescent="0.35">
      <c r="A153" s="12">
        <v>2000350</v>
      </c>
      <c r="B153" s="63" t="str">
        <f>IFERROR(VLOOKUP(Tabla2[[#This Row],[CODIGO]],INVENTARIO!A:B,2,0)," ")</f>
        <v>Codo PE 90º  25 mm EF.</v>
      </c>
      <c r="C153" s="12">
        <v>16</v>
      </c>
      <c r="D153" s="13">
        <v>98112</v>
      </c>
      <c r="E153" s="75">
        <v>4500519455</v>
      </c>
      <c r="F153" s="9">
        <v>3567443</v>
      </c>
      <c r="G153" s="77">
        <v>46086</v>
      </c>
      <c r="H153" s="9" t="s">
        <v>166</v>
      </c>
      <c r="I153" s="9"/>
      <c r="J153" s="9"/>
      <c r="K153" s="9"/>
      <c r="L153" s="9"/>
      <c r="M153" s="9"/>
      <c r="N153" s="9" t="s">
        <v>200</v>
      </c>
      <c r="O153" s="9"/>
      <c r="P153" s="37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</row>
    <row r="154" spans="1:33" ht="14.25" customHeight="1" x14ac:dyDescent="0.35">
      <c r="A154" s="12">
        <v>302659</v>
      </c>
      <c r="B154" s="63" t="str">
        <f>IFERROR(VLOOKUP(Tabla2[[#This Row],[CODIGO]],INVENTARIO!A:B,2,0)," ")</f>
        <v>Copla PE100 063mm EF</v>
      </c>
      <c r="C154" s="12">
        <v>2</v>
      </c>
      <c r="D154" s="13">
        <v>9256</v>
      </c>
      <c r="E154" s="75">
        <v>4500519455</v>
      </c>
      <c r="F154" s="9">
        <v>3567443</v>
      </c>
      <c r="G154" s="77">
        <v>46086</v>
      </c>
      <c r="H154" s="9" t="s">
        <v>166</v>
      </c>
      <c r="I154" s="9"/>
      <c r="J154" s="9"/>
      <c r="K154" s="9"/>
      <c r="L154" s="9"/>
      <c r="M154" s="9"/>
      <c r="N154" s="9" t="s">
        <v>200</v>
      </c>
      <c r="O154" s="9"/>
      <c r="P154" s="37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</row>
    <row r="155" spans="1:33" ht="14.25" customHeight="1" x14ac:dyDescent="0.35">
      <c r="A155" s="12">
        <v>2003965</v>
      </c>
      <c r="B155" s="63" t="str">
        <f>IFERROR(VLOOKUP(Tabla2[[#This Row],[CODIGO]],INVENTARIO!A:B,2,0)," ")</f>
        <v>Válvula PE100 Dn 63mm</v>
      </c>
      <c r="C155" s="12">
        <v>1</v>
      </c>
      <c r="D155" s="13">
        <v>78642</v>
      </c>
      <c r="E155" s="75">
        <v>4500519455</v>
      </c>
      <c r="F155" s="9">
        <v>3567443</v>
      </c>
      <c r="G155" s="77">
        <v>46086</v>
      </c>
      <c r="H155" s="9" t="s">
        <v>166</v>
      </c>
      <c r="I155" s="9"/>
      <c r="J155" s="9"/>
      <c r="K155" s="9"/>
      <c r="L155" s="9"/>
      <c r="M155" s="9"/>
      <c r="N155" s="9" t="s">
        <v>200</v>
      </c>
      <c r="O155" s="9"/>
      <c r="P155" s="37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</row>
    <row r="156" spans="1:33" ht="14.25" customHeight="1" x14ac:dyDescent="0.35">
      <c r="A156" s="12">
        <v>301987</v>
      </c>
      <c r="B156" s="63" t="str">
        <f>IFERROR(VLOOKUP(Tabla2[[#This Row],[CODIGO]],INVENTARIO!A:B,2,0)," ")</f>
        <v>Codo PE100 90° 063mm EF</v>
      </c>
      <c r="C156" s="12">
        <v>4</v>
      </c>
      <c r="D156" s="13">
        <v>47108</v>
      </c>
      <c r="E156" s="75">
        <v>4500519455</v>
      </c>
      <c r="F156" s="9">
        <v>3567443</v>
      </c>
      <c r="G156" s="77">
        <v>46086</v>
      </c>
      <c r="H156" s="9" t="s">
        <v>166</v>
      </c>
      <c r="I156" s="9"/>
      <c r="J156" s="9"/>
      <c r="K156" s="9"/>
      <c r="L156" s="9"/>
      <c r="M156" s="9"/>
      <c r="N156" s="9" t="s">
        <v>200</v>
      </c>
      <c r="O156" s="9"/>
      <c r="P156" s="37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</row>
    <row r="157" spans="1:33" ht="14.25" customHeight="1" x14ac:dyDescent="0.35">
      <c r="A157" s="12">
        <v>2008302</v>
      </c>
      <c r="B157" s="63" t="str">
        <f>IFERROR(VLOOKUP(Tabla2[[#This Row],[CODIGO]],INVENTARIO!A:B,2,0)," ")</f>
        <v>Tapa PE 063 mm Electro F.</v>
      </c>
      <c r="C157" s="12">
        <v>2</v>
      </c>
      <c r="D157" s="13">
        <v>27246</v>
      </c>
      <c r="E157" s="75">
        <v>4500519455</v>
      </c>
      <c r="F157" s="9">
        <v>3567443</v>
      </c>
      <c r="G157" s="77">
        <v>46086</v>
      </c>
      <c r="H157" s="9" t="s">
        <v>166</v>
      </c>
      <c r="I157" s="9"/>
      <c r="J157" s="9"/>
      <c r="K157" s="9"/>
      <c r="L157" s="9"/>
      <c r="M157" s="9"/>
      <c r="N157" s="9" t="s">
        <v>200</v>
      </c>
      <c r="O157" s="9"/>
      <c r="P157" s="37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</row>
    <row r="158" spans="1:33" ht="14.25" customHeight="1" x14ac:dyDescent="0.35">
      <c r="A158" s="12">
        <v>302737</v>
      </c>
      <c r="B158" s="63" t="str">
        <f>IFERROR(VLOOKUP(Tabla2[[#This Row],[CODIGO]],INVENTARIO!A:B,2,0)," ")</f>
        <v>Válvula Bola 3/4" Hi Un Cuerpo Pn5 Arco</v>
      </c>
      <c r="C158" s="12">
        <v>8</v>
      </c>
      <c r="D158" s="13">
        <v>131560</v>
      </c>
      <c r="E158" s="75">
        <v>4500519455</v>
      </c>
      <c r="F158" s="9">
        <v>3567445</v>
      </c>
      <c r="G158" s="77">
        <v>46086</v>
      </c>
      <c r="H158" s="9" t="s">
        <v>167</v>
      </c>
      <c r="I158" s="9"/>
      <c r="J158" s="9"/>
      <c r="K158" s="9"/>
      <c r="L158" s="9"/>
      <c r="M158" s="9"/>
      <c r="N158" s="9" t="s">
        <v>200</v>
      </c>
      <c r="O158" s="9" t="s">
        <v>258</v>
      </c>
      <c r="P158" s="37">
        <v>1375089</v>
      </c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</row>
    <row r="159" spans="1:33" ht="14.25" customHeight="1" x14ac:dyDescent="0.35">
      <c r="A159" s="12">
        <v>2008481</v>
      </c>
      <c r="B159" s="63" t="str">
        <f>IFERROR(VLOOKUP(Tabla2[[#This Row],[CODIGO]],INVENTARIO!A:B,2,0)," ")</f>
        <v>Tapa Tornillo Bronce 3/4" HE Bspt.</v>
      </c>
      <c r="C159" s="12">
        <v>8</v>
      </c>
      <c r="D159" s="13">
        <v>8</v>
      </c>
      <c r="E159" s="75">
        <v>4500519455</v>
      </c>
      <c r="F159" s="9">
        <v>3567445</v>
      </c>
      <c r="G159" s="77">
        <v>46086</v>
      </c>
      <c r="H159" s="9" t="s">
        <v>167</v>
      </c>
      <c r="I159" s="9"/>
      <c r="J159" s="9"/>
      <c r="K159" s="9"/>
      <c r="L159" s="9"/>
      <c r="M159" s="9"/>
      <c r="N159" s="9" t="s">
        <v>200</v>
      </c>
      <c r="O159" s="9" t="s">
        <v>258</v>
      </c>
      <c r="P159" s="37">
        <v>1375089</v>
      </c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</row>
    <row r="160" spans="1:33" ht="14.25" customHeight="1" x14ac:dyDescent="0.35">
      <c r="A160" s="12">
        <v>1000720</v>
      </c>
      <c r="B160" s="63" t="str">
        <f>IFERROR(VLOOKUP(Tabla2[[#This Row],[CODIGO]],INVENTARIO!A:B,2,0)," ")</f>
        <v>Teflón en Cinta de 3/4" Ancho x 520" a 5</v>
      </c>
      <c r="C160" s="12">
        <v>2</v>
      </c>
      <c r="D160" s="13">
        <v>4402</v>
      </c>
      <c r="E160" s="75">
        <v>4500519455</v>
      </c>
      <c r="F160" s="9">
        <v>3567445</v>
      </c>
      <c r="G160" s="77">
        <v>46086</v>
      </c>
      <c r="H160" s="9" t="s">
        <v>167</v>
      </c>
      <c r="I160" s="9"/>
      <c r="J160" s="9"/>
      <c r="K160" s="9"/>
      <c r="L160" s="9"/>
      <c r="M160" s="9"/>
      <c r="N160" s="9" t="s">
        <v>200</v>
      </c>
      <c r="O160" s="9" t="s">
        <v>258</v>
      </c>
      <c r="P160" s="37">
        <v>1375089</v>
      </c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</row>
    <row r="161" spans="1:33" ht="14.25" customHeight="1" x14ac:dyDescent="0.35">
      <c r="A161" s="12">
        <v>301781</v>
      </c>
      <c r="B161" s="63" t="str">
        <f>IFERROR(VLOOKUP(Tabla2[[#This Row],[CODIGO]],INVENTARIO!A:B,2,0)," ")</f>
        <v>Reductor PE 50-32 mm Electro F.</v>
      </c>
      <c r="C161" s="12">
        <v>1</v>
      </c>
      <c r="D161" s="13">
        <v>3249</v>
      </c>
      <c r="E161" s="75">
        <v>4500519615</v>
      </c>
      <c r="F161" s="9">
        <v>3567444</v>
      </c>
      <c r="G161" s="77">
        <v>46086</v>
      </c>
      <c r="H161" s="9" t="s">
        <v>166</v>
      </c>
      <c r="I161" s="9"/>
      <c r="J161" s="9"/>
      <c r="K161" s="9"/>
      <c r="L161" s="9"/>
      <c r="M161" s="9"/>
      <c r="N161" s="9" t="s">
        <v>344</v>
      </c>
      <c r="O161" s="9"/>
      <c r="P161" s="37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</row>
    <row r="162" spans="1:33" ht="14.25" customHeight="1" x14ac:dyDescent="0.35">
      <c r="A162" s="12">
        <v>2006391</v>
      </c>
      <c r="B162" s="63" t="str">
        <f>IFERROR(VLOOKUP(Tabla2[[#This Row],[CODIGO]],INVENTARIO!A:B,2,0)," ")</f>
        <v>Guardallave Fierro Fundido C/Tapa</v>
      </c>
      <c r="C162" s="12">
        <v>1</v>
      </c>
      <c r="D162" s="13">
        <v>26923</v>
      </c>
      <c r="E162" s="75">
        <v>4500519264</v>
      </c>
      <c r="F162" s="9">
        <v>3567401</v>
      </c>
      <c r="G162" s="77">
        <v>46084</v>
      </c>
      <c r="H162" s="9" t="s">
        <v>167</v>
      </c>
      <c r="I162" s="9"/>
      <c r="J162" s="9"/>
      <c r="K162" s="9"/>
      <c r="L162" s="9"/>
      <c r="M162" s="9"/>
      <c r="N162" s="9" t="s">
        <v>344</v>
      </c>
      <c r="O162" s="9" t="s">
        <v>258</v>
      </c>
      <c r="P162" s="37">
        <v>1375079</v>
      </c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</row>
    <row r="163" spans="1:33" ht="14.25" customHeight="1" x14ac:dyDescent="0.35">
      <c r="A163" s="12">
        <v>302737</v>
      </c>
      <c r="B163" s="63" t="str">
        <f>IFERROR(VLOOKUP(Tabla2[[#This Row],[CODIGO]],INVENTARIO!A:B,2,0)," ")</f>
        <v>Válvula Bola 3/4" Hi Un Cuerpo Pn5 Arco</v>
      </c>
      <c r="C163" s="12">
        <v>2</v>
      </c>
      <c r="D163" s="13">
        <v>32890</v>
      </c>
      <c r="E163" s="75">
        <v>4500519353</v>
      </c>
      <c r="F163" s="9">
        <v>3567402</v>
      </c>
      <c r="G163" s="77">
        <v>46084</v>
      </c>
      <c r="H163" s="9" t="s">
        <v>167</v>
      </c>
      <c r="I163" s="9"/>
      <c r="J163" s="9"/>
      <c r="K163" s="9"/>
      <c r="L163" s="9"/>
      <c r="M163" s="9"/>
      <c r="N163" s="9" t="s">
        <v>193</v>
      </c>
      <c r="O163" s="9" t="s">
        <v>257</v>
      </c>
      <c r="P163" s="37">
        <v>1375080</v>
      </c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</row>
    <row r="164" spans="1:33" ht="14.25" customHeight="1" x14ac:dyDescent="0.35">
      <c r="A164" s="12">
        <v>2008481</v>
      </c>
      <c r="B164" s="63" t="str">
        <f>IFERROR(VLOOKUP(Tabla2[[#This Row],[CODIGO]],INVENTARIO!A:B,2,0)," ")</f>
        <v>Tapa Tornillo Bronce 3/4" HE Bspt.</v>
      </c>
      <c r="C164" s="12">
        <v>2</v>
      </c>
      <c r="D164" s="13">
        <v>2</v>
      </c>
      <c r="E164" s="75">
        <v>4500519353</v>
      </c>
      <c r="F164" s="9">
        <v>3567402</v>
      </c>
      <c r="G164" s="77">
        <v>46084</v>
      </c>
      <c r="H164" s="9" t="s">
        <v>167</v>
      </c>
      <c r="I164" s="9"/>
      <c r="J164" s="9"/>
      <c r="K164" s="9"/>
      <c r="L164" s="9"/>
      <c r="M164" s="9"/>
      <c r="N164" s="9" t="s">
        <v>193</v>
      </c>
      <c r="O164" s="9" t="s">
        <v>257</v>
      </c>
      <c r="P164" s="37">
        <v>1375080</v>
      </c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</row>
    <row r="165" spans="1:33" ht="14.25" customHeight="1" x14ac:dyDescent="0.35">
      <c r="A165" s="12">
        <v>303368</v>
      </c>
      <c r="B165" s="63" t="str">
        <f>IFERROR(VLOOKUP(Tabla2[[#This Row],[CODIGO]],INVENTARIO!A:B,2,0)," ")</f>
        <v>Cinta Plástica "Línea GN", 30 x 0.1</v>
      </c>
      <c r="C165" s="12">
        <v>200</v>
      </c>
      <c r="D165" s="13">
        <v>24200</v>
      </c>
      <c r="E165" s="75">
        <v>4500519353</v>
      </c>
      <c r="F165" s="9">
        <v>3567402</v>
      </c>
      <c r="G165" s="77">
        <v>46084</v>
      </c>
      <c r="H165" s="9" t="s">
        <v>167</v>
      </c>
      <c r="I165" s="9"/>
      <c r="J165" s="9"/>
      <c r="K165" s="9"/>
      <c r="L165" s="9"/>
      <c r="M165" s="9"/>
      <c r="N165" s="9" t="s">
        <v>193</v>
      </c>
      <c r="O165" s="9" t="s">
        <v>257</v>
      </c>
      <c r="P165" s="37">
        <v>1375080</v>
      </c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</row>
    <row r="166" spans="1:33" ht="14.25" customHeight="1" x14ac:dyDescent="0.35">
      <c r="A166" s="12">
        <v>1002167</v>
      </c>
      <c r="B166" s="63" t="str">
        <f>IFERROR(VLOOKUP(Tabla2[[#This Row],[CODIGO]],INVENTARIO!A:B,2,0)," ")</f>
        <v>Cable Trazador Cu 14 AWG Aisl. THW Roj</v>
      </c>
      <c r="C166" s="12">
        <v>200</v>
      </c>
      <c r="D166" s="13">
        <v>58800</v>
      </c>
      <c r="E166" s="75">
        <v>4500519353</v>
      </c>
      <c r="F166" s="9">
        <v>3567402</v>
      </c>
      <c r="G166" s="77">
        <v>46084</v>
      </c>
      <c r="H166" s="9" t="s">
        <v>167</v>
      </c>
      <c r="I166" s="9"/>
      <c r="J166" s="9"/>
      <c r="K166" s="9"/>
      <c r="L166" s="9"/>
      <c r="M166" s="9"/>
      <c r="N166" s="9" t="s">
        <v>193</v>
      </c>
      <c r="O166" s="9" t="s">
        <v>257</v>
      </c>
      <c r="P166" s="37">
        <v>1375080</v>
      </c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</row>
    <row r="167" spans="1:33" ht="14.25" customHeight="1" x14ac:dyDescent="0.35">
      <c r="A167" s="12">
        <v>301749</v>
      </c>
      <c r="B167" s="63" t="str">
        <f>IFERROR(VLOOKUP(Tabla2[[#This Row],[CODIGO]],INVENTARIO!A:B,2,0)," ")</f>
        <v>Tubería PE80 025mm Rollo</v>
      </c>
      <c r="C167" s="12">
        <v>100</v>
      </c>
      <c r="D167" s="13">
        <v>76500</v>
      </c>
      <c r="E167" s="75">
        <v>4500519267</v>
      </c>
      <c r="F167" s="9">
        <v>3567403</v>
      </c>
      <c r="G167" s="77">
        <v>46084</v>
      </c>
      <c r="H167" s="9" t="s">
        <v>167</v>
      </c>
      <c r="I167" s="9"/>
      <c r="J167" s="9" t="s">
        <v>217</v>
      </c>
      <c r="K167" s="34">
        <v>45887</v>
      </c>
      <c r="L167" s="9"/>
      <c r="M167" s="9"/>
      <c r="N167" s="9" t="s">
        <v>194</v>
      </c>
      <c r="O167" s="9" t="s">
        <v>258</v>
      </c>
      <c r="P167" s="37">
        <v>1375081</v>
      </c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</row>
    <row r="168" spans="1:33" ht="14.25" customHeight="1" x14ac:dyDescent="0.35">
      <c r="A168" s="12">
        <v>302065</v>
      </c>
      <c r="B168" s="63" t="str">
        <f>IFERROR(VLOOKUP(Tabla2[[#This Row],[CODIGO]],INVENTARIO!A:B,2,0)," ")</f>
        <v>Tubería PE80 110mm Tira</v>
      </c>
      <c r="C168" s="12">
        <v>168</v>
      </c>
      <c r="D168" s="13">
        <v>1779624</v>
      </c>
      <c r="E168" s="75">
        <v>4500519353</v>
      </c>
      <c r="F168" s="9">
        <v>3567425</v>
      </c>
      <c r="G168" s="77">
        <v>46085</v>
      </c>
      <c r="H168" s="9" t="s">
        <v>167</v>
      </c>
      <c r="I168" s="9"/>
      <c r="J168" s="9" t="s">
        <v>284</v>
      </c>
      <c r="K168" s="34">
        <v>45869</v>
      </c>
      <c r="L168" s="9" t="s">
        <v>240</v>
      </c>
      <c r="M168" s="9"/>
      <c r="N168" s="9" t="s">
        <v>193</v>
      </c>
      <c r="O168" s="9" t="s">
        <v>257</v>
      </c>
      <c r="P168" s="37">
        <v>1375085</v>
      </c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</row>
    <row r="169" spans="1:33" ht="14.25" customHeight="1" x14ac:dyDescent="0.35">
      <c r="A169" s="12">
        <v>2005136</v>
      </c>
      <c r="B169" s="63" t="str">
        <f>IFERROR(VLOOKUP(Tabla2[[#This Row],[CODIGO]],INVENTARIO!A:B,2,0)," ")</f>
        <v>Tubo PVC 160 mm PN6 CG Amarillo</v>
      </c>
      <c r="C169" s="12">
        <v>2</v>
      </c>
      <c r="D169" s="13">
        <v>109008</v>
      </c>
      <c r="E169" s="75">
        <v>4500519353</v>
      </c>
      <c r="F169" s="9">
        <v>3567425</v>
      </c>
      <c r="G169" s="77">
        <v>46085</v>
      </c>
      <c r="H169" s="9" t="s">
        <v>167</v>
      </c>
      <c r="I169" s="9"/>
      <c r="J169" s="9"/>
      <c r="K169" s="9"/>
      <c r="L169" s="9"/>
      <c r="M169" s="9"/>
      <c r="N169" s="9" t="s">
        <v>193</v>
      </c>
      <c r="O169" s="9" t="s">
        <v>257</v>
      </c>
      <c r="P169" s="37">
        <v>1375085</v>
      </c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</row>
    <row r="170" spans="1:33" ht="14.25" customHeight="1" x14ac:dyDescent="0.35">
      <c r="A170" s="12">
        <v>2005135</v>
      </c>
      <c r="B170" s="63" t="str">
        <f>IFERROR(VLOOKUP(Tabla2[[#This Row],[CODIGO]],INVENTARIO!A:B,2,0)," ")</f>
        <v>Tubo PVC 110 mm PN6 CG Amarillo Tira 6 m</v>
      </c>
      <c r="C170" s="12">
        <v>2</v>
      </c>
      <c r="D170" s="13">
        <v>55862</v>
      </c>
      <c r="E170" s="75">
        <v>4500519100</v>
      </c>
      <c r="F170" s="9">
        <v>3567426</v>
      </c>
      <c r="G170" s="77">
        <v>46085</v>
      </c>
      <c r="H170" s="9" t="s">
        <v>167</v>
      </c>
      <c r="I170" s="9"/>
      <c r="J170" s="9"/>
      <c r="K170" s="9"/>
      <c r="L170" s="9"/>
      <c r="M170" s="9"/>
      <c r="N170" s="9" t="s">
        <v>341</v>
      </c>
      <c r="O170" s="9" t="s">
        <v>257</v>
      </c>
      <c r="P170" s="37">
        <v>1375086</v>
      </c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</row>
    <row r="171" spans="1:33" ht="14.25" customHeight="1" x14ac:dyDescent="0.35">
      <c r="A171" s="12">
        <v>2005137</v>
      </c>
      <c r="B171" s="63" t="str">
        <f>IFERROR(VLOOKUP(Tabla2[[#This Row],[CODIGO]],INVENTARIO!A:B,2,0)," ")</f>
        <v>Tubo PVC 200 mm PN6 CG Amarillo</v>
      </c>
      <c r="C171" s="12">
        <v>3</v>
      </c>
      <c r="D171" s="13">
        <v>245637</v>
      </c>
      <c r="E171" s="75">
        <v>4500519100</v>
      </c>
      <c r="F171" s="9">
        <v>3567426</v>
      </c>
      <c r="G171" s="77">
        <v>46085</v>
      </c>
      <c r="H171" s="9" t="s">
        <v>167</v>
      </c>
      <c r="I171" s="9"/>
      <c r="J171" s="9"/>
      <c r="K171" s="9"/>
      <c r="L171" s="9"/>
      <c r="M171" s="9"/>
      <c r="N171" s="9" t="s">
        <v>341</v>
      </c>
      <c r="O171" s="9" t="s">
        <v>257</v>
      </c>
      <c r="P171" s="37">
        <v>1375086</v>
      </c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</row>
    <row r="172" spans="1:33" ht="14.25" customHeight="1" x14ac:dyDescent="0.35">
      <c r="A172" s="12">
        <v>2000350</v>
      </c>
      <c r="B172" s="63" t="str">
        <f>IFERROR(VLOOKUP(Tabla2[[#This Row],[CODIGO]],INVENTARIO!A:B,2,0)," ")</f>
        <v>Codo PE 90º  25 mm EF.</v>
      </c>
      <c r="C172" s="12">
        <v>4</v>
      </c>
      <c r="D172" s="13">
        <v>24528</v>
      </c>
      <c r="E172" s="75">
        <v>4500519265</v>
      </c>
      <c r="F172" s="9">
        <v>3567396</v>
      </c>
      <c r="G172" s="77">
        <v>46084</v>
      </c>
      <c r="H172" s="9" t="s">
        <v>166</v>
      </c>
      <c r="I172" s="9"/>
      <c r="J172" s="9"/>
      <c r="K172" s="9"/>
      <c r="L172" s="9"/>
      <c r="M172" s="9"/>
      <c r="N172" s="9" t="s">
        <v>345</v>
      </c>
      <c r="O172" s="9"/>
      <c r="P172" s="37"/>
      <c r="Q172" s="10"/>
      <c r="R172" s="10"/>
      <c r="S172" s="10"/>
      <c r="T172" s="10"/>
      <c r="U172" s="10"/>
      <c r="V172" s="10"/>
      <c r="Y172" s="10"/>
      <c r="Z172" s="10"/>
      <c r="AA172" s="10"/>
      <c r="AB172" s="10"/>
      <c r="AC172" s="10"/>
      <c r="AD172" s="10"/>
      <c r="AE172" s="10"/>
      <c r="AF172" s="10"/>
      <c r="AG172" s="10"/>
    </row>
    <row r="173" spans="1:33" ht="14.25" customHeight="1" x14ac:dyDescent="0.35">
      <c r="A173" s="12">
        <v>2003911</v>
      </c>
      <c r="B173" s="63" t="str">
        <f>IFERROR(VLOOKUP(Tabla2[[#This Row],[CODIGO]],INVENTARIO!A:B,2,0)," ")</f>
        <v>Válvula EFv PE 25 mm Para Tap. Tee</v>
      </c>
      <c r="C173" s="12">
        <v>9</v>
      </c>
      <c r="D173" s="13">
        <v>64566</v>
      </c>
      <c r="E173" s="75">
        <v>4500519267</v>
      </c>
      <c r="F173" s="9">
        <v>3567397</v>
      </c>
      <c r="G173" s="77">
        <v>46084</v>
      </c>
      <c r="H173" s="9" t="s">
        <v>166</v>
      </c>
      <c r="I173" s="9"/>
      <c r="J173" s="9"/>
      <c r="K173" s="9"/>
      <c r="L173" s="9"/>
      <c r="M173" s="9"/>
      <c r="N173" s="9" t="s">
        <v>194</v>
      </c>
      <c r="O173" s="9"/>
      <c r="P173" s="37"/>
      <c r="Q173" s="10"/>
      <c r="R173" s="10"/>
      <c r="S173" s="10"/>
      <c r="T173" s="10"/>
      <c r="U173" s="10"/>
      <c r="V173" s="10"/>
      <c r="Y173" s="10"/>
      <c r="Z173" s="10"/>
      <c r="AA173" s="10"/>
      <c r="AB173" s="10"/>
      <c r="AC173" s="10"/>
      <c r="AD173" s="10"/>
      <c r="AE173" s="10"/>
      <c r="AF173" s="10"/>
      <c r="AG173" s="10"/>
    </row>
    <row r="174" spans="1:33" ht="14.25" customHeight="1" x14ac:dyDescent="0.35">
      <c r="A174" s="12">
        <v>2000350</v>
      </c>
      <c r="B174" s="63" t="str">
        <f>IFERROR(VLOOKUP(Tabla2[[#This Row],[CODIGO]],INVENTARIO!A:B,2,0)," ")</f>
        <v>Codo PE 90º  25 mm EF.</v>
      </c>
      <c r="C174" s="12">
        <v>9</v>
      </c>
      <c r="D174" s="13">
        <v>55188</v>
      </c>
      <c r="E174" s="75">
        <v>4500519267</v>
      </c>
      <c r="F174" s="9">
        <v>3567397</v>
      </c>
      <c r="G174" s="77">
        <v>46084</v>
      </c>
      <c r="H174" s="9" t="s">
        <v>166</v>
      </c>
      <c r="I174" s="9"/>
      <c r="J174" s="9"/>
      <c r="K174" s="9"/>
      <c r="L174" s="9"/>
      <c r="M174" s="9"/>
      <c r="N174" s="9" t="s">
        <v>194</v>
      </c>
      <c r="O174" s="9"/>
      <c r="P174" s="37"/>
      <c r="Q174" s="10"/>
      <c r="R174" s="10"/>
      <c r="S174" s="10"/>
      <c r="T174" s="10"/>
      <c r="U174" s="10"/>
      <c r="V174" s="10"/>
      <c r="Y174" s="10"/>
      <c r="Z174" s="10"/>
      <c r="AA174" s="10"/>
      <c r="AB174" s="10"/>
      <c r="AC174" s="10"/>
      <c r="AD174" s="10"/>
      <c r="AE174" s="10"/>
      <c r="AF174" s="10"/>
      <c r="AG174" s="10"/>
    </row>
    <row r="175" spans="1:33" ht="14.25" customHeight="1" x14ac:dyDescent="0.35">
      <c r="A175" s="12">
        <v>301329</v>
      </c>
      <c r="B175" s="63" t="str">
        <f>IFERROR(VLOOKUP(Tabla2[[#This Row],[CODIGO]],INVENTARIO!A:B,2,0)," ")</f>
        <v>Copla PE100 025mm EF</v>
      </c>
      <c r="C175" s="12">
        <v>50</v>
      </c>
      <c r="D175" s="13">
        <v>108900</v>
      </c>
      <c r="E175" s="75">
        <v>4500519267</v>
      </c>
      <c r="F175" s="9">
        <v>3567397</v>
      </c>
      <c r="G175" s="77">
        <v>46084</v>
      </c>
      <c r="H175" s="9" t="s">
        <v>166</v>
      </c>
      <c r="I175" s="9"/>
      <c r="J175" s="9"/>
      <c r="K175" s="9"/>
      <c r="L175" s="9"/>
      <c r="M175" s="9"/>
      <c r="N175" s="9" t="s">
        <v>194</v>
      </c>
      <c r="O175" s="9"/>
      <c r="P175" s="37"/>
      <c r="Q175" s="10"/>
      <c r="R175" s="10"/>
      <c r="S175" s="10"/>
      <c r="T175" s="10"/>
      <c r="U175" s="10"/>
      <c r="V175" s="10"/>
      <c r="Y175" s="10"/>
      <c r="Z175" s="10"/>
      <c r="AA175" s="10"/>
      <c r="AB175" s="10"/>
      <c r="AC175" s="10"/>
      <c r="AD175" s="10"/>
      <c r="AE175" s="10"/>
      <c r="AF175" s="10"/>
      <c r="AG175" s="10"/>
    </row>
    <row r="176" spans="1:33" ht="14.25" customHeight="1" x14ac:dyDescent="0.35">
      <c r="A176" s="12">
        <v>2000350</v>
      </c>
      <c r="B176" s="63" t="str">
        <f>IFERROR(VLOOKUP(Tabla2[[#This Row],[CODIGO]],INVENTARIO!A:B,2,0)," ")</f>
        <v>Codo PE 90º  25 mm EF.</v>
      </c>
      <c r="C176" s="12">
        <v>2</v>
      </c>
      <c r="D176" s="13">
        <v>12264</v>
      </c>
      <c r="E176" s="75">
        <v>4500519268</v>
      </c>
      <c r="F176" s="9">
        <v>3567398</v>
      </c>
      <c r="G176" s="77">
        <v>46084</v>
      </c>
      <c r="H176" s="9" t="s">
        <v>166</v>
      </c>
      <c r="I176" s="9"/>
      <c r="J176" s="9"/>
      <c r="K176" s="9"/>
      <c r="L176" s="9"/>
      <c r="M176" s="9"/>
      <c r="N176" s="9" t="s">
        <v>324</v>
      </c>
      <c r="O176" s="9"/>
      <c r="P176" s="37"/>
      <c r="Q176" s="10"/>
      <c r="R176" s="10"/>
      <c r="S176" s="10"/>
      <c r="T176" s="10"/>
      <c r="U176" s="10"/>
      <c r="V176" s="10"/>
      <c r="Y176" s="10"/>
      <c r="Z176" s="10"/>
      <c r="AA176" s="10"/>
      <c r="AB176" s="10"/>
      <c r="AC176" s="10"/>
      <c r="AD176" s="10"/>
      <c r="AE176" s="10"/>
      <c r="AF176" s="10"/>
      <c r="AG176" s="10"/>
    </row>
    <row r="177" spans="1:33" ht="14.25" customHeight="1" x14ac:dyDescent="0.35">
      <c r="A177" s="12">
        <v>2003131</v>
      </c>
      <c r="B177" s="63" t="str">
        <f>IFERROR(VLOOKUP(Tabla2[[#This Row],[CODIGO]],INVENTARIO!A:B,2,0)," ")</f>
        <v>Tapping Tee PE 50-40 mm</v>
      </c>
      <c r="C177" s="12">
        <v>1</v>
      </c>
      <c r="D177" s="13">
        <v>25463</v>
      </c>
      <c r="E177" s="75">
        <v>4500519264</v>
      </c>
      <c r="F177" s="9">
        <v>3567399</v>
      </c>
      <c r="G177" s="77">
        <v>46084</v>
      </c>
      <c r="H177" s="9" t="s">
        <v>166</v>
      </c>
      <c r="I177" s="9"/>
      <c r="J177" s="9"/>
      <c r="K177" s="9"/>
      <c r="L177" s="9"/>
      <c r="M177" s="9"/>
      <c r="N177" s="9" t="s">
        <v>344</v>
      </c>
      <c r="O177" s="9"/>
      <c r="P177" s="37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</row>
    <row r="178" spans="1:33" ht="14.25" customHeight="1" x14ac:dyDescent="0.35">
      <c r="A178" s="12">
        <v>303362</v>
      </c>
      <c r="B178" s="63" t="str">
        <f>IFERROR(VLOOKUP(Tabla2[[#This Row],[CODIGO]],INVENTARIO!A:B,2,0)," ")</f>
        <v>Reductor PE  50-40 mm Electro F.</v>
      </c>
      <c r="C178" s="12">
        <v>1</v>
      </c>
      <c r="D178" s="13">
        <v>6296</v>
      </c>
      <c r="E178" s="75">
        <v>4500519264</v>
      </c>
      <c r="F178" s="9">
        <v>3567399</v>
      </c>
      <c r="G178" s="77">
        <v>46084</v>
      </c>
      <c r="H178" s="9" t="s">
        <v>166</v>
      </c>
      <c r="I178" s="9"/>
      <c r="J178" s="9"/>
      <c r="K178" s="9"/>
      <c r="L178" s="9"/>
      <c r="M178" s="9"/>
      <c r="N178" s="9" t="s">
        <v>344</v>
      </c>
      <c r="O178" s="9"/>
      <c r="P178" s="37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</row>
    <row r="179" spans="1:33" ht="14.25" customHeight="1" x14ac:dyDescent="0.35">
      <c r="A179" s="12">
        <v>303345</v>
      </c>
      <c r="B179" s="63" t="str">
        <f>IFERROR(VLOOKUP(Tabla2[[#This Row],[CODIGO]],INVENTARIO!A:B,2,0)," ")</f>
        <v>Copla PE100 050mm EF</v>
      </c>
      <c r="C179" s="12">
        <v>3</v>
      </c>
      <c r="D179" s="13">
        <v>9906</v>
      </c>
      <c r="E179" s="75">
        <v>4500519264</v>
      </c>
      <c r="F179" s="9">
        <v>3567399</v>
      </c>
      <c r="G179" s="77">
        <v>46084</v>
      </c>
      <c r="H179" s="9" t="s">
        <v>166</v>
      </c>
      <c r="I179" s="9"/>
      <c r="J179" s="9"/>
      <c r="K179" s="9"/>
      <c r="L179" s="9"/>
      <c r="M179" s="9"/>
      <c r="N179" s="9" t="s">
        <v>344</v>
      </c>
      <c r="O179" s="9"/>
      <c r="P179" s="37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</row>
    <row r="180" spans="1:33" ht="14.25" customHeight="1" x14ac:dyDescent="0.35">
      <c r="A180" s="12">
        <v>300414</v>
      </c>
      <c r="B180" s="63" t="str">
        <f>IFERROR(VLOOKUP(Tabla2[[#This Row],[CODIGO]],INVENTARIO!A:B,2,0)," ")</f>
        <v>Válvula PE100 Dn 50mm</v>
      </c>
      <c r="C180" s="12">
        <v>1</v>
      </c>
      <c r="D180" s="13">
        <v>83109</v>
      </c>
      <c r="E180" s="75">
        <v>4500519264</v>
      </c>
      <c r="F180" s="9">
        <v>3567399</v>
      </c>
      <c r="G180" s="77">
        <v>46084</v>
      </c>
      <c r="H180" s="9" t="s">
        <v>166</v>
      </c>
      <c r="I180" s="9"/>
      <c r="J180" s="9"/>
      <c r="K180" s="9"/>
      <c r="L180" s="9"/>
      <c r="M180" s="9"/>
      <c r="N180" s="9" t="s">
        <v>344</v>
      </c>
      <c r="O180" s="9"/>
      <c r="P180" s="37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</row>
    <row r="181" spans="1:33" ht="14.25" customHeight="1" x14ac:dyDescent="0.35">
      <c r="A181" s="12">
        <v>302992</v>
      </c>
      <c r="B181" s="63" t="str">
        <f>IFERROR(VLOOKUP(Tabla2[[#This Row],[CODIGO]],INVENTARIO!A:B,2,0)," ")</f>
        <v>Codo PE100 90° 050mm EF</v>
      </c>
      <c r="C181" s="12">
        <v>2</v>
      </c>
      <c r="D181" s="13">
        <v>11434</v>
      </c>
      <c r="E181" s="75">
        <v>4500519264</v>
      </c>
      <c r="F181" s="9">
        <v>3567399</v>
      </c>
      <c r="G181" s="77">
        <v>46084</v>
      </c>
      <c r="H181" s="9" t="s">
        <v>166</v>
      </c>
      <c r="I181" s="9"/>
      <c r="J181" s="9"/>
      <c r="K181" s="9"/>
      <c r="L181" s="9"/>
      <c r="M181" s="9"/>
      <c r="N181" s="9" t="s">
        <v>344</v>
      </c>
      <c r="O181" s="9"/>
      <c r="P181" s="37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</row>
    <row r="182" spans="1:33" ht="14.25" customHeight="1" x14ac:dyDescent="0.35">
      <c r="A182" s="12">
        <v>301327</v>
      </c>
      <c r="B182" s="63" t="str">
        <f>IFERROR(VLOOKUP(Tabla2[[#This Row],[CODIGO]],INVENTARIO!A:B,2,0)," ")</f>
        <v>Tapa PE  050 mm Termo F.</v>
      </c>
      <c r="C182" s="12">
        <v>1</v>
      </c>
      <c r="D182" s="13">
        <v>3063</v>
      </c>
      <c r="E182" s="75">
        <v>4500519264</v>
      </c>
      <c r="F182" s="9">
        <v>3567399</v>
      </c>
      <c r="G182" s="77">
        <v>46084</v>
      </c>
      <c r="H182" s="9" t="s">
        <v>166</v>
      </c>
      <c r="I182" s="9"/>
      <c r="J182" s="9"/>
      <c r="K182" s="9"/>
      <c r="L182" s="9"/>
      <c r="M182" s="9"/>
      <c r="N182" s="9" t="s">
        <v>344</v>
      </c>
      <c r="O182" s="9"/>
      <c r="P182" s="37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</row>
    <row r="183" spans="1:33" ht="14.25" customHeight="1" x14ac:dyDescent="0.35">
      <c r="A183" s="12">
        <v>303362</v>
      </c>
      <c r="B183" s="63" t="str">
        <f>IFERROR(VLOOKUP(Tabla2[[#This Row],[CODIGO]],INVENTARIO!A:B,2,0)," ")</f>
        <v>Reductor PE  50-40 mm Electro F.</v>
      </c>
      <c r="C183" s="12">
        <v>1</v>
      </c>
      <c r="D183" s="13">
        <v>6296</v>
      </c>
      <c r="E183" s="75">
        <v>4500519264</v>
      </c>
      <c r="F183" s="9">
        <v>3567399</v>
      </c>
      <c r="G183" s="77">
        <v>46084</v>
      </c>
      <c r="H183" s="9" t="s">
        <v>166</v>
      </c>
      <c r="I183" s="9"/>
      <c r="J183" s="9"/>
      <c r="K183" s="9"/>
      <c r="L183" s="9"/>
      <c r="M183" s="9"/>
      <c r="N183" s="9" t="s">
        <v>344</v>
      </c>
      <c r="O183" s="9"/>
      <c r="P183" s="37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</row>
    <row r="184" spans="1:33" ht="14.25" customHeight="1" x14ac:dyDescent="0.35">
      <c r="A184" s="12">
        <v>2002453</v>
      </c>
      <c r="B184" s="63" t="str">
        <f>IFERROR(VLOOKUP(Tabla2[[#This Row],[CODIGO]],INVENTARIO!A:B,2,0)," ")</f>
        <v>MRP-120-(4/1,2)-(S)-2</v>
      </c>
      <c r="C184" s="12">
        <v>1</v>
      </c>
      <c r="D184" s="13">
        <v>3209763</v>
      </c>
      <c r="E184" s="75">
        <v>4500519264</v>
      </c>
      <c r="F184" s="9">
        <v>3567399</v>
      </c>
      <c r="G184" s="77">
        <v>46084</v>
      </c>
      <c r="H184" s="9" t="s">
        <v>166</v>
      </c>
      <c r="I184" s="102" t="s">
        <v>353</v>
      </c>
      <c r="J184" s="9"/>
      <c r="K184" s="9"/>
      <c r="L184" s="9"/>
      <c r="M184" s="9"/>
      <c r="N184" s="9" t="s">
        <v>344</v>
      </c>
      <c r="O184" s="9"/>
      <c r="P184" s="37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</row>
    <row r="185" spans="1:33" ht="14.25" customHeight="1" x14ac:dyDescent="0.35">
      <c r="A185" s="12">
        <v>303015</v>
      </c>
      <c r="B185" s="63" t="str">
        <f>IFERROR(VLOOKUP(Tabla2[[#This Row],[CODIGO]],INVENTARIO!A:B,2,0)," ")</f>
        <v>Tee PE 110 mm Electro F.</v>
      </c>
      <c r="C185" s="12">
        <v>1</v>
      </c>
      <c r="D185" s="13">
        <v>22160</v>
      </c>
      <c r="E185" s="75">
        <v>4500519353</v>
      </c>
      <c r="F185" s="9">
        <v>3567400</v>
      </c>
      <c r="G185" s="77">
        <v>46084</v>
      </c>
      <c r="H185" s="9" t="s">
        <v>166</v>
      </c>
      <c r="I185" s="9"/>
      <c r="J185" s="9"/>
      <c r="K185" s="9"/>
      <c r="L185" s="9"/>
      <c r="M185" s="9"/>
      <c r="N185" s="9" t="s">
        <v>193</v>
      </c>
      <c r="O185" s="9"/>
      <c r="P185" s="37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</row>
    <row r="186" spans="1:33" ht="14.25" customHeight="1" x14ac:dyDescent="0.35">
      <c r="A186" s="12">
        <v>2003736</v>
      </c>
      <c r="B186" s="63" t="str">
        <f>IFERROR(VLOOKUP(Tabla2[[#This Row],[CODIGO]],INVENTARIO!A:B,2,0)," ")</f>
        <v>Válvula PE100 Dn 110mm</v>
      </c>
      <c r="C186" s="12">
        <v>1</v>
      </c>
      <c r="D186" s="13">
        <v>174362</v>
      </c>
      <c r="E186" s="75">
        <v>4500519353</v>
      </c>
      <c r="F186" s="9">
        <v>3567400</v>
      </c>
      <c r="G186" s="77">
        <v>46084</v>
      </c>
      <c r="H186" s="9" t="s">
        <v>166</v>
      </c>
      <c r="I186" s="9"/>
      <c r="J186" s="9"/>
      <c r="K186" s="9"/>
      <c r="L186" s="9"/>
      <c r="M186" s="9"/>
      <c r="N186" s="9" t="s">
        <v>193</v>
      </c>
      <c r="O186" s="9"/>
      <c r="P186" s="37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</row>
    <row r="187" spans="1:33" ht="14.25" customHeight="1" x14ac:dyDescent="0.35">
      <c r="A187" s="12">
        <v>302991</v>
      </c>
      <c r="B187" s="63" t="str">
        <f>IFERROR(VLOOKUP(Tabla2[[#This Row],[CODIGO]],INVENTARIO!A:B,2,0)," ")</f>
        <v>Copla PE100 110mm EF</v>
      </c>
      <c r="C187" s="12">
        <v>10</v>
      </c>
      <c r="D187" s="13">
        <v>107910</v>
      </c>
      <c r="E187" s="75">
        <v>4500519353</v>
      </c>
      <c r="F187" s="9">
        <v>3567400</v>
      </c>
      <c r="G187" s="77">
        <v>46084</v>
      </c>
      <c r="H187" s="9" t="s">
        <v>166</v>
      </c>
      <c r="I187" s="9"/>
      <c r="J187" s="9"/>
      <c r="K187" s="9"/>
      <c r="L187" s="9"/>
      <c r="M187" s="9"/>
      <c r="N187" s="9" t="s">
        <v>193</v>
      </c>
      <c r="O187" s="9"/>
      <c r="P187" s="37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</row>
    <row r="188" spans="1:33" ht="14.25" customHeight="1" x14ac:dyDescent="0.35">
      <c r="A188" s="12">
        <v>302317</v>
      </c>
      <c r="B188" s="63" t="str">
        <f>IFERROR(VLOOKUP(Tabla2[[#This Row],[CODIGO]],INVENTARIO!A:B,2,0)," ")</f>
        <v>Tapa PE 110 mm Termo F.</v>
      </c>
      <c r="C188" s="12">
        <v>2</v>
      </c>
      <c r="D188" s="13">
        <v>19504</v>
      </c>
      <c r="E188" s="75">
        <v>4500519353</v>
      </c>
      <c r="F188" s="9">
        <v>3567400</v>
      </c>
      <c r="G188" s="77">
        <v>46084</v>
      </c>
      <c r="H188" s="9" t="s">
        <v>166</v>
      </c>
      <c r="I188" s="9"/>
      <c r="J188" s="9"/>
      <c r="K188" s="9"/>
      <c r="L188" s="9"/>
      <c r="M188" s="9"/>
      <c r="N188" s="9" t="s">
        <v>193</v>
      </c>
      <c r="O188" s="9"/>
      <c r="P188" s="37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</row>
    <row r="189" spans="1:33" ht="14.25" customHeight="1" x14ac:dyDescent="0.35">
      <c r="A189" s="12">
        <v>2000350</v>
      </c>
      <c r="B189" s="63" t="str">
        <f>IFERROR(VLOOKUP(Tabla2[[#This Row],[CODIGO]],INVENTARIO!A:B,2,0)," ")</f>
        <v>Codo PE 90º  25 mm EF.</v>
      </c>
      <c r="C189" s="12">
        <v>2</v>
      </c>
      <c r="D189" s="13">
        <v>12264</v>
      </c>
      <c r="E189" s="75">
        <v>4500519353</v>
      </c>
      <c r="F189" s="9">
        <v>3567400</v>
      </c>
      <c r="G189" s="77">
        <v>46084</v>
      </c>
      <c r="H189" s="9" t="s">
        <v>166</v>
      </c>
      <c r="I189" s="9"/>
      <c r="J189" s="9"/>
      <c r="K189" s="9"/>
      <c r="L189" s="9"/>
      <c r="M189" s="9"/>
      <c r="N189" s="9" t="s">
        <v>193</v>
      </c>
      <c r="O189" s="9"/>
      <c r="P189" s="37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</row>
    <row r="190" spans="1:33" ht="14.25" customHeight="1" x14ac:dyDescent="0.35">
      <c r="A190" s="12">
        <v>301666</v>
      </c>
      <c r="B190" s="63" t="str">
        <f>IFERROR(VLOOKUP(Tabla2[[#This Row],[CODIGO]],INVENTARIO!A:B,2,0)," ")</f>
        <v>Tapping Tee PE 110-25 mm</v>
      </c>
      <c r="C190" s="12">
        <v>2</v>
      </c>
      <c r="D190" s="13">
        <v>12264</v>
      </c>
      <c r="E190" s="75">
        <v>4500519353</v>
      </c>
      <c r="F190" s="9">
        <v>3567400</v>
      </c>
      <c r="G190" s="77">
        <v>46084</v>
      </c>
      <c r="H190" s="9" t="s">
        <v>166</v>
      </c>
      <c r="I190" s="9"/>
      <c r="J190" s="9"/>
      <c r="K190" s="9"/>
      <c r="L190" s="9"/>
      <c r="M190" s="9"/>
      <c r="N190" s="9" t="s">
        <v>193</v>
      </c>
      <c r="O190" s="9"/>
      <c r="P190" s="37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</row>
    <row r="191" spans="1:33" ht="14.25" customHeight="1" x14ac:dyDescent="0.35">
      <c r="A191" s="12">
        <v>300109</v>
      </c>
      <c r="B191" s="63" t="str">
        <f>IFERROR(VLOOKUP(Tabla2[[#This Row],[CODIGO]],INVENTARIO!A:B,2,0)," ")</f>
        <v>Risers de Acero 3/4" Bsp x 25 mm</v>
      </c>
      <c r="C191" s="12">
        <v>2</v>
      </c>
      <c r="D191" s="13">
        <v>24168</v>
      </c>
      <c r="E191" s="75">
        <v>4500519353</v>
      </c>
      <c r="F191" s="9">
        <v>3567400</v>
      </c>
      <c r="G191" s="77">
        <v>46084</v>
      </c>
      <c r="H191" s="9" t="s">
        <v>166</v>
      </c>
      <c r="I191" s="9"/>
      <c r="J191" s="9"/>
      <c r="K191" s="9"/>
      <c r="L191" s="9"/>
      <c r="M191" s="9"/>
      <c r="N191" s="9" t="s">
        <v>193</v>
      </c>
      <c r="O191" s="9"/>
      <c r="P191" s="37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</row>
    <row r="192" spans="1:33" ht="14.25" customHeight="1" x14ac:dyDescent="0.35">
      <c r="A192" s="9" t="s">
        <v>291</v>
      </c>
      <c r="B192" s="63" t="str">
        <f>IFERROR(VLOOKUP(Tabla2[[#This Row],[CODIGO]],INVENTARIO!A:B,2,0)," ")</f>
        <v>Alcohol Isopropilico  500 ml</v>
      </c>
      <c r="C192" s="12">
        <v>24</v>
      </c>
      <c r="D192" s="13">
        <v>60002</v>
      </c>
      <c r="E192" s="75">
        <v>12111135</v>
      </c>
      <c r="F192" s="9">
        <v>13431284</v>
      </c>
      <c r="G192" s="77">
        <v>46080</v>
      </c>
      <c r="H192" s="9" t="s">
        <v>316</v>
      </c>
      <c r="I192" s="9"/>
      <c r="J192" s="9"/>
      <c r="K192" s="9"/>
      <c r="L192" s="9"/>
      <c r="M192" s="9"/>
      <c r="N192" s="9" t="s">
        <v>294</v>
      </c>
      <c r="O192" s="9"/>
      <c r="P192" s="37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</row>
    <row r="193" spans="1:33" ht="14.25" customHeight="1" x14ac:dyDescent="0.35">
      <c r="A193" s="9" t="s">
        <v>292</v>
      </c>
      <c r="B193" s="63" t="str">
        <f>IFERROR(VLOOKUP(Tabla2[[#This Row],[CODIGO]],INVENTARIO!A:B,2,0)," ")</f>
        <v>Toalla Nova Clasica</v>
      </c>
      <c r="C193" s="12">
        <v>48</v>
      </c>
      <c r="D193" s="13">
        <v>20576</v>
      </c>
      <c r="E193" s="75">
        <v>12111135</v>
      </c>
      <c r="F193" s="9">
        <v>13431284</v>
      </c>
      <c r="G193" s="77">
        <v>46080</v>
      </c>
      <c r="H193" s="9" t="s">
        <v>316</v>
      </c>
      <c r="I193" s="9"/>
      <c r="J193" s="9"/>
      <c r="K193" s="9"/>
      <c r="L193" s="9"/>
      <c r="M193" s="9"/>
      <c r="N193" s="9" t="s">
        <v>294</v>
      </c>
      <c r="O193" s="9"/>
      <c r="P193" s="37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</row>
    <row r="194" spans="1:33" ht="14.25" customHeight="1" x14ac:dyDescent="0.35">
      <c r="A194" s="12">
        <v>303345</v>
      </c>
      <c r="B194" s="63" t="str">
        <f>IFERROR(VLOOKUP(Tabla2[[#This Row],[CODIGO]],INVENTARIO!A:B,2,0)," ")</f>
        <v>Copla PE100 050mm EF</v>
      </c>
      <c r="C194" s="12">
        <v>1</v>
      </c>
      <c r="D194" s="13"/>
      <c r="E194" s="75"/>
      <c r="F194" s="9">
        <v>990</v>
      </c>
      <c r="G194" s="77">
        <v>46073</v>
      </c>
      <c r="H194" s="9" t="s">
        <v>181</v>
      </c>
      <c r="I194" s="9"/>
      <c r="J194" s="9"/>
      <c r="K194" s="9"/>
      <c r="L194" s="9"/>
      <c r="M194" s="9"/>
      <c r="N194" s="9" t="s">
        <v>322</v>
      </c>
      <c r="O194" s="9"/>
      <c r="P194" s="37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</row>
    <row r="195" spans="1:33" ht="14.25" customHeight="1" x14ac:dyDescent="0.35">
      <c r="A195" s="12">
        <v>1000720</v>
      </c>
      <c r="B195" s="63" t="str">
        <f>IFERROR(VLOOKUP(Tabla2[[#This Row],[CODIGO]],INVENTARIO!A:B,2,0)," ")</f>
        <v>Teflón en Cinta de 3/4" Ancho x 520" a 5</v>
      </c>
      <c r="C195" s="12">
        <v>20</v>
      </c>
      <c r="D195" s="13">
        <v>44020</v>
      </c>
      <c r="E195" s="75">
        <v>883415</v>
      </c>
      <c r="F195" s="9">
        <v>3567366</v>
      </c>
      <c r="G195" s="77">
        <v>46079</v>
      </c>
      <c r="H195" s="9" t="s">
        <v>167</v>
      </c>
      <c r="I195" s="9"/>
      <c r="J195" s="9"/>
      <c r="K195" s="9"/>
      <c r="L195" s="9"/>
      <c r="M195" s="9"/>
      <c r="N195" s="9" t="s">
        <v>294</v>
      </c>
      <c r="O195" s="9" t="s">
        <v>258</v>
      </c>
      <c r="P195" s="37">
        <v>1390195</v>
      </c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</row>
    <row r="196" spans="1:33" ht="14.25" customHeight="1" x14ac:dyDescent="0.35">
      <c r="A196" s="12">
        <v>302745</v>
      </c>
      <c r="B196" s="63" t="str">
        <f>IFERROR(VLOOKUP(Tabla2[[#This Row],[CODIGO]],INVENTARIO!A:B,2,0)," ")</f>
        <v>Detector de Fugas Klinsol</v>
      </c>
      <c r="C196" s="12">
        <v>20</v>
      </c>
      <c r="D196" s="13">
        <v>39440</v>
      </c>
      <c r="E196" s="75">
        <v>883414</v>
      </c>
      <c r="F196" s="9">
        <v>3567365</v>
      </c>
      <c r="G196" s="77">
        <v>46079</v>
      </c>
      <c r="H196" s="9" t="s">
        <v>167</v>
      </c>
      <c r="I196" s="9"/>
      <c r="J196" s="9"/>
      <c r="K196" s="9"/>
      <c r="L196" s="9"/>
      <c r="M196" s="9"/>
      <c r="N196" s="9" t="s">
        <v>294</v>
      </c>
      <c r="O196" s="9" t="s">
        <v>258</v>
      </c>
      <c r="P196" s="37">
        <v>1390194</v>
      </c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</row>
    <row r="197" spans="1:33" ht="14.25" customHeight="1" x14ac:dyDescent="0.35">
      <c r="A197" s="12">
        <v>2008481</v>
      </c>
      <c r="B197" s="63" t="str">
        <f>IFERROR(VLOOKUP(Tabla2[[#This Row],[CODIGO]],INVENTARIO!A:B,2,0)," ")</f>
        <v>Tapa Tornillo Bronce 3/4" HE Bspt.</v>
      </c>
      <c r="C197" s="12">
        <v>6</v>
      </c>
      <c r="D197" s="13">
        <v>6</v>
      </c>
      <c r="E197" s="75">
        <v>883390</v>
      </c>
      <c r="F197" s="9">
        <v>3567364</v>
      </c>
      <c r="G197" s="77">
        <v>46079</v>
      </c>
      <c r="H197" s="9" t="s">
        <v>167</v>
      </c>
      <c r="I197" s="9"/>
      <c r="J197" s="9"/>
      <c r="K197" s="9"/>
      <c r="L197" s="9"/>
      <c r="M197" s="9"/>
      <c r="N197" s="9" t="s">
        <v>341</v>
      </c>
      <c r="O197" s="9" t="s">
        <v>257</v>
      </c>
      <c r="P197" s="37">
        <v>1390193</v>
      </c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</row>
    <row r="198" spans="1:33" ht="14.25" customHeight="1" x14ac:dyDescent="0.35">
      <c r="A198" s="12">
        <v>2007948</v>
      </c>
      <c r="B198" s="63" t="str">
        <f>IFERROR(VLOOKUP(Tabla2[[#This Row],[CODIGO]],INVENTARIO!A:B,2,0)," ")</f>
        <v>Tubo PVC Hidraulico 110 mm Pn6 Celeste</v>
      </c>
      <c r="C198" s="12">
        <v>6</v>
      </c>
      <c r="D198" s="13">
        <v>14556</v>
      </c>
      <c r="E198" s="75">
        <v>4500519100</v>
      </c>
      <c r="F198" s="9">
        <v>3567364</v>
      </c>
      <c r="G198" s="77">
        <v>46079</v>
      </c>
      <c r="H198" s="9" t="s">
        <v>167</v>
      </c>
      <c r="I198" s="9"/>
      <c r="J198" s="9"/>
      <c r="K198" s="9"/>
      <c r="L198" s="9"/>
      <c r="M198" s="9"/>
      <c r="N198" s="9" t="s">
        <v>341</v>
      </c>
      <c r="O198" s="9" t="s">
        <v>257</v>
      </c>
      <c r="P198" s="37">
        <v>1390193</v>
      </c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</row>
    <row r="199" spans="1:33" ht="14.25" customHeight="1" x14ac:dyDescent="0.35">
      <c r="A199" s="12">
        <v>302737</v>
      </c>
      <c r="B199" s="63" t="str">
        <f>IFERROR(VLOOKUP(Tabla2[[#This Row],[CODIGO]],INVENTARIO!A:B,2,0)," ")</f>
        <v>Válvula Bola 3/4" Hi Un Cuerpo Pn5 Arco</v>
      </c>
      <c r="C199" s="12">
        <v>6</v>
      </c>
      <c r="D199" s="13">
        <v>98670</v>
      </c>
      <c r="E199" s="75">
        <v>4500519100</v>
      </c>
      <c r="F199" s="9">
        <v>3567364</v>
      </c>
      <c r="G199" s="77">
        <v>46079</v>
      </c>
      <c r="H199" s="9" t="s">
        <v>167</v>
      </c>
      <c r="I199" s="9"/>
      <c r="J199" s="9"/>
      <c r="K199" s="9"/>
      <c r="L199" s="9"/>
      <c r="M199" s="9"/>
      <c r="N199" s="9" t="s">
        <v>341</v>
      </c>
      <c r="O199" s="9" t="s">
        <v>257</v>
      </c>
      <c r="P199" s="37">
        <v>1390193</v>
      </c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</row>
    <row r="200" spans="1:33" ht="14.25" customHeight="1" x14ac:dyDescent="0.35">
      <c r="A200" s="12">
        <v>303368</v>
      </c>
      <c r="B200" s="63" t="str">
        <f>IFERROR(VLOOKUP(Tabla2[[#This Row],[CODIGO]],INVENTARIO!A:B,2,0)," ")</f>
        <v>Cinta Plástica "Línea GN", 30 x 0.1</v>
      </c>
      <c r="C200" s="12">
        <v>400</v>
      </c>
      <c r="D200" s="13">
        <v>48400</v>
      </c>
      <c r="E200" s="75">
        <v>4500519100</v>
      </c>
      <c r="F200" s="9">
        <v>3567364</v>
      </c>
      <c r="G200" s="77">
        <v>46079</v>
      </c>
      <c r="H200" s="9" t="s">
        <v>167</v>
      </c>
      <c r="I200" s="9"/>
      <c r="J200" s="9"/>
      <c r="K200" s="9"/>
      <c r="L200" s="9"/>
      <c r="M200" s="9"/>
      <c r="N200" s="9" t="s">
        <v>341</v>
      </c>
      <c r="O200" s="9" t="s">
        <v>257</v>
      </c>
      <c r="P200" s="37">
        <v>1390193</v>
      </c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</row>
    <row r="201" spans="1:33" ht="14.25" customHeight="1" x14ac:dyDescent="0.35">
      <c r="A201" s="12">
        <v>303510</v>
      </c>
      <c r="B201" s="63" t="str">
        <f>IFERROR(VLOOKUP(Tabla2[[#This Row],[CODIGO]],INVENTARIO!A:B,2,0)," ")</f>
        <v>Guardallave Hormigón 125 mm con Tapa</v>
      </c>
      <c r="C201" s="12">
        <v>4</v>
      </c>
      <c r="D201" s="13">
        <v>15600</v>
      </c>
      <c r="E201" s="75">
        <v>4500519100</v>
      </c>
      <c r="F201" s="9">
        <v>3567364</v>
      </c>
      <c r="G201" s="77">
        <v>46079</v>
      </c>
      <c r="H201" s="9" t="s">
        <v>167</v>
      </c>
      <c r="I201" s="9"/>
      <c r="J201" s="9"/>
      <c r="K201" s="9"/>
      <c r="L201" s="9"/>
      <c r="M201" s="9"/>
      <c r="N201" s="9" t="s">
        <v>341</v>
      </c>
      <c r="O201" s="9" t="s">
        <v>257</v>
      </c>
      <c r="P201" s="37">
        <v>1390193</v>
      </c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</row>
    <row r="202" spans="1:33" ht="14.25" customHeight="1" x14ac:dyDescent="0.35">
      <c r="A202" s="12">
        <v>303511</v>
      </c>
      <c r="B202" s="63" t="str">
        <f>IFERROR(VLOOKUP(Tabla2[[#This Row],[CODIGO]],INVENTARIO!A:B,2,0)," ")</f>
        <v>Lata de Espuma Poliuretano Adimus / 500 ML</v>
      </c>
      <c r="C202" s="12">
        <v>2</v>
      </c>
      <c r="D202" s="13">
        <v>4690</v>
      </c>
      <c r="E202" s="75">
        <v>4500519100</v>
      </c>
      <c r="F202" s="9">
        <v>3567364</v>
      </c>
      <c r="G202" s="77">
        <v>46079</v>
      </c>
      <c r="H202" s="9" t="s">
        <v>167</v>
      </c>
      <c r="I202" s="9"/>
      <c r="J202" s="9"/>
      <c r="K202" s="9"/>
      <c r="L202" s="9"/>
      <c r="M202" s="9"/>
      <c r="N202" s="9" t="s">
        <v>341</v>
      </c>
      <c r="O202" s="9" t="s">
        <v>257</v>
      </c>
      <c r="P202" s="37">
        <v>1390193</v>
      </c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</row>
    <row r="203" spans="1:33" ht="14.25" customHeight="1" x14ac:dyDescent="0.35">
      <c r="A203" s="12">
        <v>1002167</v>
      </c>
      <c r="B203" s="63" t="str">
        <f>IFERROR(VLOOKUP(Tabla2[[#This Row],[CODIGO]],INVENTARIO!A:B,2,0)," ")</f>
        <v>Cable Trazador Cu 14 AWG Aisl. THW Roj</v>
      </c>
      <c r="C203" s="12">
        <v>400</v>
      </c>
      <c r="D203" s="13">
        <v>117600</v>
      </c>
      <c r="E203" s="75">
        <v>4500519100</v>
      </c>
      <c r="F203" s="9">
        <v>3567364</v>
      </c>
      <c r="G203" s="77">
        <v>46079</v>
      </c>
      <c r="H203" s="9" t="s">
        <v>167</v>
      </c>
      <c r="I203" s="9"/>
      <c r="J203" s="9"/>
      <c r="K203" s="9"/>
      <c r="L203" s="9"/>
      <c r="M203" s="9"/>
      <c r="N203" s="9" t="s">
        <v>341</v>
      </c>
      <c r="O203" s="9" t="s">
        <v>257</v>
      </c>
      <c r="P203" s="37">
        <v>1390193</v>
      </c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</row>
    <row r="204" spans="1:33" ht="14.25" customHeight="1" x14ac:dyDescent="0.35">
      <c r="A204" s="12">
        <v>2006391</v>
      </c>
      <c r="B204" s="63" t="str">
        <f>IFERROR(VLOOKUP(Tabla2[[#This Row],[CODIGO]],INVENTARIO!A:B,2,0)," ")</f>
        <v>Guardallave Fierro Fundido C/Tapa</v>
      </c>
      <c r="C204" s="12">
        <v>5</v>
      </c>
      <c r="D204" s="13">
        <v>134615</v>
      </c>
      <c r="E204" s="75">
        <v>4500519100</v>
      </c>
      <c r="F204" s="9">
        <v>3567364</v>
      </c>
      <c r="G204" s="77">
        <v>46079</v>
      </c>
      <c r="H204" s="9" t="s">
        <v>167</v>
      </c>
      <c r="I204" s="9"/>
      <c r="J204" s="9"/>
      <c r="K204" s="9"/>
      <c r="L204" s="9"/>
      <c r="M204" s="9"/>
      <c r="N204" s="9" t="s">
        <v>341</v>
      </c>
      <c r="O204" s="9" t="s">
        <v>257</v>
      </c>
      <c r="P204" s="37">
        <v>1390193</v>
      </c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</row>
    <row r="205" spans="1:33" ht="14.25" customHeight="1" x14ac:dyDescent="0.35">
      <c r="A205" s="12">
        <v>300117</v>
      </c>
      <c r="B205" s="63" t="str">
        <f>IFERROR(VLOOKUP(Tabla2[[#This Row],[CODIGO]],INVENTARIO!A:B,2,0)," ")</f>
        <v>Copla PE100 160mm EF</v>
      </c>
      <c r="C205" s="12">
        <v>16</v>
      </c>
      <c r="D205" s="13">
        <v>132496</v>
      </c>
      <c r="E205" s="75">
        <v>4500519100</v>
      </c>
      <c r="F205" s="9">
        <v>3567359</v>
      </c>
      <c r="G205" s="77">
        <v>46079</v>
      </c>
      <c r="H205" s="9" t="s">
        <v>166</v>
      </c>
      <c r="I205" s="9"/>
      <c r="J205" s="9"/>
      <c r="K205" s="9"/>
      <c r="L205" s="9"/>
      <c r="M205" s="9"/>
      <c r="N205" s="9" t="s">
        <v>341</v>
      </c>
      <c r="O205" s="9"/>
      <c r="P205" s="37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</row>
    <row r="206" spans="1:33" ht="14.25" customHeight="1" x14ac:dyDescent="0.35">
      <c r="A206" s="97">
        <v>300109</v>
      </c>
      <c r="B206" s="98" t="str">
        <f>IFERROR(VLOOKUP(Tabla2[[#This Row],[CODIGO]],INVENTARIO!A:B,2,0)," ")</f>
        <v>Risers de Acero 3/4" Bsp x 25 mm</v>
      </c>
      <c r="C206" s="97">
        <v>4</v>
      </c>
      <c r="D206" s="13">
        <v>120004</v>
      </c>
      <c r="E206" s="75">
        <v>4500519100</v>
      </c>
      <c r="F206" s="9">
        <v>3567359</v>
      </c>
      <c r="G206" s="77">
        <v>46079</v>
      </c>
      <c r="H206" s="9" t="s">
        <v>166</v>
      </c>
      <c r="I206" s="9"/>
      <c r="J206" s="9"/>
      <c r="K206" s="9"/>
      <c r="L206" s="9"/>
      <c r="M206" s="9"/>
      <c r="N206" s="9" t="s">
        <v>341</v>
      </c>
      <c r="O206" s="9"/>
      <c r="P206" s="37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</row>
    <row r="207" spans="1:33" ht="14.25" customHeight="1" x14ac:dyDescent="0.35">
      <c r="A207" s="12">
        <v>2000350</v>
      </c>
      <c r="B207" s="63" t="str">
        <f>IFERROR(VLOOKUP(Tabla2[[#This Row],[CODIGO]],INVENTARIO!A:B,2,0)," ")</f>
        <v>Codo PE 90º  25 mm EF.</v>
      </c>
      <c r="C207" s="12">
        <v>10</v>
      </c>
      <c r="D207" s="13">
        <v>61320</v>
      </c>
      <c r="E207" s="75">
        <v>4500519100</v>
      </c>
      <c r="F207" s="9">
        <v>3567359</v>
      </c>
      <c r="G207" s="77">
        <v>46079</v>
      </c>
      <c r="H207" s="9" t="s">
        <v>166</v>
      </c>
      <c r="I207" s="9"/>
      <c r="J207" s="9"/>
      <c r="K207" s="9"/>
      <c r="L207" s="9"/>
      <c r="M207" s="9"/>
      <c r="N207" s="9" t="s">
        <v>341</v>
      </c>
      <c r="O207" s="9"/>
      <c r="P207" s="37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</row>
    <row r="208" spans="1:33" ht="14.25" customHeight="1" x14ac:dyDescent="0.35">
      <c r="A208" s="12">
        <v>300422</v>
      </c>
      <c r="B208" s="63" t="str">
        <f>IFERROR(VLOOKUP(Tabla2[[#This Row],[CODIGO]],INVENTARIO!A:B,2,0)," ")</f>
        <v>Tapa PE 160 mm Termo F.</v>
      </c>
      <c r="C208" s="12">
        <v>2</v>
      </c>
      <c r="D208" s="13">
        <v>36836</v>
      </c>
      <c r="E208" s="75">
        <v>4500519100</v>
      </c>
      <c r="F208" s="9">
        <v>3567359</v>
      </c>
      <c r="G208" s="77">
        <v>46079</v>
      </c>
      <c r="H208" s="9" t="s">
        <v>166</v>
      </c>
      <c r="I208" s="9"/>
      <c r="J208" s="9"/>
      <c r="K208" s="9"/>
      <c r="L208" s="9"/>
      <c r="M208" s="9"/>
      <c r="N208" s="9" t="s">
        <v>341</v>
      </c>
      <c r="O208" s="9"/>
      <c r="P208" s="37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</row>
    <row r="209" spans="1:33" ht="14.25" customHeight="1" x14ac:dyDescent="0.35">
      <c r="A209" s="12">
        <v>300527</v>
      </c>
      <c r="B209" s="63" t="str">
        <f>IFERROR(VLOOKUP(Tabla2[[#This Row],[CODIGO]],INVENTARIO!A:B,2,0)," ")</f>
        <v>Tapping Tee PE 160-25 mm</v>
      </c>
      <c r="C209" s="12">
        <v>6</v>
      </c>
      <c r="D209" s="13">
        <v>97926</v>
      </c>
      <c r="E209" s="75">
        <v>4500519100</v>
      </c>
      <c r="F209" s="9">
        <v>3567359</v>
      </c>
      <c r="G209" s="77">
        <v>46079</v>
      </c>
      <c r="H209" s="9" t="s">
        <v>166</v>
      </c>
      <c r="I209" s="9"/>
      <c r="J209" s="9"/>
      <c r="K209" s="9"/>
      <c r="L209" s="9"/>
      <c r="M209" s="9"/>
      <c r="N209" s="9" t="s">
        <v>341</v>
      </c>
      <c r="O209" s="9"/>
      <c r="P209" s="37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</row>
    <row r="210" spans="1:33" ht="14.25" customHeight="1" x14ac:dyDescent="0.35">
      <c r="A210" s="12">
        <v>300712</v>
      </c>
      <c r="B210" s="63" t="str">
        <f>IFERROR(VLOOKUP(Tabla2[[#This Row],[CODIGO]],INVENTARIO!A:B,2,0)," ")</f>
        <v>Tapa PE  025 mm Termo F.</v>
      </c>
      <c r="C210" s="12">
        <v>2</v>
      </c>
      <c r="D210" s="13">
        <v>2746</v>
      </c>
      <c r="E210" s="75">
        <v>4500519100</v>
      </c>
      <c r="F210" s="9">
        <v>3567359</v>
      </c>
      <c r="G210" s="77">
        <v>46079</v>
      </c>
      <c r="H210" s="9" t="s">
        <v>166</v>
      </c>
      <c r="I210" s="9"/>
      <c r="J210" s="9"/>
      <c r="K210" s="9"/>
      <c r="L210" s="9"/>
      <c r="M210" s="9"/>
      <c r="N210" s="9" t="s">
        <v>341</v>
      </c>
      <c r="O210" s="9"/>
      <c r="P210" s="37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</row>
    <row r="211" spans="1:33" ht="14.25" customHeight="1" x14ac:dyDescent="0.35">
      <c r="A211" s="12">
        <v>301047</v>
      </c>
      <c r="B211" s="63" t="str">
        <f>IFERROR(VLOOKUP(Tabla2[[#This Row],[CODIGO]],INVENTARIO!A:B,2,0)," ")</f>
        <v>Tee PE 160 mm Electro F.</v>
      </c>
      <c r="C211" s="12">
        <v>1</v>
      </c>
      <c r="D211" s="13">
        <v>50276</v>
      </c>
      <c r="E211" s="75">
        <v>4500519100</v>
      </c>
      <c r="F211" s="9">
        <v>3567359</v>
      </c>
      <c r="G211" s="77">
        <v>46079</v>
      </c>
      <c r="H211" s="9" t="s">
        <v>166</v>
      </c>
      <c r="I211" s="9"/>
      <c r="J211" s="9"/>
      <c r="K211" s="9"/>
      <c r="L211" s="9"/>
      <c r="M211" s="9"/>
      <c r="N211" s="9" t="s">
        <v>341</v>
      </c>
      <c r="O211" s="9"/>
      <c r="P211" s="37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</row>
    <row r="212" spans="1:33" ht="14.25" customHeight="1" x14ac:dyDescent="0.35">
      <c r="A212" s="12">
        <v>301099</v>
      </c>
      <c r="B212" s="63" t="str">
        <f>IFERROR(VLOOKUP(Tabla2[[#This Row],[CODIGO]],INVENTARIO!A:B,2,0)," ")</f>
        <v>Válvula PE100 Dn 25mm</v>
      </c>
      <c r="C212" s="12">
        <v>2</v>
      </c>
      <c r="D212" s="13">
        <v>123262</v>
      </c>
      <c r="E212" s="75">
        <v>4500519100</v>
      </c>
      <c r="F212" s="9">
        <v>3567359</v>
      </c>
      <c r="G212" s="77">
        <v>46079</v>
      </c>
      <c r="H212" s="9" t="s">
        <v>166</v>
      </c>
      <c r="I212" s="9"/>
      <c r="J212" s="9"/>
      <c r="K212" s="9"/>
      <c r="L212" s="9"/>
      <c r="M212" s="9"/>
      <c r="N212" s="9" t="s">
        <v>341</v>
      </c>
      <c r="O212" s="9"/>
      <c r="P212" s="37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</row>
    <row r="213" spans="1:33" ht="14.25" customHeight="1" x14ac:dyDescent="0.35">
      <c r="A213" s="12">
        <v>301329</v>
      </c>
      <c r="B213" s="63" t="str">
        <f>IFERROR(VLOOKUP(Tabla2[[#This Row],[CODIGO]],INVENTARIO!A:B,2,0)," ")</f>
        <v>Copla PE100 025mm EF</v>
      </c>
      <c r="C213" s="12">
        <v>17</v>
      </c>
      <c r="D213" s="13">
        <v>37026</v>
      </c>
      <c r="E213" s="75">
        <v>4500519100</v>
      </c>
      <c r="F213" s="9">
        <v>3567359</v>
      </c>
      <c r="G213" s="77">
        <v>46079</v>
      </c>
      <c r="H213" s="9" t="s">
        <v>166</v>
      </c>
      <c r="I213" s="9"/>
      <c r="J213" s="9"/>
      <c r="K213" s="9"/>
      <c r="L213" s="9"/>
      <c r="M213" s="9"/>
      <c r="N213" s="9" t="s">
        <v>341</v>
      </c>
      <c r="O213" s="9"/>
      <c r="P213" s="37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</row>
    <row r="214" spans="1:33" ht="14.25" customHeight="1" x14ac:dyDescent="0.35">
      <c r="A214" s="12">
        <v>301770</v>
      </c>
      <c r="B214" s="63" t="str">
        <f>IFERROR(VLOOKUP(Tabla2[[#This Row],[CODIGO]],INVENTARIO!A:B,2,0)," ")</f>
        <v>Válvula PE100 Dn 160mm</v>
      </c>
      <c r="C214" s="12">
        <v>1</v>
      </c>
      <c r="D214" s="13">
        <v>301635</v>
      </c>
      <c r="E214" s="75">
        <v>4500519100</v>
      </c>
      <c r="F214" s="9">
        <v>3567359</v>
      </c>
      <c r="G214" s="77">
        <v>46079</v>
      </c>
      <c r="H214" s="9" t="s">
        <v>166</v>
      </c>
      <c r="I214" s="9"/>
      <c r="J214" s="9"/>
      <c r="K214" s="9"/>
      <c r="L214" s="9"/>
      <c r="M214" s="9"/>
      <c r="N214" s="9" t="s">
        <v>341</v>
      </c>
      <c r="O214" s="9"/>
      <c r="P214" s="37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</row>
    <row r="215" spans="1:33" ht="14.25" customHeight="1" x14ac:dyDescent="0.35">
      <c r="A215" s="12">
        <v>301334</v>
      </c>
      <c r="B215" s="63" t="str">
        <f>IFERROR(VLOOKUP(Tabla2[[#This Row],[CODIGO]],INVENTARIO!A:B,2,0)," ")</f>
        <v>Codo PE100 90° 160mm TF</v>
      </c>
      <c r="C215" s="12">
        <v>5</v>
      </c>
      <c r="D215" s="13">
        <v>145300</v>
      </c>
      <c r="E215" s="75">
        <v>4500519100</v>
      </c>
      <c r="F215" s="9">
        <v>3567359</v>
      </c>
      <c r="G215" s="77">
        <v>46079</v>
      </c>
      <c r="H215" s="9" t="s">
        <v>166</v>
      </c>
      <c r="I215" s="9"/>
      <c r="J215" s="9"/>
      <c r="K215" s="9"/>
      <c r="L215" s="9"/>
      <c r="M215" s="9"/>
      <c r="N215" s="9" t="s">
        <v>341</v>
      </c>
      <c r="O215" s="9"/>
      <c r="P215" s="37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</row>
    <row r="216" spans="1:33" ht="14.25" customHeight="1" x14ac:dyDescent="0.35">
      <c r="A216" s="12">
        <v>2004053</v>
      </c>
      <c r="B216" s="63" t="str">
        <f>IFERROR(VLOOKUP(Tabla2[[#This Row],[CODIGO]],INVENTARIO!A:B,2,0)," ")</f>
        <v>Anodo de Magnesio Alto Potencial 17 Lbs</v>
      </c>
      <c r="C216" s="12">
        <v>1</v>
      </c>
      <c r="D216" s="13">
        <v>170247</v>
      </c>
      <c r="E216" s="75">
        <v>4500519100</v>
      </c>
      <c r="F216" s="9">
        <v>3567359</v>
      </c>
      <c r="G216" s="77">
        <v>46079</v>
      </c>
      <c r="H216" s="9" t="s">
        <v>166</v>
      </c>
      <c r="I216" s="9"/>
      <c r="J216" s="9"/>
      <c r="K216" s="9"/>
      <c r="L216" s="9"/>
      <c r="M216" s="9"/>
      <c r="N216" s="9" t="s">
        <v>341</v>
      </c>
      <c r="O216" s="9"/>
      <c r="P216" s="37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</row>
    <row r="217" spans="1:33" ht="14.25" customHeight="1" x14ac:dyDescent="0.35">
      <c r="A217" s="12">
        <v>302683</v>
      </c>
      <c r="B217" s="63" t="str">
        <f>IFERROR(VLOOKUP(Tabla2[[#This Row],[CODIGO]],INVENTARIO!A:B,2,0)," ")</f>
        <v>Codo PE100 45° 160mm EF</v>
      </c>
      <c r="C217" s="12">
        <v>5</v>
      </c>
      <c r="D217" s="13">
        <v>456090</v>
      </c>
      <c r="E217" s="75">
        <v>4500519100</v>
      </c>
      <c r="F217" s="9">
        <v>3567359</v>
      </c>
      <c r="G217" s="77">
        <v>46079</v>
      </c>
      <c r="H217" s="9" t="s">
        <v>166</v>
      </c>
      <c r="I217" s="9"/>
      <c r="J217" s="9"/>
      <c r="K217" s="9"/>
      <c r="L217" s="9"/>
      <c r="M217" s="9"/>
      <c r="N217" s="9" t="s">
        <v>341</v>
      </c>
      <c r="O217" s="9"/>
      <c r="P217" s="37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</row>
    <row r="218" spans="1:33" ht="14.25" customHeight="1" x14ac:dyDescent="0.35">
      <c r="A218" s="12">
        <v>2003911</v>
      </c>
      <c r="B218" s="63" t="str">
        <f>IFERROR(VLOOKUP(Tabla2[[#This Row],[CODIGO]],INVENTARIO!A:B,2,0)," ")</f>
        <v>Válvula EFv PE 25 mm Para Tap. Tee</v>
      </c>
      <c r="C218" s="12">
        <v>2</v>
      </c>
      <c r="D218" s="13">
        <v>14348</v>
      </c>
      <c r="E218" s="75">
        <v>4500519100</v>
      </c>
      <c r="F218" s="9">
        <v>3567359</v>
      </c>
      <c r="G218" s="77">
        <v>46079</v>
      </c>
      <c r="H218" s="9" t="s">
        <v>166</v>
      </c>
      <c r="I218" s="9"/>
      <c r="J218" s="9"/>
      <c r="K218" s="9"/>
      <c r="L218" s="9"/>
      <c r="M218" s="9"/>
      <c r="N218" s="9" t="s">
        <v>341</v>
      </c>
      <c r="O218" s="9"/>
      <c r="P218" s="37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</row>
    <row r="219" spans="1:33" ht="14.25" customHeight="1" x14ac:dyDescent="0.35">
      <c r="A219" s="12">
        <v>2006392</v>
      </c>
      <c r="B219" s="63" t="str">
        <f>IFERROR(VLOOKUP(Tabla2[[#This Row],[CODIGO]],INVENTARIO!A:B,2,0)," ")</f>
        <v>Limitador Flujo P/Tapping Tee 25 MM</v>
      </c>
      <c r="C219" s="12">
        <v>2</v>
      </c>
      <c r="D219" s="13">
        <v>3772</v>
      </c>
      <c r="E219" s="75">
        <v>4500519100</v>
      </c>
      <c r="F219" s="9">
        <v>3567359</v>
      </c>
      <c r="G219" s="77">
        <v>46079</v>
      </c>
      <c r="H219" s="9" t="s">
        <v>166</v>
      </c>
      <c r="I219" s="9"/>
      <c r="J219" s="9"/>
      <c r="K219" s="9"/>
      <c r="L219" s="9"/>
      <c r="M219" s="9"/>
      <c r="N219" s="9" t="s">
        <v>341</v>
      </c>
      <c r="O219" s="9"/>
      <c r="P219" s="37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</row>
    <row r="220" spans="1:33" ht="14.25" customHeight="1" x14ac:dyDescent="0.35">
      <c r="A220" s="12">
        <v>2006393</v>
      </c>
      <c r="B220" s="63" t="str">
        <f>IFERROR(VLOOKUP(Tabla2[[#This Row],[CODIGO]],INVENTARIO!A:B,2,0)," ")</f>
        <v>Transición Latón 3/4"x25 MM PE100, SDR11</v>
      </c>
      <c r="C220" s="12">
        <v>2</v>
      </c>
      <c r="D220" s="13">
        <v>25410</v>
      </c>
      <c r="E220" s="75">
        <v>4500519100</v>
      </c>
      <c r="F220" s="9">
        <v>3567359</v>
      </c>
      <c r="G220" s="77">
        <v>46079</v>
      </c>
      <c r="H220" s="9" t="s">
        <v>166</v>
      </c>
      <c r="I220" s="9"/>
      <c r="J220" s="9"/>
      <c r="K220" s="9"/>
      <c r="L220" s="9"/>
      <c r="M220" s="9"/>
      <c r="N220" s="9" t="s">
        <v>341</v>
      </c>
      <c r="O220" s="9"/>
      <c r="P220" s="37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</row>
    <row r="221" spans="1:33" ht="14.25" customHeight="1" x14ac:dyDescent="0.35">
      <c r="A221" s="12">
        <v>303017</v>
      </c>
      <c r="B221" s="63" t="str">
        <f>IFERROR(VLOOKUP(Tabla2[[#This Row],[CODIGO]],INVENTARIO!A:B,2,0)," ")</f>
        <v>Codo PE100 90° 110mm EF</v>
      </c>
      <c r="C221" s="12">
        <v>4</v>
      </c>
      <c r="D221" s="13">
        <v>126768</v>
      </c>
      <c r="E221" s="75">
        <v>4500518959</v>
      </c>
      <c r="F221" s="9">
        <v>3567363</v>
      </c>
      <c r="G221" s="77">
        <v>46079</v>
      </c>
      <c r="H221" s="9" t="s">
        <v>166</v>
      </c>
      <c r="I221" s="9"/>
      <c r="J221" s="9"/>
      <c r="K221" s="9"/>
      <c r="L221" s="9"/>
      <c r="M221" s="9" t="s">
        <v>349</v>
      </c>
      <c r="N221" s="9" t="s">
        <v>201</v>
      </c>
      <c r="O221" s="9"/>
      <c r="P221" s="37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</row>
    <row r="222" spans="1:33" ht="14.25" customHeight="1" x14ac:dyDescent="0.35">
      <c r="A222" s="12">
        <v>302991</v>
      </c>
      <c r="B222" s="63" t="str">
        <f>IFERROR(VLOOKUP(Tabla2[[#This Row],[CODIGO]],INVENTARIO!A:B,2,0)," ")</f>
        <v>Copla PE100 110mm EF</v>
      </c>
      <c r="C222" s="12">
        <v>3</v>
      </c>
      <c r="D222" s="13">
        <v>32373</v>
      </c>
      <c r="E222" s="75">
        <v>4500518959</v>
      </c>
      <c r="F222" s="9">
        <v>3567363</v>
      </c>
      <c r="G222" s="77">
        <v>46079</v>
      </c>
      <c r="H222" s="9" t="s">
        <v>166</v>
      </c>
      <c r="I222" s="9"/>
      <c r="J222" s="9"/>
      <c r="K222" s="9"/>
      <c r="L222" s="9"/>
      <c r="M222" s="9" t="s">
        <v>349</v>
      </c>
      <c r="N222" s="9" t="s">
        <v>201</v>
      </c>
      <c r="O222" s="9"/>
      <c r="P222" s="37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</row>
    <row r="223" spans="1:33" ht="14.25" customHeight="1" x14ac:dyDescent="0.35">
      <c r="A223" s="12">
        <v>302317</v>
      </c>
      <c r="B223" s="63" t="str">
        <f>IFERROR(VLOOKUP(Tabla2[[#This Row],[CODIGO]],INVENTARIO!A:B,2,0)," ")</f>
        <v>Tapa PE 110 mm Termo F.</v>
      </c>
      <c r="C223" s="12">
        <v>1</v>
      </c>
      <c r="D223" s="13">
        <v>9752</v>
      </c>
      <c r="E223" s="75">
        <v>4500518959</v>
      </c>
      <c r="F223" s="9">
        <v>3567363</v>
      </c>
      <c r="G223" s="77">
        <v>46079</v>
      </c>
      <c r="H223" s="9" t="s">
        <v>166</v>
      </c>
      <c r="I223" s="9"/>
      <c r="J223" s="9"/>
      <c r="K223" s="9"/>
      <c r="L223" s="9"/>
      <c r="M223" s="9" t="s">
        <v>349</v>
      </c>
      <c r="N223" s="9" t="s">
        <v>201</v>
      </c>
      <c r="O223" s="9"/>
      <c r="P223" s="37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</row>
    <row r="224" spans="1:33" ht="14.25" customHeight="1" x14ac:dyDescent="0.35">
      <c r="A224" s="12">
        <v>302317</v>
      </c>
      <c r="B224" s="63" t="str">
        <f>IFERROR(VLOOKUP(Tabla2[[#This Row],[CODIGO]],INVENTARIO!A:B,2,0)," ")</f>
        <v>Tapa PE 110 mm Termo F.</v>
      </c>
      <c r="C224" s="12">
        <v>10</v>
      </c>
      <c r="D224" s="13">
        <v>97520</v>
      </c>
      <c r="E224" s="75">
        <v>4500519248</v>
      </c>
      <c r="F224" s="9">
        <v>3567368</v>
      </c>
      <c r="G224" s="77">
        <v>46079</v>
      </c>
      <c r="H224" s="9" t="s">
        <v>166</v>
      </c>
      <c r="I224" s="9"/>
      <c r="J224" s="9"/>
      <c r="K224" s="9"/>
      <c r="L224" s="9"/>
      <c r="M224" s="9" t="s">
        <v>251</v>
      </c>
      <c r="N224" s="9" t="s">
        <v>197</v>
      </c>
      <c r="O224" s="9"/>
      <c r="P224" s="37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</row>
    <row r="225" spans="1:33" ht="14.25" customHeight="1" x14ac:dyDescent="0.35">
      <c r="A225" s="12">
        <v>302991</v>
      </c>
      <c r="B225" s="63" t="str">
        <f>IFERROR(VLOOKUP(Tabla2[[#This Row],[CODIGO]],INVENTARIO!A:B,2,0)," ")</f>
        <v>Copla PE100 110mm EF</v>
      </c>
      <c r="C225" s="12">
        <v>10</v>
      </c>
      <c r="D225" s="13">
        <v>107910</v>
      </c>
      <c r="E225" s="75">
        <v>4500519248</v>
      </c>
      <c r="F225" s="9">
        <v>3567368</v>
      </c>
      <c r="G225" s="77">
        <v>46079</v>
      </c>
      <c r="H225" s="9" t="s">
        <v>166</v>
      </c>
      <c r="I225" s="9"/>
      <c r="J225" s="9"/>
      <c r="K225" s="9"/>
      <c r="L225" s="9"/>
      <c r="M225" s="9" t="s">
        <v>251</v>
      </c>
      <c r="N225" s="9" t="s">
        <v>197</v>
      </c>
      <c r="O225" s="9"/>
      <c r="P225" s="37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</row>
    <row r="226" spans="1:33" ht="14.25" customHeight="1" x14ac:dyDescent="0.35">
      <c r="A226" s="12">
        <v>300712</v>
      </c>
      <c r="B226" s="63" t="str">
        <f>IFERROR(VLOOKUP(Tabla2[[#This Row],[CODIGO]],INVENTARIO!A:B,2,0)," ")</f>
        <v>Tapa PE  025 mm Termo F.</v>
      </c>
      <c r="C226" s="12">
        <v>10</v>
      </c>
      <c r="D226" s="13">
        <v>13730</v>
      </c>
      <c r="E226" s="75">
        <v>4500519248</v>
      </c>
      <c r="F226" s="9">
        <v>3567368</v>
      </c>
      <c r="G226" s="77">
        <v>46079</v>
      </c>
      <c r="H226" s="9" t="s">
        <v>166</v>
      </c>
      <c r="I226" s="9"/>
      <c r="J226" s="9"/>
      <c r="K226" s="9"/>
      <c r="L226" s="9"/>
      <c r="M226" s="9" t="s">
        <v>251</v>
      </c>
      <c r="N226" s="9" t="s">
        <v>197</v>
      </c>
      <c r="O226" s="9"/>
      <c r="P226" s="37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</row>
    <row r="227" spans="1:33" ht="14.25" customHeight="1" x14ac:dyDescent="0.35">
      <c r="A227" s="12">
        <v>301329</v>
      </c>
      <c r="B227" s="63" t="str">
        <f>IFERROR(VLOOKUP(Tabla2[[#This Row],[CODIGO]],INVENTARIO!A:B,2,0)," ")</f>
        <v>Copla PE100 025mm EF</v>
      </c>
      <c r="C227" s="12">
        <v>10</v>
      </c>
      <c r="D227" s="13">
        <v>21780</v>
      </c>
      <c r="E227" s="75">
        <v>4500519248</v>
      </c>
      <c r="F227" s="9">
        <v>3567368</v>
      </c>
      <c r="G227" s="77">
        <v>46079</v>
      </c>
      <c r="H227" s="9" t="s">
        <v>166</v>
      </c>
      <c r="I227" s="9"/>
      <c r="J227" s="9"/>
      <c r="K227" s="9"/>
      <c r="L227" s="9"/>
      <c r="M227" s="9" t="s">
        <v>251</v>
      </c>
      <c r="N227" s="9" t="s">
        <v>197</v>
      </c>
      <c r="O227" s="9"/>
      <c r="P227" s="37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</row>
    <row r="228" spans="1:33" ht="14.25" customHeight="1" x14ac:dyDescent="0.35">
      <c r="A228" s="12">
        <v>2000350</v>
      </c>
      <c r="B228" s="63" t="str">
        <f>IFERROR(VLOOKUP(Tabla2[[#This Row],[CODIGO]],INVENTARIO!A:B,2,0)," ")</f>
        <v>Codo PE 90º  25 mm EF.</v>
      </c>
      <c r="C228" s="12">
        <v>5</v>
      </c>
      <c r="D228" s="13">
        <v>30660</v>
      </c>
      <c r="E228" s="75">
        <v>4500519248</v>
      </c>
      <c r="F228" s="9">
        <v>3567368</v>
      </c>
      <c r="G228" s="77">
        <v>46079</v>
      </c>
      <c r="H228" s="9" t="s">
        <v>166</v>
      </c>
      <c r="I228" s="9"/>
      <c r="J228" s="9"/>
      <c r="K228" s="9"/>
      <c r="L228" s="9"/>
      <c r="M228" s="9" t="s">
        <v>251</v>
      </c>
      <c r="N228" s="9" t="s">
        <v>197</v>
      </c>
      <c r="O228" s="9"/>
      <c r="P228" s="37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</row>
    <row r="229" spans="1:33" ht="14.25" customHeight="1" x14ac:dyDescent="0.35">
      <c r="A229" s="12">
        <v>301334</v>
      </c>
      <c r="B229" s="63" t="str">
        <f>IFERROR(VLOOKUP(Tabla2[[#This Row],[CODIGO]],INVENTARIO!A:B,2,0)," ")</f>
        <v>Codo PE100 90° 160mm TF</v>
      </c>
      <c r="C229" s="12">
        <v>4</v>
      </c>
      <c r="D229" s="13">
        <v>116240</v>
      </c>
      <c r="E229" s="75">
        <v>4500518168</v>
      </c>
      <c r="F229" s="9">
        <v>3567370</v>
      </c>
      <c r="G229" s="77">
        <v>46079</v>
      </c>
      <c r="H229" s="9" t="s">
        <v>166</v>
      </c>
      <c r="I229" s="9"/>
      <c r="J229" s="9"/>
      <c r="K229" s="9"/>
      <c r="L229" s="9"/>
      <c r="M229" s="9" t="s">
        <v>250</v>
      </c>
      <c r="N229" s="9" t="s">
        <v>193</v>
      </c>
      <c r="O229" s="9"/>
      <c r="P229" s="37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</row>
    <row r="230" spans="1:33" ht="14.25" customHeight="1" x14ac:dyDescent="0.35">
      <c r="A230" s="12">
        <v>300117</v>
      </c>
      <c r="B230" s="63" t="str">
        <f>IFERROR(VLOOKUP(Tabla2[[#This Row],[CODIGO]],INVENTARIO!A:B,2,0)," ")</f>
        <v>Copla PE100 160mm EF</v>
      </c>
      <c r="C230" s="12">
        <v>2</v>
      </c>
      <c r="D230" s="13">
        <v>16562</v>
      </c>
      <c r="E230" s="75">
        <v>4500519250</v>
      </c>
      <c r="F230" s="9">
        <v>3567369</v>
      </c>
      <c r="G230" s="77">
        <v>46079</v>
      </c>
      <c r="H230" s="9" t="s">
        <v>166</v>
      </c>
      <c r="I230" s="9"/>
      <c r="J230" s="9"/>
      <c r="K230" s="9"/>
      <c r="L230" s="9"/>
      <c r="M230" s="9" t="s">
        <v>250</v>
      </c>
      <c r="N230" s="9" t="s">
        <v>193</v>
      </c>
      <c r="O230" s="9"/>
      <c r="P230" s="37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</row>
    <row r="231" spans="1:33" ht="14.25" customHeight="1" x14ac:dyDescent="0.35">
      <c r="A231" s="12">
        <v>301334</v>
      </c>
      <c r="B231" s="63" t="str">
        <f>IFERROR(VLOOKUP(Tabla2[[#This Row],[CODIGO]],INVENTARIO!A:B,2,0)," ")</f>
        <v>Codo PE100 90° 160mm TF</v>
      </c>
      <c r="C231" s="12">
        <v>1</v>
      </c>
      <c r="D231" s="13">
        <v>29060</v>
      </c>
      <c r="E231" s="75">
        <v>4500519250</v>
      </c>
      <c r="F231" s="9">
        <v>3567369</v>
      </c>
      <c r="G231" s="77">
        <v>46079</v>
      </c>
      <c r="H231" s="9" t="s">
        <v>166</v>
      </c>
      <c r="I231" s="9"/>
      <c r="J231" s="9"/>
      <c r="K231" s="9"/>
      <c r="L231" s="9"/>
      <c r="M231" s="9" t="s">
        <v>250</v>
      </c>
      <c r="N231" s="9" t="s">
        <v>193</v>
      </c>
      <c r="O231" s="9"/>
      <c r="P231" s="37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</row>
    <row r="232" spans="1:33" ht="14.25" customHeight="1" x14ac:dyDescent="0.35">
      <c r="A232" s="12">
        <v>302992</v>
      </c>
      <c r="B232" s="63" t="str">
        <f>IFERROR(VLOOKUP(Tabla2[[#This Row],[CODIGO]],INVENTARIO!A:B,2,0)," ")</f>
        <v>Codo PE100 90° 050mm EF</v>
      </c>
      <c r="C232" s="12">
        <v>1</v>
      </c>
      <c r="D232" s="13">
        <v>5717</v>
      </c>
      <c r="E232" s="75">
        <v>4500519242</v>
      </c>
      <c r="F232" s="9">
        <v>3567367</v>
      </c>
      <c r="G232" s="77">
        <v>46079</v>
      </c>
      <c r="H232" s="9" t="s">
        <v>166</v>
      </c>
      <c r="I232" s="9"/>
      <c r="J232" s="9"/>
      <c r="K232" s="9"/>
      <c r="L232" s="9"/>
      <c r="M232" s="9" t="s">
        <v>348</v>
      </c>
      <c r="N232" s="9" t="s">
        <v>322</v>
      </c>
      <c r="O232" s="9"/>
      <c r="P232" s="37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</row>
    <row r="233" spans="1:33" ht="14.25" customHeight="1" x14ac:dyDescent="0.35">
      <c r="A233" s="12">
        <v>303345</v>
      </c>
      <c r="B233" s="63" t="str">
        <f>IFERROR(VLOOKUP(Tabla2[[#This Row],[CODIGO]],INVENTARIO!A:B,2,0)," ")</f>
        <v>Copla PE100 050mm EF</v>
      </c>
      <c r="C233" s="12">
        <v>2</v>
      </c>
      <c r="D233" s="13">
        <v>6604</v>
      </c>
      <c r="E233" s="75">
        <v>4500519236</v>
      </c>
      <c r="F233" s="9">
        <v>3567361</v>
      </c>
      <c r="G233" s="77">
        <v>46079</v>
      </c>
      <c r="H233" s="9" t="s">
        <v>166</v>
      </c>
      <c r="I233" s="9"/>
      <c r="J233" s="9"/>
      <c r="K233" s="9"/>
      <c r="L233" s="9"/>
      <c r="M233" s="9" t="s">
        <v>250</v>
      </c>
      <c r="N233" s="9" t="s">
        <v>322</v>
      </c>
      <c r="O233" s="9"/>
      <c r="P233" s="37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</row>
    <row r="234" spans="1:33" ht="14.25" customHeight="1" x14ac:dyDescent="0.35">
      <c r="A234" s="12">
        <v>2000350</v>
      </c>
      <c r="B234" s="63" t="str">
        <f>IFERROR(VLOOKUP(Tabla2[[#This Row],[CODIGO]],INVENTARIO!A:B,2,0)," ")</f>
        <v>Codo PE 90º  25 mm EF.</v>
      </c>
      <c r="C234" s="12">
        <v>1</v>
      </c>
      <c r="D234" s="13">
        <v>6132</v>
      </c>
      <c r="E234" s="75">
        <v>4500519239</v>
      </c>
      <c r="F234" s="9">
        <v>3567362</v>
      </c>
      <c r="G234" s="77">
        <v>46079</v>
      </c>
      <c r="H234" s="9" t="s">
        <v>166</v>
      </c>
      <c r="I234" s="9"/>
      <c r="J234" s="9"/>
      <c r="K234" s="9"/>
      <c r="L234" s="9"/>
      <c r="M234" s="9"/>
      <c r="N234" s="9" t="s">
        <v>204</v>
      </c>
      <c r="O234" s="9"/>
      <c r="P234" s="37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</row>
    <row r="235" spans="1:33" ht="14.25" customHeight="1" x14ac:dyDescent="0.35">
      <c r="A235" s="12">
        <v>301987</v>
      </c>
      <c r="B235" s="63" t="str">
        <f>IFERROR(VLOOKUP(Tabla2[[#This Row],[CODIGO]],INVENTARIO!A:B,2,0)," ")</f>
        <v>Codo PE100 90° 063mm EF</v>
      </c>
      <c r="C235" s="12">
        <v>3</v>
      </c>
      <c r="D235" s="13">
        <v>35331</v>
      </c>
      <c r="E235" s="75">
        <v>4500519233</v>
      </c>
      <c r="F235" s="9">
        <v>3567360</v>
      </c>
      <c r="G235" s="77">
        <v>46079</v>
      </c>
      <c r="H235" s="9" t="s">
        <v>166</v>
      </c>
      <c r="I235" s="9"/>
      <c r="J235" s="9"/>
      <c r="K235" s="9"/>
      <c r="L235" s="9"/>
      <c r="M235" s="9"/>
      <c r="N235" s="9" t="s">
        <v>200</v>
      </c>
      <c r="O235" s="9"/>
      <c r="P235" s="37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</row>
    <row r="236" spans="1:33" ht="14.25" customHeight="1" x14ac:dyDescent="0.35">
      <c r="A236" s="12">
        <v>301781</v>
      </c>
      <c r="B236" s="63" t="str">
        <f>IFERROR(VLOOKUP(Tabla2[[#This Row],[CODIGO]],INVENTARIO!A:B,2,0)," ")</f>
        <v>Reductor PE 50-32 mm Electro F.</v>
      </c>
      <c r="C236" s="12">
        <v>1</v>
      </c>
      <c r="D236" s="13">
        <v>3249</v>
      </c>
      <c r="E236" s="75">
        <v>4500519127</v>
      </c>
      <c r="F236" s="9">
        <v>3567322</v>
      </c>
      <c r="G236" s="77">
        <v>46077</v>
      </c>
      <c r="H236" s="9" t="s">
        <v>166</v>
      </c>
      <c r="I236" s="9"/>
      <c r="J236" s="9"/>
      <c r="K236" s="9"/>
      <c r="L236" s="9"/>
      <c r="M236" s="9"/>
      <c r="N236" s="9" t="s">
        <v>330</v>
      </c>
      <c r="O236" s="9"/>
      <c r="P236" s="37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</row>
    <row r="237" spans="1:33" ht="14.25" customHeight="1" x14ac:dyDescent="0.35">
      <c r="A237" s="12">
        <v>300820</v>
      </c>
      <c r="B237" s="63" t="str">
        <f>IFERROR(VLOOKUP(Tabla2[[#This Row],[CODIGO]],INVENTARIO!A:B,2,0)," ")</f>
        <v>Tubería PE80 160mm Tira</v>
      </c>
      <c r="C237" s="12">
        <v>384</v>
      </c>
      <c r="D237" s="13">
        <v>11682816</v>
      </c>
      <c r="E237" s="75">
        <v>4500519100</v>
      </c>
      <c r="F237" s="9">
        <v>3567326</v>
      </c>
      <c r="G237" s="77">
        <v>46078</v>
      </c>
      <c r="H237" s="9" t="s">
        <v>167</v>
      </c>
      <c r="I237" s="9"/>
      <c r="J237" s="9" t="s">
        <v>219</v>
      </c>
      <c r="K237" s="34">
        <v>45643</v>
      </c>
      <c r="L237" s="9"/>
      <c r="M237" s="9"/>
      <c r="N237" s="9" t="s">
        <v>341</v>
      </c>
      <c r="O237" s="9" t="s">
        <v>257</v>
      </c>
      <c r="P237" s="37">
        <v>1390181</v>
      </c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</row>
    <row r="238" spans="1:33" ht="14.25" customHeight="1" x14ac:dyDescent="0.35">
      <c r="A238" s="12">
        <v>301781</v>
      </c>
      <c r="B238" s="63" t="str">
        <f>IFERROR(VLOOKUP(Tabla2[[#This Row],[CODIGO]],INVENTARIO!A:B,2,0)," ")</f>
        <v>Reductor PE 50-32 mm Electro F.</v>
      </c>
      <c r="C238" s="12">
        <v>1</v>
      </c>
      <c r="D238" s="13">
        <v>3249</v>
      </c>
      <c r="E238" s="75">
        <v>4500519127</v>
      </c>
      <c r="F238" s="9">
        <v>3567322</v>
      </c>
      <c r="G238" s="77">
        <v>46077</v>
      </c>
      <c r="H238" s="9" t="s">
        <v>166</v>
      </c>
      <c r="I238" s="9"/>
      <c r="J238" s="9"/>
      <c r="K238" s="9"/>
      <c r="L238" s="9"/>
      <c r="M238" s="9"/>
      <c r="N238" s="9" t="s">
        <v>330</v>
      </c>
      <c r="O238" s="9"/>
      <c r="P238" s="37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</row>
    <row r="239" spans="1:33" ht="14.25" customHeight="1" x14ac:dyDescent="0.35">
      <c r="A239" s="12">
        <v>302065</v>
      </c>
      <c r="B239" s="63" t="str">
        <f>IFERROR(VLOOKUP(Tabla2[[#This Row],[CODIGO]],INVENTARIO!A:B,2,0)," ")</f>
        <v>Tubería PE80 110mm Tira</v>
      </c>
      <c r="C239" s="12">
        <v>276</v>
      </c>
      <c r="D239" s="13">
        <v>2923668</v>
      </c>
      <c r="E239" s="75">
        <v>4500518484</v>
      </c>
      <c r="F239" s="9">
        <v>3567325</v>
      </c>
      <c r="G239" s="77">
        <v>46078</v>
      </c>
      <c r="H239" s="9" t="s">
        <v>167</v>
      </c>
      <c r="I239" s="9"/>
      <c r="J239" s="9" t="s">
        <v>284</v>
      </c>
      <c r="K239" s="34">
        <v>45878</v>
      </c>
      <c r="L239" s="9" t="s">
        <v>240</v>
      </c>
      <c r="M239" s="9"/>
      <c r="N239" s="9" t="s">
        <v>200</v>
      </c>
      <c r="O239" s="9" t="s">
        <v>258</v>
      </c>
      <c r="P239" s="37">
        <v>1390180</v>
      </c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</row>
    <row r="240" spans="1:33" ht="14.25" customHeight="1" x14ac:dyDescent="0.35">
      <c r="A240" s="12">
        <v>301749</v>
      </c>
      <c r="B240" s="63" t="str">
        <f>IFERROR(VLOOKUP(Tabla2[[#This Row],[CODIGO]],INVENTARIO!A:B,2,0)," ")</f>
        <v>Tubería PE80 025mm Rollo</v>
      </c>
      <c r="C240" s="12">
        <v>50</v>
      </c>
      <c r="D240" s="13">
        <v>38250</v>
      </c>
      <c r="E240" s="75">
        <v>4500519100</v>
      </c>
      <c r="F240" s="9">
        <v>3567330</v>
      </c>
      <c r="G240" s="77">
        <v>46078</v>
      </c>
      <c r="H240" s="9" t="s">
        <v>167</v>
      </c>
      <c r="I240" s="9"/>
      <c r="J240" s="9" t="s">
        <v>340</v>
      </c>
      <c r="K240" s="34">
        <v>45604</v>
      </c>
      <c r="L240" s="9" t="s">
        <v>339</v>
      </c>
      <c r="M240" s="9"/>
      <c r="N240" s="9" t="s">
        <v>341</v>
      </c>
      <c r="O240" s="9" t="s">
        <v>257</v>
      </c>
      <c r="P240" s="37">
        <v>1390182</v>
      </c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</row>
    <row r="241" spans="1:33" ht="14.25" customHeight="1" x14ac:dyDescent="0.35">
      <c r="A241" s="12">
        <v>2005137</v>
      </c>
      <c r="B241" s="63" t="str">
        <f>IFERROR(VLOOKUP(Tabla2[[#This Row],[CODIGO]],INVENTARIO!A:B,2,0)," ")</f>
        <v>Tubo PVC 200 mm PN6 CG Amarillo</v>
      </c>
      <c r="C241" s="12">
        <v>1</v>
      </c>
      <c r="D241" s="13">
        <v>81879</v>
      </c>
      <c r="E241" s="75">
        <v>4500518484</v>
      </c>
      <c r="F241" s="9">
        <v>3567331</v>
      </c>
      <c r="G241" s="77">
        <v>46078</v>
      </c>
      <c r="H241" s="9" t="s">
        <v>167</v>
      </c>
      <c r="I241" s="9"/>
      <c r="J241" s="9" t="s">
        <v>218</v>
      </c>
      <c r="K241" s="34">
        <v>45745</v>
      </c>
      <c r="L241" s="9" t="s">
        <v>240</v>
      </c>
      <c r="M241" s="9"/>
      <c r="N241" s="9" t="s">
        <v>200</v>
      </c>
      <c r="O241" s="9" t="s">
        <v>258</v>
      </c>
      <c r="P241" s="37">
        <v>1390183</v>
      </c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</row>
    <row r="242" spans="1:33" ht="14.25" customHeight="1" x14ac:dyDescent="0.35">
      <c r="A242" s="12">
        <v>2002263</v>
      </c>
      <c r="B242" s="63" t="str">
        <f>IFERROR(VLOOKUP(Tabla2[[#This Row],[CODIGO]],INVENTARIO!A:B,2,0)," ")</f>
        <v>Tubería PE80 063mm Rollo</v>
      </c>
      <c r="C242" s="12">
        <v>100</v>
      </c>
      <c r="D242" s="13">
        <v>373300</v>
      </c>
      <c r="E242" s="75">
        <v>4500518484</v>
      </c>
      <c r="F242" s="9">
        <v>3567331</v>
      </c>
      <c r="G242" s="77">
        <v>46078</v>
      </c>
      <c r="H242" s="9" t="s">
        <v>167</v>
      </c>
      <c r="I242" s="9"/>
      <c r="J242" s="9" t="s">
        <v>218</v>
      </c>
      <c r="K242" s="34">
        <v>45745</v>
      </c>
      <c r="L242" s="9" t="s">
        <v>240</v>
      </c>
      <c r="M242" s="9"/>
      <c r="N242" s="9" t="s">
        <v>200</v>
      </c>
      <c r="O242" s="9" t="s">
        <v>258</v>
      </c>
      <c r="P242" s="37">
        <v>1390183</v>
      </c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</row>
    <row r="243" spans="1:33" ht="14.25" customHeight="1" x14ac:dyDescent="0.35">
      <c r="A243" s="12">
        <v>2005136</v>
      </c>
      <c r="B243" s="63" t="str">
        <f>IFERROR(VLOOKUP(Tabla2[[#This Row],[CODIGO]],INVENTARIO!A:B,2,0)," ")</f>
        <v>Tubo PVC 160 mm PN6 CG Amarillo</v>
      </c>
      <c r="C243" s="12">
        <v>1</v>
      </c>
      <c r="D243" s="13">
        <v>54504</v>
      </c>
      <c r="E243" s="75">
        <v>4500518959</v>
      </c>
      <c r="F243" s="9">
        <v>3567332</v>
      </c>
      <c r="G243" s="77">
        <v>46078</v>
      </c>
      <c r="H243" s="9" t="s">
        <v>167</v>
      </c>
      <c r="I243" s="9"/>
      <c r="J243" s="9"/>
      <c r="K243" s="9"/>
      <c r="L243" s="9"/>
      <c r="M243" s="9"/>
      <c r="N243" s="9" t="s">
        <v>201</v>
      </c>
      <c r="O243" s="9" t="s">
        <v>258</v>
      </c>
      <c r="P243" s="37">
        <v>1390184</v>
      </c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</row>
    <row r="244" spans="1:33" ht="14.25" customHeight="1" x14ac:dyDescent="0.35">
      <c r="A244" s="12">
        <v>301099</v>
      </c>
      <c r="B244" s="63" t="str">
        <f>IFERROR(VLOOKUP(Tabla2[[#This Row],[CODIGO]],INVENTARIO!A:B,2,0)," ")</f>
        <v>Válvula PE100 Dn 25mm</v>
      </c>
      <c r="C244" s="12">
        <v>1</v>
      </c>
      <c r="D244" s="13"/>
      <c r="E244" s="75"/>
      <c r="F244" s="9">
        <v>308</v>
      </c>
      <c r="G244" s="77">
        <v>46077</v>
      </c>
      <c r="H244" s="9" t="s">
        <v>181</v>
      </c>
      <c r="I244" s="9"/>
      <c r="J244" s="9"/>
      <c r="K244" s="9"/>
      <c r="L244" s="9"/>
      <c r="M244" s="9"/>
      <c r="N244" s="9" t="s">
        <v>325</v>
      </c>
      <c r="O244" s="9"/>
      <c r="P244" s="37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</row>
    <row r="245" spans="1:33" ht="14.25" customHeight="1" x14ac:dyDescent="0.35">
      <c r="A245" s="12">
        <v>300712</v>
      </c>
      <c r="B245" s="63" t="str">
        <f>IFERROR(VLOOKUP(Tabla2[[#This Row],[CODIGO]],INVENTARIO!A:B,2,0)," ")</f>
        <v>Tapa PE  025 mm Termo F.</v>
      </c>
      <c r="C245" s="12">
        <v>1</v>
      </c>
      <c r="D245" s="13"/>
      <c r="E245" s="75"/>
      <c r="F245" s="9">
        <v>308</v>
      </c>
      <c r="G245" s="77">
        <v>46077</v>
      </c>
      <c r="H245" s="9" t="s">
        <v>181</v>
      </c>
      <c r="I245" s="9"/>
      <c r="J245" s="9"/>
      <c r="K245" s="9"/>
      <c r="L245" s="9"/>
      <c r="M245" s="9"/>
      <c r="N245" s="9" t="s">
        <v>325</v>
      </c>
      <c r="O245" s="9"/>
      <c r="P245" s="37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</row>
    <row r="246" spans="1:33" ht="14.25" customHeight="1" x14ac:dyDescent="0.35">
      <c r="A246" s="12">
        <v>301329</v>
      </c>
      <c r="B246" s="63" t="str">
        <f>IFERROR(VLOOKUP(Tabla2[[#This Row],[CODIGO]],INVENTARIO!A:B,2,0)," ")</f>
        <v>Copla PE100 025mm EF</v>
      </c>
      <c r="C246" s="12">
        <v>3</v>
      </c>
      <c r="D246" s="13"/>
      <c r="E246" s="75"/>
      <c r="F246" s="9">
        <v>308</v>
      </c>
      <c r="G246" s="77">
        <v>46077</v>
      </c>
      <c r="H246" s="9" t="s">
        <v>181</v>
      </c>
      <c r="I246" s="9"/>
      <c r="J246" s="9"/>
      <c r="K246" s="9"/>
      <c r="L246" s="9"/>
      <c r="M246" s="9"/>
      <c r="N246" s="9" t="s">
        <v>325</v>
      </c>
      <c r="O246" s="9"/>
      <c r="P246" s="37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</row>
    <row r="247" spans="1:33" ht="14.25" customHeight="1" x14ac:dyDescent="0.35">
      <c r="A247" s="12">
        <v>101624</v>
      </c>
      <c r="B247" s="63" t="str">
        <f>IFERROR(VLOOKUP(Tabla2[[#This Row],[CODIGO]],INVENTARIO!A:B,2,0)," ")</f>
        <v>Tapping Tee PE 50-25 mm</v>
      </c>
      <c r="C247" s="12">
        <v>1</v>
      </c>
      <c r="D247" s="13"/>
      <c r="E247" s="75"/>
      <c r="F247" s="9">
        <v>308</v>
      </c>
      <c r="G247" s="77">
        <v>46077</v>
      </c>
      <c r="H247" s="9" t="s">
        <v>181</v>
      </c>
      <c r="I247" s="9"/>
      <c r="J247" s="9"/>
      <c r="K247" s="9"/>
      <c r="L247" s="9"/>
      <c r="M247" s="9"/>
      <c r="N247" s="9" t="s">
        <v>325</v>
      </c>
      <c r="O247" s="9"/>
      <c r="P247" s="37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</row>
    <row r="248" spans="1:33" ht="14.25" customHeight="1" x14ac:dyDescent="0.35">
      <c r="A248" s="12">
        <v>301749</v>
      </c>
      <c r="B248" s="63" t="str">
        <f>IFERROR(VLOOKUP(Tabla2[[#This Row],[CODIGO]],INVENTARIO!A:B,2,0)," ")</f>
        <v>Tubería PE80 025mm Rollo</v>
      </c>
      <c r="C248" s="12">
        <v>3</v>
      </c>
      <c r="D248" s="13"/>
      <c r="E248" s="75"/>
      <c r="F248" s="9">
        <v>308</v>
      </c>
      <c r="G248" s="77">
        <v>46077</v>
      </c>
      <c r="H248" s="9" t="s">
        <v>181</v>
      </c>
      <c r="I248" s="9"/>
      <c r="J248" s="9"/>
      <c r="K248" s="9"/>
      <c r="L248" s="9"/>
      <c r="M248" s="9"/>
      <c r="N248" s="9" t="s">
        <v>325</v>
      </c>
      <c r="O248" s="9"/>
      <c r="P248" s="37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</row>
    <row r="249" spans="1:33" ht="14.25" customHeight="1" x14ac:dyDescent="0.35">
      <c r="A249" s="12">
        <v>1002167</v>
      </c>
      <c r="B249" s="63" t="str">
        <f>IFERROR(VLOOKUP(Tabla2[[#This Row],[CODIGO]],INVENTARIO!A:B,2,0)," ")</f>
        <v>Cable Trazador Cu 14 AWG Aisl. THW Roj</v>
      </c>
      <c r="C249" s="12">
        <v>200</v>
      </c>
      <c r="D249" s="13"/>
      <c r="E249" s="75"/>
      <c r="F249" s="9">
        <v>1000</v>
      </c>
      <c r="G249" s="77">
        <v>46073</v>
      </c>
      <c r="H249" s="9" t="s">
        <v>181</v>
      </c>
      <c r="I249" s="9"/>
      <c r="J249" s="9"/>
      <c r="K249" s="9"/>
      <c r="L249" s="9"/>
      <c r="M249" s="9"/>
      <c r="N249" s="9" t="s">
        <v>201</v>
      </c>
      <c r="O249" s="9"/>
      <c r="P249" s="37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</row>
    <row r="250" spans="1:33" ht="14.25" customHeight="1" x14ac:dyDescent="0.35">
      <c r="A250" s="12">
        <v>303368</v>
      </c>
      <c r="B250" s="63" t="str">
        <f>IFERROR(VLOOKUP(Tabla2[[#This Row],[CODIGO]],INVENTARIO!A:B,2,0)," ")</f>
        <v>Cinta Plástica "Línea GN", 30 x 0.1</v>
      </c>
      <c r="C250" s="12">
        <v>100</v>
      </c>
      <c r="D250" s="13"/>
      <c r="E250" s="75"/>
      <c r="F250" s="9">
        <v>1000</v>
      </c>
      <c r="G250" s="77">
        <v>46073</v>
      </c>
      <c r="H250" s="9" t="s">
        <v>181</v>
      </c>
      <c r="I250" s="9"/>
      <c r="J250" s="9"/>
      <c r="K250" s="9"/>
      <c r="L250" s="9"/>
      <c r="M250" s="9"/>
      <c r="N250" s="9" t="s">
        <v>201</v>
      </c>
      <c r="O250" s="9"/>
      <c r="P250" s="37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</row>
    <row r="251" spans="1:33" ht="14.25" customHeight="1" x14ac:dyDescent="0.35">
      <c r="A251" s="12">
        <v>300108</v>
      </c>
      <c r="B251" s="63" t="str">
        <f>IFERROR(VLOOKUP(Tabla2[[#This Row],[CODIGO]],INVENTARIO!A:B,2,0)," ")</f>
        <v>Tapping Tee PE 63-25 mm</v>
      </c>
      <c r="C251" s="12">
        <v>1</v>
      </c>
      <c r="D251" s="13">
        <v>16107</v>
      </c>
      <c r="E251" s="75">
        <v>4500518312</v>
      </c>
      <c r="F251" s="9">
        <v>3567288</v>
      </c>
      <c r="G251" s="77">
        <v>46073</v>
      </c>
      <c r="H251" s="9" t="s">
        <v>166</v>
      </c>
      <c r="I251" s="9"/>
      <c r="J251" s="9"/>
      <c r="K251" s="9"/>
      <c r="L251" s="9"/>
      <c r="M251" s="9"/>
      <c r="N251" s="9" t="s">
        <v>202</v>
      </c>
      <c r="O251" s="9"/>
      <c r="P251" s="37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</row>
    <row r="252" spans="1:33" ht="14.25" customHeight="1" x14ac:dyDescent="0.35">
      <c r="A252" s="12">
        <v>2000350</v>
      </c>
      <c r="B252" s="63" t="str">
        <f>IFERROR(VLOOKUP(Tabla2[[#This Row],[CODIGO]],INVENTARIO!A:B,2,0)," ")</f>
        <v>Codo PE 90º  25 mm EF.</v>
      </c>
      <c r="C252" s="12">
        <v>1</v>
      </c>
      <c r="D252" s="13">
        <v>6132</v>
      </c>
      <c r="E252" s="75">
        <v>4500518312</v>
      </c>
      <c r="F252" s="9">
        <v>3567288</v>
      </c>
      <c r="G252" s="77">
        <v>46073</v>
      </c>
      <c r="H252" s="9" t="s">
        <v>166</v>
      </c>
      <c r="I252" s="9"/>
      <c r="J252" s="9"/>
      <c r="K252" s="9"/>
      <c r="L252" s="9"/>
      <c r="M252" s="9"/>
      <c r="N252" s="9" t="s">
        <v>202</v>
      </c>
      <c r="O252" s="9"/>
      <c r="P252" s="37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</row>
    <row r="253" spans="1:33" ht="14.25" customHeight="1" x14ac:dyDescent="0.35">
      <c r="A253" s="12">
        <v>300109</v>
      </c>
      <c r="B253" s="63" t="str">
        <f>IFERROR(VLOOKUP(Tabla2[[#This Row],[CODIGO]],INVENTARIO!A:B,2,0)," ")</f>
        <v>Risers de Acero 3/4" Bsp x 25 mm</v>
      </c>
      <c r="C253" s="12">
        <v>1</v>
      </c>
      <c r="D253" s="13">
        <v>30001</v>
      </c>
      <c r="E253" s="75">
        <v>4500518312</v>
      </c>
      <c r="F253" s="9">
        <v>3567288</v>
      </c>
      <c r="G253" s="77">
        <v>46073</v>
      </c>
      <c r="H253" s="9" t="s">
        <v>166</v>
      </c>
      <c r="I253" s="9"/>
      <c r="J253" s="9"/>
      <c r="K253" s="9"/>
      <c r="L253" s="9"/>
      <c r="M253" s="9"/>
      <c r="N253" s="9" t="s">
        <v>202</v>
      </c>
      <c r="O253" s="9"/>
      <c r="P253" s="37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</row>
    <row r="254" spans="1:33" ht="14.25" customHeight="1" x14ac:dyDescent="0.35">
      <c r="A254" s="12">
        <v>302338</v>
      </c>
      <c r="B254" s="63" t="str">
        <f>IFERROR(VLOOKUP(Tabla2[[#This Row],[CODIGO]],INVENTARIO!A:B,2,0)," ")</f>
        <v>Codo PE100 45° 110mm EF</v>
      </c>
      <c r="C254" s="12">
        <v>3</v>
      </c>
      <c r="D254" s="13">
        <v>31311</v>
      </c>
      <c r="E254" s="75">
        <v>4500518484</v>
      </c>
      <c r="F254" s="9">
        <v>3567289</v>
      </c>
      <c r="G254" s="77">
        <v>46073</v>
      </c>
      <c r="H254" s="9" t="s">
        <v>166</v>
      </c>
      <c r="I254" s="9"/>
      <c r="J254" s="9"/>
      <c r="K254" s="9"/>
      <c r="L254" s="9"/>
      <c r="M254" s="9"/>
      <c r="N254" s="9" t="s">
        <v>200</v>
      </c>
      <c r="O254" s="9"/>
      <c r="P254" s="37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</row>
    <row r="255" spans="1:33" ht="14.25" customHeight="1" x14ac:dyDescent="0.35">
      <c r="A255" s="12">
        <v>303017</v>
      </c>
      <c r="B255" s="63" t="str">
        <f>IFERROR(VLOOKUP(Tabla2[[#This Row],[CODIGO]],INVENTARIO!A:B,2,0)," ")</f>
        <v>Codo PE100 90° 110mm EF</v>
      </c>
      <c r="C255" s="12">
        <v>5</v>
      </c>
      <c r="D255" s="13">
        <v>158460</v>
      </c>
      <c r="E255" s="75">
        <v>4500518484</v>
      </c>
      <c r="F255" s="9">
        <v>3567289</v>
      </c>
      <c r="G255" s="77">
        <v>46073</v>
      </c>
      <c r="H255" s="9" t="s">
        <v>166</v>
      </c>
      <c r="I255" s="9"/>
      <c r="J255" s="9"/>
      <c r="K255" s="9"/>
      <c r="L255" s="9"/>
      <c r="M255" s="9"/>
      <c r="N255" s="9" t="s">
        <v>200</v>
      </c>
      <c r="O255" s="9"/>
      <c r="P255" s="37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</row>
    <row r="256" spans="1:33" ht="14.25" customHeight="1" x14ac:dyDescent="0.35">
      <c r="A256" s="12">
        <v>303015</v>
      </c>
      <c r="B256" s="63" t="str">
        <f>IFERROR(VLOOKUP(Tabla2[[#This Row],[CODIGO]],INVENTARIO!A:B,2,0)," ")</f>
        <v>Tee PE 110 mm Electro F.</v>
      </c>
      <c r="C256" s="12">
        <v>2</v>
      </c>
      <c r="D256" s="13">
        <v>44320</v>
      </c>
      <c r="E256" s="75">
        <v>4500518484</v>
      </c>
      <c r="F256" s="9">
        <v>3567289</v>
      </c>
      <c r="G256" s="77">
        <v>46073</v>
      </c>
      <c r="H256" s="9" t="s">
        <v>166</v>
      </c>
      <c r="I256" s="9"/>
      <c r="J256" s="9"/>
      <c r="K256" s="9"/>
      <c r="L256" s="9"/>
      <c r="M256" s="9"/>
      <c r="N256" s="9" t="s">
        <v>200</v>
      </c>
      <c r="O256" s="9"/>
      <c r="P256" s="37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</row>
    <row r="257" spans="1:33" ht="14.25" customHeight="1" x14ac:dyDescent="0.35">
      <c r="A257" s="12">
        <v>301685</v>
      </c>
      <c r="B257" s="63" t="str">
        <f>IFERROR(VLOOKUP(Tabla2[[#This Row],[CODIGO]],INVENTARIO!A:B,2,0)," ")</f>
        <v>Reductor PE100 110-63 mm TF.</v>
      </c>
      <c r="C257" s="12">
        <v>1</v>
      </c>
      <c r="D257" s="13">
        <v>5263</v>
      </c>
      <c r="E257" s="75">
        <v>4500518484</v>
      </c>
      <c r="F257" s="9">
        <v>3567289</v>
      </c>
      <c r="G257" s="77">
        <v>46073</v>
      </c>
      <c r="H257" s="9" t="s">
        <v>166</v>
      </c>
      <c r="I257" s="9"/>
      <c r="J257" s="9"/>
      <c r="K257" s="9"/>
      <c r="L257" s="9"/>
      <c r="M257" s="9"/>
      <c r="N257" s="9" t="s">
        <v>200</v>
      </c>
      <c r="O257" s="9"/>
      <c r="P257" s="37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</row>
    <row r="258" spans="1:33" ht="14.25" customHeight="1" x14ac:dyDescent="0.35">
      <c r="A258" s="12">
        <v>302317</v>
      </c>
      <c r="B258" s="63" t="str">
        <f>IFERROR(VLOOKUP(Tabla2[[#This Row],[CODIGO]],INVENTARIO!A:B,2,0)," ")</f>
        <v>Tapa PE 110 mm Termo F.</v>
      </c>
      <c r="C258" s="12">
        <v>2</v>
      </c>
      <c r="D258" s="13">
        <v>19504</v>
      </c>
      <c r="E258" s="75">
        <v>4500518484</v>
      </c>
      <c r="F258" s="9">
        <v>3567289</v>
      </c>
      <c r="G258" s="77">
        <v>46073</v>
      </c>
      <c r="H258" s="9" t="s">
        <v>166</v>
      </c>
      <c r="I258" s="9"/>
      <c r="J258" s="9"/>
      <c r="K258" s="9"/>
      <c r="L258" s="9"/>
      <c r="M258" s="9"/>
      <c r="N258" s="9" t="s">
        <v>200</v>
      </c>
      <c r="O258" s="9"/>
      <c r="P258" s="37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</row>
    <row r="259" spans="1:33" ht="14.25" customHeight="1" x14ac:dyDescent="0.35">
      <c r="A259" s="12">
        <v>302659</v>
      </c>
      <c r="B259" s="63" t="str">
        <f>IFERROR(VLOOKUP(Tabla2[[#This Row],[CODIGO]],INVENTARIO!A:B,2,0)," ")</f>
        <v>Copla PE100 063mm EF</v>
      </c>
      <c r="C259" s="12">
        <v>6</v>
      </c>
      <c r="D259" s="13">
        <v>27768</v>
      </c>
      <c r="E259" s="75">
        <v>4500518484</v>
      </c>
      <c r="F259" s="9">
        <v>3567289</v>
      </c>
      <c r="G259" s="77">
        <v>46073</v>
      </c>
      <c r="H259" s="9" t="s">
        <v>166</v>
      </c>
      <c r="I259" s="9"/>
      <c r="J259" s="9"/>
      <c r="K259" s="9"/>
      <c r="L259" s="9"/>
      <c r="M259" s="9"/>
      <c r="N259" s="9" t="s">
        <v>200</v>
      </c>
      <c r="O259" s="9"/>
      <c r="P259" s="37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</row>
    <row r="260" spans="1:33" ht="14.25" customHeight="1" x14ac:dyDescent="0.35">
      <c r="A260" s="12">
        <v>302991</v>
      </c>
      <c r="B260" s="63" t="str">
        <f>IFERROR(VLOOKUP(Tabla2[[#This Row],[CODIGO]],INVENTARIO!A:B,2,0)," ")</f>
        <v>Copla PE100 110mm EF</v>
      </c>
      <c r="C260" s="12">
        <v>13</v>
      </c>
      <c r="D260" s="13">
        <v>140283</v>
      </c>
      <c r="E260" s="75">
        <v>4500518484</v>
      </c>
      <c r="F260" s="9">
        <v>3567289</v>
      </c>
      <c r="G260" s="77">
        <v>46073</v>
      </c>
      <c r="H260" s="9" t="s">
        <v>166</v>
      </c>
      <c r="I260" s="9"/>
      <c r="J260" s="9"/>
      <c r="K260" s="9"/>
      <c r="L260" s="9"/>
      <c r="M260" s="9"/>
      <c r="N260" s="9" t="s">
        <v>200</v>
      </c>
      <c r="O260" s="9"/>
      <c r="P260" s="37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</row>
    <row r="261" spans="1:33" ht="14.25" customHeight="1" x14ac:dyDescent="0.35">
      <c r="A261" s="12">
        <v>301666</v>
      </c>
      <c r="B261" s="63" t="str">
        <f>IFERROR(VLOOKUP(Tabla2[[#This Row],[CODIGO]],INVENTARIO!A:B,2,0)," ")</f>
        <v>Tapping Tee PE 110-25 mm</v>
      </c>
      <c r="C261" s="12">
        <v>7</v>
      </c>
      <c r="D261" s="13">
        <v>84588</v>
      </c>
      <c r="E261" s="75">
        <v>4500518484</v>
      </c>
      <c r="F261" s="9">
        <v>3567289</v>
      </c>
      <c r="G261" s="77">
        <v>46073</v>
      </c>
      <c r="H261" s="9" t="s">
        <v>166</v>
      </c>
      <c r="I261" s="9"/>
      <c r="J261" s="9"/>
      <c r="K261" s="9"/>
      <c r="L261" s="9"/>
      <c r="M261" s="9"/>
      <c r="N261" s="9" t="s">
        <v>200</v>
      </c>
      <c r="O261" s="9"/>
      <c r="P261" s="37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</row>
    <row r="262" spans="1:33" ht="14.25" customHeight="1" x14ac:dyDescent="0.35">
      <c r="A262" s="12">
        <v>2003911</v>
      </c>
      <c r="B262" s="63" t="str">
        <f>IFERROR(VLOOKUP(Tabla2[[#This Row],[CODIGO]],INVENTARIO!A:B,2,0)," ")</f>
        <v>Válvula EFv PE 25 mm Para Tap. Tee</v>
      </c>
      <c r="C262" s="12">
        <v>13</v>
      </c>
      <c r="D262" s="13">
        <v>93002</v>
      </c>
      <c r="E262" s="75">
        <v>4500518484</v>
      </c>
      <c r="F262" s="9">
        <v>3567289</v>
      </c>
      <c r="G262" s="77">
        <v>46073</v>
      </c>
      <c r="H262" s="9" t="s">
        <v>166</v>
      </c>
      <c r="I262" s="9"/>
      <c r="J262" s="9"/>
      <c r="K262" s="9"/>
      <c r="L262" s="9"/>
      <c r="M262" s="9"/>
      <c r="N262" s="9" t="s">
        <v>200</v>
      </c>
      <c r="O262" s="9"/>
      <c r="P262" s="37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</row>
    <row r="263" spans="1:33" ht="14.25" customHeight="1" x14ac:dyDescent="0.35">
      <c r="A263" s="12">
        <v>301329</v>
      </c>
      <c r="B263" s="63" t="str">
        <f>IFERROR(VLOOKUP(Tabla2[[#This Row],[CODIGO]],INVENTARIO!A:B,2,0)," ")</f>
        <v>Copla PE100 025mm EF</v>
      </c>
      <c r="C263" s="12">
        <v>38</v>
      </c>
      <c r="D263" s="13">
        <v>82764</v>
      </c>
      <c r="E263" s="75">
        <v>4500518484</v>
      </c>
      <c r="F263" s="9">
        <v>3567289</v>
      </c>
      <c r="G263" s="77">
        <v>46073</v>
      </c>
      <c r="H263" s="9" t="s">
        <v>166</v>
      </c>
      <c r="I263" s="9"/>
      <c r="J263" s="9"/>
      <c r="K263" s="9"/>
      <c r="L263" s="9"/>
      <c r="M263" s="9"/>
      <c r="N263" s="9" t="s">
        <v>200</v>
      </c>
      <c r="O263" s="9"/>
      <c r="P263" s="37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</row>
    <row r="264" spans="1:33" ht="14.25" customHeight="1" x14ac:dyDescent="0.35">
      <c r="A264" s="12">
        <v>300109</v>
      </c>
      <c r="B264" s="63" t="str">
        <f>IFERROR(VLOOKUP(Tabla2[[#This Row],[CODIGO]],INVENTARIO!A:B,2,0)," ")</f>
        <v>Risers de Acero 3/4" Bsp x 25 mm</v>
      </c>
      <c r="C264" s="12">
        <v>17</v>
      </c>
      <c r="D264" s="13">
        <v>510017</v>
      </c>
      <c r="E264" s="75">
        <v>4500518484</v>
      </c>
      <c r="F264" s="9">
        <v>3567289</v>
      </c>
      <c r="G264" s="77">
        <v>46073</v>
      </c>
      <c r="H264" s="9" t="s">
        <v>166</v>
      </c>
      <c r="I264" s="9"/>
      <c r="J264" s="9"/>
      <c r="K264" s="9"/>
      <c r="L264" s="9"/>
      <c r="M264" s="9"/>
      <c r="N264" s="9" t="s">
        <v>200</v>
      </c>
      <c r="O264" s="9"/>
      <c r="P264" s="37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</row>
    <row r="265" spans="1:33" ht="14.25" customHeight="1" x14ac:dyDescent="0.35">
      <c r="A265" s="12">
        <v>2003736</v>
      </c>
      <c r="B265" s="63" t="str">
        <f>IFERROR(VLOOKUP(Tabla2[[#This Row],[CODIGO]],INVENTARIO!A:B,2,0)," ")</f>
        <v>Válvula PE100 Dn 110mm</v>
      </c>
      <c r="C265" s="12">
        <v>1</v>
      </c>
      <c r="D265" s="13">
        <v>174362</v>
      </c>
      <c r="E265" s="75">
        <v>4500518484</v>
      </c>
      <c r="F265" s="9">
        <v>3567289</v>
      </c>
      <c r="G265" s="77">
        <v>46073</v>
      </c>
      <c r="H265" s="9" t="s">
        <v>166</v>
      </c>
      <c r="I265" s="9"/>
      <c r="J265" s="9"/>
      <c r="K265" s="9"/>
      <c r="L265" s="9"/>
      <c r="M265" s="9"/>
      <c r="N265" s="9" t="s">
        <v>200</v>
      </c>
      <c r="O265" s="9"/>
      <c r="P265" s="37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</row>
    <row r="266" spans="1:33" ht="14.25" customHeight="1" x14ac:dyDescent="0.35">
      <c r="A266" s="12">
        <v>300712</v>
      </c>
      <c r="B266" s="63" t="str">
        <f>IFERROR(VLOOKUP(Tabla2[[#This Row],[CODIGO]],INVENTARIO!A:B,2,0)," ")</f>
        <v>Tapa PE  025 mm Termo F.</v>
      </c>
      <c r="C266" s="12">
        <v>4</v>
      </c>
      <c r="D266" s="13">
        <v>5492</v>
      </c>
      <c r="E266" s="75">
        <v>4500518484</v>
      </c>
      <c r="F266" s="9">
        <v>3567289</v>
      </c>
      <c r="G266" s="77">
        <v>46073</v>
      </c>
      <c r="H266" s="9" t="s">
        <v>166</v>
      </c>
      <c r="I266" s="9"/>
      <c r="J266" s="9"/>
      <c r="K266" s="9"/>
      <c r="L266" s="9"/>
      <c r="M266" s="9"/>
      <c r="N266" s="9" t="s">
        <v>200</v>
      </c>
      <c r="O266" s="9"/>
      <c r="P266" s="37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</row>
    <row r="267" spans="1:33" ht="14.25" customHeight="1" x14ac:dyDescent="0.35">
      <c r="A267" s="12">
        <v>300108</v>
      </c>
      <c r="B267" s="63" t="str">
        <f>IFERROR(VLOOKUP(Tabla2[[#This Row],[CODIGO]],INVENTARIO!A:B,2,0)," ")</f>
        <v>Tapping Tee PE 63-25 mm</v>
      </c>
      <c r="C267" s="12">
        <v>10</v>
      </c>
      <c r="D267" s="13">
        <v>161070</v>
      </c>
      <c r="E267" s="75">
        <v>4500518484</v>
      </c>
      <c r="F267" s="9">
        <v>3567289</v>
      </c>
      <c r="G267" s="77">
        <v>46073</v>
      </c>
      <c r="H267" s="9" t="s">
        <v>166</v>
      </c>
      <c r="I267" s="9"/>
      <c r="J267" s="9"/>
      <c r="K267" s="9"/>
      <c r="L267" s="9"/>
      <c r="M267" s="9"/>
      <c r="N267" s="9" t="s">
        <v>200</v>
      </c>
      <c r="O267" s="9"/>
      <c r="P267" s="37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</row>
    <row r="268" spans="1:33" ht="14.25" customHeight="1" x14ac:dyDescent="0.35">
      <c r="A268" s="12">
        <v>2003965</v>
      </c>
      <c r="B268" s="63" t="str">
        <f>IFERROR(VLOOKUP(Tabla2[[#This Row],[CODIGO]],INVENTARIO!A:B,2,0)," ")</f>
        <v>Válvula PE100 Dn 63mm</v>
      </c>
      <c r="C268" s="12">
        <v>1</v>
      </c>
      <c r="D268" s="13">
        <v>78642</v>
      </c>
      <c r="E268" s="75">
        <v>4500518484</v>
      </c>
      <c r="F268" s="9">
        <v>3567289</v>
      </c>
      <c r="G268" s="77">
        <v>46073</v>
      </c>
      <c r="H268" s="9" t="s">
        <v>166</v>
      </c>
      <c r="I268" s="9"/>
      <c r="J268" s="9"/>
      <c r="K268" s="9"/>
      <c r="L268" s="9"/>
      <c r="M268" s="9"/>
      <c r="N268" s="9" t="s">
        <v>200</v>
      </c>
      <c r="O268" s="9"/>
      <c r="P268" s="37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</row>
    <row r="269" spans="1:33" ht="14.25" customHeight="1" x14ac:dyDescent="0.35">
      <c r="A269" s="12">
        <v>2000350</v>
      </c>
      <c r="B269" s="63" t="str">
        <f>IFERROR(VLOOKUP(Tabla2[[#This Row],[CODIGO]],INVENTARIO!A:B,2,0)," ")</f>
        <v>Codo PE 90º  25 mm EF.</v>
      </c>
      <c r="C269" s="12">
        <v>2</v>
      </c>
      <c r="D269" s="13">
        <v>12264</v>
      </c>
      <c r="E269" s="75">
        <v>4500518486</v>
      </c>
      <c r="F269" s="9">
        <v>3567290</v>
      </c>
      <c r="G269" s="77">
        <v>46073</v>
      </c>
      <c r="H269" s="9" t="s">
        <v>166</v>
      </c>
      <c r="I269" s="9"/>
      <c r="J269" s="9"/>
      <c r="K269" s="9"/>
      <c r="L269" s="9"/>
      <c r="M269" s="9"/>
      <c r="N269" s="9" t="s">
        <v>192</v>
      </c>
      <c r="O269" s="9"/>
      <c r="P269" s="37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</row>
    <row r="270" spans="1:33" ht="14.25" customHeight="1" x14ac:dyDescent="0.35">
      <c r="A270" s="12">
        <v>301329</v>
      </c>
      <c r="B270" s="63" t="str">
        <f>IFERROR(VLOOKUP(Tabla2[[#This Row],[CODIGO]],INVENTARIO!A:B,2,0)," ")</f>
        <v>Copla PE100 025mm EF</v>
      </c>
      <c r="C270" s="12">
        <v>2</v>
      </c>
      <c r="D270" s="13">
        <v>4356</v>
      </c>
      <c r="E270" s="75">
        <v>4500518486</v>
      </c>
      <c r="F270" s="9">
        <v>3567290</v>
      </c>
      <c r="G270" s="77">
        <v>46073</v>
      </c>
      <c r="H270" s="9" t="s">
        <v>166</v>
      </c>
      <c r="I270" s="9"/>
      <c r="J270" s="9"/>
      <c r="K270" s="9"/>
      <c r="L270" s="9"/>
      <c r="M270" s="9"/>
      <c r="N270" s="9" t="s">
        <v>192</v>
      </c>
      <c r="O270" s="9"/>
      <c r="P270" s="37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</row>
    <row r="271" spans="1:33" ht="14.25" customHeight="1" x14ac:dyDescent="0.35">
      <c r="A271" s="12">
        <v>301099</v>
      </c>
      <c r="B271" s="63" t="str">
        <f>IFERROR(VLOOKUP(Tabla2[[#This Row],[CODIGO]],INVENTARIO!A:B,2,0)," ")</f>
        <v>Válvula PE100 Dn 25mm</v>
      </c>
      <c r="C271" s="12">
        <v>1</v>
      </c>
      <c r="D271" s="13">
        <v>64303</v>
      </c>
      <c r="E271" s="75">
        <v>4500518486</v>
      </c>
      <c r="F271" s="9">
        <v>3567290</v>
      </c>
      <c r="G271" s="77">
        <v>46073</v>
      </c>
      <c r="H271" s="9" t="s">
        <v>166</v>
      </c>
      <c r="I271" s="9"/>
      <c r="J271" s="9"/>
      <c r="K271" s="9"/>
      <c r="L271" s="9"/>
      <c r="M271" s="9"/>
      <c r="N271" s="9" t="s">
        <v>192</v>
      </c>
      <c r="O271" s="9"/>
      <c r="P271" s="37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</row>
    <row r="272" spans="1:33" ht="14.25" customHeight="1" x14ac:dyDescent="0.35">
      <c r="A272" s="12">
        <v>101624</v>
      </c>
      <c r="B272" s="63" t="str">
        <f>IFERROR(VLOOKUP(Tabla2[[#This Row],[CODIGO]],INVENTARIO!A:B,2,0)," ")</f>
        <v>Tapping Tee PE 50-25 mm</v>
      </c>
      <c r="C272" s="12">
        <v>8</v>
      </c>
      <c r="D272" s="13">
        <v>124800</v>
      </c>
      <c r="E272" s="75">
        <v>4500518602</v>
      </c>
      <c r="F272" s="9">
        <v>3567291</v>
      </c>
      <c r="G272" s="77">
        <v>46073</v>
      </c>
      <c r="H272" s="9" t="s">
        <v>166</v>
      </c>
      <c r="I272" s="9"/>
      <c r="J272" s="9"/>
      <c r="K272" s="9"/>
      <c r="L272" s="9"/>
      <c r="M272" s="9"/>
      <c r="N272" s="9" t="s">
        <v>194</v>
      </c>
      <c r="O272" s="9"/>
      <c r="P272" s="37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</row>
    <row r="273" spans="1:33" ht="14.25" customHeight="1" x14ac:dyDescent="0.35">
      <c r="A273" s="12">
        <v>300712</v>
      </c>
      <c r="B273" s="63" t="str">
        <f>IFERROR(VLOOKUP(Tabla2[[#This Row],[CODIGO]],INVENTARIO!A:B,2,0)," ")</f>
        <v>Tapa PE  025 mm Termo F.</v>
      </c>
      <c r="C273" s="12">
        <v>32</v>
      </c>
      <c r="D273" s="13">
        <v>43936</v>
      </c>
      <c r="E273" s="75">
        <v>4500518602</v>
      </c>
      <c r="F273" s="9">
        <v>3567291</v>
      </c>
      <c r="G273" s="77">
        <v>46073</v>
      </c>
      <c r="H273" s="9" t="s">
        <v>166</v>
      </c>
      <c r="I273" s="9"/>
      <c r="J273" s="9"/>
      <c r="K273" s="9"/>
      <c r="L273" s="9"/>
      <c r="M273" s="9"/>
      <c r="N273" s="9" t="s">
        <v>194</v>
      </c>
      <c r="O273" s="9"/>
      <c r="P273" s="37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</row>
    <row r="274" spans="1:33" ht="14.25" customHeight="1" x14ac:dyDescent="0.35">
      <c r="A274" s="12">
        <v>2003911</v>
      </c>
      <c r="B274" s="63" t="str">
        <f>IFERROR(VLOOKUP(Tabla2[[#This Row],[CODIGO]],INVENTARIO!A:B,2,0)," ")</f>
        <v>Válvula EFv PE 25 mm Para Tap. Tee</v>
      </c>
      <c r="C274" s="12">
        <v>8</v>
      </c>
      <c r="D274" s="13">
        <v>57232</v>
      </c>
      <c r="E274" s="75">
        <v>4500518602</v>
      </c>
      <c r="F274" s="9">
        <v>3567291</v>
      </c>
      <c r="G274" s="77">
        <v>46073</v>
      </c>
      <c r="H274" s="9" t="s">
        <v>166</v>
      </c>
      <c r="I274" s="9"/>
      <c r="J274" s="9"/>
      <c r="K274" s="9"/>
      <c r="L274" s="9"/>
      <c r="M274" s="9"/>
      <c r="N274" s="9" t="s">
        <v>194</v>
      </c>
      <c r="O274" s="9"/>
      <c r="P274" s="37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</row>
    <row r="275" spans="1:33" ht="14.25" customHeight="1" x14ac:dyDescent="0.35">
      <c r="A275" s="12">
        <v>2000350</v>
      </c>
      <c r="B275" s="63" t="str">
        <f>IFERROR(VLOOKUP(Tabla2[[#This Row],[CODIGO]],INVENTARIO!A:B,2,0)," ")</f>
        <v>Codo PE 90º  25 mm EF.</v>
      </c>
      <c r="C275" s="12">
        <v>30</v>
      </c>
      <c r="D275" s="13">
        <v>183960</v>
      </c>
      <c r="E275" s="75">
        <v>4500518602</v>
      </c>
      <c r="F275" s="9">
        <v>3567291</v>
      </c>
      <c r="G275" s="77">
        <v>46073</v>
      </c>
      <c r="H275" s="9" t="s">
        <v>166</v>
      </c>
      <c r="I275" s="9"/>
      <c r="J275" s="9"/>
      <c r="K275" s="9"/>
      <c r="L275" s="9"/>
      <c r="M275" s="9"/>
      <c r="N275" s="9" t="s">
        <v>194</v>
      </c>
      <c r="O275" s="9"/>
      <c r="P275" s="37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</row>
    <row r="276" spans="1:33" ht="14.25" customHeight="1" x14ac:dyDescent="0.35">
      <c r="A276" s="12">
        <v>2000350</v>
      </c>
      <c r="B276" s="63" t="str">
        <f>IFERROR(VLOOKUP(Tabla2[[#This Row],[CODIGO]],INVENTARIO!A:B,2,0)," ")</f>
        <v>Codo PE 90º  25 mm EF.</v>
      </c>
      <c r="C276" s="12">
        <v>15</v>
      </c>
      <c r="D276" s="13">
        <v>91980</v>
      </c>
      <c r="E276" s="75">
        <v>4500518601</v>
      </c>
      <c r="F276" s="9">
        <v>3567293</v>
      </c>
      <c r="G276" s="77">
        <v>46073</v>
      </c>
      <c r="H276" s="9" t="s">
        <v>166</v>
      </c>
      <c r="I276" s="9"/>
      <c r="J276" s="9"/>
      <c r="K276" s="9"/>
      <c r="L276" s="9"/>
      <c r="M276" s="9"/>
      <c r="N276" s="9" t="s">
        <v>207</v>
      </c>
      <c r="O276" s="9"/>
      <c r="P276" s="37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</row>
    <row r="277" spans="1:33" ht="14.25" customHeight="1" x14ac:dyDescent="0.35">
      <c r="A277" s="12">
        <v>400205</v>
      </c>
      <c r="B277" s="63" t="str">
        <f>IFERROR(VLOOKUP(Tabla2[[#This Row],[CODIGO]],INVENTARIO!A:B,2,0)," ")</f>
        <v>Tee PE  50 mm Electro F.</v>
      </c>
      <c r="C277" s="12">
        <v>1</v>
      </c>
      <c r="D277" s="13">
        <v>5913</v>
      </c>
      <c r="E277" s="75">
        <v>4500518818</v>
      </c>
      <c r="F277" s="9">
        <v>3567302</v>
      </c>
      <c r="G277" s="77">
        <v>46076</v>
      </c>
      <c r="H277" s="9" t="s">
        <v>166</v>
      </c>
      <c r="I277" s="9"/>
      <c r="J277" s="9"/>
      <c r="K277" s="9"/>
      <c r="L277" s="9"/>
      <c r="M277" s="9"/>
      <c r="N277" s="9" t="s">
        <v>207</v>
      </c>
      <c r="O277" s="9"/>
      <c r="P277" s="37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</row>
    <row r="278" spans="1:33" ht="14.25" customHeight="1" x14ac:dyDescent="0.35">
      <c r="A278" s="12">
        <v>303345</v>
      </c>
      <c r="B278" s="63" t="str">
        <f>IFERROR(VLOOKUP(Tabla2[[#This Row],[CODIGO]],INVENTARIO!A:B,2,0)," ")</f>
        <v>Copla PE100 050mm EF</v>
      </c>
      <c r="C278" s="12">
        <v>30</v>
      </c>
      <c r="D278" s="13">
        <v>99060</v>
      </c>
      <c r="E278" s="75">
        <v>4500518818</v>
      </c>
      <c r="F278" s="9">
        <v>3567302</v>
      </c>
      <c r="G278" s="77">
        <v>46076</v>
      </c>
      <c r="H278" s="9" t="s">
        <v>166</v>
      </c>
      <c r="I278" s="9"/>
      <c r="J278" s="9"/>
      <c r="K278" s="9"/>
      <c r="L278" s="9"/>
      <c r="M278" s="9"/>
      <c r="N278" s="9" t="s">
        <v>207</v>
      </c>
      <c r="O278" s="9"/>
      <c r="P278" s="37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</row>
    <row r="279" spans="1:33" ht="14.25" customHeight="1" x14ac:dyDescent="0.35">
      <c r="A279" s="12">
        <v>301327</v>
      </c>
      <c r="B279" s="63" t="str">
        <f>IFERROR(VLOOKUP(Tabla2[[#This Row],[CODIGO]],INVENTARIO!A:B,2,0)," ")</f>
        <v>Tapa PE  050 mm Termo F.</v>
      </c>
      <c r="C279" s="12">
        <v>15</v>
      </c>
      <c r="D279" s="13">
        <v>45945</v>
      </c>
      <c r="E279" s="75">
        <v>4500518818</v>
      </c>
      <c r="F279" s="9">
        <v>3567302</v>
      </c>
      <c r="G279" s="77">
        <v>46076</v>
      </c>
      <c r="H279" s="9" t="s">
        <v>166</v>
      </c>
      <c r="I279" s="9"/>
      <c r="J279" s="9"/>
      <c r="K279" s="9"/>
      <c r="L279" s="9"/>
      <c r="M279" s="9"/>
      <c r="N279" s="9" t="s">
        <v>207</v>
      </c>
      <c r="O279" s="9"/>
      <c r="P279" s="37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</row>
    <row r="280" spans="1:33" ht="14.25" customHeight="1" x14ac:dyDescent="0.35">
      <c r="A280" s="12">
        <v>301327</v>
      </c>
      <c r="B280" s="63" t="str">
        <f>IFERROR(VLOOKUP(Tabla2[[#This Row],[CODIGO]],INVENTARIO!A:B,2,0)," ")</f>
        <v>Tapa PE  050 mm Termo F.</v>
      </c>
      <c r="C280" s="12">
        <v>1</v>
      </c>
      <c r="D280" s="13">
        <v>3063</v>
      </c>
      <c r="E280" s="75">
        <v>4500518815</v>
      </c>
      <c r="F280" s="9">
        <v>3567303</v>
      </c>
      <c r="G280" s="77">
        <v>46076</v>
      </c>
      <c r="H280" s="9" t="s">
        <v>166</v>
      </c>
      <c r="I280" s="9"/>
      <c r="J280" s="9"/>
      <c r="K280" s="9"/>
      <c r="L280" s="9"/>
      <c r="M280" s="9"/>
      <c r="N280" s="9" t="s">
        <v>334</v>
      </c>
      <c r="O280" s="9"/>
      <c r="P280" s="37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</row>
    <row r="281" spans="1:33" ht="14.25" customHeight="1" x14ac:dyDescent="0.35">
      <c r="A281" s="12">
        <v>303345</v>
      </c>
      <c r="B281" s="63" t="str">
        <f>IFERROR(VLOOKUP(Tabla2[[#This Row],[CODIGO]],INVENTARIO!A:B,2,0)," ")</f>
        <v>Copla PE100 050mm EF</v>
      </c>
      <c r="C281" s="12">
        <v>3</v>
      </c>
      <c r="D281" s="13">
        <v>9906</v>
      </c>
      <c r="E281" s="75">
        <v>4500518815</v>
      </c>
      <c r="F281" s="9">
        <v>3567303</v>
      </c>
      <c r="G281" s="77">
        <v>46076</v>
      </c>
      <c r="H281" s="9" t="s">
        <v>166</v>
      </c>
      <c r="I281" s="9"/>
      <c r="J281" s="9"/>
      <c r="K281" s="9"/>
      <c r="L281" s="9"/>
      <c r="M281" s="9"/>
      <c r="N281" s="9" t="s">
        <v>334</v>
      </c>
      <c r="O281" s="9"/>
      <c r="P281" s="37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</row>
    <row r="282" spans="1:33" ht="14.25" customHeight="1" x14ac:dyDescent="0.35">
      <c r="A282" s="12">
        <v>101624</v>
      </c>
      <c r="B282" s="63" t="str">
        <f>IFERROR(VLOOKUP(Tabla2[[#This Row],[CODIGO]],INVENTARIO!A:B,2,0)," ")</f>
        <v>Tapping Tee PE 50-25 mm</v>
      </c>
      <c r="C282" s="12">
        <v>30</v>
      </c>
      <c r="D282" s="13">
        <v>468000</v>
      </c>
      <c r="E282" s="75">
        <v>4500518815</v>
      </c>
      <c r="F282" s="9">
        <v>3567303</v>
      </c>
      <c r="G282" s="77">
        <v>46076</v>
      </c>
      <c r="H282" s="9" t="s">
        <v>166</v>
      </c>
      <c r="I282" s="9"/>
      <c r="J282" s="9"/>
      <c r="K282" s="9"/>
      <c r="L282" s="9"/>
      <c r="M282" s="9"/>
      <c r="N282" s="9" t="s">
        <v>334</v>
      </c>
      <c r="O282" s="9"/>
      <c r="P282" s="37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</row>
    <row r="283" spans="1:33" ht="14.25" customHeight="1" x14ac:dyDescent="0.35">
      <c r="A283" s="12">
        <v>300109</v>
      </c>
      <c r="B283" s="63" t="str">
        <f>IFERROR(VLOOKUP(Tabla2[[#This Row],[CODIGO]],INVENTARIO!A:B,2,0)," ")</f>
        <v>Risers de Acero 3/4" Bsp x 25 mm</v>
      </c>
      <c r="C283" s="12">
        <v>30</v>
      </c>
      <c r="D283" s="13">
        <v>900030</v>
      </c>
      <c r="E283" s="75">
        <v>4500518815</v>
      </c>
      <c r="F283" s="9">
        <v>3567303</v>
      </c>
      <c r="G283" s="77">
        <v>46076</v>
      </c>
      <c r="H283" s="9" t="s">
        <v>166</v>
      </c>
      <c r="I283" s="9"/>
      <c r="J283" s="9"/>
      <c r="K283" s="9"/>
      <c r="L283" s="9"/>
      <c r="M283" s="9"/>
      <c r="N283" s="9" t="s">
        <v>334</v>
      </c>
      <c r="O283" s="9"/>
      <c r="P283" s="37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</row>
    <row r="284" spans="1:33" ht="14.25" customHeight="1" x14ac:dyDescent="0.35">
      <c r="A284" s="12">
        <v>301329</v>
      </c>
      <c r="B284" s="63" t="str">
        <f>IFERROR(VLOOKUP(Tabla2[[#This Row],[CODIGO]],INVENTARIO!A:B,2,0)," ")</f>
        <v>Copla PE100 025mm EF</v>
      </c>
      <c r="C284" s="12">
        <v>119</v>
      </c>
      <c r="D284" s="13">
        <v>259182</v>
      </c>
      <c r="E284" s="75">
        <v>4500518815</v>
      </c>
      <c r="F284" s="9">
        <v>3567303</v>
      </c>
      <c r="G284" s="77">
        <v>46076</v>
      </c>
      <c r="H284" s="9" t="s">
        <v>166</v>
      </c>
      <c r="I284" s="9"/>
      <c r="J284" s="9"/>
      <c r="K284" s="9"/>
      <c r="L284" s="9"/>
      <c r="M284" s="9"/>
      <c r="N284" s="9" t="s">
        <v>334</v>
      </c>
      <c r="O284" s="9"/>
      <c r="P284" s="37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</row>
    <row r="285" spans="1:33" ht="14.25" customHeight="1" x14ac:dyDescent="0.35">
      <c r="A285" s="12">
        <v>300712</v>
      </c>
      <c r="B285" s="63" t="str">
        <f>IFERROR(VLOOKUP(Tabla2[[#This Row],[CODIGO]],INVENTARIO!A:B,2,0)," ")</f>
        <v>Tapa PE  025 mm Termo F.</v>
      </c>
      <c r="C285" s="12">
        <v>1</v>
      </c>
      <c r="D285" s="13">
        <v>1373</v>
      </c>
      <c r="E285" s="75">
        <v>4500518815</v>
      </c>
      <c r="F285" s="9">
        <v>3567303</v>
      </c>
      <c r="G285" s="77">
        <v>46076</v>
      </c>
      <c r="H285" s="9" t="s">
        <v>166</v>
      </c>
      <c r="I285" s="9"/>
      <c r="J285" s="9"/>
      <c r="K285" s="9"/>
      <c r="L285" s="9"/>
      <c r="M285" s="9"/>
      <c r="N285" s="9" t="s">
        <v>334</v>
      </c>
      <c r="O285" s="9"/>
      <c r="P285" s="37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</row>
    <row r="286" spans="1:33" ht="14.25" customHeight="1" x14ac:dyDescent="0.35">
      <c r="A286" s="12">
        <v>301099</v>
      </c>
      <c r="B286" s="63" t="str">
        <f>IFERROR(VLOOKUP(Tabla2[[#This Row],[CODIGO]],INVENTARIO!A:B,2,0)," ")</f>
        <v>Válvula PE100 Dn 25mm</v>
      </c>
      <c r="C286" s="12">
        <v>29</v>
      </c>
      <c r="D286" s="13">
        <v>1864787</v>
      </c>
      <c r="E286" s="75">
        <v>4500518815</v>
      </c>
      <c r="F286" s="9">
        <v>3567303</v>
      </c>
      <c r="G286" s="77">
        <v>46076</v>
      </c>
      <c r="H286" s="9" t="s">
        <v>166</v>
      </c>
      <c r="I286" s="9"/>
      <c r="J286" s="9"/>
      <c r="K286" s="9"/>
      <c r="L286" s="9"/>
      <c r="M286" s="9"/>
      <c r="N286" s="9" t="s">
        <v>334</v>
      </c>
      <c r="O286" s="9"/>
      <c r="P286" s="37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</row>
    <row r="287" spans="1:33" ht="14.25" customHeight="1" x14ac:dyDescent="0.35">
      <c r="A287" s="12">
        <v>2003911</v>
      </c>
      <c r="B287" s="63" t="str">
        <f>IFERROR(VLOOKUP(Tabla2[[#This Row],[CODIGO]],INVENTARIO!A:B,2,0)," ")</f>
        <v>Válvula EFv PE 25 mm Para Tap. Tee</v>
      </c>
      <c r="C287" s="12">
        <v>29</v>
      </c>
      <c r="D287" s="13">
        <v>207466</v>
      </c>
      <c r="E287" s="75">
        <v>4500518815</v>
      </c>
      <c r="F287" s="9">
        <v>3567303</v>
      </c>
      <c r="G287" s="77">
        <v>46076</v>
      </c>
      <c r="H287" s="9" t="s">
        <v>166</v>
      </c>
      <c r="I287" s="9"/>
      <c r="J287" s="9"/>
      <c r="K287" s="9"/>
      <c r="L287" s="9"/>
      <c r="M287" s="9"/>
      <c r="N287" s="9" t="s">
        <v>334</v>
      </c>
      <c r="O287" s="9"/>
      <c r="P287" s="37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</row>
    <row r="288" spans="1:33" ht="14.25" customHeight="1" x14ac:dyDescent="0.35">
      <c r="A288" s="12">
        <v>303510</v>
      </c>
      <c r="B288" s="63" t="str">
        <f>IFERROR(VLOOKUP(Tabla2[[#This Row],[CODIGO]],INVENTARIO!A:B,2,0)," ")</f>
        <v>Guardallave Hormigón 125 mm con Tapa</v>
      </c>
      <c r="C288" s="12">
        <v>9</v>
      </c>
      <c r="D288" s="13">
        <v>35100</v>
      </c>
      <c r="E288" s="75">
        <v>4500518484</v>
      </c>
      <c r="F288" s="9">
        <v>3567298</v>
      </c>
      <c r="G288" s="77">
        <v>46073</v>
      </c>
      <c r="H288" s="9" t="s">
        <v>167</v>
      </c>
      <c r="I288" s="9"/>
      <c r="J288" s="9"/>
      <c r="K288" s="34"/>
      <c r="L288" s="9"/>
      <c r="M288" s="9"/>
      <c r="N288" s="9" t="s">
        <v>200</v>
      </c>
      <c r="O288" s="9" t="s">
        <v>258</v>
      </c>
      <c r="P288" s="37">
        <v>1375066</v>
      </c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</row>
    <row r="289" spans="1:33" ht="14.25" customHeight="1" x14ac:dyDescent="0.35">
      <c r="A289" s="12">
        <v>303368</v>
      </c>
      <c r="B289" s="63" t="str">
        <f>IFERROR(VLOOKUP(Tabla2[[#This Row],[CODIGO]],INVENTARIO!A:B,2,0)," ")</f>
        <v>Cinta Plástica "Línea GN", 30 x 0.1</v>
      </c>
      <c r="C289" s="12">
        <v>400</v>
      </c>
      <c r="D289" s="13">
        <v>48400</v>
      </c>
      <c r="E289" s="75">
        <v>4500518484</v>
      </c>
      <c r="F289" s="9">
        <v>3567298</v>
      </c>
      <c r="G289" s="77">
        <v>46073</v>
      </c>
      <c r="H289" s="9" t="s">
        <v>167</v>
      </c>
      <c r="I289" s="9"/>
      <c r="J289" s="9"/>
      <c r="K289" s="9"/>
      <c r="L289" s="9"/>
      <c r="M289" s="9"/>
      <c r="N289" s="9" t="s">
        <v>200</v>
      </c>
      <c r="O289" s="9" t="s">
        <v>258</v>
      </c>
      <c r="P289" s="37">
        <v>1375066</v>
      </c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</row>
    <row r="290" spans="1:33" ht="14.25" customHeight="1" x14ac:dyDescent="0.35">
      <c r="A290" s="12">
        <v>1002167</v>
      </c>
      <c r="B290" s="63" t="str">
        <f>IFERROR(VLOOKUP(Tabla2[[#This Row],[CODIGO]],INVENTARIO!A:B,2,0)," ")</f>
        <v>Cable Trazador Cu 14 AWG Aisl. THW Roj</v>
      </c>
      <c r="C290" s="12">
        <v>400</v>
      </c>
      <c r="D290" s="13">
        <v>117600</v>
      </c>
      <c r="E290" s="75">
        <v>4500518484</v>
      </c>
      <c r="F290" s="9">
        <v>3567298</v>
      </c>
      <c r="G290" s="77">
        <v>46073</v>
      </c>
      <c r="H290" s="9" t="s">
        <v>167</v>
      </c>
      <c r="I290" s="9"/>
      <c r="J290" s="9"/>
      <c r="K290" s="9"/>
      <c r="L290" s="9"/>
      <c r="M290" s="9"/>
      <c r="N290" s="9" t="s">
        <v>200</v>
      </c>
      <c r="O290" s="9" t="s">
        <v>258</v>
      </c>
      <c r="P290" s="37">
        <v>1375066</v>
      </c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</row>
    <row r="291" spans="1:33" ht="14.25" customHeight="1" x14ac:dyDescent="0.35">
      <c r="A291" s="12">
        <v>301749</v>
      </c>
      <c r="B291" s="63" t="str">
        <f>IFERROR(VLOOKUP(Tabla2[[#This Row],[CODIGO]],INVENTARIO!A:B,2,0)," ")</f>
        <v>Tubería PE80 025mm Rollo</v>
      </c>
      <c r="C291" s="12">
        <v>50</v>
      </c>
      <c r="D291" s="13">
        <v>38250</v>
      </c>
      <c r="E291" s="75">
        <v>4500518484</v>
      </c>
      <c r="F291" s="9">
        <v>3567298</v>
      </c>
      <c r="G291" s="77">
        <v>46073</v>
      </c>
      <c r="H291" s="9" t="s">
        <v>167</v>
      </c>
      <c r="I291" s="9"/>
      <c r="J291" s="9" t="s">
        <v>217</v>
      </c>
      <c r="K291" s="34">
        <v>45874</v>
      </c>
      <c r="L291" s="9" t="s">
        <v>240</v>
      </c>
      <c r="M291" s="9"/>
      <c r="N291" s="9" t="s">
        <v>200</v>
      </c>
      <c r="O291" s="9" t="s">
        <v>258</v>
      </c>
      <c r="P291" s="37">
        <v>1375066</v>
      </c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</row>
    <row r="292" spans="1:33" ht="14.25" customHeight="1" x14ac:dyDescent="0.35">
      <c r="A292" s="12">
        <v>2008481</v>
      </c>
      <c r="B292" s="63" t="str">
        <f>IFERROR(VLOOKUP(Tabla2[[#This Row],[CODIGO]],INVENTARIO!A:B,2,0)," ")</f>
        <v>Tapa Tornillo Bronce 3/4" HE Bspt.</v>
      </c>
      <c r="C292" s="12">
        <v>17</v>
      </c>
      <c r="D292" s="13">
        <v>17</v>
      </c>
      <c r="E292" s="75">
        <v>4500518484</v>
      </c>
      <c r="F292" s="9">
        <v>3567298</v>
      </c>
      <c r="G292" s="77">
        <v>46073</v>
      </c>
      <c r="H292" s="9" t="s">
        <v>167</v>
      </c>
      <c r="I292" s="9"/>
      <c r="J292" s="9"/>
      <c r="K292" s="9"/>
      <c r="L292" s="9"/>
      <c r="M292" s="9"/>
      <c r="N292" s="9" t="s">
        <v>200</v>
      </c>
      <c r="O292" s="9" t="s">
        <v>258</v>
      </c>
      <c r="P292" s="37">
        <v>1375066</v>
      </c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</row>
    <row r="293" spans="1:33" ht="14.25" customHeight="1" x14ac:dyDescent="0.35">
      <c r="A293" s="12">
        <v>302737</v>
      </c>
      <c r="B293" s="63" t="str">
        <f>IFERROR(VLOOKUP(Tabla2[[#This Row],[CODIGO]],INVENTARIO!A:B,2,0)," ")</f>
        <v>Válvula Bola 3/4" Hi Un Cuerpo Pn5 Arco</v>
      </c>
      <c r="C293" s="12">
        <v>17</v>
      </c>
      <c r="D293" s="13">
        <v>279565</v>
      </c>
      <c r="E293" s="75">
        <v>4500518484</v>
      </c>
      <c r="F293" s="9">
        <v>3567298</v>
      </c>
      <c r="G293" s="77">
        <v>46073</v>
      </c>
      <c r="H293" s="9" t="s">
        <v>167</v>
      </c>
      <c r="I293" s="9"/>
      <c r="J293" s="9"/>
      <c r="K293" s="9"/>
      <c r="L293" s="9"/>
      <c r="M293" s="9"/>
      <c r="N293" s="9" t="s">
        <v>200</v>
      </c>
      <c r="O293" s="9" t="s">
        <v>258</v>
      </c>
      <c r="P293" s="37">
        <v>1375066</v>
      </c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</row>
    <row r="294" spans="1:33" ht="14.25" customHeight="1" x14ac:dyDescent="0.35">
      <c r="A294" s="12">
        <v>2006391</v>
      </c>
      <c r="B294" s="63" t="str">
        <f>IFERROR(VLOOKUP(Tabla2[[#This Row],[CODIGO]],INVENTARIO!A:B,2,0)," ")</f>
        <v>Guardallave Fierro Fundido C/Tapa</v>
      </c>
      <c r="C294" s="12">
        <v>2</v>
      </c>
      <c r="D294" s="13">
        <v>53846</v>
      </c>
      <c r="E294" s="75">
        <v>4500518484</v>
      </c>
      <c r="F294" s="9">
        <v>3567298</v>
      </c>
      <c r="G294" s="77">
        <v>46073</v>
      </c>
      <c r="H294" s="9" t="s">
        <v>167</v>
      </c>
      <c r="I294" s="9"/>
      <c r="J294" s="9"/>
      <c r="K294" s="9"/>
      <c r="L294" s="9"/>
      <c r="M294" s="9"/>
      <c r="N294" s="9" t="s">
        <v>200</v>
      </c>
      <c r="O294" s="9" t="s">
        <v>258</v>
      </c>
      <c r="P294" s="37">
        <v>1375066</v>
      </c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</row>
    <row r="295" spans="1:33" ht="14.25" customHeight="1" x14ac:dyDescent="0.35">
      <c r="A295" s="12">
        <v>2007948</v>
      </c>
      <c r="B295" s="63" t="str">
        <f>IFERROR(VLOOKUP(Tabla2[[#This Row],[CODIGO]],INVENTARIO!A:B,2,0)," ")</f>
        <v>Tubo PVC Hidraulico 110 mm Pn6 Celeste</v>
      </c>
      <c r="C295" s="12">
        <v>6</v>
      </c>
      <c r="D295" s="13">
        <v>14556</v>
      </c>
      <c r="E295" s="75">
        <v>4500518484</v>
      </c>
      <c r="F295" s="9">
        <v>3567298</v>
      </c>
      <c r="G295" s="77">
        <v>46073</v>
      </c>
      <c r="H295" s="9" t="s">
        <v>167</v>
      </c>
      <c r="I295" s="9"/>
      <c r="J295" s="9"/>
      <c r="K295" s="9"/>
      <c r="L295" s="9"/>
      <c r="M295" s="9"/>
      <c r="N295" s="9" t="s">
        <v>200</v>
      </c>
      <c r="O295" s="9" t="s">
        <v>258</v>
      </c>
      <c r="P295" s="37">
        <v>1375066</v>
      </c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</row>
    <row r="296" spans="1:33" ht="14.25" customHeight="1" x14ac:dyDescent="0.35">
      <c r="A296" s="12">
        <v>303510</v>
      </c>
      <c r="B296" s="63" t="str">
        <f>IFERROR(VLOOKUP(Tabla2[[#This Row],[CODIGO]],INVENTARIO!A:B,2,0)," ")</f>
        <v>Guardallave Hormigón 125 mm con Tapa</v>
      </c>
      <c r="C296" s="12">
        <v>2</v>
      </c>
      <c r="D296" s="13">
        <v>7800</v>
      </c>
      <c r="E296" s="75">
        <v>4500518815</v>
      </c>
      <c r="F296" s="9">
        <v>3567297</v>
      </c>
      <c r="G296" s="77">
        <v>46073</v>
      </c>
      <c r="H296" s="9" t="s">
        <v>167</v>
      </c>
      <c r="I296" s="9"/>
      <c r="J296" s="9"/>
      <c r="K296" s="9"/>
      <c r="L296" s="9"/>
      <c r="M296" s="9"/>
      <c r="N296" s="9" t="s">
        <v>334</v>
      </c>
      <c r="O296" s="9" t="s">
        <v>258</v>
      </c>
      <c r="P296" s="37">
        <v>1375065</v>
      </c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</row>
    <row r="297" spans="1:33" ht="14.25" customHeight="1" x14ac:dyDescent="0.35">
      <c r="A297" s="12">
        <v>303368</v>
      </c>
      <c r="B297" s="63" t="str">
        <f>IFERROR(VLOOKUP(Tabla2[[#This Row],[CODIGO]],INVENTARIO!A:B,2,0)," ")</f>
        <v>Cinta Plástica "Línea GN", 30 x 0.1</v>
      </c>
      <c r="C297" s="12">
        <v>300</v>
      </c>
      <c r="D297" s="13">
        <v>36300</v>
      </c>
      <c r="E297" s="75">
        <v>4500518815</v>
      </c>
      <c r="F297" s="9">
        <v>3567297</v>
      </c>
      <c r="G297" s="77">
        <v>46073</v>
      </c>
      <c r="H297" s="9" t="s">
        <v>167</v>
      </c>
      <c r="I297" s="9"/>
      <c r="J297" s="9"/>
      <c r="K297" s="9"/>
      <c r="L297" s="9"/>
      <c r="M297" s="9"/>
      <c r="N297" s="9" t="s">
        <v>334</v>
      </c>
      <c r="O297" s="9" t="s">
        <v>258</v>
      </c>
      <c r="P297" s="37">
        <v>1375065</v>
      </c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</row>
    <row r="298" spans="1:33" ht="14.25" customHeight="1" x14ac:dyDescent="0.35">
      <c r="A298" s="12">
        <v>1002167</v>
      </c>
      <c r="B298" s="63" t="str">
        <f>IFERROR(VLOOKUP(Tabla2[[#This Row],[CODIGO]],INVENTARIO!A:B,2,0)," ")</f>
        <v>Cable Trazador Cu 14 AWG Aisl. THW Roj</v>
      </c>
      <c r="C298" s="12">
        <v>300</v>
      </c>
      <c r="D298" s="13">
        <v>88200</v>
      </c>
      <c r="E298" s="75">
        <v>4500518815</v>
      </c>
      <c r="F298" s="9">
        <v>3567297</v>
      </c>
      <c r="G298" s="77">
        <v>46073</v>
      </c>
      <c r="H298" s="9" t="s">
        <v>167</v>
      </c>
      <c r="I298" s="9"/>
      <c r="J298" s="9"/>
      <c r="K298" s="9"/>
      <c r="L298" s="9"/>
      <c r="M298" s="9"/>
      <c r="N298" s="9" t="s">
        <v>334</v>
      </c>
      <c r="O298" s="9" t="s">
        <v>258</v>
      </c>
      <c r="P298" s="37">
        <v>1375065</v>
      </c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</row>
    <row r="299" spans="1:33" ht="14.25" customHeight="1" x14ac:dyDescent="0.35">
      <c r="A299" s="12">
        <v>2008481</v>
      </c>
      <c r="B299" s="63" t="str">
        <f>IFERROR(VLOOKUP(Tabla2[[#This Row],[CODIGO]],INVENTARIO!A:B,2,0)," ")</f>
        <v>Tapa Tornillo Bronce 3/4" HE Bspt.</v>
      </c>
      <c r="C299" s="12">
        <v>30</v>
      </c>
      <c r="D299" s="13">
        <v>30</v>
      </c>
      <c r="E299" s="75">
        <v>4500518815</v>
      </c>
      <c r="F299" s="9">
        <v>3567297</v>
      </c>
      <c r="G299" s="77">
        <v>46073</v>
      </c>
      <c r="H299" s="9" t="s">
        <v>167</v>
      </c>
      <c r="I299" s="9"/>
      <c r="J299" s="9"/>
      <c r="K299" s="9"/>
      <c r="L299" s="9"/>
      <c r="M299" s="9"/>
      <c r="N299" s="9" t="s">
        <v>334</v>
      </c>
      <c r="O299" s="9" t="s">
        <v>258</v>
      </c>
      <c r="P299" s="37">
        <v>1375065</v>
      </c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</row>
    <row r="300" spans="1:33" ht="14.25" customHeight="1" x14ac:dyDescent="0.35">
      <c r="A300" s="12">
        <v>302737</v>
      </c>
      <c r="B300" s="63" t="str">
        <f>IFERROR(VLOOKUP(Tabla2[[#This Row],[CODIGO]],INVENTARIO!A:B,2,0)," ")</f>
        <v>Válvula Bola 3/4" Hi Un Cuerpo Pn5 Arco</v>
      </c>
      <c r="C300" s="12">
        <v>30</v>
      </c>
      <c r="D300" s="13">
        <v>493350</v>
      </c>
      <c r="E300" s="75">
        <v>4500518815</v>
      </c>
      <c r="F300" s="9">
        <v>3567297</v>
      </c>
      <c r="G300" s="77">
        <v>46073</v>
      </c>
      <c r="H300" s="9" t="s">
        <v>167</v>
      </c>
      <c r="I300" s="9"/>
      <c r="J300" s="9"/>
      <c r="K300" s="9"/>
      <c r="L300" s="9"/>
      <c r="M300" s="9"/>
      <c r="N300" s="9" t="s">
        <v>334</v>
      </c>
      <c r="O300" s="9" t="s">
        <v>258</v>
      </c>
      <c r="P300" s="37">
        <v>1375065</v>
      </c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</row>
    <row r="301" spans="1:33" ht="14.25" customHeight="1" x14ac:dyDescent="0.35">
      <c r="A301" s="12">
        <v>301749</v>
      </c>
      <c r="B301" s="63" t="str">
        <f>IFERROR(VLOOKUP(Tabla2[[#This Row],[CODIGO]],INVENTARIO!A:B,2,0)," ")</f>
        <v>Tubería PE80 025mm Rollo</v>
      </c>
      <c r="C301" s="12">
        <v>150</v>
      </c>
      <c r="D301" s="13">
        <v>114750</v>
      </c>
      <c r="E301" s="75">
        <v>4500518815</v>
      </c>
      <c r="F301" s="9">
        <v>3567297</v>
      </c>
      <c r="G301" s="77">
        <v>46073</v>
      </c>
      <c r="H301" s="9" t="s">
        <v>167</v>
      </c>
      <c r="I301" s="9"/>
      <c r="J301" s="9"/>
      <c r="K301" s="9"/>
      <c r="L301" s="9"/>
      <c r="M301" s="9"/>
      <c r="N301" s="9" t="s">
        <v>334</v>
      </c>
      <c r="O301" s="9" t="s">
        <v>258</v>
      </c>
      <c r="P301" s="37">
        <v>1375065</v>
      </c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</row>
    <row r="302" spans="1:33" ht="14.25" customHeight="1" x14ac:dyDescent="0.35">
      <c r="A302" s="12">
        <v>2006391</v>
      </c>
      <c r="B302" s="63" t="str">
        <f>IFERROR(VLOOKUP(Tabla2[[#This Row],[CODIGO]],INVENTARIO!A:B,2,0)," ")</f>
        <v>Guardallave Fierro Fundido C/Tapa</v>
      </c>
      <c r="C302" s="12">
        <v>29</v>
      </c>
      <c r="D302" s="13">
        <v>780767</v>
      </c>
      <c r="E302" s="75">
        <v>4500518815</v>
      </c>
      <c r="F302" s="9">
        <v>3567297</v>
      </c>
      <c r="G302" s="77">
        <v>46073</v>
      </c>
      <c r="H302" s="9" t="s">
        <v>167</v>
      </c>
      <c r="I302" s="9"/>
      <c r="J302" s="9"/>
      <c r="K302" s="9"/>
      <c r="L302" s="9"/>
      <c r="M302" s="9"/>
      <c r="N302" s="9" t="s">
        <v>334</v>
      </c>
      <c r="O302" s="9" t="s">
        <v>258</v>
      </c>
      <c r="P302" s="37">
        <v>1375065</v>
      </c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</row>
    <row r="303" spans="1:33" ht="14.25" customHeight="1" x14ac:dyDescent="0.35">
      <c r="A303" s="12">
        <v>2007948</v>
      </c>
      <c r="B303" s="63" t="str">
        <f>IFERROR(VLOOKUP(Tabla2[[#This Row],[CODIGO]],INVENTARIO!A:B,2,0)," ")</f>
        <v>Tubo PVC Hidraulico 110 mm Pn6 Celeste</v>
      </c>
      <c r="C303" s="12">
        <v>60</v>
      </c>
      <c r="D303" s="13">
        <v>145560</v>
      </c>
      <c r="E303" s="75">
        <v>4500518815</v>
      </c>
      <c r="F303" s="9">
        <v>3567297</v>
      </c>
      <c r="G303" s="77">
        <v>46073</v>
      </c>
      <c r="H303" s="9" t="s">
        <v>167</v>
      </c>
      <c r="I303" s="9"/>
      <c r="J303" s="9"/>
      <c r="K303" s="9"/>
      <c r="L303" s="9"/>
      <c r="M303" s="9"/>
      <c r="N303" s="9" t="s">
        <v>334</v>
      </c>
      <c r="O303" s="9" t="s">
        <v>258</v>
      </c>
      <c r="P303" s="37">
        <v>1375065</v>
      </c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</row>
    <row r="304" spans="1:33" ht="14.25" customHeight="1" x14ac:dyDescent="0.35">
      <c r="A304" s="12">
        <v>302737</v>
      </c>
      <c r="B304" s="63" t="str">
        <f>IFERROR(VLOOKUP(Tabla2[[#This Row],[CODIGO]],INVENTARIO!A:B,2,0)," ")</f>
        <v>Válvula Bola 3/4" Hi Un Cuerpo Pn5 Arco</v>
      </c>
      <c r="C304" s="12">
        <v>1</v>
      </c>
      <c r="D304" s="13">
        <v>16445</v>
      </c>
      <c r="E304" s="75">
        <v>4500518312</v>
      </c>
      <c r="F304" s="9">
        <v>3567296</v>
      </c>
      <c r="G304" s="77">
        <v>46073</v>
      </c>
      <c r="H304" s="9" t="s">
        <v>167</v>
      </c>
      <c r="I304" s="9"/>
      <c r="J304" s="9"/>
      <c r="K304" s="9"/>
      <c r="L304" s="9"/>
      <c r="M304" s="9"/>
      <c r="N304" s="9" t="s">
        <v>202</v>
      </c>
      <c r="O304" s="9" t="s">
        <v>258</v>
      </c>
      <c r="P304" s="37">
        <v>1375064</v>
      </c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</row>
    <row r="305" spans="1:33" ht="14.25" customHeight="1" x14ac:dyDescent="0.35">
      <c r="A305" s="12">
        <v>2008481</v>
      </c>
      <c r="B305" s="63" t="str">
        <f>IFERROR(VLOOKUP(Tabla2[[#This Row],[CODIGO]],INVENTARIO!A:B,2,0)," ")</f>
        <v>Tapa Tornillo Bronce 3/4" HE Bspt.</v>
      </c>
      <c r="C305" s="12">
        <v>1</v>
      </c>
      <c r="D305" s="13">
        <v>1</v>
      </c>
      <c r="E305" s="75">
        <v>4500518312</v>
      </c>
      <c r="F305" s="9">
        <v>3567296</v>
      </c>
      <c r="G305" s="77">
        <v>46073</v>
      </c>
      <c r="H305" s="9" t="s">
        <v>167</v>
      </c>
      <c r="I305" s="9"/>
      <c r="J305" s="9"/>
      <c r="K305" s="9"/>
      <c r="L305" s="9"/>
      <c r="M305" s="9"/>
      <c r="N305" s="9" t="s">
        <v>202</v>
      </c>
      <c r="O305" s="9" t="s">
        <v>258</v>
      </c>
      <c r="P305" s="37">
        <v>1375064</v>
      </c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</row>
    <row r="306" spans="1:33" ht="14.25" customHeight="1" x14ac:dyDescent="0.35">
      <c r="A306" s="12">
        <v>301327</v>
      </c>
      <c r="B306" s="63" t="str">
        <f>IFERROR(VLOOKUP(Tabla2[[#This Row],[CODIGO]],INVENTARIO!A:B,2,0)," ")</f>
        <v>Tapa PE  050 mm Termo F.</v>
      </c>
      <c r="C306" s="12">
        <v>1</v>
      </c>
      <c r="D306" s="13"/>
      <c r="E306" s="75"/>
      <c r="F306" s="9">
        <v>982</v>
      </c>
      <c r="G306" s="77">
        <v>46071</v>
      </c>
      <c r="H306" s="9" t="s">
        <v>181</v>
      </c>
      <c r="I306" s="9"/>
      <c r="J306" s="9"/>
      <c r="K306" s="9"/>
      <c r="L306" s="9"/>
      <c r="M306" s="9"/>
      <c r="N306" s="9" t="s">
        <v>263</v>
      </c>
      <c r="O306" s="9"/>
      <c r="P306" s="37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</row>
    <row r="307" spans="1:33" ht="14.25" customHeight="1" x14ac:dyDescent="0.35">
      <c r="A307" s="12">
        <v>303345</v>
      </c>
      <c r="B307" s="63" t="str">
        <f>IFERROR(VLOOKUP(Tabla2[[#This Row],[CODIGO]],INVENTARIO!A:B,2,0)," ")</f>
        <v>Copla PE100 050mm EF</v>
      </c>
      <c r="C307" s="12">
        <v>1</v>
      </c>
      <c r="D307" s="13"/>
      <c r="E307" s="75"/>
      <c r="F307" s="9">
        <v>982</v>
      </c>
      <c r="G307" s="77">
        <v>46071</v>
      </c>
      <c r="H307" s="9" t="s">
        <v>181</v>
      </c>
      <c r="I307" s="9"/>
      <c r="J307" s="9"/>
      <c r="K307" s="9"/>
      <c r="L307" s="9"/>
      <c r="M307" s="9"/>
      <c r="N307" s="9" t="s">
        <v>263</v>
      </c>
      <c r="O307" s="9"/>
      <c r="P307" s="37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</row>
    <row r="308" spans="1:33" ht="14.25" customHeight="1" x14ac:dyDescent="0.35">
      <c r="A308" s="12">
        <v>303362</v>
      </c>
      <c r="B308" s="63" t="str">
        <f>IFERROR(VLOOKUP(Tabla2[[#This Row],[CODIGO]],INVENTARIO!A:B,2,0)," ")</f>
        <v>Reductor PE  50-40 mm Electro F.</v>
      </c>
      <c r="C308" s="12">
        <v>1</v>
      </c>
      <c r="D308" s="13"/>
      <c r="E308" s="75"/>
      <c r="F308" s="9">
        <v>982</v>
      </c>
      <c r="G308" s="77">
        <v>46071</v>
      </c>
      <c r="H308" s="9" t="s">
        <v>181</v>
      </c>
      <c r="I308" s="9"/>
      <c r="J308" s="9"/>
      <c r="K308" s="9"/>
      <c r="L308" s="9"/>
      <c r="M308" s="9"/>
      <c r="N308" s="9" t="s">
        <v>263</v>
      </c>
      <c r="O308" s="9"/>
      <c r="P308" s="37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</row>
    <row r="309" spans="1:33" ht="14.25" customHeight="1" x14ac:dyDescent="0.35">
      <c r="A309" s="12">
        <v>302992</v>
      </c>
      <c r="B309" s="63" t="str">
        <f>IFERROR(VLOOKUP(Tabla2[[#This Row],[CODIGO]],INVENTARIO!A:B,2,0)," ")</f>
        <v>Codo PE100 90° 050mm EF</v>
      </c>
      <c r="C309" s="12">
        <v>1</v>
      </c>
      <c r="D309" s="13"/>
      <c r="E309" s="75"/>
      <c r="F309" s="9">
        <v>982</v>
      </c>
      <c r="G309" s="77">
        <v>46071</v>
      </c>
      <c r="H309" s="9" t="s">
        <v>181</v>
      </c>
      <c r="I309" s="9"/>
      <c r="J309" s="9"/>
      <c r="K309" s="9"/>
      <c r="L309" s="9"/>
      <c r="M309" s="9"/>
      <c r="N309" s="9" t="s">
        <v>263</v>
      </c>
      <c r="O309" s="9"/>
      <c r="P309" s="37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</row>
    <row r="310" spans="1:33" ht="14.25" customHeight="1" x14ac:dyDescent="0.35">
      <c r="A310" s="12">
        <v>1002167</v>
      </c>
      <c r="B310" s="63" t="str">
        <f>IFERROR(VLOOKUP(Tabla2[[#This Row],[CODIGO]],INVENTARIO!A:B,2,0)," ")</f>
        <v>Cable Trazador Cu 14 AWG Aisl. THW Roj</v>
      </c>
      <c r="C310" s="12">
        <v>1</v>
      </c>
      <c r="D310" s="13"/>
      <c r="E310" s="75"/>
      <c r="F310" s="9">
        <v>982</v>
      </c>
      <c r="G310" s="77">
        <v>46071</v>
      </c>
      <c r="H310" s="9" t="s">
        <v>181</v>
      </c>
      <c r="I310" s="9"/>
      <c r="J310" s="9"/>
      <c r="K310" s="9"/>
      <c r="L310" s="9"/>
      <c r="M310" s="9"/>
      <c r="N310" s="9" t="s">
        <v>263</v>
      </c>
      <c r="O310" s="9"/>
      <c r="P310" s="37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</row>
    <row r="311" spans="1:33" ht="14.25" customHeight="1" x14ac:dyDescent="0.35">
      <c r="A311" s="12">
        <v>2002262</v>
      </c>
      <c r="B311" s="63" t="str">
        <f>IFERROR(VLOOKUP(Tabla2[[#This Row],[CODIGO]],INVENTARIO!A:B,2,0)," ")</f>
        <v>Tubería PE80 050mm Rollo</v>
      </c>
      <c r="C311" s="12">
        <v>1.5</v>
      </c>
      <c r="D311" s="13"/>
      <c r="E311" s="75"/>
      <c r="F311" s="9">
        <v>982</v>
      </c>
      <c r="G311" s="77">
        <v>46071</v>
      </c>
      <c r="H311" s="9" t="s">
        <v>181</v>
      </c>
      <c r="I311" s="9"/>
      <c r="J311" s="9"/>
      <c r="K311" s="9"/>
      <c r="L311" s="9"/>
      <c r="M311" s="9"/>
      <c r="N311" s="9" t="s">
        <v>263</v>
      </c>
      <c r="O311" s="9"/>
      <c r="P311" s="37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</row>
    <row r="312" spans="1:33" ht="14.25" customHeight="1" x14ac:dyDescent="0.35">
      <c r="A312" s="12">
        <v>2002262</v>
      </c>
      <c r="B312" s="63" t="str">
        <f>IFERROR(VLOOKUP(Tabla2[[#This Row],[CODIGO]],INVENTARIO!A:B,2,0)," ")</f>
        <v>Tubería PE80 050mm Rollo</v>
      </c>
      <c r="C312" s="12">
        <v>50</v>
      </c>
      <c r="D312" s="13">
        <v>129100</v>
      </c>
      <c r="E312" s="75">
        <v>4500518211</v>
      </c>
      <c r="F312" s="9">
        <v>3567224</v>
      </c>
      <c r="G312" s="77">
        <v>46070</v>
      </c>
      <c r="H312" s="9" t="s">
        <v>167</v>
      </c>
      <c r="I312" s="9"/>
      <c r="J312" s="9"/>
      <c r="K312" s="9"/>
      <c r="L312" s="9"/>
      <c r="M312" s="9"/>
      <c r="N312" s="9" t="s">
        <v>322</v>
      </c>
      <c r="O312" s="9" t="s">
        <v>258</v>
      </c>
      <c r="P312" s="37">
        <v>1375049</v>
      </c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</row>
    <row r="313" spans="1:33" ht="14.25" customHeight="1" x14ac:dyDescent="0.35">
      <c r="A313" s="12">
        <v>2002262</v>
      </c>
      <c r="B313" s="63" t="str">
        <f>IFERROR(VLOOKUP(Tabla2[[#This Row],[CODIGO]],INVENTARIO!A:B,2,0)," ")</f>
        <v>Tubería PE80 050mm Rollo</v>
      </c>
      <c r="C313" s="12">
        <v>100</v>
      </c>
      <c r="D313" s="13">
        <v>258200</v>
      </c>
      <c r="E313" s="75">
        <v>4500518228</v>
      </c>
      <c r="F313" s="9">
        <v>3567222</v>
      </c>
      <c r="G313" s="77">
        <v>46070</v>
      </c>
      <c r="H313" s="9" t="s">
        <v>167</v>
      </c>
      <c r="I313" s="9"/>
      <c r="J313" s="9"/>
      <c r="K313" s="9"/>
      <c r="L313" s="9"/>
      <c r="M313" s="9"/>
      <c r="N313" s="9" t="s">
        <v>194</v>
      </c>
      <c r="O313" s="9" t="s">
        <v>258</v>
      </c>
      <c r="P313" s="37">
        <v>1375050</v>
      </c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</row>
    <row r="314" spans="1:33" ht="14.25" customHeight="1" x14ac:dyDescent="0.35">
      <c r="A314" s="12">
        <v>2005135</v>
      </c>
      <c r="B314" s="63" t="str">
        <f>IFERROR(VLOOKUP(Tabla2[[#This Row],[CODIGO]],INVENTARIO!A:B,2,0)," ")</f>
        <v>Tubo PVC 110 mm PN6 CG Amarillo Tira 6 m</v>
      </c>
      <c r="C314" s="12">
        <v>10</v>
      </c>
      <c r="D314" s="13">
        <v>279310</v>
      </c>
      <c r="E314" s="75"/>
      <c r="F314" s="9">
        <v>3567221</v>
      </c>
      <c r="G314" s="77">
        <v>46070</v>
      </c>
      <c r="H314" s="9" t="s">
        <v>167</v>
      </c>
      <c r="I314" s="9"/>
      <c r="J314" s="9"/>
      <c r="K314" s="9"/>
      <c r="L314" s="9"/>
      <c r="M314" s="9"/>
      <c r="N314" s="9" t="s">
        <v>207</v>
      </c>
      <c r="O314" s="9" t="s">
        <v>258</v>
      </c>
      <c r="P314" s="37">
        <v>1375046</v>
      </c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</row>
    <row r="315" spans="1:33" ht="14.25" customHeight="1" x14ac:dyDescent="0.35">
      <c r="A315" s="12">
        <v>2005135</v>
      </c>
      <c r="B315" s="63" t="str">
        <f>IFERROR(VLOOKUP(Tabla2[[#This Row],[CODIGO]],INVENTARIO!A:B,2,0)," ")</f>
        <v>Tubo PVC 110 mm PN6 CG Amarillo Tira 6 m</v>
      </c>
      <c r="C315" s="12">
        <v>1</v>
      </c>
      <c r="D315" s="13">
        <v>27931</v>
      </c>
      <c r="E315" s="75"/>
      <c r="F315" s="9">
        <v>3567219</v>
      </c>
      <c r="G315" s="77">
        <v>46070</v>
      </c>
      <c r="H315" s="9" t="s">
        <v>167</v>
      </c>
      <c r="I315" s="9"/>
      <c r="J315" s="9"/>
      <c r="K315" s="9"/>
      <c r="L315" s="9"/>
      <c r="M315" s="9"/>
      <c r="N315" s="9" t="s">
        <v>322</v>
      </c>
      <c r="O315" s="9" t="s">
        <v>258</v>
      </c>
      <c r="P315" s="37">
        <v>1375047</v>
      </c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</row>
    <row r="316" spans="1:33" ht="14.25" customHeight="1" x14ac:dyDescent="0.35">
      <c r="A316" s="12">
        <v>303368</v>
      </c>
      <c r="B316" s="63" t="str">
        <f>IFERROR(VLOOKUP(Tabla2[[#This Row],[CODIGO]],INVENTARIO!A:B,2,0)," ")</f>
        <v>Cinta Plástica "Línea GN", 30 x 0.1</v>
      </c>
      <c r="C316" s="12">
        <v>100</v>
      </c>
      <c r="D316" s="13">
        <v>12100</v>
      </c>
      <c r="E316" s="75">
        <v>4500518228</v>
      </c>
      <c r="F316" s="9">
        <v>3567209</v>
      </c>
      <c r="G316" s="77">
        <v>46070</v>
      </c>
      <c r="H316" s="9" t="s">
        <v>167</v>
      </c>
      <c r="I316" s="9"/>
      <c r="J316" s="9"/>
      <c r="K316" s="9"/>
      <c r="L316" s="9"/>
      <c r="M316" s="9"/>
      <c r="N316" s="9" t="s">
        <v>194</v>
      </c>
      <c r="O316" s="9" t="s">
        <v>258</v>
      </c>
      <c r="P316" s="37">
        <v>1375036</v>
      </c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</row>
    <row r="317" spans="1:33" ht="14.25" customHeight="1" x14ac:dyDescent="0.35">
      <c r="A317" s="12">
        <v>1002167</v>
      </c>
      <c r="B317" s="63" t="str">
        <f>IFERROR(VLOOKUP(Tabla2[[#This Row],[CODIGO]],INVENTARIO!A:B,2,0)," ")</f>
        <v>Cable Trazador Cu 14 AWG Aisl. THW Roj</v>
      </c>
      <c r="C317" s="12">
        <v>100</v>
      </c>
      <c r="D317" s="13">
        <v>29400</v>
      </c>
      <c r="E317" s="75">
        <v>4500518228</v>
      </c>
      <c r="F317" s="9">
        <v>3567209</v>
      </c>
      <c r="G317" s="77">
        <v>46070</v>
      </c>
      <c r="H317" s="9" t="s">
        <v>167</v>
      </c>
      <c r="I317" s="9"/>
      <c r="J317" s="9"/>
      <c r="K317" s="9"/>
      <c r="L317" s="9"/>
      <c r="M317" s="9"/>
      <c r="N317" s="9" t="s">
        <v>194</v>
      </c>
      <c r="O317" s="9" t="s">
        <v>258</v>
      </c>
      <c r="P317" s="37">
        <v>1375036</v>
      </c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</row>
    <row r="318" spans="1:33" ht="14.25" customHeight="1" x14ac:dyDescent="0.35">
      <c r="A318" s="12">
        <v>301749</v>
      </c>
      <c r="B318" s="63" t="str">
        <f>IFERROR(VLOOKUP(Tabla2[[#This Row],[CODIGO]],INVENTARIO!A:B,2,0)," ")</f>
        <v>Tubería PE80 025mm Rollo</v>
      </c>
      <c r="C318" s="12">
        <v>50</v>
      </c>
      <c r="D318" s="13">
        <v>38250</v>
      </c>
      <c r="E318" s="75">
        <v>4500518229</v>
      </c>
      <c r="F318" s="9">
        <v>3567208</v>
      </c>
      <c r="G318" s="77">
        <v>46070</v>
      </c>
      <c r="H318" s="9" t="s">
        <v>167</v>
      </c>
      <c r="I318" s="9"/>
      <c r="J318" s="9"/>
      <c r="K318" s="9"/>
      <c r="L318" s="9"/>
      <c r="M318" s="9"/>
      <c r="N318" s="9" t="s">
        <v>204</v>
      </c>
      <c r="O318" s="9" t="s">
        <v>258</v>
      </c>
      <c r="P318" s="37">
        <v>1375035</v>
      </c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</row>
    <row r="319" spans="1:33" ht="14.25" customHeight="1" x14ac:dyDescent="0.35">
      <c r="A319" s="12">
        <v>2006391</v>
      </c>
      <c r="B319" s="63" t="str">
        <f>IFERROR(VLOOKUP(Tabla2[[#This Row],[CODIGO]],INVENTARIO!A:B,2,0)," ")</f>
        <v>Guardallave Fierro Fundido C/Tapa</v>
      </c>
      <c r="C319" s="12">
        <v>1</v>
      </c>
      <c r="D319" s="13">
        <v>26923</v>
      </c>
      <c r="E319" s="75">
        <v>4500518229</v>
      </c>
      <c r="F319" s="9">
        <v>3567208</v>
      </c>
      <c r="G319" s="77">
        <v>46070</v>
      </c>
      <c r="H319" s="9" t="s">
        <v>167</v>
      </c>
      <c r="I319" s="9"/>
      <c r="J319" s="9"/>
      <c r="K319" s="9"/>
      <c r="L319" s="9"/>
      <c r="M319" s="9"/>
      <c r="N319" s="9" t="s">
        <v>204</v>
      </c>
      <c r="O319" s="9" t="s">
        <v>258</v>
      </c>
      <c r="P319" s="37">
        <v>1375035</v>
      </c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</row>
    <row r="320" spans="1:33" ht="14.25" customHeight="1" x14ac:dyDescent="0.35">
      <c r="A320" s="12">
        <v>302737</v>
      </c>
      <c r="B320" s="63" t="str">
        <f>IFERROR(VLOOKUP(Tabla2[[#This Row],[CODIGO]],INVENTARIO!A:B,2,0)," ")</f>
        <v>Válvula Bola 3/4" Hi Un Cuerpo Pn5 Arco</v>
      </c>
      <c r="C320" s="12">
        <v>1</v>
      </c>
      <c r="D320" s="13">
        <v>16445</v>
      </c>
      <c r="E320" s="75">
        <v>4500518229</v>
      </c>
      <c r="F320" s="9">
        <v>3567208</v>
      </c>
      <c r="G320" s="77">
        <v>46070</v>
      </c>
      <c r="H320" s="9" t="s">
        <v>167</v>
      </c>
      <c r="I320" s="9"/>
      <c r="J320" s="9"/>
      <c r="K320" s="9"/>
      <c r="L320" s="9"/>
      <c r="M320" s="9"/>
      <c r="N320" s="9" t="s">
        <v>204</v>
      </c>
      <c r="O320" s="9" t="s">
        <v>258</v>
      </c>
      <c r="P320" s="37">
        <v>1375035</v>
      </c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</row>
    <row r="321" spans="1:33" ht="14.5" customHeight="1" x14ac:dyDescent="0.35">
      <c r="A321" s="12">
        <v>2008481</v>
      </c>
      <c r="B321" s="63" t="str">
        <f>IFERROR(VLOOKUP(Tabla2[[#This Row],[CODIGO]],INVENTARIO!A:B,2,0)," ")</f>
        <v>Tapa Tornillo Bronce 3/4" HE Bspt.</v>
      </c>
      <c r="C321" s="12">
        <v>1</v>
      </c>
      <c r="D321" s="13">
        <v>1</v>
      </c>
      <c r="E321" s="75">
        <v>4500518229</v>
      </c>
      <c r="F321" s="9">
        <v>3567208</v>
      </c>
      <c r="G321" s="77">
        <v>46070</v>
      </c>
      <c r="H321" s="9" t="s">
        <v>167</v>
      </c>
      <c r="I321" s="9"/>
      <c r="J321" s="9"/>
      <c r="K321" s="9"/>
      <c r="L321" s="9"/>
      <c r="M321" s="9"/>
      <c r="N321" s="9" t="s">
        <v>204</v>
      </c>
      <c r="O321" s="9" t="s">
        <v>258</v>
      </c>
      <c r="P321" s="37">
        <v>1375035</v>
      </c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</row>
    <row r="322" spans="1:33" ht="14.5" customHeight="1" x14ac:dyDescent="0.35">
      <c r="A322" s="12">
        <v>2007948</v>
      </c>
      <c r="B322" s="63" t="str">
        <f>IFERROR(VLOOKUP(Tabla2[[#This Row],[CODIGO]],INVENTARIO!A:B,2,0)," ")</f>
        <v>Tubo PVC Hidraulico 110 mm Pn6 Celeste</v>
      </c>
      <c r="C322" s="12">
        <v>6</v>
      </c>
      <c r="D322" s="13">
        <v>14556</v>
      </c>
      <c r="E322" s="75">
        <v>4500518229</v>
      </c>
      <c r="F322" s="9">
        <v>3567208</v>
      </c>
      <c r="G322" s="77">
        <v>46070</v>
      </c>
      <c r="H322" s="9" t="s">
        <v>167</v>
      </c>
      <c r="I322" s="9"/>
      <c r="J322" s="9"/>
      <c r="K322" s="9"/>
      <c r="L322" s="9"/>
      <c r="M322" s="9"/>
      <c r="N322" s="9" t="s">
        <v>204</v>
      </c>
      <c r="O322" s="9" t="s">
        <v>258</v>
      </c>
      <c r="P322" s="37">
        <v>1375035</v>
      </c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</row>
    <row r="323" spans="1:33" ht="14.5" customHeight="1" x14ac:dyDescent="0.35">
      <c r="A323" s="12">
        <v>2006391</v>
      </c>
      <c r="B323" s="63" t="str">
        <f>IFERROR(VLOOKUP(Tabla2[[#This Row],[CODIGO]],INVENTARIO!A:B,2,0)," ")</f>
        <v>Guardallave Fierro Fundido C/Tapa</v>
      </c>
      <c r="C323" s="12">
        <v>1</v>
      </c>
      <c r="D323" s="13">
        <v>26923</v>
      </c>
      <c r="E323" s="75">
        <v>4500518238</v>
      </c>
      <c r="F323" s="9">
        <v>3567211</v>
      </c>
      <c r="G323" s="77">
        <v>46070</v>
      </c>
      <c r="H323" s="9" t="s">
        <v>167</v>
      </c>
      <c r="I323" s="9"/>
      <c r="J323" s="9"/>
      <c r="K323" s="9"/>
      <c r="L323" s="9"/>
      <c r="M323" s="9"/>
      <c r="N323" s="9" t="s">
        <v>328</v>
      </c>
      <c r="O323" s="9" t="s">
        <v>258</v>
      </c>
      <c r="P323" s="37">
        <v>1375038</v>
      </c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</row>
    <row r="324" spans="1:33" ht="14.25" customHeight="1" x14ac:dyDescent="0.35">
      <c r="A324" s="12">
        <v>200229</v>
      </c>
      <c r="B324" s="63" t="str">
        <f>IFERROR(VLOOKUP(Tabla2[[#This Row],[CODIGO]],INVENTARIO!A:B,2,0)," ")</f>
        <v>Disco Corte 115 x 22,2 x 2,5 mm A30Pbf</v>
      </c>
      <c r="C324" s="12">
        <v>1</v>
      </c>
      <c r="D324" s="13">
        <v>610</v>
      </c>
      <c r="E324" s="75">
        <v>4500518238</v>
      </c>
      <c r="F324" s="9">
        <v>3567211</v>
      </c>
      <c r="G324" s="77">
        <v>46070</v>
      </c>
      <c r="H324" s="9" t="s">
        <v>167</v>
      </c>
      <c r="I324" s="9"/>
      <c r="J324" s="9"/>
      <c r="K324" s="9"/>
      <c r="L324" s="9"/>
      <c r="M324" s="9"/>
      <c r="N324" s="9" t="s">
        <v>328</v>
      </c>
      <c r="O324" s="9" t="s">
        <v>258</v>
      </c>
      <c r="P324" s="37">
        <v>1375038</v>
      </c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</row>
    <row r="325" spans="1:33" ht="14.25" customHeight="1" x14ac:dyDescent="0.35">
      <c r="A325" s="12">
        <v>303511</v>
      </c>
      <c r="B325" s="63" t="str">
        <f>IFERROR(VLOOKUP(Tabla2[[#This Row],[CODIGO]],INVENTARIO!A:B,2,0)," ")</f>
        <v>Lata de Espuma Poliuretano Adimus / 500 ML</v>
      </c>
      <c r="C325" s="12">
        <v>1</v>
      </c>
      <c r="D325" s="13">
        <v>2345</v>
      </c>
      <c r="E325" s="75">
        <v>4500518238</v>
      </c>
      <c r="F325" s="9">
        <v>3567211</v>
      </c>
      <c r="G325" s="77">
        <v>46070</v>
      </c>
      <c r="H325" s="9" t="s">
        <v>167</v>
      </c>
      <c r="I325" s="9"/>
      <c r="J325" s="9"/>
      <c r="K325" s="9"/>
      <c r="L325" s="9"/>
      <c r="M325" s="9"/>
      <c r="N325" s="9" t="s">
        <v>328</v>
      </c>
      <c r="O325" s="9" t="s">
        <v>258</v>
      </c>
      <c r="P325" s="37">
        <v>1375038</v>
      </c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</row>
    <row r="326" spans="1:33" ht="14.25" customHeight="1" x14ac:dyDescent="0.35">
      <c r="A326" s="12">
        <v>2006391</v>
      </c>
      <c r="B326" s="63" t="str">
        <f>IFERROR(VLOOKUP(Tabla2[[#This Row],[CODIGO]],INVENTARIO!A:B,2,0)," ")</f>
        <v>Guardallave Fierro Fundido C/Tapa</v>
      </c>
      <c r="C326" s="12">
        <v>1</v>
      </c>
      <c r="D326" s="13">
        <v>26923</v>
      </c>
      <c r="E326" s="75">
        <v>4500518235</v>
      </c>
      <c r="F326" s="9">
        <v>3567210</v>
      </c>
      <c r="G326" s="77">
        <v>46070</v>
      </c>
      <c r="H326" s="9" t="s">
        <v>167</v>
      </c>
      <c r="I326" s="9"/>
      <c r="J326" s="9"/>
      <c r="K326" s="9"/>
      <c r="L326" s="9"/>
      <c r="M326" s="9"/>
      <c r="N326" s="9" t="s">
        <v>327</v>
      </c>
      <c r="O326" s="9" t="s">
        <v>258</v>
      </c>
      <c r="P326" s="37">
        <v>1375037</v>
      </c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</row>
    <row r="327" spans="1:33" ht="14.25" customHeight="1" x14ac:dyDescent="0.35">
      <c r="A327" s="12">
        <v>302737</v>
      </c>
      <c r="B327" s="63" t="str">
        <f>IFERROR(VLOOKUP(Tabla2[[#This Row],[CODIGO]],INVENTARIO!A:B,2,0)," ")</f>
        <v>Válvula Bola 3/4" Hi Un Cuerpo Pn5 Arco</v>
      </c>
      <c r="C327" s="12">
        <v>1</v>
      </c>
      <c r="D327" s="13">
        <v>16445</v>
      </c>
      <c r="E327" s="75">
        <v>4500518235</v>
      </c>
      <c r="F327" s="9">
        <v>3567210</v>
      </c>
      <c r="G327" s="77">
        <v>46070</v>
      </c>
      <c r="H327" s="9" t="s">
        <v>167</v>
      </c>
      <c r="I327" s="9"/>
      <c r="J327" s="9"/>
      <c r="K327" s="9"/>
      <c r="L327" s="9"/>
      <c r="M327" s="9"/>
      <c r="N327" s="9" t="s">
        <v>327</v>
      </c>
      <c r="O327" s="9" t="s">
        <v>258</v>
      </c>
      <c r="P327" s="37">
        <v>1375037</v>
      </c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</row>
    <row r="328" spans="1:33" ht="14.25" customHeight="1" x14ac:dyDescent="0.35">
      <c r="A328" s="12">
        <v>2008481</v>
      </c>
      <c r="B328" s="63" t="str">
        <f>IFERROR(VLOOKUP(Tabla2[[#This Row],[CODIGO]],INVENTARIO!A:B,2,0)," ")</f>
        <v>Tapa Tornillo Bronce 3/4" HE Bspt.</v>
      </c>
      <c r="C328" s="12">
        <v>1</v>
      </c>
      <c r="D328" s="13">
        <v>1</v>
      </c>
      <c r="E328" s="75">
        <v>4500518235</v>
      </c>
      <c r="F328" s="9">
        <v>3567210</v>
      </c>
      <c r="G328" s="77">
        <v>46070</v>
      </c>
      <c r="H328" s="9" t="s">
        <v>167</v>
      </c>
      <c r="I328" s="9"/>
      <c r="J328" s="9"/>
      <c r="K328" s="9"/>
      <c r="L328" s="9"/>
      <c r="M328" s="9"/>
      <c r="N328" s="9" t="s">
        <v>327</v>
      </c>
      <c r="O328" s="9" t="s">
        <v>258</v>
      </c>
      <c r="P328" s="37">
        <v>1375037</v>
      </c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</row>
    <row r="329" spans="1:33" ht="14.25" customHeight="1" x14ac:dyDescent="0.35">
      <c r="A329" s="12">
        <v>302737</v>
      </c>
      <c r="B329" s="63" t="str">
        <f>IFERROR(VLOOKUP(Tabla2[[#This Row],[CODIGO]],INVENTARIO!A:B,2,0)," ")</f>
        <v>Válvula Bola 3/4" Hi Un Cuerpo Pn5 Arco</v>
      </c>
      <c r="C329" s="12">
        <v>1</v>
      </c>
      <c r="D329" s="13">
        <v>16445</v>
      </c>
      <c r="E329" s="75">
        <v>4500518243</v>
      </c>
      <c r="F329" s="9">
        <v>3567212</v>
      </c>
      <c r="G329" s="77">
        <v>46070</v>
      </c>
      <c r="H329" s="9" t="s">
        <v>167</v>
      </c>
      <c r="I329" s="9"/>
      <c r="J329" s="9"/>
      <c r="K329" s="9"/>
      <c r="L329" s="9"/>
      <c r="M329" s="9"/>
      <c r="N329" s="9" t="s">
        <v>326</v>
      </c>
      <c r="O329" s="9" t="s">
        <v>258</v>
      </c>
      <c r="P329" s="37">
        <v>1375039</v>
      </c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</row>
    <row r="330" spans="1:33" ht="14.25" customHeight="1" x14ac:dyDescent="0.35">
      <c r="A330" s="12">
        <v>200229</v>
      </c>
      <c r="B330" s="63" t="str">
        <f>IFERROR(VLOOKUP(Tabla2[[#This Row],[CODIGO]],INVENTARIO!A:B,2,0)," ")</f>
        <v>Disco Corte 115 x 22,2 x 2,5 mm A30Pbf</v>
      </c>
      <c r="C330" s="12">
        <v>1</v>
      </c>
      <c r="D330" s="13">
        <v>610</v>
      </c>
      <c r="E330" s="75">
        <v>4500518243</v>
      </c>
      <c r="F330" s="9">
        <v>3567212</v>
      </c>
      <c r="G330" s="77">
        <v>46070</v>
      </c>
      <c r="H330" s="9" t="s">
        <v>167</v>
      </c>
      <c r="I330" s="9"/>
      <c r="J330" s="9"/>
      <c r="K330" s="9"/>
      <c r="L330" s="9"/>
      <c r="M330" s="9"/>
      <c r="N330" s="9" t="s">
        <v>326</v>
      </c>
      <c r="O330" s="9" t="s">
        <v>258</v>
      </c>
      <c r="P330" s="37">
        <v>1375039</v>
      </c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</row>
    <row r="331" spans="1:33" ht="14.25" customHeight="1" x14ac:dyDescent="0.35">
      <c r="A331" s="12">
        <v>303511</v>
      </c>
      <c r="B331" s="63" t="str">
        <f>IFERROR(VLOOKUP(Tabla2[[#This Row],[CODIGO]],INVENTARIO!A:B,2,0)," ")</f>
        <v>Lata de Espuma Poliuretano Adimus / 500 ML</v>
      </c>
      <c r="C331" s="12">
        <v>1</v>
      </c>
      <c r="D331" s="13">
        <v>2345</v>
      </c>
      <c r="E331" s="75">
        <v>4500518243</v>
      </c>
      <c r="F331" s="9">
        <v>3567212</v>
      </c>
      <c r="G331" s="77">
        <v>46070</v>
      </c>
      <c r="H331" s="9" t="s">
        <v>167</v>
      </c>
      <c r="I331" s="9"/>
      <c r="J331" s="9"/>
      <c r="K331" s="9"/>
      <c r="L331" s="9"/>
      <c r="M331" s="9"/>
      <c r="N331" s="9" t="s">
        <v>326</v>
      </c>
      <c r="O331" s="9" t="s">
        <v>258</v>
      </c>
      <c r="P331" s="37">
        <v>1375039</v>
      </c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</row>
    <row r="332" spans="1:33" ht="14.25" customHeight="1" x14ac:dyDescent="0.35">
      <c r="A332" s="12">
        <v>2006391</v>
      </c>
      <c r="B332" s="63" t="str">
        <f>IFERROR(VLOOKUP(Tabla2[[#This Row],[CODIGO]],INVENTARIO!A:B,2,0)," ")</f>
        <v>Guardallave Fierro Fundido C/Tapa</v>
      </c>
      <c r="C332" s="12">
        <v>1</v>
      </c>
      <c r="D332" s="13">
        <v>26923</v>
      </c>
      <c r="E332" s="75">
        <v>4500518243</v>
      </c>
      <c r="F332" s="9">
        <v>3567212</v>
      </c>
      <c r="G332" s="77">
        <v>46070</v>
      </c>
      <c r="H332" s="9" t="s">
        <v>167</v>
      </c>
      <c r="I332" s="9"/>
      <c r="J332" s="9"/>
      <c r="K332" s="9"/>
      <c r="L332" s="9"/>
      <c r="M332" s="9"/>
      <c r="N332" s="9" t="s">
        <v>326</v>
      </c>
      <c r="O332" s="9" t="s">
        <v>258</v>
      </c>
      <c r="P332" s="37">
        <v>1375039</v>
      </c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</row>
    <row r="333" spans="1:33" ht="14.25" customHeight="1" x14ac:dyDescent="0.35">
      <c r="A333" s="12">
        <v>2006391</v>
      </c>
      <c r="B333" s="63" t="str">
        <f>IFERROR(VLOOKUP(Tabla2[[#This Row],[CODIGO]],INVENTARIO!A:B,2,0)," ")</f>
        <v>Guardallave Fierro Fundido C/Tapa</v>
      </c>
      <c r="C333" s="12">
        <v>1</v>
      </c>
      <c r="D333" s="13">
        <v>26923</v>
      </c>
      <c r="E333" s="75">
        <v>4500518184</v>
      </c>
      <c r="F333" s="9">
        <v>3567201</v>
      </c>
      <c r="G333" s="77">
        <v>46070</v>
      </c>
      <c r="H333" s="9" t="s">
        <v>167</v>
      </c>
      <c r="I333" s="9"/>
      <c r="J333" s="9"/>
      <c r="K333" s="9"/>
      <c r="L333" s="9"/>
      <c r="M333" s="9"/>
      <c r="N333" s="9" t="s">
        <v>325</v>
      </c>
      <c r="O333" s="9" t="s">
        <v>258</v>
      </c>
      <c r="P333" s="37">
        <v>1375031</v>
      </c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</row>
    <row r="334" spans="1:33" ht="14.25" customHeight="1" x14ac:dyDescent="0.35">
      <c r="A334" s="12">
        <v>302737</v>
      </c>
      <c r="B334" s="63" t="str">
        <f>IFERROR(VLOOKUP(Tabla2[[#This Row],[CODIGO]],INVENTARIO!A:B,2,0)," ")</f>
        <v>Válvula Bola 3/4" Hi Un Cuerpo Pn5 Arco</v>
      </c>
      <c r="C334" s="12">
        <v>1</v>
      </c>
      <c r="D334" s="13">
        <v>16445</v>
      </c>
      <c r="E334" s="75">
        <v>4500518184</v>
      </c>
      <c r="F334" s="9">
        <v>3567201</v>
      </c>
      <c r="G334" s="77">
        <v>46070</v>
      </c>
      <c r="H334" s="9" t="s">
        <v>167</v>
      </c>
      <c r="I334" s="9"/>
      <c r="J334" s="9"/>
      <c r="K334" s="9"/>
      <c r="L334" s="9"/>
      <c r="M334" s="9"/>
      <c r="N334" s="9" t="s">
        <v>325</v>
      </c>
      <c r="O334" s="9" t="s">
        <v>258</v>
      </c>
      <c r="P334" s="37">
        <v>1375031</v>
      </c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</row>
    <row r="335" spans="1:33" ht="14.25" customHeight="1" x14ac:dyDescent="0.35">
      <c r="A335" s="12">
        <v>2008481</v>
      </c>
      <c r="B335" s="63" t="str">
        <f>IFERROR(VLOOKUP(Tabla2[[#This Row],[CODIGO]],INVENTARIO!A:B,2,0)," ")</f>
        <v>Tapa Tornillo Bronce 3/4" HE Bspt.</v>
      </c>
      <c r="C335" s="12">
        <v>1</v>
      </c>
      <c r="D335" s="13">
        <v>1</v>
      </c>
      <c r="E335" s="75">
        <v>4500518184</v>
      </c>
      <c r="F335" s="9">
        <v>3567201</v>
      </c>
      <c r="G335" s="77">
        <v>46070</v>
      </c>
      <c r="H335" s="9" t="s">
        <v>167</v>
      </c>
      <c r="I335" s="9"/>
      <c r="J335" s="9"/>
      <c r="K335" s="9"/>
      <c r="L335" s="9"/>
      <c r="M335" s="9"/>
      <c r="N335" s="9" t="s">
        <v>325</v>
      </c>
      <c r="O335" s="9" t="s">
        <v>258</v>
      </c>
      <c r="P335" s="37">
        <v>1375031</v>
      </c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</row>
    <row r="336" spans="1:33" ht="14.25" customHeight="1" x14ac:dyDescent="0.35">
      <c r="A336" s="12">
        <v>2006391</v>
      </c>
      <c r="B336" s="63" t="str">
        <f>IFERROR(VLOOKUP(Tabla2[[#This Row],[CODIGO]],INVENTARIO!A:B,2,0)," ")</f>
        <v>Guardallave Fierro Fundido C/Tapa</v>
      </c>
      <c r="C336" s="12">
        <v>1</v>
      </c>
      <c r="D336" s="13">
        <v>26923</v>
      </c>
      <c r="E336" s="75">
        <v>4500518198</v>
      </c>
      <c r="F336" s="9">
        <v>3567203</v>
      </c>
      <c r="G336" s="77">
        <v>46070</v>
      </c>
      <c r="H336" s="9" t="s">
        <v>167</v>
      </c>
      <c r="I336" s="9"/>
      <c r="J336" s="9"/>
      <c r="K336" s="9"/>
      <c r="L336" s="9"/>
      <c r="M336" s="9"/>
      <c r="N336" s="9" t="s">
        <v>324</v>
      </c>
      <c r="O336" s="9" t="s">
        <v>258</v>
      </c>
      <c r="P336" s="37">
        <v>1375032</v>
      </c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</row>
    <row r="337" spans="1:33" ht="14.25" customHeight="1" x14ac:dyDescent="0.35">
      <c r="A337" s="12">
        <v>302737</v>
      </c>
      <c r="B337" s="63" t="str">
        <f>IFERROR(VLOOKUP(Tabla2[[#This Row],[CODIGO]],INVENTARIO!A:B,2,0)," ")</f>
        <v>Válvula Bola 3/4" Hi Un Cuerpo Pn5 Arco</v>
      </c>
      <c r="C337" s="12">
        <v>1</v>
      </c>
      <c r="D337" s="13">
        <v>16445</v>
      </c>
      <c r="E337" s="75">
        <v>4500518198</v>
      </c>
      <c r="F337" s="9">
        <v>3567203</v>
      </c>
      <c r="G337" s="77">
        <v>46070</v>
      </c>
      <c r="H337" s="9" t="s">
        <v>167</v>
      </c>
      <c r="I337" s="9"/>
      <c r="J337" s="9"/>
      <c r="K337" s="9"/>
      <c r="L337" s="9"/>
      <c r="M337" s="9"/>
      <c r="N337" s="9" t="s">
        <v>324</v>
      </c>
      <c r="O337" s="9" t="s">
        <v>258</v>
      </c>
      <c r="P337" s="37">
        <v>1375032</v>
      </c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</row>
    <row r="338" spans="1:33" ht="14.25" customHeight="1" x14ac:dyDescent="0.35">
      <c r="A338" s="12">
        <v>2008481</v>
      </c>
      <c r="B338" s="63" t="str">
        <f>IFERROR(VLOOKUP(Tabla2[[#This Row],[CODIGO]],INVENTARIO!A:B,2,0)," ")</f>
        <v>Tapa Tornillo Bronce 3/4" HE Bspt.</v>
      </c>
      <c r="C338" s="12">
        <v>2</v>
      </c>
      <c r="D338" s="13">
        <v>2</v>
      </c>
      <c r="E338" s="75">
        <v>4500518198</v>
      </c>
      <c r="F338" s="9">
        <v>3567203</v>
      </c>
      <c r="G338" s="77">
        <v>46070</v>
      </c>
      <c r="H338" s="9" t="s">
        <v>167</v>
      </c>
      <c r="I338" s="9"/>
      <c r="J338" s="9"/>
      <c r="K338" s="9"/>
      <c r="L338" s="9"/>
      <c r="M338" s="9"/>
      <c r="N338" s="9" t="s">
        <v>324</v>
      </c>
      <c r="O338" s="9" t="s">
        <v>258</v>
      </c>
      <c r="P338" s="37">
        <v>1375032</v>
      </c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</row>
    <row r="339" spans="1:33" ht="14.25" customHeight="1" x14ac:dyDescent="0.35">
      <c r="A339" s="12">
        <v>2006391</v>
      </c>
      <c r="B339" s="63" t="str">
        <f>IFERROR(VLOOKUP(Tabla2[[#This Row],[CODIGO]],INVENTARIO!A:B,2,0)," ")</f>
        <v>Guardallave Fierro Fundido C/Tapa</v>
      </c>
      <c r="C339" s="12">
        <v>1</v>
      </c>
      <c r="D339" s="13">
        <v>26923</v>
      </c>
      <c r="E339" s="75">
        <v>4500518201</v>
      </c>
      <c r="F339" s="9">
        <v>3567207</v>
      </c>
      <c r="G339" s="77">
        <v>46070</v>
      </c>
      <c r="H339" s="9" t="s">
        <v>167</v>
      </c>
      <c r="I339" s="9"/>
      <c r="J339" s="9"/>
      <c r="K339" s="9"/>
      <c r="L339" s="9"/>
      <c r="M339" s="9"/>
      <c r="N339" s="9" t="s">
        <v>330</v>
      </c>
      <c r="O339" s="9" t="s">
        <v>258</v>
      </c>
      <c r="P339" s="37">
        <v>1375034</v>
      </c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</row>
    <row r="340" spans="1:33" ht="14.25" customHeight="1" x14ac:dyDescent="0.35">
      <c r="A340" s="12">
        <v>2006391</v>
      </c>
      <c r="B340" s="63" t="str">
        <f>IFERROR(VLOOKUP(Tabla2[[#This Row],[CODIGO]],INVENTARIO!A:B,2,0)," ")</f>
        <v>Guardallave Fierro Fundido C/Tapa</v>
      </c>
      <c r="C340" s="12">
        <v>1</v>
      </c>
      <c r="D340" s="13">
        <v>26923</v>
      </c>
      <c r="E340" s="75">
        <v>4500518200</v>
      </c>
      <c r="F340" s="9">
        <v>3567206</v>
      </c>
      <c r="G340" s="77">
        <v>46070</v>
      </c>
      <c r="H340" s="9" t="s">
        <v>167</v>
      </c>
      <c r="I340" s="9"/>
      <c r="J340" s="9"/>
      <c r="K340" s="9"/>
      <c r="L340" s="9"/>
      <c r="M340" s="9"/>
      <c r="N340" s="9" t="s">
        <v>192</v>
      </c>
      <c r="O340" s="9" t="s">
        <v>258</v>
      </c>
      <c r="P340" s="37">
        <v>1375033</v>
      </c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</row>
    <row r="341" spans="1:33" ht="14.25" customHeight="1" x14ac:dyDescent="0.35">
      <c r="A341" s="12">
        <v>302737</v>
      </c>
      <c r="B341" s="63" t="str">
        <f>IFERROR(VLOOKUP(Tabla2[[#This Row],[CODIGO]],INVENTARIO!A:B,2,0)," ")</f>
        <v>Válvula Bola 3/4" Hi Un Cuerpo Pn5 Arco</v>
      </c>
      <c r="C341" s="12">
        <v>1</v>
      </c>
      <c r="D341" s="13">
        <v>16445</v>
      </c>
      <c r="E341" s="75">
        <v>4500518200</v>
      </c>
      <c r="F341" s="9">
        <v>3567206</v>
      </c>
      <c r="G341" s="77">
        <v>46070</v>
      </c>
      <c r="H341" s="9" t="s">
        <v>167</v>
      </c>
      <c r="I341" s="9"/>
      <c r="J341" s="9"/>
      <c r="K341" s="9"/>
      <c r="L341" s="9"/>
      <c r="M341" s="9"/>
      <c r="N341" s="9" t="s">
        <v>192</v>
      </c>
      <c r="O341" s="9" t="s">
        <v>258</v>
      </c>
      <c r="P341" s="37">
        <v>1375033</v>
      </c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</row>
    <row r="342" spans="1:33" ht="14.25" customHeight="1" x14ac:dyDescent="0.35">
      <c r="A342" s="12">
        <v>2008481</v>
      </c>
      <c r="B342" s="63" t="str">
        <f>IFERROR(VLOOKUP(Tabla2[[#This Row],[CODIGO]],INVENTARIO!A:B,2,0)," ")</f>
        <v>Tapa Tornillo Bronce 3/4" HE Bspt.</v>
      </c>
      <c r="C342" s="12">
        <v>1</v>
      </c>
      <c r="D342" s="13">
        <v>1</v>
      </c>
      <c r="E342" s="75">
        <v>4500518200</v>
      </c>
      <c r="F342" s="9">
        <v>3567206</v>
      </c>
      <c r="G342" s="77">
        <v>46070</v>
      </c>
      <c r="H342" s="9" t="s">
        <v>167</v>
      </c>
      <c r="I342" s="9"/>
      <c r="J342" s="9"/>
      <c r="K342" s="9"/>
      <c r="L342" s="9"/>
      <c r="M342" s="9"/>
      <c r="N342" s="9" t="s">
        <v>192</v>
      </c>
      <c r="O342" s="9" t="s">
        <v>258</v>
      </c>
      <c r="P342" s="37">
        <v>1375033</v>
      </c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</row>
    <row r="343" spans="1:33" ht="14.25" customHeight="1" x14ac:dyDescent="0.35">
      <c r="A343" s="12">
        <v>2007948</v>
      </c>
      <c r="B343" s="63" t="str">
        <f>IFERROR(VLOOKUP(Tabla2[[#This Row],[CODIGO]],INVENTARIO!A:B,2,0)," ")</f>
        <v>Tubo PVC Hidraulico 110 mm Pn6 Celeste</v>
      </c>
      <c r="C343" s="12">
        <v>6</v>
      </c>
      <c r="D343" s="13">
        <v>14556</v>
      </c>
      <c r="E343" s="75">
        <v>4500518200</v>
      </c>
      <c r="F343" s="9">
        <v>3567206</v>
      </c>
      <c r="G343" s="77">
        <v>46070</v>
      </c>
      <c r="H343" s="9" t="s">
        <v>167</v>
      </c>
      <c r="I343" s="9"/>
      <c r="J343" s="9"/>
      <c r="K343" s="9"/>
      <c r="L343" s="9"/>
      <c r="M343" s="9"/>
      <c r="N343" s="9" t="s">
        <v>192</v>
      </c>
      <c r="O343" s="9" t="s">
        <v>258</v>
      </c>
      <c r="P343" s="37">
        <v>1375033</v>
      </c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</row>
    <row r="344" spans="1:33" ht="14.25" customHeight="1" x14ac:dyDescent="0.35">
      <c r="A344" s="12">
        <v>2003131</v>
      </c>
      <c r="B344" s="63" t="str">
        <f>IFERROR(VLOOKUP(Tabla2[[#This Row],[CODIGO]],INVENTARIO!A:B,2,0)," ")</f>
        <v>Tapping Tee PE 50-40 mm</v>
      </c>
      <c r="C344" s="12">
        <v>1</v>
      </c>
      <c r="D344" s="13"/>
      <c r="E344" s="75">
        <v>4500518201</v>
      </c>
      <c r="F344" s="9">
        <v>3567190</v>
      </c>
      <c r="G344" s="77">
        <v>46070</v>
      </c>
      <c r="H344" s="9" t="s">
        <v>166</v>
      </c>
      <c r="I344" s="9"/>
      <c r="J344" s="9"/>
      <c r="K344" s="9"/>
      <c r="L344" s="9"/>
      <c r="M344" s="9"/>
      <c r="N344" s="9" t="s">
        <v>330</v>
      </c>
      <c r="O344" s="9"/>
      <c r="P344" s="37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</row>
    <row r="345" spans="1:33" ht="14.25" customHeight="1" x14ac:dyDescent="0.35">
      <c r="A345" s="12">
        <v>303362</v>
      </c>
      <c r="B345" s="63" t="str">
        <f>IFERROR(VLOOKUP(Tabla2[[#This Row],[CODIGO]],INVENTARIO!A:B,2,0)," ")</f>
        <v>Reductor PE  50-40 mm Electro F.</v>
      </c>
      <c r="C345" s="12">
        <v>2</v>
      </c>
      <c r="D345" s="13"/>
      <c r="E345" s="75">
        <v>4500518201</v>
      </c>
      <c r="F345" s="9">
        <v>3567190</v>
      </c>
      <c r="G345" s="77">
        <v>46070</v>
      </c>
      <c r="H345" s="9" t="s">
        <v>166</v>
      </c>
      <c r="I345" s="9"/>
      <c r="J345" s="9"/>
      <c r="K345" s="9"/>
      <c r="L345" s="9"/>
      <c r="M345" s="9"/>
      <c r="N345" s="9" t="s">
        <v>330</v>
      </c>
      <c r="O345" s="9"/>
      <c r="P345" s="37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</row>
    <row r="346" spans="1:33" ht="14.25" customHeight="1" x14ac:dyDescent="0.35">
      <c r="A346" s="12">
        <v>303345</v>
      </c>
      <c r="B346" s="63" t="str">
        <f>IFERROR(VLOOKUP(Tabla2[[#This Row],[CODIGO]],INVENTARIO!A:B,2,0)," ")</f>
        <v>Copla PE100 050mm EF</v>
      </c>
      <c r="C346" s="12">
        <v>3</v>
      </c>
      <c r="D346" s="13"/>
      <c r="E346" s="75">
        <v>4500518201</v>
      </c>
      <c r="F346" s="9">
        <v>3567190</v>
      </c>
      <c r="G346" s="77">
        <v>46070</v>
      </c>
      <c r="H346" s="9" t="s">
        <v>166</v>
      </c>
      <c r="I346" s="9"/>
      <c r="J346" s="9"/>
      <c r="K346" s="9"/>
      <c r="L346" s="9"/>
      <c r="M346" s="9"/>
      <c r="N346" s="9" t="s">
        <v>330</v>
      </c>
      <c r="O346" s="9"/>
      <c r="P346" s="37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</row>
    <row r="347" spans="1:33" ht="14.25" customHeight="1" x14ac:dyDescent="0.35">
      <c r="A347" s="12">
        <v>300414</v>
      </c>
      <c r="B347" s="63" t="str">
        <f>IFERROR(VLOOKUP(Tabla2[[#This Row],[CODIGO]],INVENTARIO!A:B,2,0)," ")</f>
        <v>Válvula PE100 Dn 50mm</v>
      </c>
      <c r="C347" s="12">
        <v>1</v>
      </c>
      <c r="D347" s="13"/>
      <c r="E347" s="75">
        <v>4500518201</v>
      </c>
      <c r="F347" s="9">
        <v>3567190</v>
      </c>
      <c r="G347" s="77">
        <v>46070</v>
      </c>
      <c r="H347" s="9" t="s">
        <v>166</v>
      </c>
      <c r="I347" s="9"/>
      <c r="J347" s="9"/>
      <c r="K347" s="9"/>
      <c r="L347" s="9"/>
      <c r="M347" s="9"/>
      <c r="N347" s="9" t="s">
        <v>330</v>
      </c>
      <c r="O347" s="9"/>
      <c r="P347" s="37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</row>
    <row r="348" spans="1:33" ht="14.25" customHeight="1" x14ac:dyDescent="0.35">
      <c r="A348" s="12">
        <v>302992</v>
      </c>
      <c r="B348" s="63" t="str">
        <f>IFERROR(VLOOKUP(Tabla2[[#This Row],[CODIGO]],INVENTARIO!A:B,2,0)," ")</f>
        <v>Codo PE100 90° 050mm EF</v>
      </c>
      <c r="C348" s="12">
        <v>2</v>
      </c>
      <c r="D348" s="13"/>
      <c r="E348" s="75">
        <v>4500518201</v>
      </c>
      <c r="F348" s="9">
        <v>3567190</v>
      </c>
      <c r="G348" s="77">
        <v>46070</v>
      </c>
      <c r="H348" s="9" t="s">
        <v>166</v>
      </c>
      <c r="I348" s="9"/>
      <c r="J348" s="9"/>
      <c r="K348" s="9"/>
      <c r="L348" s="9"/>
      <c r="M348" s="9"/>
      <c r="N348" s="9" t="s">
        <v>330</v>
      </c>
      <c r="O348" s="9"/>
      <c r="P348" s="37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</row>
    <row r="349" spans="1:33" ht="14.25" customHeight="1" x14ac:dyDescent="0.35">
      <c r="A349" s="12">
        <v>301327</v>
      </c>
      <c r="B349" s="63" t="str">
        <f>IFERROR(VLOOKUP(Tabla2[[#This Row],[CODIGO]],INVENTARIO!A:B,2,0)," ")</f>
        <v>Tapa PE  050 mm Termo F.</v>
      </c>
      <c r="C349" s="12">
        <v>1</v>
      </c>
      <c r="D349" s="13"/>
      <c r="E349" s="75">
        <v>4500518201</v>
      </c>
      <c r="F349" s="9">
        <v>3567190</v>
      </c>
      <c r="G349" s="77">
        <v>46070</v>
      </c>
      <c r="H349" s="9" t="s">
        <v>166</v>
      </c>
      <c r="I349" s="9"/>
      <c r="J349" s="9"/>
      <c r="K349" s="9"/>
      <c r="L349" s="9"/>
      <c r="M349" s="9"/>
      <c r="N349" s="9" t="s">
        <v>330</v>
      </c>
      <c r="O349" s="9"/>
      <c r="P349" s="37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</row>
    <row r="350" spans="1:33" ht="14.25" customHeight="1" x14ac:dyDescent="0.35">
      <c r="A350" s="12">
        <v>2004602</v>
      </c>
      <c r="B350" s="63" t="str">
        <f>IFERROR(VLOOKUP(Tabla2[[#This Row],[CODIGO]],INVENTARIO!A:B,2,0)," ")</f>
        <v>MRPC-120-(4/1,2)-(S)-2</v>
      </c>
      <c r="C350" s="12">
        <v>1</v>
      </c>
      <c r="D350" s="13"/>
      <c r="E350" s="75">
        <v>4500518201</v>
      </c>
      <c r="F350" s="9">
        <v>3567190</v>
      </c>
      <c r="G350" s="77">
        <v>46070</v>
      </c>
      <c r="H350" s="9" t="s">
        <v>166</v>
      </c>
      <c r="I350" s="53" t="s">
        <v>331</v>
      </c>
      <c r="J350" s="9"/>
      <c r="K350" s="9"/>
      <c r="L350" s="9"/>
      <c r="M350" s="9"/>
      <c r="N350" s="9" t="s">
        <v>330</v>
      </c>
      <c r="O350" s="9"/>
      <c r="P350" s="37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</row>
    <row r="351" spans="1:33" ht="14.25" customHeight="1" x14ac:dyDescent="0.35">
      <c r="A351" s="12">
        <v>300130</v>
      </c>
      <c r="B351" s="63" t="str">
        <f>IFERROR(VLOOKUP(Tabla2[[#This Row],[CODIGO]],INVENTARIO!A:B,2,0)," ")</f>
        <v>Tee PE  63 mm Electro F.</v>
      </c>
      <c r="C351" s="12">
        <v>1</v>
      </c>
      <c r="D351" s="80" t="s">
        <v>283</v>
      </c>
      <c r="E351" s="75">
        <v>4500518228</v>
      </c>
      <c r="F351" s="9">
        <v>3567178</v>
      </c>
      <c r="G351" s="77">
        <v>46070</v>
      </c>
      <c r="H351" s="9" t="s">
        <v>166</v>
      </c>
      <c r="I351" s="9"/>
      <c r="J351" s="9"/>
      <c r="K351" s="9"/>
      <c r="L351" s="9"/>
      <c r="M351" s="9"/>
      <c r="N351" s="9" t="s">
        <v>194</v>
      </c>
      <c r="O351" s="9"/>
      <c r="P351" s="37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</row>
    <row r="352" spans="1:33" ht="14.25" customHeight="1" x14ac:dyDescent="0.35">
      <c r="A352" s="12">
        <v>302678</v>
      </c>
      <c r="B352" s="63" t="str">
        <f>IFERROR(VLOOKUP(Tabla2[[#This Row],[CODIGO]],INVENTARIO!A:B,2,0)," ")</f>
        <v>Reductor PE  63-50 mm Electro F.</v>
      </c>
      <c r="C352" s="12">
        <v>1</v>
      </c>
      <c r="D352" s="13"/>
      <c r="E352" s="75">
        <v>4500518228</v>
      </c>
      <c r="F352" s="9">
        <v>3567178</v>
      </c>
      <c r="G352" s="77">
        <v>46070</v>
      </c>
      <c r="H352" s="9" t="s">
        <v>166</v>
      </c>
      <c r="I352" s="9"/>
      <c r="J352" s="9"/>
      <c r="K352" s="9"/>
      <c r="L352" s="9"/>
      <c r="M352" s="9"/>
      <c r="N352" s="9" t="s">
        <v>194</v>
      </c>
      <c r="O352" s="9"/>
      <c r="P352" s="37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</row>
    <row r="353" spans="1:33" ht="14.25" customHeight="1" x14ac:dyDescent="0.35">
      <c r="A353" s="12">
        <v>302992</v>
      </c>
      <c r="B353" s="63" t="str">
        <f>IFERROR(VLOOKUP(Tabla2[[#This Row],[CODIGO]],INVENTARIO!A:B,2,0)," ")</f>
        <v>Codo PE100 90° 050mm EF</v>
      </c>
      <c r="C353" s="12">
        <v>1</v>
      </c>
      <c r="D353" s="13"/>
      <c r="E353" s="75">
        <v>4500518228</v>
      </c>
      <c r="F353" s="9">
        <v>3567178</v>
      </c>
      <c r="G353" s="77">
        <v>46070</v>
      </c>
      <c r="H353" s="9" t="s">
        <v>166</v>
      </c>
      <c r="I353" s="9"/>
      <c r="J353" s="9"/>
      <c r="K353" s="9"/>
      <c r="L353" s="9"/>
      <c r="M353" s="9"/>
      <c r="N353" s="9" t="s">
        <v>194</v>
      </c>
      <c r="O353" s="9"/>
      <c r="P353" s="37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</row>
    <row r="354" spans="1:33" ht="14.25" customHeight="1" x14ac:dyDescent="0.35">
      <c r="A354" s="12">
        <v>303345</v>
      </c>
      <c r="B354" s="63" t="str">
        <f>IFERROR(VLOOKUP(Tabla2[[#This Row],[CODIGO]],INVENTARIO!A:B,2,0)," ")</f>
        <v>Copla PE100 050mm EF</v>
      </c>
      <c r="C354" s="12">
        <v>2</v>
      </c>
      <c r="D354" s="13"/>
      <c r="E354" s="75">
        <v>4500518228</v>
      </c>
      <c r="F354" s="9">
        <v>3567178</v>
      </c>
      <c r="G354" s="77">
        <v>46070</v>
      </c>
      <c r="H354" s="9" t="s">
        <v>166</v>
      </c>
      <c r="I354" s="9"/>
      <c r="J354" s="9"/>
      <c r="K354" s="9"/>
      <c r="L354" s="9"/>
      <c r="M354" s="9"/>
      <c r="N354" s="9" t="s">
        <v>194</v>
      </c>
      <c r="O354" s="9"/>
      <c r="P354" s="37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</row>
    <row r="355" spans="1:33" ht="14.25" customHeight="1" x14ac:dyDescent="0.35">
      <c r="A355" s="12">
        <v>301327</v>
      </c>
      <c r="B355" s="63" t="str">
        <f>IFERROR(VLOOKUP(Tabla2[[#This Row],[CODIGO]],INVENTARIO!A:B,2,0)," ")</f>
        <v>Tapa PE  050 mm Termo F.</v>
      </c>
      <c r="C355" s="12">
        <v>1</v>
      </c>
      <c r="D355" s="13"/>
      <c r="E355" s="75">
        <v>4500518228</v>
      </c>
      <c r="F355" s="9">
        <v>3567178</v>
      </c>
      <c r="G355" s="77">
        <v>46070</v>
      </c>
      <c r="H355" s="9" t="s">
        <v>166</v>
      </c>
      <c r="I355" s="9"/>
      <c r="J355" s="9"/>
      <c r="K355" s="9"/>
      <c r="L355" s="9"/>
      <c r="M355" s="9"/>
      <c r="N355" s="9" t="s">
        <v>194</v>
      </c>
      <c r="O355" s="9"/>
      <c r="P355" s="37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</row>
    <row r="356" spans="1:33" ht="14.25" customHeight="1" x14ac:dyDescent="0.35">
      <c r="A356" s="12">
        <v>2000350</v>
      </c>
      <c r="B356" s="63" t="str">
        <f>IFERROR(VLOOKUP(Tabla2[[#This Row],[CODIGO]],INVENTARIO!A:B,2,0)," ")</f>
        <v>Codo PE 90º  25 mm EF.</v>
      </c>
      <c r="C356" s="12">
        <v>20</v>
      </c>
      <c r="D356" s="13"/>
      <c r="E356" s="75">
        <v>4500518228</v>
      </c>
      <c r="F356" s="9">
        <v>3567178</v>
      </c>
      <c r="G356" s="77">
        <v>46070</v>
      </c>
      <c r="H356" s="9" t="s">
        <v>166</v>
      </c>
      <c r="I356" s="9"/>
      <c r="J356" s="9"/>
      <c r="K356" s="9"/>
      <c r="L356" s="9"/>
      <c r="M356" s="9"/>
      <c r="N356" s="9" t="s">
        <v>194</v>
      </c>
      <c r="O356" s="9"/>
      <c r="P356" s="37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</row>
    <row r="357" spans="1:33" ht="14.25" customHeight="1" x14ac:dyDescent="0.35">
      <c r="A357" s="12">
        <v>302659</v>
      </c>
      <c r="B357" s="63" t="str">
        <f>IFERROR(VLOOKUP(Tabla2[[#This Row],[CODIGO]],INVENTARIO!A:B,2,0)," ")</f>
        <v>Copla PE100 063mm EF</v>
      </c>
      <c r="C357" s="12">
        <v>1</v>
      </c>
      <c r="D357" s="13"/>
      <c r="E357" s="75">
        <v>4500518228</v>
      </c>
      <c r="F357" s="9">
        <v>3567178</v>
      </c>
      <c r="G357" s="77">
        <v>46070</v>
      </c>
      <c r="H357" s="9" t="s">
        <v>166</v>
      </c>
      <c r="I357" s="9"/>
      <c r="J357" s="9"/>
      <c r="K357" s="9"/>
      <c r="L357" s="9"/>
      <c r="M357" s="9"/>
      <c r="N357" s="9" t="s">
        <v>194</v>
      </c>
      <c r="O357" s="9"/>
      <c r="P357" s="37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</row>
    <row r="358" spans="1:33" ht="14.25" customHeight="1" x14ac:dyDescent="0.35">
      <c r="A358" s="12">
        <v>301781</v>
      </c>
      <c r="B358" s="63" t="str">
        <f>IFERROR(VLOOKUP(Tabla2[[#This Row],[CODIGO]],INVENTARIO!A:B,2,0)," ")</f>
        <v>Reductor PE 50-32 mm Electro F.</v>
      </c>
      <c r="C358" s="12">
        <v>2</v>
      </c>
      <c r="D358" s="13"/>
      <c r="E358" s="75">
        <v>4500518231</v>
      </c>
      <c r="F358" s="9">
        <v>3567179</v>
      </c>
      <c r="G358" s="77">
        <v>46070</v>
      </c>
      <c r="H358" s="9" t="s">
        <v>166</v>
      </c>
      <c r="I358" s="9"/>
      <c r="J358" s="9"/>
      <c r="K358" s="9"/>
      <c r="L358" s="9"/>
      <c r="M358" s="9" t="s">
        <v>247</v>
      </c>
      <c r="N358" s="9" t="s">
        <v>322</v>
      </c>
      <c r="O358" s="9"/>
      <c r="P358" s="37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</row>
    <row r="359" spans="1:33" ht="14.25" customHeight="1" x14ac:dyDescent="0.35">
      <c r="A359" s="12">
        <v>101624</v>
      </c>
      <c r="B359" s="63" t="str">
        <f>IFERROR(VLOOKUP(Tabla2[[#This Row],[CODIGO]],INVENTARIO!A:B,2,0)," ")</f>
        <v>Tapping Tee PE 50-25 mm</v>
      </c>
      <c r="C359" s="12">
        <v>1</v>
      </c>
      <c r="D359" s="13"/>
      <c r="E359" s="75">
        <v>4500518229</v>
      </c>
      <c r="F359" s="9">
        <v>3567192</v>
      </c>
      <c r="G359" s="77">
        <v>46070</v>
      </c>
      <c r="H359" s="9" t="s">
        <v>166</v>
      </c>
      <c r="I359" s="9"/>
      <c r="J359" s="9"/>
      <c r="K359" s="9"/>
      <c r="L359" s="9"/>
      <c r="M359" s="9"/>
      <c r="N359" s="9" t="s">
        <v>204</v>
      </c>
      <c r="O359" s="9"/>
      <c r="P359" s="37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</row>
    <row r="360" spans="1:33" ht="14.25" customHeight="1" x14ac:dyDescent="0.35">
      <c r="A360" s="12">
        <v>301099</v>
      </c>
      <c r="B360" s="63" t="str">
        <f>IFERROR(VLOOKUP(Tabla2[[#This Row],[CODIGO]],INVENTARIO!A:B,2,0)," ")</f>
        <v>Válvula PE100 Dn 25mm</v>
      </c>
      <c r="C360" s="12">
        <v>1</v>
      </c>
      <c r="D360" s="13"/>
      <c r="E360" s="75">
        <v>4500518229</v>
      </c>
      <c r="F360" s="9">
        <v>3567192</v>
      </c>
      <c r="G360" s="77">
        <v>46070</v>
      </c>
      <c r="H360" s="9" t="s">
        <v>166</v>
      </c>
      <c r="I360" s="9"/>
      <c r="J360" s="9"/>
      <c r="K360" s="9"/>
      <c r="L360" s="9"/>
      <c r="M360" s="9"/>
      <c r="N360" s="9" t="s">
        <v>204</v>
      </c>
      <c r="O360" s="9"/>
      <c r="P360" s="37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</row>
    <row r="361" spans="1:33" ht="14.25" customHeight="1" x14ac:dyDescent="0.35">
      <c r="A361" s="12">
        <v>301329</v>
      </c>
      <c r="B361" s="63" t="str">
        <f>IFERROR(VLOOKUP(Tabla2[[#This Row],[CODIGO]],INVENTARIO!A:B,2,0)," ")</f>
        <v>Copla PE100 025mm EF</v>
      </c>
      <c r="C361" s="12">
        <v>4</v>
      </c>
      <c r="D361" s="13"/>
      <c r="E361" s="75">
        <v>4500518229</v>
      </c>
      <c r="F361" s="9">
        <v>3567192</v>
      </c>
      <c r="G361" s="77">
        <v>46070</v>
      </c>
      <c r="H361" s="9" t="s">
        <v>166</v>
      </c>
      <c r="I361" s="9"/>
      <c r="J361" s="9"/>
      <c r="K361" s="9"/>
      <c r="L361" s="9"/>
      <c r="M361" s="9"/>
      <c r="N361" s="9" t="s">
        <v>204</v>
      </c>
      <c r="O361" s="9"/>
      <c r="P361" s="37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</row>
    <row r="362" spans="1:33" ht="14.25" customHeight="1" x14ac:dyDescent="0.35">
      <c r="A362" s="12">
        <v>300109</v>
      </c>
      <c r="B362" s="63" t="str">
        <f>IFERROR(VLOOKUP(Tabla2[[#This Row],[CODIGO]],INVENTARIO!A:B,2,0)," ")</f>
        <v>Risers de Acero 3/4" Bsp x 25 mm</v>
      </c>
      <c r="C362" s="12">
        <v>1</v>
      </c>
      <c r="D362" s="13"/>
      <c r="E362" s="75">
        <v>4500518229</v>
      </c>
      <c r="F362" s="9">
        <v>3567192</v>
      </c>
      <c r="G362" s="77">
        <v>46070</v>
      </c>
      <c r="H362" s="9" t="s">
        <v>166</v>
      </c>
      <c r="I362" s="9"/>
      <c r="J362" s="9"/>
      <c r="K362" s="9"/>
      <c r="L362" s="9"/>
      <c r="M362" s="9"/>
      <c r="N362" s="9" t="s">
        <v>204</v>
      </c>
      <c r="O362" s="9"/>
      <c r="P362" s="37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</row>
    <row r="363" spans="1:33" ht="14.25" customHeight="1" x14ac:dyDescent="0.35">
      <c r="A363" s="12">
        <v>2003911</v>
      </c>
      <c r="B363" s="63" t="str">
        <f>IFERROR(VLOOKUP(Tabla2[[#This Row],[CODIGO]],INVENTARIO!A:B,2,0)," ")</f>
        <v>Válvula EFv PE 25 mm Para Tap. Tee</v>
      </c>
      <c r="C363" s="12">
        <v>1</v>
      </c>
      <c r="D363" s="13"/>
      <c r="E363" s="75">
        <v>4500518229</v>
      </c>
      <c r="F363" s="9">
        <v>3567192</v>
      </c>
      <c r="G363" s="77">
        <v>46070</v>
      </c>
      <c r="H363" s="9" t="s">
        <v>166</v>
      </c>
      <c r="I363" s="9"/>
      <c r="J363" s="9"/>
      <c r="K363" s="9"/>
      <c r="L363" s="9"/>
      <c r="M363" s="9"/>
      <c r="N363" s="9" t="s">
        <v>204</v>
      </c>
      <c r="O363" s="9"/>
      <c r="P363" s="37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</row>
    <row r="364" spans="1:33" ht="14.25" customHeight="1" x14ac:dyDescent="0.35">
      <c r="A364" s="12">
        <v>2003131</v>
      </c>
      <c r="B364" s="63" t="str">
        <f>IFERROR(VLOOKUP(Tabla2[[#This Row],[CODIGO]],INVENTARIO!A:B,2,0)," ")</f>
        <v>Tapping Tee PE 50-40 mm</v>
      </c>
      <c r="C364" s="12">
        <v>1</v>
      </c>
      <c r="D364" s="13"/>
      <c r="E364" s="75">
        <v>4500518238</v>
      </c>
      <c r="F364" s="9">
        <v>3567183</v>
      </c>
      <c r="G364" s="77">
        <v>46070</v>
      </c>
      <c r="H364" s="9" t="s">
        <v>166</v>
      </c>
      <c r="I364" s="9"/>
      <c r="J364" s="9"/>
      <c r="K364" s="9"/>
      <c r="L364" s="9"/>
      <c r="M364" s="9"/>
      <c r="N364" s="9" t="s">
        <v>328</v>
      </c>
      <c r="O364" s="9"/>
      <c r="P364" s="37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</row>
    <row r="365" spans="1:33" ht="14.25" customHeight="1" x14ac:dyDescent="0.35">
      <c r="A365" s="12">
        <v>303362</v>
      </c>
      <c r="B365" s="63" t="str">
        <f>IFERROR(VLOOKUP(Tabla2[[#This Row],[CODIGO]],INVENTARIO!A:B,2,0)," ")</f>
        <v>Reductor PE  50-40 mm Electro F.</v>
      </c>
      <c r="C365" s="12">
        <v>2</v>
      </c>
      <c r="D365" s="13"/>
      <c r="E365" s="75">
        <v>4500518238</v>
      </c>
      <c r="F365" s="9">
        <v>3567183</v>
      </c>
      <c r="G365" s="77">
        <v>46070</v>
      </c>
      <c r="H365" s="9" t="s">
        <v>166</v>
      </c>
      <c r="I365" s="9"/>
      <c r="J365" s="9"/>
      <c r="K365" s="9"/>
      <c r="L365" s="9"/>
      <c r="M365" s="9"/>
      <c r="N365" s="9" t="s">
        <v>328</v>
      </c>
      <c r="O365" s="9"/>
      <c r="P365" s="37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</row>
    <row r="366" spans="1:33" ht="14.25" customHeight="1" x14ac:dyDescent="0.35">
      <c r="A366" s="12">
        <v>303345</v>
      </c>
      <c r="B366" s="63" t="str">
        <f>IFERROR(VLOOKUP(Tabla2[[#This Row],[CODIGO]],INVENTARIO!A:B,2,0)," ")</f>
        <v>Copla PE100 050mm EF</v>
      </c>
      <c r="C366" s="12">
        <v>3</v>
      </c>
      <c r="D366" s="13"/>
      <c r="E366" s="75">
        <v>4500518238</v>
      </c>
      <c r="F366" s="9">
        <v>3567183</v>
      </c>
      <c r="G366" s="77">
        <v>46070</v>
      </c>
      <c r="H366" s="9" t="s">
        <v>166</v>
      </c>
      <c r="I366" s="9"/>
      <c r="J366" s="9"/>
      <c r="K366" s="9"/>
      <c r="L366" s="9"/>
      <c r="M366" s="9"/>
      <c r="N366" s="9" t="s">
        <v>328</v>
      </c>
      <c r="O366" s="9"/>
      <c r="P366" s="37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</row>
    <row r="367" spans="1:33" ht="14.25" customHeight="1" x14ac:dyDescent="0.35">
      <c r="A367" s="12">
        <v>300414</v>
      </c>
      <c r="B367" s="63" t="str">
        <f>IFERROR(VLOOKUP(Tabla2[[#This Row],[CODIGO]],INVENTARIO!A:B,2,0)," ")</f>
        <v>Válvula PE100 Dn 50mm</v>
      </c>
      <c r="C367" s="12">
        <v>1</v>
      </c>
      <c r="D367" s="13"/>
      <c r="E367" s="75">
        <v>4500518238</v>
      </c>
      <c r="F367" s="9">
        <v>3567183</v>
      </c>
      <c r="G367" s="77">
        <v>46070</v>
      </c>
      <c r="H367" s="9" t="s">
        <v>166</v>
      </c>
      <c r="I367" s="9"/>
      <c r="J367" s="9"/>
      <c r="K367" s="9"/>
      <c r="L367" s="9"/>
      <c r="M367" s="9"/>
      <c r="N367" s="9" t="s">
        <v>328</v>
      </c>
      <c r="O367" s="9"/>
      <c r="P367" s="37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</row>
    <row r="368" spans="1:33" ht="14.25" customHeight="1" x14ac:dyDescent="0.35">
      <c r="A368" s="12">
        <v>302992</v>
      </c>
      <c r="B368" s="63" t="str">
        <f>IFERROR(VLOOKUP(Tabla2[[#This Row],[CODIGO]],INVENTARIO!A:B,2,0)," ")</f>
        <v>Codo PE100 90° 050mm EF</v>
      </c>
      <c r="C368" s="12">
        <v>3</v>
      </c>
      <c r="D368" s="13"/>
      <c r="E368" s="75">
        <v>4500518238</v>
      </c>
      <c r="F368" s="9">
        <v>3567183</v>
      </c>
      <c r="G368" s="77">
        <v>46070</v>
      </c>
      <c r="H368" s="9" t="s">
        <v>166</v>
      </c>
      <c r="I368" s="9"/>
      <c r="J368" s="9"/>
      <c r="K368" s="9"/>
      <c r="L368" s="9"/>
      <c r="M368" s="9"/>
      <c r="N368" s="9" t="s">
        <v>328</v>
      </c>
      <c r="O368" s="9"/>
      <c r="P368" s="37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</row>
    <row r="369" spans="1:33" ht="14.25" customHeight="1" x14ac:dyDescent="0.35">
      <c r="A369" s="12">
        <v>301327</v>
      </c>
      <c r="B369" s="63" t="str">
        <f>IFERROR(VLOOKUP(Tabla2[[#This Row],[CODIGO]],INVENTARIO!A:B,2,0)," ")</f>
        <v>Tapa PE  050 mm Termo F.</v>
      </c>
      <c r="C369" s="12">
        <v>1</v>
      </c>
      <c r="D369" s="13"/>
      <c r="E369" s="75">
        <v>4500518238</v>
      </c>
      <c r="F369" s="9">
        <v>3567183</v>
      </c>
      <c r="G369" s="77">
        <v>46070</v>
      </c>
      <c r="H369" s="9" t="s">
        <v>166</v>
      </c>
      <c r="I369" s="9"/>
      <c r="J369" s="9"/>
      <c r="K369" s="9"/>
      <c r="L369" s="9"/>
      <c r="M369" s="9"/>
      <c r="N369" s="9" t="s">
        <v>328</v>
      </c>
      <c r="O369" s="9"/>
      <c r="P369" s="37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</row>
    <row r="370" spans="1:33" ht="14.25" customHeight="1" x14ac:dyDescent="0.35">
      <c r="A370" s="12">
        <v>2004602</v>
      </c>
      <c r="B370" s="63" t="str">
        <f>IFERROR(VLOOKUP(Tabla2[[#This Row],[CODIGO]],INVENTARIO!A:B,2,0)," ")</f>
        <v>MRPC-120-(4/1,2)-(S)-2</v>
      </c>
      <c r="C370" s="12">
        <v>1</v>
      </c>
      <c r="D370" s="13"/>
      <c r="E370" s="75">
        <v>4500518238</v>
      </c>
      <c r="F370" s="9">
        <v>3567183</v>
      </c>
      <c r="G370" s="77">
        <v>46070</v>
      </c>
      <c r="H370" s="9" t="s">
        <v>166</v>
      </c>
      <c r="I370" s="9" t="s">
        <v>329</v>
      </c>
      <c r="J370" s="9"/>
      <c r="K370" s="9"/>
      <c r="L370" s="9"/>
      <c r="M370" s="9"/>
      <c r="N370" s="9" t="s">
        <v>328</v>
      </c>
      <c r="O370" s="9"/>
      <c r="P370" s="37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</row>
    <row r="371" spans="1:33" ht="14.25" customHeight="1" x14ac:dyDescent="0.35">
      <c r="A371" s="12">
        <v>301666</v>
      </c>
      <c r="B371" s="63" t="str">
        <f>IFERROR(VLOOKUP(Tabla2[[#This Row],[CODIGO]],INVENTARIO!A:B,2,0)," ")</f>
        <v>Tapping Tee PE 110-25 mm</v>
      </c>
      <c r="C371" s="12">
        <v>1</v>
      </c>
      <c r="D371" s="13"/>
      <c r="E371" s="75">
        <v>4500518235</v>
      </c>
      <c r="F371" s="9">
        <v>3567180</v>
      </c>
      <c r="G371" s="77">
        <v>46070</v>
      </c>
      <c r="H371" s="9" t="s">
        <v>166</v>
      </c>
      <c r="I371" s="9"/>
      <c r="J371" s="9"/>
      <c r="K371" s="9"/>
      <c r="L371" s="9"/>
      <c r="M371" s="9"/>
      <c r="N371" s="9" t="s">
        <v>327</v>
      </c>
      <c r="O371" s="9"/>
      <c r="P371" s="37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</row>
    <row r="372" spans="1:33" ht="14.25" customHeight="1" x14ac:dyDescent="0.35">
      <c r="A372" s="12">
        <v>301099</v>
      </c>
      <c r="B372" s="63" t="str">
        <f>IFERROR(VLOOKUP(Tabla2[[#This Row],[CODIGO]],INVENTARIO!A:B,2,0)," ")</f>
        <v>Válvula PE100 Dn 25mm</v>
      </c>
      <c r="C372" s="12">
        <v>1</v>
      </c>
      <c r="D372" s="13"/>
      <c r="E372" s="75">
        <v>4500518235</v>
      </c>
      <c r="F372" s="9">
        <v>3567180</v>
      </c>
      <c r="G372" s="77">
        <v>46070</v>
      </c>
      <c r="H372" s="9" t="s">
        <v>166</v>
      </c>
      <c r="I372" s="9"/>
      <c r="J372" s="9"/>
      <c r="K372" s="9"/>
      <c r="L372" s="9"/>
      <c r="M372" s="9"/>
      <c r="N372" s="9" t="s">
        <v>327</v>
      </c>
      <c r="O372" s="9"/>
      <c r="P372" s="37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</row>
    <row r="373" spans="1:33" ht="14.25" customHeight="1" x14ac:dyDescent="0.35">
      <c r="A373" s="12">
        <v>301329</v>
      </c>
      <c r="B373" s="63" t="str">
        <f>IFERROR(VLOOKUP(Tabla2[[#This Row],[CODIGO]],INVENTARIO!A:B,2,0)," ")</f>
        <v>Copla PE100 025mm EF</v>
      </c>
      <c r="C373" s="12">
        <v>4</v>
      </c>
      <c r="D373" s="13"/>
      <c r="E373" s="75">
        <v>4500518235</v>
      </c>
      <c r="F373" s="9">
        <v>3567180</v>
      </c>
      <c r="G373" s="77">
        <v>46070</v>
      </c>
      <c r="H373" s="9" t="s">
        <v>166</v>
      </c>
      <c r="I373" s="9"/>
      <c r="J373" s="9"/>
      <c r="K373" s="9"/>
      <c r="L373" s="9"/>
      <c r="M373" s="9"/>
      <c r="N373" s="9" t="s">
        <v>327</v>
      </c>
      <c r="O373" s="9"/>
      <c r="P373" s="37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</row>
    <row r="374" spans="1:33" ht="14.25" customHeight="1" x14ac:dyDescent="0.35">
      <c r="A374" s="12">
        <v>300109</v>
      </c>
      <c r="B374" s="63" t="str">
        <f>IFERROR(VLOOKUP(Tabla2[[#This Row],[CODIGO]],INVENTARIO!A:B,2,0)," ")</f>
        <v>Risers de Acero 3/4" Bsp x 25 mm</v>
      </c>
      <c r="C374" s="12">
        <v>1</v>
      </c>
      <c r="D374" s="13"/>
      <c r="E374" s="75">
        <v>4500518235</v>
      </c>
      <c r="F374" s="9">
        <v>3567180</v>
      </c>
      <c r="G374" s="77">
        <v>46070</v>
      </c>
      <c r="H374" s="9" t="s">
        <v>166</v>
      </c>
      <c r="I374" s="9"/>
      <c r="J374" s="9"/>
      <c r="K374" s="9"/>
      <c r="L374" s="9"/>
      <c r="M374" s="9"/>
      <c r="N374" s="9" t="s">
        <v>327</v>
      </c>
      <c r="O374" s="9"/>
      <c r="P374" s="37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</row>
    <row r="375" spans="1:33" ht="14.25" customHeight="1" x14ac:dyDescent="0.35">
      <c r="A375" s="12">
        <v>2003911</v>
      </c>
      <c r="B375" s="63" t="str">
        <f>IFERROR(VLOOKUP(Tabla2[[#This Row],[CODIGO]],INVENTARIO!A:B,2,0)," ")</f>
        <v>Válvula EFv PE 25 mm Para Tap. Tee</v>
      </c>
      <c r="C375" s="12">
        <v>1</v>
      </c>
      <c r="D375" s="13"/>
      <c r="E375" s="75">
        <v>4500518235</v>
      </c>
      <c r="F375" s="9">
        <v>3567180</v>
      </c>
      <c r="G375" s="77">
        <v>46070</v>
      </c>
      <c r="H375" s="9" t="s">
        <v>166</v>
      </c>
      <c r="I375" s="9"/>
      <c r="J375" s="9"/>
      <c r="K375" s="9"/>
      <c r="L375" s="9"/>
      <c r="M375" s="9"/>
      <c r="N375" s="9" t="s">
        <v>327</v>
      </c>
      <c r="O375" s="9"/>
      <c r="P375" s="37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</row>
    <row r="376" spans="1:33" ht="14.25" customHeight="1" x14ac:dyDescent="0.35">
      <c r="A376" s="12">
        <v>300108</v>
      </c>
      <c r="B376" s="63" t="str">
        <f>IFERROR(VLOOKUP(Tabla2[[#This Row],[CODIGO]],INVENTARIO!A:B,2,0)," ")</f>
        <v>Tapping Tee PE 63-25 mm</v>
      </c>
      <c r="C376" s="12">
        <v>1</v>
      </c>
      <c r="D376" s="13"/>
      <c r="E376" s="75">
        <v>4500518243</v>
      </c>
      <c r="F376" s="9">
        <v>3567188</v>
      </c>
      <c r="G376" s="77">
        <v>46070</v>
      </c>
      <c r="H376" s="9" t="s">
        <v>166</v>
      </c>
      <c r="I376" s="9"/>
      <c r="J376" s="9"/>
      <c r="K376" s="9"/>
      <c r="L376" s="9"/>
      <c r="M376" s="9"/>
      <c r="N376" s="9" t="s">
        <v>326</v>
      </c>
      <c r="O376" s="9"/>
      <c r="P376" s="37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</row>
    <row r="377" spans="1:33" ht="14.25" customHeight="1" x14ac:dyDescent="0.35">
      <c r="A377" s="12">
        <v>2000350</v>
      </c>
      <c r="B377" s="63" t="str">
        <f>IFERROR(VLOOKUP(Tabla2[[#This Row],[CODIGO]],INVENTARIO!A:B,2,0)," ")</f>
        <v>Codo PE 90º  25 mm EF.</v>
      </c>
      <c r="C377" s="12">
        <v>4</v>
      </c>
      <c r="D377" s="13"/>
      <c r="E377" s="75">
        <v>4500518243</v>
      </c>
      <c r="F377" s="9">
        <v>3567188</v>
      </c>
      <c r="G377" s="77">
        <v>46070</v>
      </c>
      <c r="H377" s="9" t="s">
        <v>166</v>
      </c>
      <c r="I377" s="9"/>
      <c r="J377" s="9"/>
      <c r="K377" s="9"/>
      <c r="L377" s="9"/>
      <c r="M377" s="9"/>
      <c r="N377" s="9" t="s">
        <v>326</v>
      </c>
      <c r="O377" s="9"/>
      <c r="P377" s="37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</row>
    <row r="378" spans="1:33" ht="14.25" customHeight="1" x14ac:dyDescent="0.35">
      <c r="A378" s="12">
        <v>301099</v>
      </c>
      <c r="B378" s="63" t="str">
        <f>IFERROR(VLOOKUP(Tabla2[[#This Row],[CODIGO]],INVENTARIO!A:B,2,0)," ")</f>
        <v>Válvula PE100 Dn 25mm</v>
      </c>
      <c r="C378" s="12">
        <v>1</v>
      </c>
      <c r="D378" s="13"/>
      <c r="E378" s="75">
        <v>4500518243</v>
      </c>
      <c r="F378" s="9">
        <v>3567188</v>
      </c>
      <c r="G378" s="77">
        <v>46070</v>
      </c>
      <c r="H378" s="9" t="s">
        <v>166</v>
      </c>
      <c r="I378" s="9"/>
      <c r="J378" s="9"/>
      <c r="K378" s="9"/>
      <c r="L378" s="9"/>
      <c r="M378" s="9"/>
      <c r="N378" s="9" t="s">
        <v>326</v>
      </c>
      <c r="O378" s="9"/>
      <c r="P378" s="37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</row>
    <row r="379" spans="1:33" ht="14.25" customHeight="1" x14ac:dyDescent="0.35">
      <c r="A379" s="12">
        <v>301329</v>
      </c>
      <c r="B379" s="63" t="str">
        <f>IFERROR(VLOOKUP(Tabla2[[#This Row],[CODIGO]],INVENTARIO!A:B,2,0)," ")</f>
        <v>Copla PE100 025mm EF</v>
      </c>
      <c r="C379" s="12">
        <v>4</v>
      </c>
      <c r="D379" s="13"/>
      <c r="E379" s="75">
        <v>4500518243</v>
      </c>
      <c r="F379" s="9">
        <v>3567188</v>
      </c>
      <c r="G379" s="77">
        <v>46070</v>
      </c>
      <c r="H379" s="9" t="s">
        <v>166</v>
      </c>
      <c r="I379" s="9"/>
      <c r="J379" s="9"/>
      <c r="K379" s="9"/>
      <c r="L379" s="9"/>
      <c r="M379" s="9"/>
      <c r="N379" s="9" t="s">
        <v>326</v>
      </c>
      <c r="O379" s="9"/>
      <c r="P379" s="37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</row>
    <row r="380" spans="1:33" ht="14.25" customHeight="1" x14ac:dyDescent="0.35">
      <c r="A380" s="12">
        <v>101618</v>
      </c>
      <c r="B380" s="63" t="str">
        <f>IFERROR(VLOOKUP(Tabla2[[#This Row],[CODIGO]],INVENTARIO!A:B,2,0)," ")</f>
        <v>Risers Ac,Recto 3/4 "x25 mm</v>
      </c>
      <c r="C380" s="12">
        <v>1</v>
      </c>
      <c r="D380" s="13"/>
      <c r="E380" s="75">
        <v>4500518243</v>
      </c>
      <c r="F380" s="9">
        <v>3567188</v>
      </c>
      <c r="G380" s="77">
        <v>46070</v>
      </c>
      <c r="H380" s="9" t="s">
        <v>166</v>
      </c>
      <c r="I380" s="9"/>
      <c r="J380" s="9"/>
      <c r="K380" s="9"/>
      <c r="L380" s="9"/>
      <c r="M380" s="9"/>
      <c r="N380" s="9" t="s">
        <v>326</v>
      </c>
      <c r="O380" s="9"/>
      <c r="P380" s="37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</row>
    <row r="381" spans="1:33" ht="14.25" customHeight="1" x14ac:dyDescent="0.35">
      <c r="A381" s="12">
        <v>301738</v>
      </c>
      <c r="B381" s="63" t="str">
        <f>IFERROR(VLOOKUP(Tabla2[[#This Row],[CODIGO]],INVENTARIO!A:B,2,0)," ")</f>
        <v>Regulador Sum. Fe-25, 20 Mbar P.Fior</v>
      </c>
      <c r="C381" s="12">
        <v>1</v>
      </c>
      <c r="D381" s="13"/>
      <c r="E381" s="75">
        <v>4500518243</v>
      </c>
      <c r="F381" s="9">
        <v>3567188</v>
      </c>
      <c r="G381" s="77">
        <v>46070</v>
      </c>
      <c r="H381" s="9" t="s">
        <v>166</v>
      </c>
      <c r="I381" s="9"/>
      <c r="J381" s="9"/>
      <c r="K381" s="9"/>
      <c r="L381" s="9"/>
      <c r="M381" s="9"/>
      <c r="N381" s="9" t="s">
        <v>326</v>
      </c>
      <c r="O381" s="9"/>
      <c r="P381" s="37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</row>
    <row r="382" spans="1:33" ht="14.25" customHeight="1" x14ac:dyDescent="0.35">
      <c r="A382" s="12">
        <v>101624</v>
      </c>
      <c r="B382" s="63" t="str">
        <f>IFERROR(VLOOKUP(Tabla2[[#This Row],[CODIGO]],INVENTARIO!A:B,2,0)," ")</f>
        <v>Tapping Tee PE 50-25 mm</v>
      </c>
      <c r="C382" s="12">
        <v>1</v>
      </c>
      <c r="D382" s="13"/>
      <c r="E382" s="75">
        <v>4500518184</v>
      </c>
      <c r="F382" s="9">
        <v>3567185</v>
      </c>
      <c r="G382" s="77">
        <v>46070</v>
      </c>
      <c r="H382" s="9" t="s">
        <v>166</v>
      </c>
      <c r="I382" s="9"/>
      <c r="J382" s="9"/>
      <c r="K382" s="9"/>
      <c r="L382" s="9"/>
      <c r="M382" s="9"/>
      <c r="N382" s="9" t="s">
        <v>325</v>
      </c>
      <c r="O382" s="9"/>
      <c r="P382" s="37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</row>
    <row r="383" spans="1:33" ht="14.25" customHeight="1" x14ac:dyDescent="0.35">
      <c r="A383" s="12">
        <v>301099</v>
      </c>
      <c r="B383" s="63" t="str">
        <f>IFERROR(VLOOKUP(Tabla2[[#This Row],[CODIGO]],INVENTARIO!A:B,2,0)," ")</f>
        <v>Válvula PE100 Dn 25mm</v>
      </c>
      <c r="C383" s="12">
        <v>1</v>
      </c>
      <c r="D383" s="13"/>
      <c r="E383" s="75">
        <v>4500518184</v>
      </c>
      <c r="F383" s="9">
        <v>3567185</v>
      </c>
      <c r="G383" s="77">
        <v>46070</v>
      </c>
      <c r="H383" s="9" t="s">
        <v>166</v>
      </c>
      <c r="I383" s="9"/>
      <c r="J383" s="9"/>
      <c r="K383" s="9"/>
      <c r="L383" s="9"/>
      <c r="M383" s="9"/>
      <c r="N383" s="9" t="s">
        <v>325</v>
      </c>
      <c r="O383" s="9"/>
      <c r="P383" s="37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</row>
    <row r="384" spans="1:33" ht="14.25" customHeight="1" x14ac:dyDescent="0.35">
      <c r="A384" s="12">
        <v>301329</v>
      </c>
      <c r="B384" s="63" t="str">
        <f>IFERROR(VLOOKUP(Tabla2[[#This Row],[CODIGO]],INVENTARIO!A:B,2,0)," ")</f>
        <v>Copla PE100 025mm EF</v>
      </c>
      <c r="C384" s="12">
        <v>4</v>
      </c>
      <c r="D384" s="13"/>
      <c r="E384" s="75">
        <v>4500518184</v>
      </c>
      <c r="F384" s="9">
        <v>3567185</v>
      </c>
      <c r="G384" s="77">
        <v>46070</v>
      </c>
      <c r="H384" s="9" t="s">
        <v>166</v>
      </c>
      <c r="I384" s="9"/>
      <c r="J384" s="9"/>
      <c r="K384" s="9"/>
      <c r="L384" s="9"/>
      <c r="M384" s="9"/>
      <c r="N384" s="9" t="s">
        <v>325</v>
      </c>
      <c r="O384" s="9"/>
      <c r="P384" s="37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</row>
    <row r="385" spans="1:33" ht="14.25" customHeight="1" x14ac:dyDescent="0.35">
      <c r="A385" s="12">
        <v>300109</v>
      </c>
      <c r="B385" s="63" t="str">
        <f>IFERROR(VLOOKUP(Tabla2[[#This Row],[CODIGO]],INVENTARIO!A:B,2,0)," ")</f>
        <v>Risers de Acero 3/4" Bsp x 25 mm</v>
      </c>
      <c r="C385" s="12">
        <v>1</v>
      </c>
      <c r="D385" s="13"/>
      <c r="E385" s="75">
        <v>4500518184</v>
      </c>
      <c r="F385" s="9">
        <v>3567185</v>
      </c>
      <c r="G385" s="77">
        <v>46070</v>
      </c>
      <c r="H385" s="9" t="s">
        <v>166</v>
      </c>
      <c r="I385" s="9"/>
      <c r="J385" s="9"/>
      <c r="K385" s="9"/>
      <c r="L385" s="9"/>
      <c r="M385" s="9"/>
      <c r="N385" s="9" t="s">
        <v>325</v>
      </c>
      <c r="O385" s="9"/>
      <c r="P385" s="37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</row>
    <row r="386" spans="1:33" ht="14.25" customHeight="1" x14ac:dyDescent="0.35">
      <c r="A386" s="12">
        <v>2003911</v>
      </c>
      <c r="B386" s="63" t="str">
        <f>IFERROR(VLOOKUP(Tabla2[[#This Row],[CODIGO]],INVENTARIO!A:B,2,0)," ")</f>
        <v>Válvula EFv PE 25 mm Para Tap. Tee</v>
      </c>
      <c r="C386" s="12">
        <v>1</v>
      </c>
      <c r="D386" s="13"/>
      <c r="E386" s="75">
        <v>4500518184</v>
      </c>
      <c r="F386" s="9">
        <v>3567185</v>
      </c>
      <c r="G386" s="77">
        <v>46070</v>
      </c>
      <c r="H386" s="9" t="s">
        <v>166</v>
      </c>
      <c r="I386" s="9"/>
      <c r="J386" s="9"/>
      <c r="K386" s="9"/>
      <c r="L386" s="9"/>
      <c r="M386" s="9"/>
      <c r="N386" s="9" t="s">
        <v>325</v>
      </c>
      <c r="O386" s="9"/>
      <c r="P386" s="37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</row>
    <row r="387" spans="1:33" ht="14.25" customHeight="1" x14ac:dyDescent="0.35">
      <c r="A387" s="12">
        <v>101624</v>
      </c>
      <c r="B387" s="63" t="str">
        <f>IFERROR(VLOOKUP(Tabla2[[#This Row],[CODIGO]],INVENTARIO!A:B,2,0)," ")</f>
        <v>Tapping Tee PE 50-25 mm</v>
      </c>
      <c r="C387" s="12">
        <v>1</v>
      </c>
      <c r="D387" s="13"/>
      <c r="E387" s="75">
        <v>4500518198</v>
      </c>
      <c r="F387" s="9">
        <v>3567187</v>
      </c>
      <c r="G387" s="77">
        <v>46070</v>
      </c>
      <c r="H387" s="9" t="s">
        <v>166</v>
      </c>
      <c r="I387" s="9"/>
      <c r="J387" s="9"/>
      <c r="K387" s="9"/>
      <c r="L387" s="9"/>
      <c r="M387" s="9"/>
      <c r="N387" s="9" t="s">
        <v>324</v>
      </c>
      <c r="O387" s="9"/>
      <c r="P387" s="37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</row>
    <row r="388" spans="1:33" ht="14.25" customHeight="1" x14ac:dyDescent="0.35">
      <c r="A388" s="12">
        <v>301099</v>
      </c>
      <c r="B388" s="63" t="str">
        <f>IFERROR(VLOOKUP(Tabla2[[#This Row],[CODIGO]],INVENTARIO!A:B,2,0)," ")</f>
        <v>Válvula PE100 Dn 25mm</v>
      </c>
      <c r="C388" s="12">
        <v>1</v>
      </c>
      <c r="D388" s="13"/>
      <c r="E388" s="75">
        <v>4500518198</v>
      </c>
      <c r="F388" s="9">
        <v>3567187</v>
      </c>
      <c r="G388" s="77">
        <v>46070</v>
      </c>
      <c r="H388" s="9" t="s">
        <v>166</v>
      </c>
      <c r="I388" s="9"/>
      <c r="J388" s="9"/>
      <c r="K388" s="9"/>
      <c r="L388" s="9"/>
      <c r="M388" s="9"/>
      <c r="N388" s="9" t="s">
        <v>324</v>
      </c>
      <c r="O388" s="9"/>
      <c r="P388" s="37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</row>
    <row r="389" spans="1:33" ht="14.25" customHeight="1" x14ac:dyDescent="0.35">
      <c r="A389" s="12">
        <v>301329</v>
      </c>
      <c r="B389" s="63" t="str">
        <f>IFERROR(VLOOKUP(Tabla2[[#This Row],[CODIGO]],INVENTARIO!A:B,2,0)," ")</f>
        <v>Copla PE100 025mm EF</v>
      </c>
      <c r="C389" s="12">
        <v>4</v>
      </c>
      <c r="D389" s="13"/>
      <c r="E389" s="75">
        <v>4500518198</v>
      </c>
      <c r="F389" s="9">
        <v>3567187</v>
      </c>
      <c r="G389" s="77">
        <v>46070</v>
      </c>
      <c r="H389" s="9" t="s">
        <v>166</v>
      </c>
      <c r="I389" s="9"/>
      <c r="J389" s="9"/>
      <c r="K389" s="9"/>
      <c r="L389" s="9"/>
      <c r="M389" s="9"/>
      <c r="N389" s="9" t="s">
        <v>324</v>
      </c>
      <c r="O389" s="9"/>
      <c r="P389" s="37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</row>
    <row r="390" spans="1:33" ht="13.5" customHeight="1" x14ac:dyDescent="0.35">
      <c r="A390" s="12">
        <v>300109</v>
      </c>
      <c r="B390" s="63" t="str">
        <f>IFERROR(VLOOKUP(Tabla2[[#This Row],[CODIGO]],INVENTARIO!A:B,2,0)," ")</f>
        <v>Risers de Acero 3/4" Bsp x 25 mm</v>
      </c>
      <c r="C390" s="12">
        <v>1</v>
      </c>
      <c r="D390" s="13"/>
      <c r="E390" s="75">
        <v>4500518198</v>
      </c>
      <c r="F390" s="9">
        <v>3567187</v>
      </c>
      <c r="G390" s="77">
        <v>46070</v>
      </c>
      <c r="H390" s="9" t="s">
        <v>166</v>
      </c>
      <c r="I390" s="9"/>
      <c r="J390" s="9"/>
      <c r="K390" s="9"/>
      <c r="L390" s="9"/>
      <c r="M390" s="9"/>
      <c r="N390" s="9" t="s">
        <v>324</v>
      </c>
      <c r="O390" s="9"/>
      <c r="P390" s="37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</row>
    <row r="391" spans="1:33" ht="14.25" customHeight="1" x14ac:dyDescent="0.35">
      <c r="A391" s="12">
        <v>2003911</v>
      </c>
      <c r="B391" s="63" t="str">
        <f>IFERROR(VLOOKUP(Tabla2[[#This Row],[CODIGO]],INVENTARIO!A:B,2,0)," ")</f>
        <v>Válvula EFv PE 25 mm Para Tap. Tee</v>
      </c>
      <c r="C391" s="12">
        <v>1</v>
      </c>
      <c r="D391" s="13"/>
      <c r="E391" s="75">
        <v>4500518198</v>
      </c>
      <c r="F391" s="9">
        <v>3567187</v>
      </c>
      <c r="G391" s="77">
        <v>46070</v>
      </c>
      <c r="H391" s="9" t="s">
        <v>166</v>
      </c>
      <c r="I391" s="9"/>
      <c r="J391" s="9"/>
      <c r="K391" s="9"/>
      <c r="L391" s="9"/>
      <c r="M391" s="9"/>
      <c r="N391" s="9" t="s">
        <v>324</v>
      </c>
      <c r="O391" s="9"/>
      <c r="P391" s="37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</row>
    <row r="392" spans="1:33" ht="14.25" customHeight="1" x14ac:dyDescent="0.35">
      <c r="A392" s="12">
        <v>101624</v>
      </c>
      <c r="B392" s="63" t="str">
        <f>IFERROR(VLOOKUP(Tabla2[[#This Row],[CODIGO]],INVENTARIO!A:B,2,0)," ")</f>
        <v>Tapping Tee PE 50-25 mm</v>
      </c>
      <c r="C392" s="12">
        <v>1</v>
      </c>
      <c r="D392" s="13"/>
      <c r="E392" s="75">
        <v>4500518200</v>
      </c>
      <c r="F392" s="9">
        <v>3567189</v>
      </c>
      <c r="G392" s="77">
        <v>46070</v>
      </c>
      <c r="H392" s="9" t="s">
        <v>166</v>
      </c>
      <c r="I392" s="9"/>
      <c r="J392" s="9"/>
      <c r="K392" s="9"/>
      <c r="L392" s="9"/>
      <c r="M392" s="9"/>
      <c r="N392" s="9" t="s">
        <v>192</v>
      </c>
      <c r="O392" s="9"/>
      <c r="P392" s="37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</row>
    <row r="393" spans="1:33" ht="14.25" customHeight="1" x14ac:dyDescent="0.35">
      <c r="A393" s="12">
        <v>301099</v>
      </c>
      <c r="B393" s="63" t="str">
        <f>IFERROR(VLOOKUP(Tabla2[[#This Row],[CODIGO]],INVENTARIO!A:B,2,0)," ")</f>
        <v>Válvula PE100 Dn 25mm</v>
      </c>
      <c r="C393" s="12">
        <v>1</v>
      </c>
      <c r="D393" s="13"/>
      <c r="E393" s="75">
        <v>4500518200</v>
      </c>
      <c r="F393" s="9">
        <v>3567189</v>
      </c>
      <c r="G393" s="77">
        <v>46070</v>
      </c>
      <c r="H393" s="9" t="s">
        <v>166</v>
      </c>
      <c r="I393" s="9"/>
      <c r="J393" s="9"/>
      <c r="K393" s="9"/>
      <c r="L393" s="9"/>
      <c r="M393" s="9"/>
      <c r="N393" s="9" t="s">
        <v>192</v>
      </c>
      <c r="O393" s="9"/>
      <c r="P393" s="37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</row>
    <row r="394" spans="1:33" ht="14.25" customHeight="1" x14ac:dyDescent="0.35">
      <c r="A394" s="12">
        <v>301329</v>
      </c>
      <c r="B394" s="63" t="str">
        <f>IFERROR(VLOOKUP(Tabla2[[#This Row],[CODIGO]],INVENTARIO!A:B,2,0)," ")</f>
        <v>Copla PE100 025mm EF</v>
      </c>
      <c r="C394" s="12">
        <v>4</v>
      </c>
      <c r="D394" s="13"/>
      <c r="E394" s="75">
        <v>4500518200</v>
      </c>
      <c r="F394" s="9">
        <v>3567189</v>
      </c>
      <c r="G394" s="77">
        <v>46070</v>
      </c>
      <c r="H394" s="9" t="s">
        <v>166</v>
      </c>
      <c r="I394" s="9"/>
      <c r="J394" s="9"/>
      <c r="K394" s="9"/>
      <c r="L394" s="9"/>
      <c r="M394" s="9"/>
      <c r="N394" s="9" t="s">
        <v>192</v>
      </c>
      <c r="O394" s="9"/>
      <c r="P394" s="37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</row>
    <row r="395" spans="1:33" ht="14" customHeight="1" x14ac:dyDescent="0.35">
      <c r="A395" s="12">
        <v>300109</v>
      </c>
      <c r="B395" s="63" t="str">
        <f>IFERROR(VLOOKUP(Tabla2[[#This Row],[CODIGO]],INVENTARIO!A:B,2,0)," ")</f>
        <v>Risers de Acero 3/4" Bsp x 25 mm</v>
      </c>
      <c r="C395" s="12">
        <v>1</v>
      </c>
      <c r="D395" s="13"/>
      <c r="E395" s="75">
        <v>4500518200</v>
      </c>
      <c r="F395" s="9">
        <v>3567189</v>
      </c>
      <c r="G395" s="77">
        <v>46070</v>
      </c>
      <c r="H395" s="9" t="s">
        <v>166</v>
      </c>
      <c r="I395" s="9"/>
      <c r="J395" s="9"/>
      <c r="K395" s="9"/>
      <c r="L395" s="9"/>
      <c r="M395" s="9"/>
      <c r="N395" s="9" t="s">
        <v>192</v>
      </c>
      <c r="O395" s="9"/>
      <c r="P395" s="37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</row>
    <row r="396" spans="1:33" ht="14.25" customHeight="1" x14ac:dyDescent="0.35">
      <c r="A396" s="12">
        <v>2003911</v>
      </c>
      <c r="B396" s="63" t="str">
        <f>IFERROR(VLOOKUP(Tabla2[[#This Row],[CODIGO]],INVENTARIO!A:B,2,0)," ")</f>
        <v>Válvula EFv PE 25 mm Para Tap. Tee</v>
      </c>
      <c r="C396" s="12">
        <v>1</v>
      </c>
      <c r="D396" s="13"/>
      <c r="E396" s="75">
        <v>4500518200</v>
      </c>
      <c r="F396" s="9">
        <v>3567189</v>
      </c>
      <c r="G396" s="77">
        <v>46070</v>
      </c>
      <c r="H396" s="9" t="s">
        <v>166</v>
      </c>
      <c r="I396" s="9"/>
      <c r="J396" s="9"/>
      <c r="K396" s="9"/>
      <c r="L396" s="9"/>
      <c r="M396" s="9"/>
      <c r="N396" s="9" t="s">
        <v>192</v>
      </c>
      <c r="O396" s="9"/>
      <c r="P396" s="37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</row>
    <row r="397" spans="1:33" ht="14.25" customHeight="1" x14ac:dyDescent="0.35">
      <c r="A397" s="12">
        <v>302654</v>
      </c>
      <c r="B397" s="63" t="str">
        <f>IFERROR(VLOOKUP(Tabla2[[#This Row],[CODIGO]],INVENTARIO!A:B,2,0)," ")</f>
        <v>Tee PE  50 mm Termo F.</v>
      </c>
      <c r="C397" s="12">
        <v>3</v>
      </c>
      <c r="D397" s="13"/>
      <c r="E397" s="75">
        <v>4500518211</v>
      </c>
      <c r="F397" s="9">
        <v>3567191</v>
      </c>
      <c r="G397" s="77">
        <v>46070</v>
      </c>
      <c r="H397" s="9" t="s">
        <v>166</v>
      </c>
      <c r="I397" s="9"/>
      <c r="J397" s="9"/>
      <c r="K397" s="9"/>
      <c r="L397" s="9"/>
      <c r="M397" s="9"/>
      <c r="N397" s="9" t="s">
        <v>322</v>
      </c>
      <c r="O397" s="9"/>
      <c r="P397" s="37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</row>
    <row r="398" spans="1:33" ht="14.25" customHeight="1" x14ac:dyDescent="0.35">
      <c r="A398" s="12">
        <v>303345</v>
      </c>
      <c r="B398" s="63" t="str">
        <f>IFERROR(VLOOKUP(Tabla2[[#This Row],[CODIGO]],INVENTARIO!A:B,2,0)," ")</f>
        <v>Copla PE100 050mm EF</v>
      </c>
      <c r="C398" s="12">
        <v>9</v>
      </c>
      <c r="D398" s="13"/>
      <c r="E398" s="75">
        <v>4500518211</v>
      </c>
      <c r="F398" s="9">
        <v>3567191</v>
      </c>
      <c r="G398" s="77">
        <v>46070</v>
      </c>
      <c r="H398" s="9" t="s">
        <v>166</v>
      </c>
      <c r="I398" s="9"/>
      <c r="J398" s="9"/>
      <c r="K398" s="9"/>
      <c r="L398" s="9"/>
      <c r="M398" s="9"/>
      <c r="N398" s="9" t="s">
        <v>322</v>
      </c>
      <c r="O398" s="9"/>
      <c r="P398" s="37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</row>
    <row r="399" spans="1:33" ht="14.25" customHeight="1" x14ac:dyDescent="0.35">
      <c r="A399" s="12">
        <v>300414</v>
      </c>
      <c r="B399" s="63" t="str">
        <f>IFERROR(VLOOKUP(Tabla2[[#This Row],[CODIGO]],INVENTARIO!A:B,2,0)," ")</f>
        <v>Válvula PE100 Dn 50mm</v>
      </c>
      <c r="C399" s="12">
        <v>1</v>
      </c>
      <c r="D399" s="13"/>
      <c r="E399" s="75">
        <v>4500518211</v>
      </c>
      <c r="F399" s="9">
        <v>3567191</v>
      </c>
      <c r="G399" s="77">
        <v>46070</v>
      </c>
      <c r="H399" s="9" t="s">
        <v>166</v>
      </c>
      <c r="I399" s="9"/>
      <c r="J399" s="9"/>
      <c r="K399" s="9"/>
      <c r="L399" s="9"/>
      <c r="M399" s="9"/>
      <c r="N399" s="9" t="s">
        <v>322</v>
      </c>
      <c r="O399" s="9"/>
      <c r="P399" s="37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</row>
    <row r="400" spans="1:33" ht="14.25" customHeight="1" x14ac:dyDescent="0.35">
      <c r="A400" s="12">
        <v>302992</v>
      </c>
      <c r="B400" s="63" t="str">
        <f>IFERROR(VLOOKUP(Tabla2[[#This Row],[CODIGO]],INVENTARIO!A:B,2,0)," ")</f>
        <v>Codo PE100 90° 050mm EF</v>
      </c>
      <c r="C400" s="12">
        <v>2</v>
      </c>
      <c r="D400" s="13"/>
      <c r="E400" s="75">
        <v>4500518211</v>
      </c>
      <c r="F400" s="9">
        <v>3567191</v>
      </c>
      <c r="G400" s="77">
        <v>46070</v>
      </c>
      <c r="H400" s="9" t="s">
        <v>166</v>
      </c>
      <c r="I400" s="9"/>
      <c r="J400" s="9"/>
      <c r="K400" s="9"/>
      <c r="L400" s="9"/>
      <c r="M400" s="9"/>
      <c r="N400" s="9" t="s">
        <v>322</v>
      </c>
      <c r="O400" s="9"/>
      <c r="P400" s="37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</row>
    <row r="401" spans="1:33" ht="14.25" customHeight="1" x14ac:dyDescent="0.35">
      <c r="A401" s="12">
        <v>301327</v>
      </c>
      <c r="B401" s="63" t="str">
        <f>IFERROR(VLOOKUP(Tabla2[[#This Row],[CODIGO]],INVENTARIO!A:B,2,0)," ")</f>
        <v>Tapa PE  050 mm Termo F.</v>
      </c>
      <c r="C401" s="12">
        <v>3</v>
      </c>
      <c r="D401" s="13"/>
      <c r="E401" s="75">
        <v>4500518211</v>
      </c>
      <c r="F401" s="9">
        <v>3567191</v>
      </c>
      <c r="G401" s="77">
        <v>46070</v>
      </c>
      <c r="H401" s="9" t="s">
        <v>166</v>
      </c>
      <c r="I401" s="9"/>
      <c r="J401" s="9"/>
      <c r="K401" s="9"/>
      <c r="L401" s="9"/>
      <c r="M401" s="9"/>
      <c r="N401" s="9" t="s">
        <v>322</v>
      </c>
      <c r="O401" s="9"/>
      <c r="P401" s="37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</row>
    <row r="402" spans="1:33" ht="14.25" customHeight="1" x14ac:dyDescent="0.35">
      <c r="A402" s="12">
        <v>303362</v>
      </c>
      <c r="B402" s="63" t="str">
        <f>IFERROR(VLOOKUP(Tabla2[[#This Row],[CODIGO]],INVENTARIO!A:B,2,0)," ")</f>
        <v>Reductor PE  50-40 mm Electro F.</v>
      </c>
      <c r="C402" s="12">
        <v>3</v>
      </c>
      <c r="D402" s="13"/>
      <c r="E402" s="75">
        <v>4500518211</v>
      </c>
      <c r="F402" s="9">
        <v>3567191</v>
      </c>
      <c r="G402" s="77">
        <v>46070</v>
      </c>
      <c r="H402" s="9" t="s">
        <v>166</v>
      </c>
      <c r="I402" s="9"/>
      <c r="J402" s="9"/>
      <c r="K402" s="9"/>
      <c r="L402" s="9"/>
      <c r="M402" s="9"/>
      <c r="N402" s="9" t="s">
        <v>322</v>
      </c>
      <c r="O402" s="9"/>
      <c r="P402" s="37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</row>
    <row r="403" spans="1:33" ht="14.25" customHeight="1" x14ac:dyDescent="0.35">
      <c r="A403" s="12">
        <v>2004602</v>
      </c>
      <c r="B403" s="63" t="str">
        <f>IFERROR(VLOOKUP(Tabla2[[#This Row],[CODIGO]],INVENTARIO!A:B,2,0)," ")</f>
        <v>MRPC-120-(4/1,2)-(S)-2</v>
      </c>
      <c r="C403" s="12">
        <v>1</v>
      </c>
      <c r="D403" s="13"/>
      <c r="E403" s="75">
        <v>4500518211</v>
      </c>
      <c r="F403" s="9">
        <v>3567191</v>
      </c>
      <c r="G403" s="77">
        <v>46070</v>
      </c>
      <c r="H403" s="9" t="s">
        <v>166</v>
      </c>
      <c r="I403" s="53" t="s">
        <v>323</v>
      </c>
      <c r="J403" s="9"/>
      <c r="K403" s="9"/>
      <c r="L403" s="9"/>
      <c r="M403" s="9"/>
      <c r="N403" s="9" t="s">
        <v>322</v>
      </c>
      <c r="O403" s="9"/>
      <c r="P403" s="37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</row>
    <row r="404" spans="1:33" ht="14.25" customHeight="1" x14ac:dyDescent="0.35">
      <c r="A404" s="12">
        <v>2003131</v>
      </c>
      <c r="B404" s="63" t="str">
        <f>IFERROR(VLOOKUP(Tabla2[[#This Row],[CODIGO]],INVENTARIO!A:B,2,0)," ")</f>
        <v>Tapping Tee PE 50-40 mm</v>
      </c>
      <c r="C404" s="12">
        <v>2</v>
      </c>
      <c r="D404" s="13"/>
      <c r="E404" s="75">
        <v>4500518211</v>
      </c>
      <c r="F404" s="9">
        <v>3567191</v>
      </c>
      <c r="G404" s="77">
        <v>46070</v>
      </c>
      <c r="H404" s="9" t="s">
        <v>166</v>
      </c>
      <c r="I404" s="9"/>
      <c r="J404" s="9"/>
      <c r="K404" s="9"/>
      <c r="L404" s="9"/>
      <c r="M404" s="9"/>
      <c r="N404" s="9" t="s">
        <v>322</v>
      </c>
      <c r="O404" s="9"/>
      <c r="P404" s="37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</row>
    <row r="405" spans="1:33" ht="14.25" customHeight="1" x14ac:dyDescent="0.35">
      <c r="A405" s="12">
        <v>101624</v>
      </c>
      <c r="B405" s="63" t="str">
        <f>IFERROR(VLOOKUP(Tabla2[[#This Row],[CODIGO]],INVENTARIO!A:B,2,0)," ")</f>
        <v>Tapping Tee PE 50-25 mm</v>
      </c>
      <c r="C405" s="12">
        <v>1</v>
      </c>
      <c r="D405" s="13"/>
      <c r="E405" s="75">
        <v>4500518211</v>
      </c>
      <c r="F405" s="9">
        <v>3567191</v>
      </c>
      <c r="G405" s="77">
        <v>46070</v>
      </c>
      <c r="H405" s="9" t="s">
        <v>166</v>
      </c>
      <c r="I405" s="9"/>
      <c r="J405" s="9"/>
      <c r="K405" s="9"/>
      <c r="L405" s="9"/>
      <c r="M405" s="9"/>
      <c r="N405" s="9" t="s">
        <v>322</v>
      </c>
      <c r="O405" s="9"/>
      <c r="P405" s="37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</row>
    <row r="406" spans="1:33" ht="14.25" customHeight="1" x14ac:dyDescent="0.35">
      <c r="A406" s="12">
        <v>300109</v>
      </c>
      <c r="B406" s="63" t="str">
        <f>IFERROR(VLOOKUP(Tabla2[[#This Row],[CODIGO]],INVENTARIO!A:B,2,0)," ")</f>
        <v>Risers de Acero 3/4" Bsp x 25 mm</v>
      </c>
      <c r="C406" s="12">
        <v>1</v>
      </c>
      <c r="D406" s="13"/>
      <c r="E406" s="75">
        <v>4500518211</v>
      </c>
      <c r="F406" s="9">
        <v>3567191</v>
      </c>
      <c r="G406" s="77">
        <v>46070</v>
      </c>
      <c r="H406" s="9" t="s">
        <v>166</v>
      </c>
      <c r="I406" s="9"/>
      <c r="J406" s="9"/>
      <c r="K406" s="9"/>
      <c r="L406" s="9"/>
      <c r="M406" s="9"/>
      <c r="N406" s="9" t="s">
        <v>322</v>
      </c>
      <c r="O406" s="9"/>
      <c r="P406" s="37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</row>
    <row r="407" spans="1:33" ht="14.25" customHeight="1" x14ac:dyDescent="0.35">
      <c r="A407" s="12">
        <v>301329</v>
      </c>
      <c r="B407" s="63" t="str">
        <f>IFERROR(VLOOKUP(Tabla2[[#This Row],[CODIGO]],INVENTARIO!A:B,2,0)," ")</f>
        <v>Copla PE100 025mm EF</v>
      </c>
      <c r="C407" s="12">
        <v>1</v>
      </c>
      <c r="D407" s="13"/>
      <c r="E407" s="75">
        <v>4500518211</v>
      </c>
      <c r="F407" s="9">
        <v>3567191</v>
      </c>
      <c r="G407" s="77">
        <v>46070</v>
      </c>
      <c r="H407" s="9" t="s">
        <v>166</v>
      </c>
      <c r="I407" s="9"/>
      <c r="J407" s="9"/>
      <c r="K407" s="9"/>
      <c r="L407" s="9"/>
      <c r="M407" s="9"/>
      <c r="N407" s="9" t="s">
        <v>322</v>
      </c>
      <c r="O407" s="9"/>
      <c r="P407" s="37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</row>
    <row r="408" spans="1:33" ht="14.25" customHeight="1" x14ac:dyDescent="0.35">
      <c r="A408" s="12">
        <v>300712</v>
      </c>
      <c r="B408" s="63" t="str">
        <f>IFERROR(VLOOKUP(Tabla2[[#This Row],[CODIGO]],INVENTARIO!A:B,2,0)," ")</f>
        <v>Tapa PE  025 mm Termo F.</v>
      </c>
      <c r="C408" s="12">
        <v>50</v>
      </c>
      <c r="D408" s="13"/>
      <c r="E408" s="75">
        <v>4500518211</v>
      </c>
      <c r="F408" s="9">
        <v>3567191</v>
      </c>
      <c r="G408" s="77">
        <v>46070</v>
      </c>
      <c r="H408" s="9" t="s">
        <v>166</v>
      </c>
      <c r="I408" s="9"/>
      <c r="J408" s="9"/>
      <c r="K408" s="9"/>
      <c r="L408" s="9"/>
      <c r="M408" s="9"/>
      <c r="N408" s="9" t="s">
        <v>322</v>
      </c>
      <c r="O408" s="9"/>
      <c r="P408" s="37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</row>
    <row r="409" spans="1:33" ht="13.5" customHeight="1" x14ac:dyDescent="0.35">
      <c r="A409" s="12">
        <v>302683</v>
      </c>
      <c r="B409" s="63" t="str">
        <f>IFERROR(VLOOKUP(Tabla2[[#This Row],[CODIGO]],INVENTARIO!A:B,2,0)," ")</f>
        <v>Codo PE100 45° 160mm EF</v>
      </c>
      <c r="C409" s="12">
        <v>4</v>
      </c>
      <c r="D409" s="13"/>
      <c r="E409" s="75">
        <v>4500518168</v>
      </c>
      <c r="F409" s="9">
        <v>3567193</v>
      </c>
      <c r="G409" s="77">
        <v>46070</v>
      </c>
      <c r="H409" s="9" t="s">
        <v>166</v>
      </c>
      <c r="I409" s="9"/>
      <c r="J409" s="9"/>
      <c r="K409" s="9"/>
      <c r="L409" s="9"/>
      <c r="M409" s="9" t="s">
        <v>250</v>
      </c>
      <c r="N409" s="9" t="s">
        <v>193</v>
      </c>
      <c r="O409" s="9"/>
      <c r="P409" s="37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</row>
    <row r="410" spans="1:33" ht="14.25" customHeight="1" x14ac:dyDescent="0.35">
      <c r="A410" s="12">
        <v>101618</v>
      </c>
      <c r="B410" s="63" t="str">
        <f>IFERROR(VLOOKUP(Tabla2[[#This Row],[CODIGO]],INVENTARIO!A:B,2,0)," ")</f>
        <v>Risers Ac,Recto 3/4 "x25 mm</v>
      </c>
      <c r="C410" s="12">
        <v>1</v>
      </c>
      <c r="D410" s="13"/>
      <c r="E410" s="75">
        <v>4500518039</v>
      </c>
      <c r="F410" s="9">
        <v>3567195</v>
      </c>
      <c r="G410" s="77">
        <v>46070</v>
      </c>
      <c r="H410" s="9" t="s">
        <v>166</v>
      </c>
      <c r="I410" s="9"/>
      <c r="J410" s="9"/>
      <c r="K410" s="9"/>
      <c r="L410" s="9"/>
      <c r="M410" s="9" t="s">
        <v>247</v>
      </c>
      <c r="N410" s="9" t="s">
        <v>259</v>
      </c>
      <c r="O410" s="9"/>
      <c r="P410" s="37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</row>
    <row r="411" spans="1:33" ht="14.25" customHeight="1" x14ac:dyDescent="0.35">
      <c r="A411" s="12">
        <v>2000350</v>
      </c>
      <c r="B411" s="63" t="str">
        <f>IFERROR(VLOOKUP(Tabla2[[#This Row],[CODIGO]],INVENTARIO!A:B,2,0)," ")</f>
        <v>Codo PE 90º  25 mm EF.</v>
      </c>
      <c r="C411" s="12">
        <v>1</v>
      </c>
      <c r="D411" s="13"/>
      <c r="E411" s="75">
        <v>4500518039</v>
      </c>
      <c r="F411" s="9">
        <v>3567195</v>
      </c>
      <c r="G411" s="77">
        <v>46070</v>
      </c>
      <c r="H411" s="9" t="s">
        <v>166</v>
      </c>
      <c r="I411" s="9"/>
      <c r="J411" s="9"/>
      <c r="K411" s="9"/>
      <c r="L411" s="9"/>
      <c r="M411" s="9" t="s">
        <v>247</v>
      </c>
      <c r="N411" s="9" t="s">
        <v>259</v>
      </c>
      <c r="O411" s="9"/>
      <c r="P411" s="37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</row>
    <row r="412" spans="1:33" ht="14.25" customHeight="1" x14ac:dyDescent="0.35">
      <c r="A412" s="12">
        <v>2000350</v>
      </c>
      <c r="B412" s="63" t="str">
        <f>IFERROR(VLOOKUP(Tabla2[[#This Row],[CODIGO]],INVENTARIO!A:B,2,0)," ")</f>
        <v>Codo PE 90º  25 mm EF.</v>
      </c>
      <c r="C412" s="12">
        <v>40</v>
      </c>
      <c r="D412" s="13"/>
      <c r="E412" s="75">
        <v>4500518036</v>
      </c>
      <c r="F412" s="9">
        <v>3567196</v>
      </c>
      <c r="G412" s="77">
        <v>46070</v>
      </c>
      <c r="H412" s="9" t="s">
        <v>166</v>
      </c>
      <c r="I412" s="9"/>
      <c r="J412" s="9"/>
      <c r="K412" s="9"/>
      <c r="L412" s="9"/>
      <c r="M412" s="9" t="s">
        <v>251</v>
      </c>
      <c r="N412" s="9" t="s">
        <v>200</v>
      </c>
      <c r="O412" s="9"/>
      <c r="P412" s="37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</row>
    <row r="413" spans="1:33" ht="14.25" customHeight="1" x14ac:dyDescent="0.35">
      <c r="A413" s="12">
        <v>2008302</v>
      </c>
      <c r="B413" s="63" t="str">
        <f>IFERROR(VLOOKUP(Tabla2[[#This Row],[CODIGO]],INVENTARIO!A:B,2,0)," ")</f>
        <v>Tapa PE 063 mm Electro F.</v>
      </c>
      <c r="C413" s="12">
        <v>2</v>
      </c>
      <c r="D413" s="13"/>
      <c r="E413" s="75">
        <v>4500518034</v>
      </c>
      <c r="F413" s="9">
        <v>3567198</v>
      </c>
      <c r="G413" s="77">
        <v>46070</v>
      </c>
      <c r="H413" s="9" t="s">
        <v>166</v>
      </c>
      <c r="I413" s="9"/>
      <c r="J413" s="9"/>
      <c r="K413" s="9"/>
      <c r="L413" s="9"/>
      <c r="M413" s="9" t="s">
        <v>247</v>
      </c>
      <c r="N413" s="9" t="s">
        <v>200</v>
      </c>
      <c r="O413" s="9"/>
      <c r="P413" s="37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</row>
    <row r="414" spans="1:33" ht="14.25" customHeight="1" x14ac:dyDescent="0.35">
      <c r="A414" s="12">
        <v>302659</v>
      </c>
      <c r="B414" s="63" t="str">
        <f>IFERROR(VLOOKUP(Tabla2[[#This Row],[CODIGO]],INVENTARIO!A:B,2,0)," ")</f>
        <v>Copla PE100 063mm EF</v>
      </c>
      <c r="C414" s="12">
        <v>2</v>
      </c>
      <c r="D414" s="13"/>
      <c r="E414" s="75">
        <v>4500518034</v>
      </c>
      <c r="F414" s="9">
        <v>3567198</v>
      </c>
      <c r="G414" s="77">
        <v>46070</v>
      </c>
      <c r="H414" s="9" t="s">
        <v>166</v>
      </c>
      <c r="I414" s="9"/>
      <c r="J414" s="9"/>
      <c r="K414" s="9"/>
      <c r="L414" s="9"/>
      <c r="M414" s="9" t="s">
        <v>247</v>
      </c>
      <c r="N414" s="9" t="s">
        <v>200</v>
      </c>
      <c r="O414" s="9"/>
      <c r="P414" s="37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</row>
    <row r="415" spans="1:33" ht="14.25" customHeight="1" x14ac:dyDescent="0.35">
      <c r="A415" s="12">
        <v>302992</v>
      </c>
      <c r="B415" s="63" t="str">
        <f>IFERROR(VLOOKUP(Tabla2[[#This Row],[CODIGO]],INVENTARIO!A:B,2,0)," ")</f>
        <v>Codo PE100 90° 050mm EF</v>
      </c>
      <c r="C415" s="12">
        <v>2</v>
      </c>
      <c r="D415" s="13"/>
      <c r="E415" s="75">
        <v>4500518029</v>
      </c>
      <c r="F415" s="9">
        <v>3567199</v>
      </c>
      <c r="G415" s="77">
        <v>46070</v>
      </c>
      <c r="H415" s="9" t="s">
        <v>166</v>
      </c>
      <c r="I415" s="9"/>
      <c r="J415" s="9"/>
      <c r="K415" s="9"/>
      <c r="L415" s="9"/>
      <c r="M415" s="9" t="s">
        <v>251</v>
      </c>
      <c r="N415" s="9" t="s">
        <v>255</v>
      </c>
      <c r="O415" s="9"/>
      <c r="P415" s="37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</row>
    <row r="416" spans="1:33" ht="14.25" customHeight="1" x14ac:dyDescent="0.35">
      <c r="A416" s="12">
        <v>302659</v>
      </c>
      <c r="B416" s="63" t="str">
        <f>IFERROR(VLOOKUP(Tabla2[[#This Row],[CODIGO]],INVENTARIO!A:B,2,0)," ")</f>
        <v>Copla PE100 063mm EF</v>
      </c>
      <c r="C416" s="12">
        <v>3</v>
      </c>
      <c r="D416" s="13"/>
      <c r="E416" s="75">
        <v>4500518027</v>
      </c>
      <c r="F416" s="9">
        <v>3567200</v>
      </c>
      <c r="G416" s="77">
        <v>46070</v>
      </c>
      <c r="H416" s="9" t="s">
        <v>166</v>
      </c>
      <c r="I416" s="9"/>
      <c r="J416" s="9"/>
      <c r="K416" s="9"/>
      <c r="L416" s="9"/>
      <c r="M416" s="9" t="s">
        <v>250</v>
      </c>
      <c r="N416" s="9" t="s">
        <v>194</v>
      </c>
      <c r="O416" s="9"/>
      <c r="P416" s="37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</row>
    <row r="417" spans="1:33" ht="14.25" customHeight="1" x14ac:dyDescent="0.35">
      <c r="A417" s="12">
        <v>2008302</v>
      </c>
      <c r="B417" s="63" t="str">
        <f>IFERROR(VLOOKUP(Tabla2[[#This Row],[CODIGO]],INVENTARIO!A:B,2,0)," ")</f>
        <v>Tapa PE 063 mm Electro F.</v>
      </c>
      <c r="C417" s="12">
        <v>2</v>
      </c>
      <c r="D417" s="13"/>
      <c r="E417" s="75">
        <v>4500518027</v>
      </c>
      <c r="F417" s="9">
        <v>3567200</v>
      </c>
      <c r="G417" s="77">
        <v>46070</v>
      </c>
      <c r="H417" s="9" t="s">
        <v>166</v>
      </c>
      <c r="I417" s="9"/>
      <c r="J417" s="9"/>
      <c r="K417" s="9"/>
      <c r="L417" s="9"/>
      <c r="M417" s="9" t="s">
        <v>250</v>
      </c>
      <c r="N417" s="9" t="s">
        <v>194</v>
      </c>
      <c r="O417" s="9"/>
      <c r="P417" s="37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</row>
    <row r="418" spans="1:33" ht="14.25" customHeight="1" x14ac:dyDescent="0.35">
      <c r="A418" s="12">
        <v>300108</v>
      </c>
      <c r="B418" s="63" t="str">
        <f>IFERROR(VLOOKUP(Tabla2[[#This Row],[CODIGO]],INVENTARIO!A:B,2,0)," ")</f>
        <v>Tapping Tee PE 63-25 mm</v>
      </c>
      <c r="C418" s="12">
        <v>1</v>
      </c>
      <c r="D418" s="13"/>
      <c r="E418" s="75">
        <v>4500518027</v>
      </c>
      <c r="F418" s="9">
        <v>3567200</v>
      </c>
      <c r="G418" s="77">
        <v>46070</v>
      </c>
      <c r="H418" s="9" t="s">
        <v>166</v>
      </c>
      <c r="I418" s="9"/>
      <c r="J418" s="9"/>
      <c r="K418" s="9"/>
      <c r="L418" s="9"/>
      <c r="M418" s="9" t="s">
        <v>250</v>
      </c>
      <c r="N418" s="9" t="s">
        <v>194</v>
      </c>
      <c r="O418" s="9"/>
      <c r="P418" s="37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</row>
    <row r="419" spans="1:33" ht="14.25" customHeight="1" x14ac:dyDescent="0.35">
      <c r="A419" s="12">
        <v>2000350</v>
      </c>
      <c r="B419" s="63" t="str">
        <f>IFERROR(VLOOKUP(Tabla2[[#This Row],[CODIGO]],INVENTARIO!A:B,2,0)," ")</f>
        <v>Codo PE 90º  25 mm EF.</v>
      </c>
      <c r="C419" s="12">
        <v>1</v>
      </c>
      <c r="D419" s="13"/>
      <c r="E419" s="75">
        <v>4500518027</v>
      </c>
      <c r="F419" s="9">
        <v>3567200</v>
      </c>
      <c r="G419" s="77">
        <v>46070</v>
      </c>
      <c r="H419" s="9" t="s">
        <v>166</v>
      </c>
      <c r="I419" s="9"/>
      <c r="J419" s="9"/>
      <c r="K419" s="9"/>
      <c r="L419" s="9"/>
      <c r="M419" s="9" t="s">
        <v>250</v>
      </c>
      <c r="N419" s="9" t="s">
        <v>194</v>
      </c>
      <c r="O419" s="9"/>
      <c r="P419" s="37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</row>
    <row r="420" spans="1:33" ht="14.25" customHeight="1" x14ac:dyDescent="0.35">
      <c r="A420" s="12">
        <v>303345</v>
      </c>
      <c r="B420" s="63" t="str">
        <f>IFERROR(VLOOKUP(Tabla2[[#This Row],[CODIGO]],INVENTARIO!A:B,2,0)," ")</f>
        <v>Copla PE100 050mm EF</v>
      </c>
      <c r="C420" s="12">
        <v>1</v>
      </c>
      <c r="D420" s="13"/>
      <c r="E420" s="75"/>
      <c r="F420" s="9">
        <v>967</v>
      </c>
      <c r="G420" s="77">
        <v>46189</v>
      </c>
      <c r="H420" s="9" t="s">
        <v>181</v>
      </c>
      <c r="I420" s="9"/>
      <c r="J420" s="9"/>
      <c r="K420" s="9"/>
      <c r="L420" s="9"/>
      <c r="M420" s="9"/>
      <c r="N420" s="9" t="s">
        <v>260</v>
      </c>
      <c r="O420" s="9"/>
      <c r="P420" s="37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</row>
    <row r="421" spans="1:33" ht="14.25" customHeight="1" x14ac:dyDescent="0.35">
      <c r="A421" s="12">
        <v>303362</v>
      </c>
      <c r="B421" s="63" t="str">
        <f>IFERROR(VLOOKUP(Tabla2[[#This Row],[CODIGO]],INVENTARIO!A:B,2,0)," ")</f>
        <v>Reductor PE  50-40 mm Electro F.</v>
      </c>
      <c r="C421" s="12">
        <v>2</v>
      </c>
      <c r="D421" s="13"/>
      <c r="E421" s="75"/>
      <c r="F421" s="9">
        <v>967</v>
      </c>
      <c r="G421" s="77">
        <v>46189</v>
      </c>
      <c r="H421" s="9" t="s">
        <v>181</v>
      </c>
      <c r="I421" s="9"/>
      <c r="J421" s="9"/>
      <c r="K421" s="9"/>
      <c r="L421" s="9"/>
      <c r="M421" s="9"/>
      <c r="N421" s="9" t="s">
        <v>260</v>
      </c>
      <c r="O421" s="9"/>
      <c r="P421" s="37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</row>
    <row r="422" spans="1:33" ht="14.25" customHeight="1" x14ac:dyDescent="0.35">
      <c r="A422" s="12">
        <v>2002262</v>
      </c>
      <c r="B422" s="63" t="str">
        <f>IFERROR(VLOOKUP(Tabla2[[#This Row],[CODIGO]],INVENTARIO!A:B,2,0)," ")</f>
        <v>Tubería PE80 050mm Rollo</v>
      </c>
      <c r="C422" s="12">
        <v>1.7</v>
      </c>
      <c r="D422" s="13"/>
      <c r="E422" s="75"/>
      <c r="F422" s="9">
        <v>967</v>
      </c>
      <c r="G422" s="77">
        <v>46189</v>
      </c>
      <c r="H422" s="9" t="s">
        <v>181</v>
      </c>
      <c r="I422" s="9"/>
      <c r="J422" s="9"/>
      <c r="K422" s="9"/>
      <c r="L422" s="9"/>
      <c r="M422" s="9"/>
      <c r="N422" s="9" t="s">
        <v>260</v>
      </c>
      <c r="O422" s="9"/>
      <c r="P422" s="37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</row>
    <row r="423" spans="1:33" ht="14.25" customHeight="1" x14ac:dyDescent="0.35">
      <c r="A423" s="12">
        <v>1002167</v>
      </c>
      <c r="B423" s="63" t="str">
        <f>IFERROR(VLOOKUP(Tabla2[[#This Row],[CODIGO]],INVENTARIO!A:B,2,0)," ")</f>
        <v>Cable Trazador Cu 14 AWG Aisl. THW Roj</v>
      </c>
      <c r="C423" s="12">
        <v>3</v>
      </c>
      <c r="D423" s="13"/>
      <c r="E423" s="75"/>
      <c r="F423" s="9">
        <v>967</v>
      </c>
      <c r="G423" s="77">
        <v>46189</v>
      </c>
      <c r="H423" s="9" t="s">
        <v>181</v>
      </c>
      <c r="I423" s="9"/>
      <c r="J423" s="9"/>
      <c r="K423" s="9"/>
      <c r="L423" s="9"/>
      <c r="M423" s="9"/>
      <c r="N423" s="9" t="s">
        <v>260</v>
      </c>
      <c r="O423" s="9"/>
      <c r="P423" s="37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</row>
    <row r="424" spans="1:33" ht="14.25" customHeight="1" x14ac:dyDescent="0.35">
      <c r="A424" s="12">
        <v>301329</v>
      </c>
      <c r="B424" s="63" t="str">
        <f>IFERROR(VLOOKUP(Tabla2[[#This Row],[CODIGO]],INVENTARIO!A:B,2,0)," ")</f>
        <v>Copla PE100 025mm EF</v>
      </c>
      <c r="C424" s="12">
        <v>2</v>
      </c>
      <c r="D424" s="13"/>
      <c r="E424" s="75"/>
      <c r="F424" s="9">
        <v>968</v>
      </c>
      <c r="G424" s="77">
        <v>46069</v>
      </c>
      <c r="H424" s="9" t="s">
        <v>181</v>
      </c>
      <c r="I424" s="9"/>
      <c r="J424" s="9"/>
      <c r="K424" s="9"/>
      <c r="L424" s="9"/>
      <c r="M424" s="9"/>
      <c r="N424" s="9" t="s">
        <v>204</v>
      </c>
      <c r="O424" s="9"/>
      <c r="P424" s="37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</row>
    <row r="425" spans="1:33" ht="14.25" customHeight="1" x14ac:dyDescent="0.35">
      <c r="A425" s="12">
        <v>301749</v>
      </c>
      <c r="B425" s="63" t="str">
        <f>IFERROR(VLOOKUP(Tabla2[[#This Row],[CODIGO]],INVENTARIO!A:B,2,0)," ")</f>
        <v>Tubería PE80 025mm Rollo</v>
      </c>
      <c r="C425" s="12">
        <v>1</v>
      </c>
      <c r="D425" s="13"/>
      <c r="E425" s="75"/>
      <c r="F425" s="9">
        <v>968</v>
      </c>
      <c r="G425" s="77">
        <v>46069</v>
      </c>
      <c r="H425" s="9" t="s">
        <v>181</v>
      </c>
      <c r="I425" s="9"/>
      <c r="J425" s="9"/>
      <c r="K425" s="9"/>
      <c r="L425" s="9"/>
      <c r="M425" s="9"/>
      <c r="N425" s="9" t="s">
        <v>204</v>
      </c>
      <c r="O425" s="9"/>
      <c r="P425" s="37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</row>
    <row r="426" spans="1:33" ht="14.25" customHeight="1" x14ac:dyDescent="0.35">
      <c r="A426" s="12">
        <v>303368</v>
      </c>
      <c r="B426" s="63" t="str">
        <f>IFERROR(VLOOKUP(Tabla2[[#This Row],[CODIGO]],INVENTARIO!A:B,2,0)," ")</f>
        <v>Cinta Plástica "Línea GN", 30 x 0.1</v>
      </c>
      <c r="C426" s="12">
        <v>2</v>
      </c>
      <c r="D426" s="13"/>
      <c r="E426" s="75"/>
      <c r="F426" s="9">
        <v>968</v>
      </c>
      <c r="G426" s="77">
        <v>46069</v>
      </c>
      <c r="H426" s="9" t="s">
        <v>181</v>
      </c>
      <c r="I426" s="9"/>
      <c r="J426" s="9"/>
      <c r="K426" s="9"/>
      <c r="L426" s="9"/>
      <c r="M426" s="9"/>
      <c r="N426" s="9" t="s">
        <v>204</v>
      </c>
      <c r="O426" s="9"/>
      <c r="P426" s="37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</row>
    <row r="427" spans="1:33" ht="14.25" customHeight="1" x14ac:dyDescent="0.35">
      <c r="A427" s="12">
        <v>2003911</v>
      </c>
      <c r="B427" s="63" t="str">
        <f>IFERROR(VLOOKUP(Tabla2[[#This Row],[CODIGO]],INVENTARIO!A:B,2,0)," ")</f>
        <v>Válvula EFv PE 25 mm Para Tap. Tee</v>
      </c>
      <c r="C427" s="12">
        <v>13</v>
      </c>
      <c r="D427" s="13"/>
      <c r="E427" s="75">
        <v>4500518042</v>
      </c>
      <c r="F427" s="9">
        <v>3567139</v>
      </c>
      <c r="G427" s="77">
        <v>46065</v>
      </c>
      <c r="H427" s="9" t="s">
        <v>166</v>
      </c>
      <c r="I427" s="9"/>
      <c r="J427" s="9"/>
      <c r="K427" s="9"/>
      <c r="L427" s="9"/>
      <c r="M427" s="9"/>
      <c r="N427" s="9" t="s">
        <v>194</v>
      </c>
      <c r="O427" s="9"/>
      <c r="P427" s="37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</row>
    <row r="428" spans="1:33" ht="14.25" customHeight="1" x14ac:dyDescent="0.35">
      <c r="A428" s="12">
        <v>301329</v>
      </c>
      <c r="B428" s="63" t="str">
        <f>IFERROR(VLOOKUP(Tabla2[[#This Row],[CODIGO]],INVENTARIO!A:B,2,0)," ")</f>
        <v>Copla PE100 025mm EF</v>
      </c>
      <c r="C428" s="12">
        <v>26</v>
      </c>
      <c r="D428" s="13"/>
      <c r="E428" s="75">
        <v>4500518042</v>
      </c>
      <c r="F428" s="9">
        <v>3567139</v>
      </c>
      <c r="G428" s="77">
        <v>46065</v>
      </c>
      <c r="H428" s="9" t="s">
        <v>166</v>
      </c>
      <c r="I428" s="9"/>
      <c r="J428" s="9"/>
      <c r="K428" s="9"/>
      <c r="L428" s="9"/>
      <c r="M428" s="9"/>
      <c r="N428" s="9" t="s">
        <v>194</v>
      </c>
      <c r="O428" s="9"/>
      <c r="P428" s="37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</row>
    <row r="429" spans="1:33" ht="14.25" customHeight="1" x14ac:dyDescent="0.35">
      <c r="A429" s="12">
        <v>300712</v>
      </c>
      <c r="B429" s="63" t="str">
        <f>IFERROR(VLOOKUP(Tabla2[[#This Row],[CODIGO]],INVENTARIO!A:B,2,0)," ")</f>
        <v>Tapa PE  025 mm Termo F.</v>
      </c>
      <c r="C429" s="12">
        <v>13</v>
      </c>
      <c r="D429" s="13"/>
      <c r="E429" s="75">
        <v>4500518042</v>
      </c>
      <c r="F429" s="9">
        <v>3567139</v>
      </c>
      <c r="G429" s="77">
        <v>46065</v>
      </c>
      <c r="H429" s="9" t="s">
        <v>166</v>
      </c>
      <c r="I429" s="9"/>
      <c r="J429" s="9"/>
      <c r="K429" s="9"/>
      <c r="L429" s="9"/>
      <c r="M429" s="9"/>
      <c r="N429" s="9" t="s">
        <v>194</v>
      </c>
      <c r="O429" s="9"/>
      <c r="P429" s="37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</row>
    <row r="430" spans="1:33" ht="14.25" customHeight="1" x14ac:dyDescent="0.35">
      <c r="A430" s="12">
        <v>302659</v>
      </c>
      <c r="B430" s="63" t="str">
        <f>IFERROR(VLOOKUP(Tabla2[[#This Row],[CODIGO]],INVENTARIO!A:B,2,0)," ")</f>
        <v>Copla PE100 063mm EF</v>
      </c>
      <c r="C430" s="12">
        <v>2</v>
      </c>
      <c r="D430" s="13"/>
      <c r="E430" s="75">
        <v>4500518042</v>
      </c>
      <c r="F430" s="9">
        <v>3567139</v>
      </c>
      <c r="G430" s="77">
        <v>46065</v>
      </c>
      <c r="H430" s="9" t="s">
        <v>166</v>
      </c>
      <c r="I430" s="9"/>
      <c r="J430" s="9"/>
      <c r="K430" s="9"/>
      <c r="L430" s="9"/>
      <c r="M430" s="9"/>
      <c r="N430" s="9" t="s">
        <v>194</v>
      </c>
      <c r="O430" s="9"/>
      <c r="P430" s="37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</row>
    <row r="431" spans="1:33" ht="14.25" customHeight="1" x14ac:dyDescent="0.35">
      <c r="A431" s="12">
        <v>301329</v>
      </c>
      <c r="B431" s="63" t="str">
        <f>IFERROR(VLOOKUP(Tabla2[[#This Row],[CODIGO]],INVENTARIO!A:B,2,0)," ")</f>
        <v>Copla PE100 025mm EF</v>
      </c>
      <c r="C431" s="12">
        <v>14</v>
      </c>
      <c r="D431" s="13"/>
      <c r="E431" s="75">
        <v>4500518023</v>
      </c>
      <c r="F431" s="9">
        <v>3567136</v>
      </c>
      <c r="G431" s="77">
        <v>46065</v>
      </c>
      <c r="H431" s="9" t="s">
        <v>166</v>
      </c>
      <c r="I431" s="9"/>
      <c r="J431" s="9"/>
      <c r="K431" s="9"/>
      <c r="L431" s="9"/>
      <c r="M431" s="9"/>
      <c r="N431" s="9" t="s">
        <v>243</v>
      </c>
      <c r="O431" s="9"/>
      <c r="P431" s="37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</row>
    <row r="432" spans="1:33" ht="14.25" customHeight="1" x14ac:dyDescent="0.35">
      <c r="A432" s="12">
        <v>300712</v>
      </c>
      <c r="B432" s="63" t="str">
        <f>IFERROR(VLOOKUP(Tabla2[[#This Row],[CODIGO]],INVENTARIO!A:B,2,0)," ")</f>
        <v>Tapa PE  025 mm Termo F.</v>
      </c>
      <c r="C432" s="12">
        <v>14</v>
      </c>
      <c r="D432" s="13"/>
      <c r="E432" s="75">
        <v>4500518023</v>
      </c>
      <c r="F432" s="9">
        <v>3567136</v>
      </c>
      <c r="G432" s="77">
        <v>46065</v>
      </c>
      <c r="H432" s="9" t="s">
        <v>166</v>
      </c>
      <c r="I432" s="9"/>
      <c r="J432" s="9"/>
      <c r="K432" s="9"/>
      <c r="L432" s="9"/>
      <c r="M432" s="9"/>
      <c r="N432" s="9" t="s">
        <v>243</v>
      </c>
      <c r="O432" s="9"/>
      <c r="P432" s="37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</row>
    <row r="433" spans="1:33" ht="14.25" customHeight="1" x14ac:dyDescent="0.35">
      <c r="A433" s="12">
        <v>101624</v>
      </c>
      <c r="B433" s="63" t="str">
        <f>IFERROR(VLOOKUP(Tabla2[[#This Row],[CODIGO]],INVENTARIO!A:B,2,0)," ")</f>
        <v>Tapping Tee PE 50-25 mm</v>
      </c>
      <c r="C433" s="12">
        <v>14</v>
      </c>
      <c r="D433" s="13"/>
      <c r="E433" s="75">
        <v>4500518023</v>
      </c>
      <c r="F433" s="9">
        <v>3567136</v>
      </c>
      <c r="G433" s="77">
        <v>46065</v>
      </c>
      <c r="H433" s="9" t="s">
        <v>166</v>
      </c>
      <c r="I433" s="9"/>
      <c r="J433" s="9"/>
      <c r="K433" s="9"/>
      <c r="L433" s="9"/>
      <c r="M433" s="9"/>
      <c r="N433" s="9" t="s">
        <v>243</v>
      </c>
      <c r="O433" s="9"/>
      <c r="P433" s="37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</row>
    <row r="434" spans="1:33" ht="14.25" customHeight="1" x14ac:dyDescent="0.35">
      <c r="A434" s="12">
        <v>2000350</v>
      </c>
      <c r="B434" s="63" t="str">
        <f>IFERROR(VLOOKUP(Tabla2[[#This Row],[CODIGO]],INVENTARIO!A:B,2,0)," ")</f>
        <v>Codo PE 90º  25 mm EF.</v>
      </c>
      <c r="C434" s="12">
        <v>14</v>
      </c>
      <c r="D434" s="13"/>
      <c r="E434" s="75">
        <v>4500518023</v>
      </c>
      <c r="F434" s="9">
        <v>3567136</v>
      </c>
      <c r="G434" s="77">
        <v>46065</v>
      </c>
      <c r="H434" s="9" t="s">
        <v>166</v>
      </c>
      <c r="I434" s="9"/>
      <c r="J434" s="9"/>
      <c r="K434" s="9"/>
      <c r="L434" s="9"/>
      <c r="M434" s="9"/>
      <c r="N434" s="9" t="s">
        <v>243</v>
      </c>
      <c r="O434" s="9"/>
      <c r="P434" s="37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</row>
    <row r="435" spans="1:33" ht="14.25" customHeight="1" x14ac:dyDescent="0.35">
      <c r="A435" s="12">
        <v>300109</v>
      </c>
      <c r="B435" s="63" t="str">
        <f>IFERROR(VLOOKUP(Tabla2[[#This Row],[CODIGO]],INVENTARIO!A:B,2,0)," ")</f>
        <v>Risers de Acero 3/4" Bsp x 25 mm</v>
      </c>
      <c r="C435" s="12">
        <v>14</v>
      </c>
      <c r="D435" s="13"/>
      <c r="E435" s="75">
        <v>4500518023</v>
      </c>
      <c r="F435" s="9">
        <v>3567136</v>
      </c>
      <c r="G435" s="77">
        <v>46065</v>
      </c>
      <c r="H435" s="9" t="s">
        <v>166</v>
      </c>
      <c r="I435" s="9"/>
      <c r="J435" s="9"/>
      <c r="K435" s="9"/>
      <c r="L435" s="9"/>
      <c r="M435" s="9"/>
      <c r="N435" s="9" t="s">
        <v>243</v>
      </c>
      <c r="O435" s="9"/>
      <c r="P435" s="37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</row>
    <row r="436" spans="1:33" ht="14.25" customHeight="1" x14ac:dyDescent="0.35">
      <c r="A436" s="12">
        <v>300109</v>
      </c>
      <c r="B436" s="63" t="str">
        <f>IFERROR(VLOOKUP(Tabla2[[#This Row],[CODIGO]],INVENTARIO!A:B,2,0)," ")</f>
        <v>Risers de Acero 3/4" Bsp x 25 mm</v>
      </c>
      <c r="C436" s="12">
        <v>1</v>
      </c>
      <c r="D436" s="13"/>
      <c r="E436" s="75">
        <v>4500518017</v>
      </c>
      <c r="F436" s="9">
        <v>3567135</v>
      </c>
      <c r="G436" s="77">
        <v>46065</v>
      </c>
      <c r="H436" s="9" t="s">
        <v>166</v>
      </c>
      <c r="I436" s="9"/>
      <c r="J436" s="9"/>
      <c r="K436" s="9"/>
      <c r="L436" s="9"/>
      <c r="M436" s="9"/>
      <c r="N436" s="9" t="s">
        <v>243</v>
      </c>
      <c r="O436" s="9"/>
      <c r="P436" s="37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</row>
    <row r="437" spans="1:33" ht="14.25" customHeight="1" x14ac:dyDescent="0.35">
      <c r="A437" s="12">
        <v>301329</v>
      </c>
      <c r="B437" s="63" t="str">
        <f>IFERROR(VLOOKUP(Tabla2[[#This Row],[CODIGO]],INVENTARIO!A:B,2,0)," ")</f>
        <v>Copla PE100 025mm EF</v>
      </c>
      <c r="C437" s="12">
        <v>14</v>
      </c>
      <c r="D437" s="13"/>
      <c r="E437" s="75">
        <v>4500518017</v>
      </c>
      <c r="F437" s="9">
        <v>3567135</v>
      </c>
      <c r="G437" s="77">
        <v>46065</v>
      </c>
      <c r="H437" s="9" t="s">
        <v>166</v>
      </c>
      <c r="I437" s="9"/>
      <c r="J437" s="9"/>
      <c r="K437" s="9"/>
      <c r="L437" s="9"/>
      <c r="M437" s="9"/>
      <c r="N437" s="9" t="s">
        <v>243</v>
      </c>
      <c r="O437" s="9"/>
      <c r="P437" s="37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</row>
    <row r="438" spans="1:33" ht="14.25" customHeight="1" x14ac:dyDescent="0.35">
      <c r="A438" s="12">
        <v>300712</v>
      </c>
      <c r="B438" s="63" t="str">
        <f>IFERROR(VLOOKUP(Tabla2[[#This Row],[CODIGO]],INVENTARIO!A:B,2,0)," ")</f>
        <v>Tapa PE  025 mm Termo F.</v>
      </c>
      <c r="C438" s="12">
        <v>8</v>
      </c>
      <c r="D438" s="13"/>
      <c r="E438" s="75">
        <v>4500518017</v>
      </c>
      <c r="F438" s="9">
        <v>3567135</v>
      </c>
      <c r="G438" s="77">
        <v>46065</v>
      </c>
      <c r="H438" s="9" t="s">
        <v>166</v>
      </c>
      <c r="I438" s="9"/>
      <c r="J438" s="9"/>
      <c r="K438" s="9"/>
      <c r="L438" s="9"/>
      <c r="M438" s="9"/>
      <c r="N438" s="9" t="s">
        <v>243</v>
      </c>
      <c r="O438" s="9"/>
      <c r="P438" s="37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</row>
    <row r="439" spans="1:33" ht="14.25" customHeight="1" x14ac:dyDescent="0.35">
      <c r="A439" s="12">
        <v>101624</v>
      </c>
      <c r="B439" s="63" t="str">
        <f>IFERROR(VLOOKUP(Tabla2[[#This Row],[CODIGO]],INVENTARIO!A:B,2,0)," ")</f>
        <v>Tapping Tee PE 50-25 mm</v>
      </c>
      <c r="C439" s="12">
        <v>1</v>
      </c>
      <c r="D439" s="13"/>
      <c r="E439" s="75">
        <v>4500518017</v>
      </c>
      <c r="F439" s="9">
        <v>3567135</v>
      </c>
      <c r="G439" s="77">
        <v>46065</v>
      </c>
      <c r="H439" s="9" t="s">
        <v>166</v>
      </c>
      <c r="I439" s="9"/>
      <c r="J439" s="9"/>
      <c r="K439" s="9"/>
      <c r="L439" s="9"/>
      <c r="M439" s="9"/>
      <c r="N439" s="9" t="s">
        <v>243</v>
      </c>
      <c r="O439" s="9"/>
      <c r="P439" s="37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</row>
    <row r="440" spans="1:33" ht="14.25" customHeight="1" x14ac:dyDescent="0.35">
      <c r="A440" s="12">
        <v>2000350</v>
      </c>
      <c r="B440" s="63" t="str">
        <f>IFERROR(VLOOKUP(Tabla2[[#This Row],[CODIGO]],INVENTARIO!A:B,2,0)," ")</f>
        <v>Codo PE 90º  25 mm EF.</v>
      </c>
      <c r="C440" s="12">
        <v>1</v>
      </c>
      <c r="D440" s="13"/>
      <c r="E440" s="75">
        <v>4500518017</v>
      </c>
      <c r="F440" s="9">
        <v>3567135</v>
      </c>
      <c r="G440" s="77">
        <v>46065</v>
      </c>
      <c r="H440" s="9" t="s">
        <v>166</v>
      </c>
      <c r="I440" s="9"/>
      <c r="J440" s="9"/>
      <c r="K440" s="9"/>
      <c r="L440" s="9"/>
      <c r="M440" s="9"/>
      <c r="N440" s="9" t="s">
        <v>243</v>
      </c>
      <c r="O440" s="9"/>
      <c r="P440" s="37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</row>
    <row r="441" spans="1:33" ht="14.25" customHeight="1" x14ac:dyDescent="0.35">
      <c r="A441" s="12">
        <v>300109</v>
      </c>
      <c r="B441" s="63" t="str">
        <f>IFERROR(VLOOKUP(Tabla2[[#This Row],[CODIGO]],INVENTARIO!A:B,2,0)," ")</f>
        <v>Risers de Acero 3/4" Bsp x 25 mm</v>
      </c>
      <c r="C441" s="12">
        <v>13</v>
      </c>
      <c r="D441" s="13"/>
      <c r="E441" s="75">
        <v>4500517998</v>
      </c>
      <c r="F441" s="9">
        <v>3567134</v>
      </c>
      <c r="G441" s="77">
        <v>46065</v>
      </c>
      <c r="H441" s="9" t="s">
        <v>166</v>
      </c>
      <c r="I441" s="9"/>
      <c r="J441" s="9"/>
      <c r="K441" s="9"/>
      <c r="L441" s="9"/>
      <c r="M441" s="9"/>
      <c r="N441" s="9" t="s">
        <v>243</v>
      </c>
      <c r="O441" s="9"/>
      <c r="P441" s="37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</row>
    <row r="442" spans="1:33" ht="14.25" customHeight="1" x14ac:dyDescent="0.35">
      <c r="A442" s="12">
        <v>301329</v>
      </c>
      <c r="B442" s="63" t="str">
        <f>IFERROR(VLOOKUP(Tabla2[[#This Row],[CODIGO]],INVENTARIO!A:B,2,0)," ")</f>
        <v>Copla PE100 025mm EF</v>
      </c>
      <c r="C442" s="12">
        <v>13</v>
      </c>
      <c r="D442" s="13"/>
      <c r="E442" s="75">
        <v>4500517998</v>
      </c>
      <c r="F442" s="9">
        <v>3567134</v>
      </c>
      <c r="G442" s="77">
        <v>46065</v>
      </c>
      <c r="H442" s="9" t="s">
        <v>166</v>
      </c>
      <c r="I442" s="9"/>
      <c r="J442" s="9"/>
      <c r="K442" s="9"/>
      <c r="L442" s="9"/>
      <c r="M442" s="9"/>
      <c r="N442" s="9" t="s">
        <v>243</v>
      </c>
      <c r="O442" s="9"/>
      <c r="P442" s="37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</row>
    <row r="443" spans="1:33" ht="14.25" customHeight="1" x14ac:dyDescent="0.35">
      <c r="A443" s="12">
        <v>302446</v>
      </c>
      <c r="B443" s="63" t="str">
        <f>IFERROR(VLOOKUP(Tabla2[[#This Row],[CODIGO]],INVENTARIO!A:B,2,0)," ")</f>
        <v>Tapping Tee PE 200-25 mm</v>
      </c>
      <c r="C443" s="12">
        <v>1</v>
      </c>
      <c r="D443" s="13"/>
      <c r="E443" s="75">
        <v>4500517989</v>
      </c>
      <c r="F443" s="9">
        <v>3567132</v>
      </c>
      <c r="G443" s="77">
        <v>46065</v>
      </c>
      <c r="H443" s="9" t="s">
        <v>166</v>
      </c>
      <c r="I443" s="9"/>
      <c r="J443" s="9"/>
      <c r="K443" s="9"/>
      <c r="L443" s="9"/>
      <c r="M443" s="9"/>
      <c r="N443" s="9">
        <v>500100028</v>
      </c>
      <c r="O443" s="9"/>
      <c r="P443" s="37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</row>
    <row r="444" spans="1:33" ht="14.25" customHeight="1" x14ac:dyDescent="0.35">
      <c r="A444" s="12">
        <v>301099</v>
      </c>
      <c r="B444" s="63" t="str">
        <f>IFERROR(VLOOKUP(Tabla2[[#This Row],[CODIGO]],INVENTARIO!A:B,2,0)," ")</f>
        <v>Válvula PE100 Dn 25mm</v>
      </c>
      <c r="C444" s="12">
        <v>1</v>
      </c>
      <c r="D444" s="13"/>
      <c r="E444" s="75">
        <v>4500517989</v>
      </c>
      <c r="F444" s="9">
        <v>3567132</v>
      </c>
      <c r="G444" s="77">
        <v>46065</v>
      </c>
      <c r="H444" s="9" t="s">
        <v>166</v>
      </c>
      <c r="I444" s="9"/>
      <c r="J444" s="9"/>
      <c r="K444" s="9"/>
      <c r="L444" s="9"/>
      <c r="M444" s="9"/>
      <c r="N444" s="9">
        <v>500100028</v>
      </c>
      <c r="O444" s="9"/>
      <c r="P444" s="37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</row>
    <row r="445" spans="1:33" ht="14.25" customHeight="1" x14ac:dyDescent="0.35">
      <c r="A445" s="12">
        <v>301329</v>
      </c>
      <c r="B445" s="63" t="str">
        <f>IFERROR(VLOOKUP(Tabla2[[#This Row],[CODIGO]],INVENTARIO!A:B,2,0)," ")</f>
        <v>Copla PE100 025mm EF</v>
      </c>
      <c r="C445" s="12">
        <v>4</v>
      </c>
      <c r="D445" s="13"/>
      <c r="E445" s="75">
        <v>4500517989</v>
      </c>
      <c r="F445" s="9">
        <v>3567132</v>
      </c>
      <c r="G445" s="77">
        <v>46065</v>
      </c>
      <c r="H445" s="9" t="s">
        <v>166</v>
      </c>
      <c r="I445" s="9"/>
      <c r="J445" s="9"/>
      <c r="K445" s="9"/>
      <c r="L445" s="9"/>
      <c r="M445" s="9"/>
      <c r="N445" s="9">
        <v>500100028</v>
      </c>
      <c r="O445" s="9"/>
      <c r="P445" s="37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</row>
    <row r="446" spans="1:33" ht="14.25" customHeight="1" x14ac:dyDescent="0.35">
      <c r="A446" s="12">
        <v>300109</v>
      </c>
      <c r="B446" s="63" t="str">
        <f>IFERROR(VLOOKUP(Tabla2[[#This Row],[CODIGO]],INVENTARIO!A:B,2,0)," ")</f>
        <v>Risers de Acero 3/4" Bsp x 25 mm</v>
      </c>
      <c r="C446" s="12">
        <v>1</v>
      </c>
      <c r="D446" s="13"/>
      <c r="E446" s="75">
        <v>4500517989</v>
      </c>
      <c r="F446" s="9">
        <v>3567132</v>
      </c>
      <c r="G446" s="77">
        <v>46065</v>
      </c>
      <c r="H446" s="9" t="s">
        <v>166</v>
      </c>
      <c r="I446" s="9"/>
      <c r="J446" s="9"/>
      <c r="K446" s="9"/>
      <c r="L446" s="9"/>
      <c r="M446" s="9"/>
      <c r="N446" s="9">
        <v>500100028</v>
      </c>
      <c r="O446" s="9"/>
      <c r="P446" s="37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</row>
    <row r="447" spans="1:33" ht="14.25" customHeight="1" x14ac:dyDescent="0.35">
      <c r="A447" s="12">
        <v>2003911</v>
      </c>
      <c r="B447" s="63" t="str">
        <f>IFERROR(VLOOKUP(Tabla2[[#This Row],[CODIGO]],INVENTARIO!A:B,2,0)," ")</f>
        <v>Válvula EFv PE 25 mm Para Tap. Tee</v>
      </c>
      <c r="C447" s="12">
        <v>1</v>
      </c>
      <c r="D447" s="13"/>
      <c r="E447" s="75">
        <v>4500517989</v>
      </c>
      <c r="F447" s="9">
        <v>3567132</v>
      </c>
      <c r="G447" s="77">
        <v>46065</v>
      </c>
      <c r="H447" s="9" t="s">
        <v>166</v>
      </c>
      <c r="I447" s="9"/>
      <c r="J447" s="9"/>
      <c r="K447" s="9"/>
      <c r="L447" s="9"/>
      <c r="M447" s="9"/>
      <c r="N447" s="9">
        <v>500100028</v>
      </c>
      <c r="O447" s="9"/>
      <c r="P447" s="37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</row>
    <row r="448" spans="1:33" ht="14.25" customHeight="1" x14ac:dyDescent="0.35">
      <c r="A448" s="12">
        <v>301749</v>
      </c>
      <c r="B448" s="63" t="str">
        <f>IFERROR(VLOOKUP(Tabla2[[#This Row],[CODIGO]],INVENTARIO!A:B,2,0)," ")</f>
        <v>Tubería PE80 025mm Rollo</v>
      </c>
      <c r="C448" s="12">
        <v>100</v>
      </c>
      <c r="D448" s="13">
        <v>76500</v>
      </c>
      <c r="E448" s="40">
        <v>875144</v>
      </c>
      <c r="F448" s="9">
        <v>3567144</v>
      </c>
      <c r="G448" s="77">
        <v>46065</v>
      </c>
      <c r="H448" s="9" t="s">
        <v>167</v>
      </c>
      <c r="I448" s="9"/>
      <c r="J448" s="9" t="s">
        <v>217</v>
      </c>
      <c r="K448" s="9" t="s">
        <v>320</v>
      </c>
      <c r="L448" s="9"/>
      <c r="M448" s="9"/>
      <c r="N448" s="9" t="s">
        <v>194</v>
      </c>
      <c r="O448" s="9" t="s">
        <v>258</v>
      </c>
      <c r="P448" s="37">
        <v>1375027</v>
      </c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</row>
    <row r="449" spans="1:33" ht="14.25" customHeight="1" x14ac:dyDescent="0.35">
      <c r="A449" s="12">
        <v>303368</v>
      </c>
      <c r="B449" s="63" t="str">
        <f>IFERROR(VLOOKUP(Tabla2[[#This Row],[CODIGO]],INVENTARIO!A:B,2,0)," ")</f>
        <v>Cinta Plástica "Línea GN", 30 x 0.1</v>
      </c>
      <c r="C449" s="12">
        <v>100</v>
      </c>
      <c r="D449" s="13">
        <v>12100</v>
      </c>
      <c r="E449" s="40">
        <v>875144</v>
      </c>
      <c r="F449" s="9">
        <v>3567144</v>
      </c>
      <c r="G449" s="77">
        <v>46065</v>
      </c>
      <c r="H449" s="9" t="s">
        <v>167</v>
      </c>
      <c r="I449" s="9"/>
      <c r="J449" s="9" t="s">
        <v>217</v>
      </c>
      <c r="K449" s="9" t="s">
        <v>320</v>
      </c>
      <c r="L449" s="9"/>
      <c r="M449" s="9"/>
      <c r="N449" s="9" t="s">
        <v>194</v>
      </c>
      <c r="O449" s="9" t="s">
        <v>258</v>
      </c>
      <c r="P449" s="37">
        <v>1375027</v>
      </c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</row>
    <row r="450" spans="1:33" ht="14.25" customHeight="1" x14ac:dyDescent="0.35">
      <c r="A450" s="12">
        <v>302737</v>
      </c>
      <c r="B450" s="63" t="str">
        <f>IFERROR(VLOOKUP(Tabla2[[#This Row],[CODIGO]],INVENTARIO!A:B,2,0)," ")</f>
        <v>Válvula Bola 3/4" Hi Un Cuerpo Pn5 Arco</v>
      </c>
      <c r="C450" s="12">
        <v>1</v>
      </c>
      <c r="D450" s="80">
        <v>16445</v>
      </c>
      <c r="E450" s="40">
        <v>875141</v>
      </c>
      <c r="F450" s="9">
        <v>3567143</v>
      </c>
      <c r="G450" s="77">
        <v>46065</v>
      </c>
      <c r="H450" s="9" t="s">
        <v>167</v>
      </c>
      <c r="I450" s="9"/>
      <c r="J450" s="9"/>
      <c r="K450" s="9"/>
      <c r="L450" s="9"/>
      <c r="M450" s="9"/>
      <c r="N450" s="9" t="s">
        <v>243</v>
      </c>
      <c r="O450" s="9" t="s">
        <v>258</v>
      </c>
      <c r="P450" s="37">
        <v>1375026</v>
      </c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</row>
    <row r="451" spans="1:33" ht="14.25" customHeight="1" x14ac:dyDescent="0.35">
      <c r="A451" s="12">
        <v>2008481</v>
      </c>
      <c r="B451" s="63" t="str">
        <f>IFERROR(VLOOKUP(Tabla2[[#This Row],[CODIGO]],INVENTARIO!A:B,2,0)," ")</f>
        <v>Tapa Tornillo Bronce 3/4" HE Bspt.</v>
      </c>
      <c r="C451" s="12">
        <v>1</v>
      </c>
      <c r="D451" s="80">
        <v>1</v>
      </c>
      <c r="E451" s="40">
        <v>875141</v>
      </c>
      <c r="F451" s="9">
        <v>3567143</v>
      </c>
      <c r="G451" s="77">
        <v>46065</v>
      </c>
      <c r="H451" s="9" t="s">
        <v>167</v>
      </c>
      <c r="I451" s="9"/>
      <c r="J451" s="9"/>
      <c r="K451" s="9"/>
      <c r="L451" s="9"/>
      <c r="M451" s="9"/>
      <c r="N451" s="9" t="s">
        <v>243</v>
      </c>
      <c r="O451" s="9" t="s">
        <v>258</v>
      </c>
      <c r="P451" s="37">
        <v>1375026</v>
      </c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</row>
    <row r="452" spans="1:33" ht="14.25" customHeight="1" x14ac:dyDescent="0.35">
      <c r="A452" s="12">
        <v>2008481</v>
      </c>
      <c r="B452" s="63" t="str">
        <f>IFERROR(VLOOKUP(Tabla2[[#This Row],[CODIGO]],INVENTARIO!A:B,2,0)," ")</f>
        <v>Tapa Tornillo Bronce 3/4" HE Bspt.</v>
      </c>
      <c r="C452" s="12">
        <v>1</v>
      </c>
      <c r="D452" s="80">
        <v>16445</v>
      </c>
      <c r="E452" s="40">
        <v>875140</v>
      </c>
      <c r="F452" s="9">
        <v>3567142</v>
      </c>
      <c r="G452" s="77">
        <v>46065</v>
      </c>
      <c r="H452" s="9" t="s">
        <v>167</v>
      </c>
      <c r="I452" s="9"/>
      <c r="J452" s="9"/>
      <c r="K452" s="9"/>
      <c r="L452" s="9"/>
      <c r="M452" s="9"/>
      <c r="N452" s="9" t="s">
        <v>243</v>
      </c>
      <c r="O452" s="9" t="s">
        <v>258</v>
      </c>
      <c r="P452" s="37">
        <v>1375025</v>
      </c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</row>
    <row r="453" spans="1:33" ht="14.25" customHeight="1" x14ac:dyDescent="0.35">
      <c r="A453" s="12">
        <v>302737</v>
      </c>
      <c r="B453" s="63" t="str">
        <f>IFERROR(VLOOKUP(Tabla2[[#This Row],[CODIGO]],INVENTARIO!A:B,2,0)," ")</f>
        <v>Válvula Bola 3/4" Hi Un Cuerpo Pn5 Arco</v>
      </c>
      <c r="C453" s="12">
        <v>1</v>
      </c>
      <c r="D453" s="80">
        <v>1</v>
      </c>
      <c r="E453" s="40">
        <v>875140</v>
      </c>
      <c r="F453" s="9">
        <v>3567142</v>
      </c>
      <c r="G453" s="77">
        <v>46065</v>
      </c>
      <c r="H453" s="9" t="s">
        <v>167</v>
      </c>
      <c r="I453" s="9"/>
      <c r="J453" s="9"/>
      <c r="K453" s="9"/>
      <c r="L453" s="9"/>
      <c r="M453" s="9"/>
      <c r="N453" s="9" t="s">
        <v>243</v>
      </c>
      <c r="O453" s="9" t="s">
        <v>258</v>
      </c>
      <c r="P453" s="37">
        <v>1375025</v>
      </c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</row>
    <row r="454" spans="1:33" ht="14.25" customHeight="1" x14ac:dyDescent="0.35">
      <c r="A454" s="12">
        <v>1000720</v>
      </c>
      <c r="B454" s="63" t="str">
        <f>IFERROR(VLOOKUP(Tabla2[[#This Row],[CODIGO]],INVENTARIO!A:B,2,0)," ")</f>
        <v>Teflón en Cinta de 3/4" Ancho x 520" a 5</v>
      </c>
      <c r="C454" s="12">
        <v>2</v>
      </c>
      <c r="D454" s="13">
        <v>4402</v>
      </c>
      <c r="E454" s="40">
        <v>875138</v>
      </c>
      <c r="F454" s="9">
        <v>3567141</v>
      </c>
      <c r="G454" s="77">
        <v>46065</v>
      </c>
      <c r="H454" s="9" t="s">
        <v>167</v>
      </c>
      <c r="I454" s="9"/>
      <c r="J454" s="9"/>
      <c r="K454" s="9"/>
      <c r="L454" s="9"/>
      <c r="M454" s="9"/>
      <c r="N454" s="9" t="s">
        <v>243</v>
      </c>
      <c r="O454" s="9" t="s">
        <v>258</v>
      </c>
      <c r="P454" s="37">
        <v>1375024</v>
      </c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</row>
    <row r="455" spans="1:33" ht="14.25" customHeight="1" x14ac:dyDescent="0.35">
      <c r="A455" s="12">
        <v>2008481</v>
      </c>
      <c r="B455" s="63" t="str">
        <f>IFERROR(VLOOKUP(Tabla2[[#This Row],[CODIGO]],INVENTARIO!A:B,2,0)," ")</f>
        <v>Tapa Tornillo Bronce 3/4" HE Bspt.</v>
      </c>
      <c r="C455" s="12">
        <v>13</v>
      </c>
      <c r="D455" s="13">
        <v>13</v>
      </c>
      <c r="E455" s="40">
        <v>875138</v>
      </c>
      <c r="F455" s="9">
        <v>3567141</v>
      </c>
      <c r="G455" s="77">
        <v>46065</v>
      </c>
      <c r="H455" s="9" t="s">
        <v>167</v>
      </c>
      <c r="I455" s="9"/>
      <c r="J455" s="9"/>
      <c r="K455" s="9"/>
      <c r="L455" s="9"/>
      <c r="M455" s="9"/>
      <c r="N455" s="9" t="s">
        <v>243</v>
      </c>
      <c r="O455" s="9" t="s">
        <v>258</v>
      </c>
      <c r="P455" s="37">
        <v>1375024</v>
      </c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</row>
    <row r="456" spans="1:33" ht="14.25" customHeight="1" x14ac:dyDescent="0.35">
      <c r="A456" s="12">
        <v>302737</v>
      </c>
      <c r="B456" s="63" t="str">
        <f>IFERROR(VLOOKUP(Tabla2[[#This Row],[CODIGO]],INVENTARIO!A:B,2,0)," ")</f>
        <v>Válvula Bola 3/4" Hi Un Cuerpo Pn5 Arco</v>
      </c>
      <c r="C456" s="12">
        <v>13</v>
      </c>
      <c r="D456" s="13">
        <v>213785</v>
      </c>
      <c r="E456" s="40">
        <v>875138</v>
      </c>
      <c r="F456" s="9">
        <v>3567141</v>
      </c>
      <c r="G456" s="77">
        <v>46065</v>
      </c>
      <c r="H456" s="9" t="s">
        <v>167</v>
      </c>
      <c r="I456" s="9"/>
      <c r="J456" s="9"/>
      <c r="K456" s="9"/>
      <c r="L456" s="9"/>
      <c r="M456" s="9"/>
      <c r="N456" s="9" t="s">
        <v>243</v>
      </c>
      <c r="O456" s="9" t="s">
        <v>258</v>
      </c>
      <c r="P456" s="37">
        <v>1375024</v>
      </c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</row>
    <row r="457" spans="1:33" ht="14.25" customHeight="1" x14ac:dyDescent="0.35">
      <c r="A457" s="12">
        <v>2006391</v>
      </c>
      <c r="B457" s="63" t="str">
        <f>IFERROR(VLOOKUP(Tabla2[[#This Row],[CODIGO]],INVENTARIO!A:B,2,0)," ")</f>
        <v>Guardallave Fierro Fundido C/Tapa</v>
      </c>
      <c r="C457" s="12">
        <v>1</v>
      </c>
      <c r="D457" s="13">
        <v>26923</v>
      </c>
      <c r="E457" s="40">
        <v>875137</v>
      </c>
      <c r="F457" s="9">
        <v>3567140</v>
      </c>
      <c r="G457" s="77">
        <v>46065</v>
      </c>
      <c r="H457" s="9" t="s">
        <v>167</v>
      </c>
      <c r="I457" s="9"/>
      <c r="J457" s="9"/>
      <c r="K457" s="9"/>
      <c r="L457" s="9"/>
      <c r="M457" s="9"/>
      <c r="N457" s="9">
        <v>500100028</v>
      </c>
      <c r="O457" s="9" t="s">
        <v>257</v>
      </c>
      <c r="P457" s="37">
        <v>1375023</v>
      </c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</row>
    <row r="458" spans="1:33" ht="14.25" customHeight="1" x14ac:dyDescent="0.35">
      <c r="A458" s="12">
        <v>302737</v>
      </c>
      <c r="B458" s="63" t="str">
        <f>IFERROR(VLOOKUP(Tabla2[[#This Row],[CODIGO]],INVENTARIO!A:B,2,0)," ")</f>
        <v>Válvula Bola 3/4" Hi Un Cuerpo Pn5 Arco</v>
      </c>
      <c r="C458" s="12">
        <v>1</v>
      </c>
      <c r="D458" s="13">
        <v>16445</v>
      </c>
      <c r="E458" s="40">
        <v>875137</v>
      </c>
      <c r="F458" s="9">
        <v>3567140</v>
      </c>
      <c r="G458" s="77">
        <v>46065</v>
      </c>
      <c r="H458" s="9" t="s">
        <v>167</v>
      </c>
      <c r="I458" s="9"/>
      <c r="J458" s="9"/>
      <c r="K458" s="9"/>
      <c r="L458" s="9"/>
      <c r="M458" s="9"/>
      <c r="N458" s="9">
        <v>500100028</v>
      </c>
      <c r="O458" s="9" t="s">
        <v>257</v>
      </c>
      <c r="P458" s="37">
        <v>1375023</v>
      </c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</row>
    <row r="459" spans="1:33" ht="14.25" customHeight="1" x14ac:dyDescent="0.35">
      <c r="A459" s="12">
        <v>2008481</v>
      </c>
      <c r="B459" s="63" t="str">
        <f>IFERROR(VLOOKUP(Tabla2[[#This Row],[CODIGO]],INVENTARIO!A:B,2,0)," ")</f>
        <v>Tapa Tornillo Bronce 3/4" HE Bspt.</v>
      </c>
      <c r="C459" s="12">
        <v>1</v>
      </c>
      <c r="D459" s="13">
        <v>1</v>
      </c>
      <c r="E459" s="40">
        <v>875137</v>
      </c>
      <c r="F459" s="9">
        <v>3567140</v>
      </c>
      <c r="G459" s="77">
        <v>46065</v>
      </c>
      <c r="H459" s="9" t="s">
        <v>167</v>
      </c>
      <c r="I459" s="9"/>
      <c r="J459" s="9"/>
      <c r="K459" s="9"/>
      <c r="L459" s="9"/>
      <c r="M459" s="9"/>
      <c r="N459" s="9">
        <v>500100028</v>
      </c>
      <c r="O459" s="9" t="s">
        <v>257</v>
      </c>
      <c r="P459" s="37">
        <v>1375023</v>
      </c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</row>
    <row r="460" spans="1:33" ht="14.25" customHeight="1" x14ac:dyDescent="0.35">
      <c r="A460" s="12">
        <v>300820</v>
      </c>
      <c r="B460" s="63" t="str">
        <f>IFERROR(VLOOKUP(Tabla2[[#This Row],[CODIGO]],INVENTARIO!A:B,2,0)," ")</f>
        <v>Tubería PE80 160mm Tira</v>
      </c>
      <c r="C460" s="12">
        <v>96</v>
      </c>
      <c r="D460" s="13">
        <v>2920704</v>
      </c>
      <c r="E460" s="40">
        <v>875136</v>
      </c>
      <c r="F460" s="9">
        <v>3567103</v>
      </c>
      <c r="G460" s="77">
        <v>46064</v>
      </c>
      <c r="H460" s="9" t="s">
        <v>167</v>
      </c>
      <c r="I460" s="9"/>
      <c r="J460" s="9" t="s">
        <v>317</v>
      </c>
      <c r="K460" s="34">
        <v>45643</v>
      </c>
      <c r="L460" s="9" t="s">
        <v>315</v>
      </c>
      <c r="M460" s="9"/>
      <c r="N460" s="9" t="s">
        <v>193</v>
      </c>
      <c r="O460" s="9" t="s">
        <v>257</v>
      </c>
      <c r="P460" s="37">
        <v>1375011</v>
      </c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</row>
    <row r="461" spans="1:33" ht="14.25" customHeight="1" x14ac:dyDescent="0.35">
      <c r="A461" s="12">
        <v>2005135</v>
      </c>
      <c r="B461" s="63" t="str">
        <f>IFERROR(VLOOKUP(Tabla2[[#This Row],[CODIGO]],INVENTARIO!A:B,2,0)," ")</f>
        <v>Tubo PVC 110 mm PN6 CG Amarillo Tira 6 m</v>
      </c>
      <c r="C461" s="12">
        <v>5</v>
      </c>
      <c r="D461" s="13">
        <v>139655</v>
      </c>
      <c r="E461" s="40">
        <v>875150</v>
      </c>
      <c r="F461" s="9">
        <v>3567104</v>
      </c>
      <c r="G461" s="77">
        <v>46064</v>
      </c>
      <c r="H461" s="9" t="s">
        <v>167</v>
      </c>
      <c r="I461" s="9"/>
      <c r="J461" s="9"/>
      <c r="K461" s="9"/>
      <c r="L461" s="9"/>
      <c r="M461" s="9"/>
      <c r="N461" s="9" t="s">
        <v>207</v>
      </c>
      <c r="O461" s="9" t="s">
        <v>258</v>
      </c>
      <c r="P461" s="37">
        <v>1375012</v>
      </c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</row>
    <row r="462" spans="1:33" ht="14.25" customHeight="1" x14ac:dyDescent="0.35">
      <c r="A462" s="12">
        <v>2005135</v>
      </c>
      <c r="B462" s="63" t="str">
        <f>IFERROR(VLOOKUP(Tabla2[[#This Row],[CODIGO]],INVENTARIO!A:B,2,0)," ")</f>
        <v>Tubo PVC 110 mm PN6 CG Amarillo Tira 6 m</v>
      </c>
      <c r="C462" s="12">
        <v>2</v>
      </c>
      <c r="D462" s="13">
        <v>55862</v>
      </c>
      <c r="E462" s="40">
        <v>875151</v>
      </c>
      <c r="F462" s="9">
        <v>3567105</v>
      </c>
      <c r="G462" s="77">
        <v>46064</v>
      </c>
      <c r="H462" s="9" t="s">
        <v>167</v>
      </c>
      <c r="I462" s="9"/>
      <c r="J462" s="9"/>
      <c r="K462" s="9"/>
      <c r="L462" s="9"/>
      <c r="M462" s="9"/>
      <c r="N462" s="9" t="s">
        <v>202</v>
      </c>
      <c r="O462" s="9" t="s">
        <v>258</v>
      </c>
      <c r="P462" s="37">
        <v>1375013</v>
      </c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</row>
    <row r="463" spans="1:33" ht="14.25" customHeight="1" x14ac:dyDescent="0.35">
      <c r="A463" s="12">
        <v>2005135</v>
      </c>
      <c r="B463" s="63" t="str">
        <f>IFERROR(VLOOKUP(Tabla2[[#This Row],[CODIGO]],INVENTARIO!A:B,2,0)," ")</f>
        <v>Tubo PVC 110 mm PN6 CG Amarillo Tira 6 m</v>
      </c>
      <c r="C463" s="12">
        <v>1</v>
      </c>
      <c r="D463" s="13">
        <v>27931</v>
      </c>
      <c r="E463" s="40">
        <v>875142</v>
      </c>
      <c r="F463" s="9">
        <v>3567106</v>
      </c>
      <c r="G463" s="77">
        <v>46064</v>
      </c>
      <c r="H463" s="9" t="s">
        <v>167</v>
      </c>
      <c r="I463" s="9"/>
      <c r="J463" s="9"/>
      <c r="K463" s="9"/>
      <c r="L463" s="9"/>
      <c r="M463" s="9"/>
      <c r="N463" s="9" t="s">
        <v>255</v>
      </c>
      <c r="O463" s="9" t="s">
        <v>258</v>
      </c>
      <c r="P463" s="37">
        <v>1375014</v>
      </c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</row>
    <row r="464" spans="1:33" ht="14.25" customHeight="1" x14ac:dyDescent="0.35">
      <c r="A464" s="12">
        <v>2005135</v>
      </c>
      <c r="B464" s="63" t="str">
        <f>IFERROR(VLOOKUP(Tabla2[[#This Row],[CODIGO]],INVENTARIO!A:B,2,0)," ")</f>
        <v>Tubo PVC 110 mm PN6 CG Amarillo Tira 6 m</v>
      </c>
      <c r="C464" s="12">
        <v>2</v>
      </c>
      <c r="D464" s="13">
        <v>55862</v>
      </c>
      <c r="E464" s="40">
        <v>875143</v>
      </c>
      <c r="F464" s="9">
        <v>3567107</v>
      </c>
      <c r="G464" s="77">
        <v>46064</v>
      </c>
      <c r="H464" s="9" t="s">
        <v>167</v>
      </c>
      <c r="I464" s="9"/>
      <c r="J464" s="9"/>
      <c r="K464" s="9"/>
      <c r="L464" s="9"/>
      <c r="M464" s="9"/>
      <c r="N464" s="9" t="s">
        <v>202</v>
      </c>
      <c r="O464" s="9" t="s">
        <v>258</v>
      </c>
      <c r="P464" s="37">
        <v>1375015</v>
      </c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</row>
    <row r="465" spans="1:33" ht="14.25" customHeight="1" x14ac:dyDescent="0.35">
      <c r="A465" s="12">
        <v>101618</v>
      </c>
      <c r="B465" s="63" t="str">
        <f>IFERROR(VLOOKUP(Tabla2[[#This Row],[CODIGO]],INVENTARIO!A:B,2,0)," ")</f>
        <v>Risers Ac,Recto 3/4 "x25 mm</v>
      </c>
      <c r="C465" s="12">
        <v>1</v>
      </c>
      <c r="D465" s="13"/>
      <c r="E465" s="40"/>
      <c r="F465" s="9">
        <v>948</v>
      </c>
      <c r="G465" s="77">
        <v>46063</v>
      </c>
      <c r="H465" s="9" t="s">
        <v>181</v>
      </c>
      <c r="I465" s="9"/>
      <c r="J465" s="9"/>
      <c r="K465" s="9"/>
      <c r="L465" s="9"/>
      <c r="M465" s="9"/>
      <c r="N465" s="9" t="s">
        <v>259</v>
      </c>
      <c r="O465" s="9"/>
      <c r="P465" s="37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</row>
    <row r="466" spans="1:33" ht="14.25" customHeight="1" x14ac:dyDescent="0.35">
      <c r="A466" s="12">
        <v>301749</v>
      </c>
      <c r="B466" s="63" t="str">
        <f>IFERROR(VLOOKUP(Tabla2[[#This Row],[CODIGO]],INVENTARIO!A:B,2,0)," ")</f>
        <v>Tubería PE80 025mm Rollo</v>
      </c>
      <c r="C466" s="12">
        <v>2</v>
      </c>
      <c r="D466" s="13"/>
      <c r="E466" s="40"/>
      <c r="F466" s="9">
        <v>948</v>
      </c>
      <c r="G466" s="77">
        <v>46063</v>
      </c>
      <c r="H466" s="9" t="s">
        <v>181</v>
      </c>
      <c r="I466" s="9"/>
      <c r="J466" s="9"/>
      <c r="K466" s="9"/>
      <c r="L466" s="9"/>
      <c r="M466" s="9"/>
      <c r="N466" s="9" t="s">
        <v>259</v>
      </c>
      <c r="O466" s="9"/>
      <c r="P466" s="37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</row>
    <row r="467" spans="1:33" ht="14.25" customHeight="1" x14ac:dyDescent="0.35">
      <c r="A467" s="12">
        <v>2002263</v>
      </c>
      <c r="B467" s="63" t="str">
        <f>IFERROR(VLOOKUP(Tabla2[[#This Row],[CODIGO]],INVENTARIO!A:B,2,0)," ")</f>
        <v>Tubería PE80 063mm Rollo</v>
      </c>
      <c r="C467" s="12">
        <v>38</v>
      </c>
      <c r="D467" s="13"/>
      <c r="E467" s="40"/>
      <c r="F467" s="9">
        <v>935</v>
      </c>
      <c r="G467" s="77">
        <v>46059</v>
      </c>
      <c r="H467" s="9" t="s">
        <v>181</v>
      </c>
      <c r="I467" s="9"/>
      <c r="J467" s="9"/>
      <c r="K467" s="9"/>
      <c r="L467" s="9"/>
      <c r="M467" s="9"/>
      <c r="N467" s="9" t="s">
        <v>207</v>
      </c>
      <c r="O467" s="9"/>
      <c r="P467" s="37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</row>
    <row r="468" spans="1:33" ht="14.25" customHeight="1" x14ac:dyDescent="0.35">
      <c r="A468" s="12">
        <v>303345</v>
      </c>
      <c r="B468" s="63" t="str">
        <f>IFERROR(VLOOKUP(Tabla2[[#This Row],[CODIGO]],INVENTARIO!A:B,2,0)," ")</f>
        <v>Copla PE100 050mm EF</v>
      </c>
      <c r="C468" s="12">
        <v>4</v>
      </c>
      <c r="D468" s="13"/>
      <c r="E468" s="40"/>
      <c r="F468" s="9">
        <v>925</v>
      </c>
      <c r="G468" s="77">
        <v>46058</v>
      </c>
      <c r="H468" s="9" t="s">
        <v>181</v>
      </c>
      <c r="I468" s="9"/>
      <c r="J468" s="9"/>
      <c r="K468" s="9"/>
      <c r="L468" s="9"/>
      <c r="M468" s="9"/>
      <c r="N468" s="9" t="s">
        <v>255</v>
      </c>
      <c r="O468" s="9"/>
      <c r="P468" s="37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</row>
    <row r="469" spans="1:33" ht="14.25" customHeight="1" x14ac:dyDescent="0.35">
      <c r="A469" s="12">
        <v>303362</v>
      </c>
      <c r="B469" s="63" t="str">
        <f>IFERROR(VLOOKUP(Tabla2[[#This Row],[CODIGO]],INVENTARIO!A:B,2,0)," ")</f>
        <v>Reductor PE  50-40 mm Electro F.</v>
      </c>
      <c r="C469" s="12">
        <v>1</v>
      </c>
      <c r="D469" s="13"/>
      <c r="E469" s="40"/>
      <c r="F469" s="9">
        <v>925</v>
      </c>
      <c r="G469" s="77">
        <v>46058</v>
      </c>
      <c r="H469" s="9" t="s">
        <v>181</v>
      </c>
      <c r="I469" s="9"/>
      <c r="J469" s="9"/>
      <c r="K469" s="9"/>
      <c r="L469" s="9"/>
      <c r="M469" s="9"/>
      <c r="N469" s="9" t="s">
        <v>255</v>
      </c>
      <c r="O469" s="9"/>
      <c r="P469" s="37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</row>
    <row r="470" spans="1:33" ht="14.25" customHeight="1" x14ac:dyDescent="0.35">
      <c r="A470" s="12">
        <v>302992</v>
      </c>
      <c r="B470" s="63" t="str">
        <f>IFERROR(VLOOKUP(Tabla2[[#This Row],[CODIGO]],INVENTARIO!A:B,2,0)," ")</f>
        <v>Codo PE100 90° 050mm EF</v>
      </c>
      <c r="C470" s="12">
        <v>1</v>
      </c>
      <c r="D470" s="13"/>
      <c r="E470" s="40"/>
      <c r="F470" s="9">
        <v>925</v>
      </c>
      <c r="G470" s="77">
        <v>46058</v>
      </c>
      <c r="H470" s="9" t="s">
        <v>181</v>
      </c>
      <c r="I470" s="9"/>
      <c r="J470" s="9"/>
      <c r="K470" s="9"/>
      <c r="L470" s="9"/>
      <c r="M470" s="9"/>
      <c r="N470" s="9" t="s">
        <v>255</v>
      </c>
      <c r="O470" s="9"/>
      <c r="P470" s="37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</row>
    <row r="471" spans="1:33" ht="14.25" customHeight="1" x14ac:dyDescent="0.35">
      <c r="A471" s="12">
        <v>300414</v>
      </c>
      <c r="B471" s="63" t="str">
        <f>IFERROR(VLOOKUP(Tabla2[[#This Row],[CODIGO]],INVENTARIO!A:B,2,0)," ")</f>
        <v>Válvula PE100 Dn 50mm</v>
      </c>
      <c r="C471" s="12">
        <v>1</v>
      </c>
      <c r="D471" s="13"/>
      <c r="E471" s="40"/>
      <c r="F471" s="9">
        <v>925</v>
      </c>
      <c r="G471" s="77">
        <v>46058</v>
      </c>
      <c r="H471" s="9" t="s">
        <v>181</v>
      </c>
      <c r="I471" s="9"/>
      <c r="J471" s="9"/>
      <c r="K471" s="9"/>
      <c r="L471" s="9"/>
      <c r="M471" s="9"/>
      <c r="N471" s="9" t="s">
        <v>255</v>
      </c>
      <c r="O471" s="9"/>
      <c r="P471" s="37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</row>
    <row r="472" spans="1:33" ht="14.25" customHeight="1" x14ac:dyDescent="0.35">
      <c r="A472" s="12">
        <v>1002167</v>
      </c>
      <c r="B472" s="63" t="str">
        <f>IFERROR(VLOOKUP(Tabla2[[#This Row],[CODIGO]],INVENTARIO!A:B,2,0)," ")</f>
        <v>Cable Trazador Cu 14 AWG Aisl. THW Roj</v>
      </c>
      <c r="C472" s="12">
        <v>11</v>
      </c>
      <c r="D472" s="13"/>
      <c r="E472" s="40"/>
      <c r="F472" s="9">
        <v>925</v>
      </c>
      <c r="G472" s="77">
        <v>46058</v>
      </c>
      <c r="H472" s="9" t="s">
        <v>181</v>
      </c>
      <c r="I472" s="9"/>
      <c r="J472" s="9"/>
      <c r="K472" s="9"/>
      <c r="L472" s="9"/>
      <c r="M472" s="9"/>
      <c r="N472" s="9" t="s">
        <v>255</v>
      </c>
      <c r="O472" s="9"/>
      <c r="P472" s="37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</row>
    <row r="473" spans="1:33" ht="14.25" customHeight="1" x14ac:dyDescent="0.35">
      <c r="A473" s="12">
        <v>2002262</v>
      </c>
      <c r="B473" s="63" t="str">
        <f>IFERROR(VLOOKUP(Tabla2[[#This Row],[CODIGO]],INVENTARIO!A:B,2,0)," ")</f>
        <v>Tubería PE80 050mm Rollo</v>
      </c>
      <c r="C473" s="12">
        <v>20</v>
      </c>
      <c r="D473" s="13"/>
      <c r="E473" s="40"/>
      <c r="F473" s="9">
        <v>925</v>
      </c>
      <c r="G473" s="77">
        <v>46058</v>
      </c>
      <c r="H473" s="9" t="s">
        <v>181</v>
      </c>
      <c r="I473" s="9"/>
      <c r="J473" s="9"/>
      <c r="K473" s="9"/>
      <c r="L473" s="9"/>
      <c r="M473" s="9"/>
      <c r="N473" s="9" t="s">
        <v>255</v>
      </c>
      <c r="O473" s="9"/>
      <c r="P473" s="37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</row>
    <row r="474" spans="1:33" ht="14.25" customHeight="1" x14ac:dyDescent="0.35">
      <c r="A474" s="12">
        <v>303368</v>
      </c>
      <c r="B474" s="63" t="str">
        <f>IFERROR(VLOOKUP(Tabla2[[#This Row],[CODIGO]],INVENTARIO!A:B,2,0)," ")</f>
        <v>Cinta Plástica "Línea GN", 30 x 0.1</v>
      </c>
      <c r="C474" s="12">
        <v>11</v>
      </c>
      <c r="D474" s="13"/>
      <c r="E474" s="40"/>
      <c r="F474" s="9">
        <v>925</v>
      </c>
      <c r="G474" s="77">
        <v>46058</v>
      </c>
      <c r="H474" s="9" t="s">
        <v>181</v>
      </c>
      <c r="I474" s="9"/>
      <c r="J474" s="9"/>
      <c r="K474" s="9"/>
      <c r="L474" s="9"/>
      <c r="M474" s="9"/>
      <c r="N474" s="9" t="s">
        <v>255</v>
      </c>
      <c r="O474" s="9"/>
      <c r="P474" s="37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</row>
    <row r="475" spans="1:33" ht="14.25" customHeight="1" x14ac:dyDescent="0.35">
      <c r="A475" s="49" t="s">
        <v>291</v>
      </c>
      <c r="B475" s="63" t="str">
        <f>IFERROR(VLOOKUP(Tabla2[[#This Row],[CODIGO]],INVENTARIO!A:B,2,0)," ")</f>
        <v>Alcohol Isopropilico  500 ml</v>
      </c>
      <c r="C475" s="12">
        <v>13</v>
      </c>
      <c r="D475" s="13"/>
      <c r="E475" s="40"/>
      <c r="F475" s="9">
        <v>13379253</v>
      </c>
      <c r="G475" s="77">
        <v>46050</v>
      </c>
      <c r="H475" s="9" t="s">
        <v>316</v>
      </c>
      <c r="I475" s="9"/>
      <c r="J475" s="9"/>
      <c r="K475" s="9"/>
      <c r="L475" s="9"/>
      <c r="M475" s="9"/>
      <c r="N475" s="9" t="s">
        <v>294</v>
      </c>
      <c r="O475" s="9" t="s">
        <v>258</v>
      </c>
      <c r="P475" s="9">
        <v>12072519</v>
      </c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</row>
    <row r="476" spans="1:33" ht="14.25" customHeight="1" x14ac:dyDescent="0.35">
      <c r="A476" s="49" t="s">
        <v>292</v>
      </c>
      <c r="B476" s="63" t="str">
        <f>IFERROR(VLOOKUP(Tabla2[[#This Row],[CODIGO]],INVENTARIO!A:B,2,0)," ")</f>
        <v>Toalla Nova Clasica</v>
      </c>
      <c r="C476" s="12">
        <v>30</v>
      </c>
      <c r="D476" s="13"/>
      <c r="E476" s="40"/>
      <c r="F476" s="9">
        <v>13379253</v>
      </c>
      <c r="G476" s="77">
        <v>46050</v>
      </c>
      <c r="H476" s="9" t="s">
        <v>316</v>
      </c>
      <c r="I476" s="9"/>
      <c r="J476" s="9"/>
      <c r="K476" s="9"/>
      <c r="L476" s="9"/>
      <c r="M476" s="9"/>
      <c r="N476" s="9" t="s">
        <v>294</v>
      </c>
      <c r="O476" s="9" t="s">
        <v>258</v>
      </c>
      <c r="P476" s="9">
        <v>12072519</v>
      </c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</row>
    <row r="477" spans="1:33" ht="14.25" customHeight="1" x14ac:dyDescent="0.35">
      <c r="A477" s="12">
        <v>302338</v>
      </c>
      <c r="B477" s="63" t="str">
        <f>IFERROR(VLOOKUP(Tabla2[[#This Row],[CODIGO]],INVENTARIO!A:B,2,0)," ")</f>
        <v>Codo PE100 45° 110mm EF</v>
      </c>
      <c r="C477" s="12">
        <v>4</v>
      </c>
      <c r="D477" s="13"/>
      <c r="E477" s="40"/>
      <c r="F477" s="9">
        <v>3871141</v>
      </c>
      <c r="G477" s="77">
        <v>46049</v>
      </c>
      <c r="H477" s="9" t="s">
        <v>166</v>
      </c>
      <c r="I477" s="9"/>
      <c r="J477" s="9"/>
      <c r="K477" s="9"/>
      <c r="L477" s="9"/>
      <c r="M477" s="9"/>
      <c r="N477" s="9" t="s">
        <v>274</v>
      </c>
      <c r="O477" s="9"/>
      <c r="P477" s="37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</row>
    <row r="478" spans="1:33" ht="14.25" customHeight="1" x14ac:dyDescent="0.35">
      <c r="A478" s="12">
        <v>302991</v>
      </c>
      <c r="B478" s="63" t="str">
        <f>IFERROR(VLOOKUP(Tabla2[[#This Row],[CODIGO]],INVENTARIO!A:B,2,0)," ")</f>
        <v>Copla PE100 110mm EF</v>
      </c>
      <c r="C478" s="12">
        <v>40</v>
      </c>
      <c r="D478" s="13"/>
      <c r="E478" s="40"/>
      <c r="F478" s="9">
        <v>3871141</v>
      </c>
      <c r="G478" s="77">
        <v>46049</v>
      </c>
      <c r="H478" s="9" t="s">
        <v>166</v>
      </c>
      <c r="I478" s="9"/>
      <c r="J478" s="9"/>
      <c r="K478" s="9"/>
      <c r="L478" s="9"/>
      <c r="M478" s="9"/>
      <c r="N478" s="9" t="s">
        <v>274</v>
      </c>
      <c r="O478" s="9"/>
      <c r="P478" s="37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</row>
    <row r="479" spans="1:33" ht="14.25" customHeight="1" x14ac:dyDescent="0.35">
      <c r="A479" s="12">
        <v>303015</v>
      </c>
      <c r="B479" s="63" t="str">
        <f>IFERROR(VLOOKUP(Tabla2[[#This Row],[CODIGO]],INVENTARIO!A:B,2,0)," ")</f>
        <v>Tee PE 110 mm Electro F.</v>
      </c>
      <c r="C479" s="12">
        <v>12</v>
      </c>
      <c r="D479" s="13"/>
      <c r="E479" s="40"/>
      <c r="F479" s="9">
        <v>3871141</v>
      </c>
      <c r="G479" s="77">
        <v>46049</v>
      </c>
      <c r="H479" s="9" t="s">
        <v>166</v>
      </c>
      <c r="I479" s="9"/>
      <c r="J479" s="9"/>
      <c r="K479" s="9"/>
      <c r="L479" s="9"/>
      <c r="M479" s="9"/>
      <c r="N479" s="9" t="s">
        <v>274</v>
      </c>
      <c r="O479" s="9"/>
      <c r="P479" s="37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</row>
    <row r="480" spans="1:33" ht="14.25" customHeight="1" x14ac:dyDescent="0.35">
      <c r="A480" s="12">
        <v>303017</v>
      </c>
      <c r="B480" s="63" t="str">
        <f>IFERROR(VLOOKUP(Tabla2[[#This Row],[CODIGO]],INVENTARIO!A:B,2,0)," ")</f>
        <v>Codo PE100 90° 110mm EF</v>
      </c>
      <c r="C480" s="12">
        <v>26</v>
      </c>
      <c r="D480" s="13"/>
      <c r="E480" s="40"/>
      <c r="F480" s="9">
        <v>3871141</v>
      </c>
      <c r="G480" s="77">
        <v>46049</v>
      </c>
      <c r="H480" s="9" t="s">
        <v>166</v>
      </c>
      <c r="I480" s="9"/>
      <c r="J480" s="9"/>
      <c r="K480" s="9"/>
      <c r="L480" s="9"/>
      <c r="M480" s="9"/>
      <c r="N480" s="9" t="s">
        <v>274</v>
      </c>
      <c r="O480" s="9"/>
      <c r="P480" s="37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</row>
    <row r="481" spans="1:33" ht="14.25" customHeight="1" x14ac:dyDescent="0.35">
      <c r="A481" s="12">
        <v>303439</v>
      </c>
      <c r="B481" s="63" t="str">
        <f>IFERROR(VLOOKUP(Tabla2[[#This Row],[CODIGO]],INVENTARIO!A:B,2,0)," ")</f>
        <v>Reductor PE 110-50 mm Termo F.</v>
      </c>
      <c r="C481" s="12">
        <v>2</v>
      </c>
      <c r="D481" s="13"/>
      <c r="E481" s="40"/>
      <c r="F481" s="9">
        <v>3871141</v>
      </c>
      <c r="G481" s="77">
        <v>46049</v>
      </c>
      <c r="H481" s="9" t="s">
        <v>166</v>
      </c>
      <c r="I481" s="9"/>
      <c r="J481" s="9"/>
      <c r="K481" s="9"/>
      <c r="L481" s="9"/>
      <c r="M481" s="9"/>
      <c r="N481" s="9" t="s">
        <v>274</v>
      </c>
      <c r="O481" s="9"/>
      <c r="P481" s="37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</row>
    <row r="482" spans="1:33" ht="14.25" customHeight="1" x14ac:dyDescent="0.35">
      <c r="A482" s="12">
        <v>2000350</v>
      </c>
      <c r="B482" s="63" t="str">
        <f>IFERROR(VLOOKUP(Tabla2[[#This Row],[CODIGO]],INVENTARIO!A:B,2,0)," ")</f>
        <v>Codo PE 90º  25 mm EF.</v>
      </c>
      <c r="C482" s="12">
        <v>2</v>
      </c>
      <c r="D482" s="13"/>
      <c r="E482" s="40"/>
      <c r="F482" s="9">
        <v>3871141</v>
      </c>
      <c r="G482" s="77">
        <v>46049</v>
      </c>
      <c r="H482" s="9" t="s">
        <v>166</v>
      </c>
      <c r="I482" s="9"/>
      <c r="J482" s="9"/>
      <c r="K482" s="9"/>
      <c r="L482" s="9"/>
      <c r="M482" s="9"/>
      <c r="N482" s="9" t="s">
        <v>274</v>
      </c>
      <c r="O482" s="9"/>
      <c r="P482" s="37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</row>
    <row r="483" spans="1:33" ht="14.25" customHeight="1" x14ac:dyDescent="0.35">
      <c r="A483" s="12">
        <v>2003736</v>
      </c>
      <c r="B483" s="63" t="str">
        <f>IFERROR(VLOOKUP(Tabla2[[#This Row],[CODIGO]],INVENTARIO!A:B,2,0)," ")</f>
        <v>Válvula PE100 Dn 110mm</v>
      </c>
      <c r="C483" s="12">
        <v>1</v>
      </c>
      <c r="D483" s="13"/>
      <c r="E483" s="40"/>
      <c r="F483" s="9">
        <v>3871141</v>
      </c>
      <c r="G483" s="77">
        <v>46049</v>
      </c>
      <c r="H483" s="9" t="s">
        <v>166</v>
      </c>
      <c r="I483" s="9"/>
      <c r="J483" s="9"/>
      <c r="K483" s="9"/>
      <c r="L483" s="9"/>
      <c r="M483" s="9"/>
      <c r="N483" s="9" t="s">
        <v>274</v>
      </c>
      <c r="O483" s="9"/>
      <c r="P483" s="37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</row>
    <row r="484" spans="1:33" ht="14.25" customHeight="1" x14ac:dyDescent="0.35">
      <c r="A484" s="12">
        <v>2003911</v>
      </c>
      <c r="B484" s="63" t="str">
        <f>IFERROR(VLOOKUP(Tabla2[[#This Row],[CODIGO]],INVENTARIO!A:B,2,0)," ")</f>
        <v>Válvula EFv PE 25 mm Para Tap. Tee</v>
      </c>
      <c r="C484" s="12">
        <v>20</v>
      </c>
      <c r="D484" s="13"/>
      <c r="E484" s="40"/>
      <c r="F484" s="9">
        <v>3871141</v>
      </c>
      <c r="G484" s="77">
        <v>46049</v>
      </c>
      <c r="H484" s="9" t="s">
        <v>166</v>
      </c>
      <c r="I484" s="9"/>
      <c r="J484" s="9"/>
      <c r="K484" s="9"/>
      <c r="L484" s="9"/>
      <c r="M484" s="9"/>
      <c r="N484" s="9" t="s">
        <v>274</v>
      </c>
      <c r="O484" s="9"/>
      <c r="P484" s="37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</row>
    <row r="485" spans="1:33" ht="14.25" customHeight="1" x14ac:dyDescent="0.35">
      <c r="A485" s="12">
        <v>2006392</v>
      </c>
      <c r="B485" s="63" t="str">
        <f>IFERROR(VLOOKUP(Tabla2[[#This Row],[CODIGO]],INVENTARIO!A:B,2,0)," ")</f>
        <v>Limitador Flujo P/Tapping Tee 25 MM</v>
      </c>
      <c r="C485" s="12">
        <v>2</v>
      </c>
      <c r="D485" s="13"/>
      <c r="E485" s="40"/>
      <c r="F485" s="9">
        <v>3871141</v>
      </c>
      <c r="G485" s="77">
        <v>46049</v>
      </c>
      <c r="H485" s="9" t="s">
        <v>166</v>
      </c>
      <c r="I485" s="9"/>
      <c r="J485" s="9"/>
      <c r="K485" s="9"/>
      <c r="L485" s="9"/>
      <c r="M485" s="9"/>
      <c r="N485" s="9" t="s">
        <v>274</v>
      </c>
      <c r="O485" s="9"/>
      <c r="P485" s="37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</row>
    <row r="486" spans="1:33" ht="14.25" customHeight="1" x14ac:dyDescent="0.35">
      <c r="A486" s="12">
        <v>2006393</v>
      </c>
      <c r="B486" s="63" t="str">
        <f>IFERROR(VLOOKUP(Tabla2[[#This Row],[CODIGO]],INVENTARIO!A:B,2,0)," ")</f>
        <v>Transición Latón 3/4"x25 MM PE100, SDR11</v>
      </c>
      <c r="C486" s="12">
        <v>2</v>
      </c>
      <c r="D486" s="13"/>
      <c r="E486" s="40"/>
      <c r="F486" s="9">
        <v>3871141</v>
      </c>
      <c r="G486" s="77">
        <v>46049</v>
      </c>
      <c r="H486" s="9" t="s">
        <v>166</v>
      </c>
      <c r="I486" s="9"/>
      <c r="J486" s="9"/>
      <c r="K486" s="9"/>
      <c r="L486" s="9"/>
      <c r="M486" s="9"/>
      <c r="N486" s="9" t="s">
        <v>274</v>
      </c>
      <c r="O486" s="9"/>
      <c r="P486" s="37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</row>
    <row r="487" spans="1:33" ht="14.25" customHeight="1" x14ac:dyDescent="0.35">
      <c r="A487" s="12">
        <v>300109</v>
      </c>
      <c r="B487" s="63" t="str">
        <f>IFERROR(VLOOKUP(Tabla2[[#This Row],[CODIGO]],INVENTARIO!A:B,2,0)," ")</f>
        <v>Risers de Acero 3/4" Bsp x 25 mm</v>
      </c>
      <c r="C487" s="12">
        <v>20</v>
      </c>
      <c r="D487" s="13"/>
      <c r="E487" s="40"/>
      <c r="F487" s="9">
        <v>3871141</v>
      </c>
      <c r="G487" s="77">
        <v>46049</v>
      </c>
      <c r="H487" s="9" t="s">
        <v>166</v>
      </c>
      <c r="I487" s="9"/>
      <c r="J487" s="9"/>
      <c r="K487" s="9"/>
      <c r="L487" s="9"/>
      <c r="M487" s="9"/>
      <c r="N487" s="9" t="s">
        <v>274</v>
      </c>
      <c r="O487" s="9"/>
      <c r="P487" s="37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</row>
    <row r="488" spans="1:33" ht="14.25" customHeight="1" x14ac:dyDescent="0.35">
      <c r="A488" s="12">
        <v>300527</v>
      </c>
      <c r="B488" s="63" t="str">
        <f>IFERROR(VLOOKUP(Tabla2[[#This Row],[CODIGO]],INVENTARIO!A:B,2,0)," ")</f>
        <v>Tapping Tee PE 160-25 mm</v>
      </c>
      <c r="C488" s="12">
        <v>2</v>
      </c>
      <c r="D488" s="13"/>
      <c r="E488" s="40"/>
      <c r="F488" s="9">
        <v>3871141</v>
      </c>
      <c r="G488" s="77">
        <v>46049</v>
      </c>
      <c r="H488" s="9" t="s">
        <v>166</v>
      </c>
      <c r="I488" s="9"/>
      <c r="J488" s="9"/>
      <c r="K488" s="9"/>
      <c r="L488" s="9"/>
      <c r="M488" s="9"/>
      <c r="N488" s="9" t="s">
        <v>274</v>
      </c>
      <c r="O488" s="9"/>
      <c r="P488" s="37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</row>
    <row r="489" spans="1:33" ht="14.25" customHeight="1" x14ac:dyDescent="0.35">
      <c r="A489" s="12">
        <v>301329</v>
      </c>
      <c r="B489" s="63" t="str">
        <f>IFERROR(VLOOKUP(Tabla2[[#This Row],[CODIGO]],INVENTARIO!A:B,2,0)," ")</f>
        <v>Copla PE100 025mm EF</v>
      </c>
      <c r="C489" s="12">
        <v>40</v>
      </c>
      <c r="D489" s="13"/>
      <c r="E489" s="40"/>
      <c r="F489" s="9">
        <v>3871141</v>
      </c>
      <c r="G489" s="77">
        <v>46049</v>
      </c>
      <c r="H489" s="9" t="s">
        <v>166</v>
      </c>
      <c r="I489" s="9"/>
      <c r="J489" s="9"/>
      <c r="K489" s="9"/>
      <c r="L489" s="9"/>
      <c r="M489" s="9"/>
      <c r="N489" s="9" t="s">
        <v>274</v>
      </c>
      <c r="O489" s="9"/>
      <c r="P489" s="37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</row>
    <row r="490" spans="1:33" ht="14.25" customHeight="1" x14ac:dyDescent="0.35">
      <c r="A490" s="12">
        <v>301666</v>
      </c>
      <c r="B490" s="63" t="str">
        <f>IFERROR(VLOOKUP(Tabla2[[#This Row],[CODIGO]],INVENTARIO!A:B,2,0)," ")</f>
        <v>Tapping Tee PE 110-25 mm</v>
      </c>
      <c r="C490" s="12">
        <v>20</v>
      </c>
      <c r="D490" s="13"/>
      <c r="E490" s="40"/>
      <c r="F490" s="9">
        <v>3871141</v>
      </c>
      <c r="G490" s="77">
        <v>46049</v>
      </c>
      <c r="H490" s="9" t="s">
        <v>166</v>
      </c>
      <c r="I490" s="9"/>
      <c r="J490" s="9"/>
      <c r="K490" s="9"/>
      <c r="L490" s="9"/>
      <c r="M490" s="9"/>
      <c r="N490" s="9" t="s">
        <v>274</v>
      </c>
      <c r="O490" s="9"/>
      <c r="P490" s="37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</row>
    <row r="491" spans="1:33" ht="14.25" customHeight="1" x14ac:dyDescent="0.35">
      <c r="A491" s="12">
        <v>302317</v>
      </c>
      <c r="B491" s="63" t="str">
        <f>IFERROR(VLOOKUP(Tabla2[[#This Row],[CODIGO]],INVENTARIO!A:B,2,0)," ")</f>
        <v>Tapa PE 110 mm Termo F.</v>
      </c>
      <c r="C491" s="12">
        <v>5</v>
      </c>
      <c r="D491" s="13"/>
      <c r="E491" s="40"/>
      <c r="F491" s="9">
        <v>3871141</v>
      </c>
      <c r="G491" s="77">
        <v>46049</v>
      </c>
      <c r="H491" s="9" t="s">
        <v>166</v>
      </c>
      <c r="I491" s="9"/>
      <c r="J491" s="9"/>
      <c r="K491" s="9"/>
      <c r="L491" s="9"/>
      <c r="M491" s="9"/>
      <c r="N491" s="9" t="s">
        <v>274</v>
      </c>
      <c r="O491" s="9"/>
      <c r="P491" s="37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</row>
    <row r="492" spans="1:33" ht="14.25" customHeight="1" x14ac:dyDescent="0.35">
      <c r="A492" s="12">
        <v>300527</v>
      </c>
      <c r="B492" s="63" t="str">
        <f>IFERROR(VLOOKUP(Tabla2[[#This Row],[CODIGO]],INVENTARIO!A:B,2,0)," ")</f>
        <v>Tapping Tee PE 160-25 mm</v>
      </c>
      <c r="C492" s="12">
        <v>1</v>
      </c>
      <c r="D492" s="13"/>
      <c r="E492" s="40">
        <v>4500516980</v>
      </c>
      <c r="F492" s="9">
        <v>3871139</v>
      </c>
      <c r="G492" s="77">
        <v>46049</v>
      </c>
      <c r="H492" s="9" t="s">
        <v>166</v>
      </c>
      <c r="I492" s="9"/>
      <c r="J492" s="9"/>
      <c r="K492" s="9"/>
      <c r="L492" s="9"/>
      <c r="M492" s="9"/>
      <c r="N492" s="9">
        <v>901816195</v>
      </c>
      <c r="O492" s="9"/>
      <c r="P492" s="37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</row>
    <row r="493" spans="1:33" ht="14.25" customHeight="1" x14ac:dyDescent="0.35">
      <c r="A493" s="12">
        <v>301099</v>
      </c>
      <c r="B493" s="63" t="str">
        <f>IFERROR(VLOOKUP(Tabla2[[#This Row],[CODIGO]],INVENTARIO!A:B,2,0)," ")</f>
        <v>Válvula PE100 Dn 25mm</v>
      </c>
      <c r="C493" s="12">
        <v>1</v>
      </c>
      <c r="D493" s="13"/>
      <c r="E493" s="40">
        <v>4500516980</v>
      </c>
      <c r="F493" s="9">
        <v>3871139</v>
      </c>
      <c r="G493" s="77">
        <v>46049</v>
      </c>
      <c r="H493" s="9" t="s">
        <v>166</v>
      </c>
      <c r="I493" s="9"/>
      <c r="J493" s="9"/>
      <c r="K493" s="9"/>
      <c r="L493" s="9"/>
      <c r="M493" s="9"/>
      <c r="N493" s="9">
        <v>901816195</v>
      </c>
      <c r="O493" s="9"/>
      <c r="P493" s="37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</row>
    <row r="494" spans="1:33" ht="14.25" customHeight="1" x14ac:dyDescent="0.35">
      <c r="A494" s="12">
        <v>301329</v>
      </c>
      <c r="B494" s="63" t="str">
        <f>IFERROR(VLOOKUP(Tabla2[[#This Row],[CODIGO]],INVENTARIO!A:B,2,0)," ")</f>
        <v>Copla PE100 025mm EF</v>
      </c>
      <c r="C494" s="12">
        <v>4</v>
      </c>
      <c r="D494" s="13"/>
      <c r="E494" s="40">
        <v>4500516980</v>
      </c>
      <c r="F494" s="9">
        <v>3871139</v>
      </c>
      <c r="G494" s="77">
        <v>46049</v>
      </c>
      <c r="H494" s="9" t="s">
        <v>166</v>
      </c>
      <c r="I494" s="9"/>
      <c r="J494" s="9"/>
      <c r="K494" s="9"/>
      <c r="L494" s="9"/>
      <c r="M494" s="9"/>
      <c r="N494" s="9">
        <v>901816195</v>
      </c>
      <c r="O494" s="9"/>
      <c r="P494" s="37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</row>
    <row r="495" spans="1:33" ht="14.25" customHeight="1" x14ac:dyDescent="0.35">
      <c r="A495" s="12">
        <v>300109</v>
      </c>
      <c r="B495" s="63" t="str">
        <f>IFERROR(VLOOKUP(Tabla2[[#This Row],[CODIGO]],INVENTARIO!A:B,2,0)," ")</f>
        <v>Risers de Acero 3/4" Bsp x 25 mm</v>
      </c>
      <c r="C495" s="12">
        <v>1</v>
      </c>
      <c r="D495" s="13"/>
      <c r="E495" s="40">
        <v>4500516980</v>
      </c>
      <c r="F495" s="9">
        <v>3871139</v>
      </c>
      <c r="G495" s="77">
        <v>46049</v>
      </c>
      <c r="H495" s="9" t="s">
        <v>166</v>
      </c>
      <c r="I495" s="9"/>
      <c r="J495" s="9"/>
      <c r="K495" s="9"/>
      <c r="L495" s="9"/>
      <c r="M495" s="9"/>
      <c r="N495" s="9">
        <v>901816195</v>
      </c>
      <c r="O495" s="9"/>
      <c r="P495" s="37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</row>
    <row r="496" spans="1:33" ht="14.25" customHeight="1" x14ac:dyDescent="0.35">
      <c r="A496" s="12">
        <v>2003911</v>
      </c>
      <c r="B496" s="63" t="str">
        <f>IFERROR(VLOOKUP(Tabla2[[#This Row],[CODIGO]],INVENTARIO!A:B,2,0)," ")</f>
        <v>Válvula EFv PE 25 mm Para Tap. Tee</v>
      </c>
      <c r="C496" s="12">
        <v>1</v>
      </c>
      <c r="D496" s="13"/>
      <c r="E496" s="40">
        <v>4500516980</v>
      </c>
      <c r="F496" s="9">
        <v>3871139</v>
      </c>
      <c r="G496" s="77">
        <v>46049</v>
      </c>
      <c r="H496" s="9" t="s">
        <v>166</v>
      </c>
      <c r="I496" s="9"/>
      <c r="J496" s="9"/>
      <c r="K496" s="9"/>
      <c r="L496" s="9"/>
      <c r="M496" s="9"/>
      <c r="N496" s="9">
        <v>901816195</v>
      </c>
      <c r="O496" s="9"/>
      <c r="P496" s="37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</row>
    <row r="497" spans="1:33" ht="14.25" customHeight="1" x14ac:dyDescent="0.35">
      <c r="A497" s="12">
        <v>302065</v>
      </c>
      <c r="B497" s="63" t="str">
        <f>IFERROR(VLOOKUP(Tabla2[[#This Row],[CODIGO]],INVENTARIO!A:B,2,0)," ")</f>
        <v>Tubería PE80 110mm Tira</v>
      </c>
      <c r="C497" s="12">
        <v>636</v>
      </c>
      <c r="D497" s="13">
        <v>6737148</v>
      </c>
      <c r="E497" s="40">
        <v>874767</v>
      </c>
      <c r="F497" s="9">
        <v>3567001</v>
      </c>
      <c r="G497" s="77">
        <v>46050</v>
      </c>
      <c r="H497" s="9" t="s">
        <v>167</v>
      </c>
      <c r="I497" s="9"/>
      <c r="J497" s="9" t="s">
        <v>284</v>
      </c>
      <c r="K497" s="34">
        <v>45871</v>
      </c>
      <c r="L497" s="9" t="s">
        <v>240</v>
      </c>
      <c r="M497" s="9"/>
      <c r="N497" s="9" t="s">
        <v>274</v>
      </c>
      <c r="O497" s="9" t="s">
        <v>258</v>
      </c>
      <c r="P497" s="37">
        <v>1390156</v>
      </c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</row>
    <row r="498" spans="1:33" ht="14.25" customHeight="1" x14ac:dyDescent="0.35">
      <c r="A498" s="12">
        <v>2005136</v>
      </c>
      <c r="B498" s="63" t="str">
        <f>IFERROR(VLOOKUP(Tabla2[[#This Row],[CODIGO]],INVENTARIO!A:B,2,0)," ")</f>
        <v>Tubo PVC 160 mm PN6 CG Amarillo</v>
      </c>
      <c r="C498" s="12">
        <v>8</v>
      </c>
      <c r="D498" s="13">
        <v>436032</v>
      </c>
      <c r="E498" s="40">
        <v>874767</v>
      </c>
      <c r="F498" s="9">
        <v>3567001</v>
      </c>
      <c r="G498" s="77">
        <v>46050</v>
      </c>
      <c r="H498" s="9" t="s">
        <v>167</v>
      </c>
      <c r="I498" s="9"/>
      <c r="J498" s="9"/>
      <c r="K498" s="9"/>
      <c r="L498" s="9"/>
      <c r="M498" s="9"/>
      <c r="N498" s="9" t="s">
        <v>274</v>
      </c>
      <c r="O498" s="9" t="s">
        <v>258</v>
      </c>
      <c r="P498" s="37">
        <v>1390156</v>
      </c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</row>
    <row r="499" spans="1:33" ht="14.25" customHeight="1" x14ac:dyDescent="0.35">
      <c r="A499" s="12">
        <v>2005135</v>
      </c>
      <c r="B499" s="63" t="str">
        <f>IFERROR(VLOOKUP(Tabla2[[#This Row],[CODIGO]],INVENTARIO!A:B,2,0)," ")</f>
        <v>Tubo PVC 110 mm PN6 CG Amarillo Tira 6 m</v>
      </c>
      <c r="C499" s="12">
        <v>6</v>
      </c>
      <c r="D499" s="13">
        <v>167586</v>
      </c>
      <c r="E499" s="40">
        <v>874768</v>
      </c>
      <c r="F499" s="9">
        <v>3567000</v>
      </c>
      <c r="G499" s="77">
        <v>46050</v>
      </c>
      <c r="H499" s="9" t="s">
        <v>167</v>
      </c>
      <c r="I499" s="9"/>
      <c r="J499" s="9"/>
      <c r="K499" s="9"/>
      <c r="L499" s="9"/>
      <c r="M499" s="9"/>
      <c r="N499" s="9" t="s">
        <v>207</v>
      </c>
      <c r="O499" s="9" t="s">
        <v>258</v>
      </c>
      <c r="P499" s="37">
        <v>1390157</v>
      </c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</row>
    <row r="500" spans="1:33" ht="14.25" customHeight="1" x14ac:dyDescent="0.35">
      <c r="A500" s="12">
        <v>2006391</v>
      </c>
      <c r="B500" s="63" t="str">
        <f>IFERROR(VLOOKUP(Tabla2[[#This Row],[CODIGO]],INVENTARIO!A:B,2,0)," ")</f>
        <v>Guardallave Fierro Fundido C/Tapa</v>
      </c>
      <c r="C500" s="12">
        <v>1</v>
      </c>
      <c r="D500" s="80">
        <v>26923</v>
      </c>
      <c r="E500" s="40">
        <v>874752</v>
      </c>
      <c r="F500" s="9">
        <v>3871149</v>
      </c>
      <c r="G500" s="77">
        <v>46049</v>
      </c>
      <c r="H500" s="9" t="s">
        <v>167</v>
      </c>
      <c r="I500" s="9"/>
      <c r="J500" s="9"/>
      <c r="K500" s="9"/>
      <c r="L500" s="9"/>
      <c r="M500" s="9"/>
      <c r="N500" s="9">
        <v>500055461</v>
      </c>
      <c r="O500" s="9" t="s">
        <v>257</v>
      </c>
      <c r="P500" s="37">
        <v>1374984</v>
      </c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</row>
    <row r="501" spans="1:33" ht="14.25" customHeight="1" x14ac:dyDescent="0.35">
      <c r="A501" s="12">
        <v>302737</v>
      </c>
      <c r="B501" s="63" t="str">
        <f>IFERROR(VLOOKUP(Tabla2[[#This Row],[CODIGO]],INVENTARIO!A:B,2,0)," ")</f>
        <v>Válvula Bola 3/4" Hi Un Cuerpo Pn5 Arco</v>
      </c>
      <c r="C501" s="12">
        <v>1</v>
      </c>
      <c r="D501" s="80">
        <v>16445</v>
      </c>
      <c r="E501" s="40">
        <v>874752</v>
      </c>
      <c r="F501" s="9">
        <v>3871149</v>
      </c>
      <c r="G501" s="77">
        <v>46049</v>
      </c>
      <c r="H501" s="9" t="s">
        <v>167</v>
      </c>
      <c r="I501" s="9"/>
      <c r="J501" s="9"/>
      <c r="K501" s="9"/>
      <c r="L501" s="9"/>
      <c r="M501" s="9"/>
      <c r="N501" s="9">
        <v>500055461</v>
      </c>
      <c r="O501" s="9" t="s">
        <v>257</v>
      </c>
      <c r="P501" s="37">
        <v>1374984</v>
      </c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</row>
    <row r="502" spans="1:33" ht="14.25" customHeight="1" x14ac:dyDescent="0.35">
      <c r="A502" s="12">
        <v>2008481</v>
      </c>
      <c r="B502" s="63" t="str">
        <f>IFERROR(VLOOKUP(Tabla2[[#This Row],[CODIGO]],INVENTARIO!A:B,2,0)," ")</f>
        <v>Tapa Tornillo Bronce 3/4" HE Bspt.</v>
      </c>
      <c r="C502" s="12">
        <v>1</v>
      </c>
      <c r="D502" s="80">
        <v>1</v>
      </c>
      <c r="E502" s="40">
        <v>874752</v>
      </c>
      <c r="F502" s="9">
        <v>3871149</v>
      </c>
      <c r="G502" s="77">
        <v>46049</v>
      </c>
      <c r="H502" s="9" t="s">
        <v>167</v>
      </c>
      <c r="I502" s="9"/>
      <c r="J502" s="9"/>
      <c r="K502" s="9"/>
      <c r="L502" s="9"/>
      <c r="M502" s="9"/>
      <c r="N502" s="9">
        <v>500055461</v>
      </c>
      <c r="O502" s="9" t="s">
        <v>257</v>
      </c>
      <c r="P502" s="37">
        <v>1374984</v>
      </c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</row>
    <row r="503" spans="1:33" ht="14.25" customHeight="1" x14ac:dyDescent="0.35">
      <c r="A503" s="12">
        <v>301749</v>
      </c>
      <c r="B503" s="63" t="str">
        <f>IFERROR(VLOOKUP(Tabla2[[#This Row],[CODIGO]],INVENTARIO!A:B,2,0)," ")</f>
        <v>Tubería PE80 025mm Rollo</v>
      </c>
      <c r="C503" s="12">
        <v>50</v>
      </c>
      <c r="D503" s="80">
        <v>38250</v>
      </c>
      <c r="E503" s="40">
        <v>874748</v>
      </c>
      <c r="F503" s="9">
        <v>3871148</v>
      </c>
      <c r="G503" s="77">
        <v>46049</v>
      </c>
      <c r="H503" s="9" t="s">
        <v>167</v>
      </c>
      <c r="I503" s="9"/>
      <c r="J503" s="9" t="s">
        <v>217</v>
      </c>
      <c r="K503" s="34">
        <v>45883</v>
      </c>
      <c r="L503" s="9" t="s">
        <v>240</v>
      </c>
      <c r="M503" s="9"/>
      <c r="N503" s="9">
        <v>500054633</v>
      </c>
      <c r="O503" s="9" t="s">
        <v>257</v>
      </c>
      <c r="P503" s="37">
        <v>1374983</v>
      </c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</row>
    <row r="504" spans="1:33" ht="14.25" customHeight="1" x14ac:dyDescent="0.35">
      <c r="A504" s="12">
        <v>2006391</v>
      </c>
      <c r="B504" s="63" t="str">
        <f>IFERROR(VLOOKUP(Tabla2[[#This Row],[CODIGO]],INVENTARIO!A:B,2,0)," ")</f>
        <v>Guardallave Fierro Fundido C/Tapa</v>
      </c>
      <c r="C504" s="12">
        <v>1</v>
      </c>
      <c r="D504" s="80">
        <v>26923</v>
      </c>
      <c r="E504" s="40">
        <v>874748</v>
      </c>
      <c r="F504" s="9">
        <v>3871148</v>
      </c>
      <c r="G504" s="77">
        <v>46049</v>
      </c>
      <c r="H504" s="9" t="s">
        <v>167</v>
      </c>
      <c r="I504" s="9"/>
      <c r="J504" s="9"/>
      <c r="K504" s="9"/>
      <c r="L504" s="9"/>
      <c r="M504" s="9"/>
      <c r="N504" s="9">
        <v>500054633</v>
      </c>
      <c r="O504" s="9" t="s">
        <v>257</v>
      </c>
      <c r="P504" s="37">
        <v>1374983</v>
      </c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</row>
    <row r="505" spans="1:33" ht="14.25" customHeight="1" x14ac:dyDescent="0.35">
      <c r="A505" s="12">
        <v>302737</v>
      </c>
      <c r="B505" s="63" t="str">
        <f>IFERROR(VLOOKUP(Tabla2[[#This Row],[CODIGO]],INVENTARIO!A:B,2,0)," ")</f>
        <v>Válvula Bola 3/4" Hi Un Cuerpo Pn5 Arco</v>
      </c>
      <c r="C505" s="12">
        <v>1</v>
      </c>
      <c r="D505" s="80">
        <v>16445</v>
      </c>
      <c r="E505" s="40">
        <v>874748</v>
      </c>
      <c r="F505" s="9">
        <v>3871148</v>
      </c>
      <c r="G505" s="77">
        <v>46049</v>
      </c>
      <c r="H505" s="9" t="s">
        <v>167</v>
      </c>
      <c r="I505" s="9"/>
      <c r="J505" s="9"/>
      <c r="K505" s="9"/>
      <c r="L505" s="9"/>
      <c r="M505" s="9"/>
      <c r="N505" s="9">
        <v>500054633</v>
      </c>
      <c r="O505" s="9" t="s">
        <v>257</v>
      </c>
      <c r="P505" s="37">
        <v>1374983</v>
      </c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</row>
    <row r="506" spans="1:33" ht="14.25" customHeight="1" x14ac:dyDescent="0.35">
      <c r="A506" s="12">
        <v>2008481</v>
      </c>
      <c r="B506" s="63" t="str">
        <f>IFERROR(VLOOKUP(Tabla2[[#This Row],[CODIGO]],INVENTARIO!A:B,2,0)," ")</f>
        <v>Tapa Tornillo Bronce 3/4" HE Bspt.</v>
      </c>
      <c r="C506" s="12">
        <v>1</v>
      </c>
      <c r="D506" s="80">
        <v>1</v>
      </c>
      <c r="E506" s="40">
        <v>874748</v>
      </c>
      <c r="F506" s="9">
        <v>3871148</v>
      </c>
      <c r="G506" s="77">
        <v>46049</v>
      </c>
      <c r="H506" s="9" t="s">
        <v>167</v>
      </c>
      <c r="I506" s="9"/>
      <c r="J506" s="9"/>
      <c r="K506" s="9"/>
      <c r="L506" s="9"/>
      <c r="M506" s="9"/>
      <c r="N506" s="9">
        <v>500054633</v>
      </c>
      <c r="O506" s="9" t="s">
        <v>257</v>
      </c>
      <c r="P506" s="37">
        <v>1374983</v>
      </c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</row>
    <row r="507" spans="1:33" ht="14.25" customHeight="1" x14ac:dyDescent="0.35">
      <c r="A507" s="12">
        <v>2007948</v>
      </c>
      <c r="B507" s="63" t="str">
        <f>IFERROR(VLOOKUP(Tabla2[[#This Row],[CODIGO]],INVENTARIO!A:B,2,0)," ")</f>
        <v>Tubo PVC Hidraulico 110 mm Pn6 Celeste</v>
      </c>
      <c r="C507" s="12">
        <v>6</v>
      </c>
      <c r="D507" s="80">
        <v>14556</v>
      </c>
      <c r="E507" s="40">
        <v>874748</v>
      </c>
      <c r="F507" s="9">
        <v>3871148</v>
      </c>
      <c r="G507" s="77">
        <v>46049</v>
      </c>
      <c r="H507" s="9" t="s">
        <v>167</v>
      </c>
      <c r="I507" s="9"/>
      <c r="J507" s="9"/>
      <c r="K507" s="9"/>
      <c r="L507" s="9"/>
      <c r="M507" s="9"/>
      <c r="N507" s="9">
        <v>500054633</v>
      </c>
      <c r="O507" s="9" t="s">
        <v>257</v>
      </c>
      <c r="P507" s="37">
        <v>1374983</v>
      </c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</row>
    <row r="508" spans="1:33" ht="14.25" customHeight="1" x14ac:dyDescent="0.35">
      <c r="A508" s="12">
        <v>2007948</v>
      </c>
      <c r="B508" s="63" t="str">
        <f>IFERROR(VLOOKUP(Tabla2[[#This Row],[CODIGO]],INVENTARIO!A:B,2,0)," ")</f>
        <v>Tubo PVC Hidraulico 110 mm Pn6 Celeste</v>
      </c>
      <c r="C508" s="12">
        <v>24</v>
      </c>
      <c r="D508" s="80">
        <v>58224</v>
      </c>
      <c r="E508" s="40">
        <v>874767</v>
      </c>
      <c r="F508" s="9">
        <v>3871147</v>
      </c>
      <c r="G508" s="77">
        <v>46049</v>
      </c>
      <c r="H508" s="9" t="s">
        <v>167</v>
      </c>
      <c r="I508" s="9"/>
      <c r="J508" s="9"/>
      <c r="K508" s="9"/>
      <c r="L508" s="9"/>
      <c r="M508" s="9"/>
      <c r="N508" s="9" t="s">
        <v>274</v>
      </c>
      <c r="O508" s="9" t="s">
        <v>258</v>
      </c>
      <c r="P508" s="37">
        <v>1374982</v>
      </c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</row>
    <row r="509" spans="1:33" ht="14.25" customHeight="1" x14ac:dyDescent="0.35">
      <c r="A509" s="12">
        <v>301749</v>
      </c>
      <c r="B509" s="63" t="str">
        <f>IFERROR(VLOOKUP(Tabla2[[#This Row],[CODIGO]],INVENTARIO!A:B,2,0)," ")</f>
        <v>Tubería PE80 025mm Rollo</v>
      </c>
      <c r="C509" s="12">
        <v>100</v>
      </c>
      <c r="D509" s="80">
        <v>76500</v>
      </c>
      <c r="E509" s="40">
        <v>874767</v>
      </c>
      <c r="F509" s="9">
        <v>3871147</v>
      </c>
      <c r="G509" s="77">
        <v>46049</v>
      </c>
      <c r="H509" s="9" t="s">
        <v>167</v>
      </c>
      <c r="I509" s="9"/>
      <c r="J509" s="9" t="s">
        <v>217</v>
      </c>
      <c r="K509" s="34">
        <v>45883</v>
      </c>
      <c r="L509" s="9" t="s">
        <v>240</v>
      </c>
      <c r="M509" s="9"/>
      <c r="N509" s="9" t="s">
        <v>274</v>
      </c>
      <c r="O509" s="9" t="s">
        <v>258</v>
      </c>
      <c r="P509" s="37">
        <v>1374982</v>
      </c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</row>
    <row r="510" spans="1:33" ht="14.25" customHeight="1" x14ac:dyDescent="0.35">
      <c r="A510" s="12">
        <v>2008481</v>
      </c>
      <c r="B510" s="63" t="str">
        <f>IFERROR(VLOOKUP(Tabla2[[#This Row],[CODIGO]],INVENTARIO!A:B,2,0)," ")</f>
        <v>Tapa Tornillo Bronce 3/4" HE Bspt.</v>
      </c>
      <c r="C510" s="12">
        <v>20</v>
      </c>
      <c r="D510" s="80">
        <v>20</v>
      </c>
      <c r="E510" s="40">
        <v>874767</v>
      </c>
      <c r="F510" s="9">
        <v>3871147</v>
      </c>
      <c r="G510" s="77">
        <v>46049</v>
      </c>
      <c r="H510" s="9" t="s">
        <v>167</v>
      </c>
      <c r="I510" s="9"/>
      <c r="J510" s="9"/>
      <c r="K510" s="9"/>
      <c r="L510" s="9"/>
      <c r="M510" s="9"/>
      <c r="N510" s="9" t="s">
        <v>274</v>
      </c>
      <c r="O510" s="9" t="s">
        <v>258</v>
      </c>
      <c r="P510" s="37">
        <v>1374982</v>
      </c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</row>
    <row r="511" spans="1:33" ht="14.25" customHeight="1" x14ac:dyDescent="0.35">
      <c r="A511" s="12">
        <v>302737</v>
      </c>
      <c r="B511" s="63" t="str">
        <f>IFERROR(VLOOKUP(Tabla2[[#This Row],[CODIGO]],INVENTARIO!A:B,2,0)," ")</f>
        <v>Válvula Bola 3/4" Hi Un Cuerpo Pn5 Arco</v>
      </c>
      <c r="C511" s="12">
        <v>20</v>
      </c>
      <c r="D511" s="80">
        <v>328900</v>
      </c>
      <c r="E511" s="40">
        <v>874767</v>
      </c>
      <c r="F511" s="9">
        <v>3871147</v>
      </c>
      <c r="G511" s="77">
        <v>46049</v>
      </c>
      <c r="H511" s="9" t="s">
        <v>167</v>
      </c>
      <c r="I511" s="9"/>
      <c r="J511" s="9"/>
      <c r="K511" s="9"/>
      <c r="L511" s="9"/>
      <c r="M511" s="9"/>
      <c r="N511" s="9" t="s">
        <v>274</v>
      </c>
      <c r="O511" s="9" t="s">
        <v>258</v>
      </c>
      <c r="P511" s="37">
        <v>1374982</v>
      </c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</row>
    <row r="512" spans="1:33" ht="14.25" customHeight="1" x14ac:dyDescent="0.35">
      <c r="A512" s="12">
        <v>303368</v>
      </c>
      <c r="B512" s="63" t="str">
        <f>IFERROR(VLOOKUP(Tabla2[[#This Row],[CODIGO]],INVENTARIO!A:B,2,0)," ")</f>
        <v>Cinta Plástica "Línea GN", 30 x 0.1</v>
      </c>
      <c r="C512" s="12">
        <v>800</v>
      </c>
      <c r="D512" s="80">
        <v>96800</v>
      </c>
      <c r="E512" s="40">
        <v>874767</v>
      </c>
      <c r="F512" s="9">
        <v>3871147</v>
      </c>
      <c r="G512" s="77">
        <v>46049</v>
      </c>
      <c r="H512" s="9" t="s">
        <v>167</v>
      </c>
      <c r="I512" s="9"/>
      <c r="J512" s="9"/>
      <c r="K512" s="9"/>
      <c r="L512" s="9"/>
      <c r="M512" s="9"/>
      <c r="N512" s="9" t="s">
        <v>274</v>
      </c>
      <c r="O512" s="9" t="s">
        <v>258</v>
      </c>
      <c r="P512" s="37">
        <v>1374982</v>
      </c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</row>
    <row r="513" spans="1:33" ht="14.25" customHeight="1" x14ac:dyDescent="0.35">
      <c r="A513" s="12">
        <v>303510</v>
      </c>
      <c r="B513" s="63" t="str">
        <f>IFERROR(VLOOKUP(Tabla2[[#This Row],[CODIGO]],INVENTARIO!A:B,2,0)," ")</f>
        <v>Guardallave Hormigón 125 mm con Tapa</v>
      </c>
      <c r="C513" s="12">
        <v>10</v>
      </c>
      <c r="D513" s="80">
        <v>39000</v>
      </c>
      <c r="E513" s="40">
        <v>874767</v>
      </c>
      <c r="F513" s="9">
        <v>3871147</v>
      </c>
      <c r="G513" s="77">
        <v>46049</v>
      </c>
      <c r="H513" s="9" t="s">
        <v>167</v>
      </c>
      <c r="I513" s="9"/>
      <c r="J513" s="9"/>
      <c r="K513" s="9"/>
      <c r="L513" s="9"/>
      <c r="M513" s="9"/>
      <c r="N513" s="9" t="s">
        <v>274</v>
      </c>
      <c r="O513" s="9" t="s">
        <v>258</v>
      </c>
      <c r="P513" s="37">
        <v>1374982</v>
      </c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</row>
    <row r="514" spans="1:33" ht="14.25" customHeight="1" x14ac:dyDescent="0.35">
      <c r="A514" s="12">
        <v>1002167</v>
      </c>
      <c r="B514" s="63" t="str">
        <f>IFERROR(VLOOKUP(Tabla2[[#This Row],[CODIGO]],INVENTARIO!A:B,2,0)," ")</f>
        <v>Cable Trazador Cu 14 AWG Aisl. THW Roj</v>
      </c>
      <c r="C514" s="12">
        <v>800</v>
      </c>
      <c r="D514" s="80">
        <v>235200</v>
      </c>
      <c r="E514" s="40">
        <v>874767</v>
      </c>
      <c r="F514" s="9">
        <v>3871147</v>
      </c>
      <c r="G514" s="77">
        <v>46049</v>
      </c>
      <c r="H514" s="9" t="s">
        <v>167</v>
      </c>
      <c r="I514" s="9"/>
      <c r="J514" s="9"/>
      <c r="K514" s="9"/>
      <c r="L514" s="9"/>
      <c r="M514" s="9"/>
      <c r="N514" s="9" t="s">
        <v>274</v>
      </c>
      <c r="O514" s="9" t="s">
        <v>258</v>
      </c>
      <c r="P514" s="37">
        <v>1374982</v>
      </c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</row>
    <row r="515" spans="1:33" ht="14.25" customHeight="1" x14ac:dyDescent="0.35">
      <c r="A515" s="12">
        <v>2006391</v>
      </c>
      <c r="B515" s="63" t="str">
        <f>IFERROR(VLOOKUP(Tabla2[[#This Row],[CODIGO]],INVENTARIO!A:B,2,0)," ")</f>
        <v>Guardallave Fierro Fundido C/Tapa</v>
      </c>
      <c r="C515" s="12">
        <v>24</v>
      </c>
      <c r="D515" s="80">
        <v>646152</v>
      </c>
      <c r="E515" s="40">
        <v>874767</v>
      </c>
      <c r="F515" s="9">
        <v>3871147</v>
      </c>
      <c r="G515" s="77">
        <v>46049</v>
      </c>
      <c r="H515" s="9" t="s">
        <v>167</v>
      </c>
      <c r="I515" s="9"/>
      <c r="J515" s="9"/>
      <c r="K515" s="9"/>
      <c r="L515" s="9"/>
      <c r="M515" s="9"/>
      <c r="N515" s="9" t="s">
        <v>274</v>
      </c>
      <c r="O515" s="9" t="s">
        <v>258</v>
      </c>
      <c r="P515" s="37">
        <v>1374982</v>
      </c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</row>
    <row r="516" spans="1:33" ht="14.25" customHeight="1" x14ac:dyDescent="0.35">
      <c r="A516" s="12">
        <v>2006391</v>
      </c>
      <c r="B516" s="63" t="str">
        <f>IFERROR(VLOOKUP(Tabla2[[#This Row],[CODIGO]],INVENTARIO!A:B,2,0)," ")</f>
        <v>Guardallave Fierro Fundido C/Tapa</v>
      </c>
      <c r="C516" s="12">
        <v>1</v>
      </c>
      <c r="D516" s="80">
        <v>26923</v>
      </c>
      <c r="E516" s="40">
        <v>874751</v>
      </c>
      <c r="F516" s="9">
        <v>3871146</v>
      </c>
      <c r="G516" s="77">
        <v>46049</v>
      </c>
      <c r="H516" s="9" t="s">
        <v>167</v>
      </c>
      <c r="I516" s="9"/>
      <c r="J516" s="9"/>
      <c r="K516" s="9"/>
      <c r="L516" s="9"/>
      <c r="M516" s="9"/>
      <c r="N516" s="9">
        <v>901816195</v>
      </c>
      <c r="O516" s="9" t="s">
        <v>257</v>
      </c>
      <c r="P516" s="37">
        <v>1374981</v>
      </c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</row>
    <row r="517" spans="1:33" ht="14.25" customHeight="1" x14ac:dyDescent="0.35">
      <c r="A517" s="12">
        <v>302737</v>
      </c>
      <c r="B517" s="63" t="str">
        <f>IFERROR(VLOOKUP(Tabla2[[#This Row],[CODIGO]],INVENTARIO!A:B,2,0)," ")</f>
        <v>Válvula Bola 3/4" Hi Un Cuerpo Pn5 Arco</v>
      </c>
      <c r="C517" s="12">
        <v>1</v>
      </c>
      <c r="D517" s="80">
        <v>16445</v>
      </c>
      <c r="E517" s="40">
        <v>874751</v>
      </c>
      <c r="F517" s="9">
        <v>3871146</v>
      </c>
      <c r="G517" s="77">
        <v>46049</v>
      </c>
      <c r="H517" s="9" t="s">
        <v>167</v>
      </c>
      <c r="I517" s="9"/>
      <c r="J517" s="9"/>
      <c r="K517" s="9"/>
      <c r="L517" s="9"/>
      <c r="M517" s="9"/>
      <c r="N517" s="9">
        <v>901816195</v>
      </c>
      <c r="O517" s="9" t="s">
        <v>257</v>
      </c>
      <c r="P517" s="37">
        <v>1374981</v>
      </c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</row>
    <row r="518" spans="1:33" ht="14.25" customHeight="1" x14ac:dyDescent="0.35">
      <c r="A518" s="12">
        <v>2008481</v>
      </c>
      <c r="B518" s="63" t="str">
        <f>IFERROR(VLOOKUP(Tabla2[[#This Row],[CODIGO]],INVENTARIO!A:B,2,0)," ")</f>
        <v>Tapa Tornillo Bronce 3/4" HE Bspt.</v>
      </c>
      <c r="C518" s="12">
        <v>1</v>
      </c>
      <c r="D518" s="80">
        <v>1</v>
      </c>
      <c r="E518" s="40">
        <v>874751</v>
      </c>
      <c r="F518" s="9">
        <v>3871146</v>
      </c>
      <c r="G518" s="77">
        <v>46049</v>
      </c>
      <c r="H518" s="9" t="s">
        <v>167</v>
      </c>
      <c r="I518" s="9"/>
      <c r="J518" s="9"/>
      <c r="K518" s="9"/>
      <c r="L518" s="9"/>
      <c r="M518" s="9"/>
      <c r="N518" s="9">
        <v>901816195</v>
      </c>
      <c r="O518" s="9" t="s">
        <v>257</v>
      </c>
      <c r="P518" s="37">
        <v>1374981</v>
      </c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</row>
    <row r="519" spans="1:33" ht="14.25" customHeight="1" x14ac:dyDescent="0.35">
      <c r="A519" s="12">
        <v>2006391</v>
      </c>
      <c r="B519" s="63" t="str">
        <f>IFERROR(VLOOKUP(Tabla2[[#This Row],[CODIGO]],INVENTARIO!A:B,2,0)," ")</f>
        <v>Guardallave Fierro Fundido C/Tapa</v>
      </c>
      <c r="C519" s="12">
        <v>1</v>
      </c>
      <c r="D519" s="80">
        <v>26923</v>
      </c>
      <c r="E519" s="40">
        <v>874750</v>
      </c>
      <c r="F519" s="9">
        <v>3871145</v>
      </c>
      <c r="G519" s="77">
        <v>46049</v>
      </c>
      <c r="H519" s="9" t="s">
        <v>167</v>
      </c>
      <c r="I519" s="9"/>
      <c r="J519" s="9"/>
      <c r="K519" s="9"/>
      <c r="L519" s="9"/>
      <c r="M519" s="9"/>
      <c r="N519" s="9">
        <v>901856429</v>
      </c>
      <c r="O519" s="9" t="s">
        <v>257</v>
      </c>
      <c r="P519" s="37">
        <v>1374980</v>
      </c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</row>
    <row r="520" spans="1:33" ht="14.25" customHeight="1" x14ac:dyDescent="0.35">
      <c r="A520" s="12">
        <v>302737</v>
      </c>
      <c r="B520" s="63" t="str">
        <f>IFERROR(VLOOKUP(Tabla2[[#This Row],[CODIGO]],INVENTARIO!A:B,2,0)," ")</f>
        <v>Válvula Bola 3/4" Hi Un Cuerpo Pn5 Arco</v>
      </c>
      <c r="C520" s="12">
        <v>1</v>
      </c>
      <c r="D520" s="80">
        <v>16445</v>
      </c>
      <c r="E520" s="40">
        <v>874750</v>
      </c>
      <c r="F520" s="9">
        <v>3871145</v>
      </c>
      <c r="G520" s="77">
        <v>46049</v>
      </c>
      <c r="H520" s="9" t="s">
        <v>167</v>
      </c>
      <c r="I520" s="9"/>
      <c r="J520" s="9"/>
      <c r="K520" s="9"/>
      <c r="L520" s="9"/>
      <c r="M520" s="9"/>
      <c r="N520" s="9">
        <v>901856429</v>
      </c>
      <c r="O520" s="9" t="s">
        <v>257</v>
      </c>
      <c r="P520" s="37">
        <v>1374980</v>
      </c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</row>
    <row r="521" spans="1:33" ht="14.25" customHeight="1" x14ac:dyDescent="0.35">
      <c r="A521" s="12">
        <v>2008481</v>
      </c>
      <c r="B521" s="63" t="str">
        <f>IFERROR(VLOOKUP(Tabla2[[#This Row],[CODIGO]],INVENTARIO!A:B,2,0)," ")</f>
        <v>Tapa Tornillo Bronce 3/4" HE Bspt.</v>
      </c>
      <c r="C521" s="12">
        <v>1</v>
      </c>
      <c r="D521" s="80">
        <v>1</v>
      </c>
      <c r="E521" s="40">
        <v>874750</v>
      </c>
      <c r="F521" s="9">
        <v>3871145</v>
      </c>
      <c r="G521" s="77">
        <v>46049</v>
      </c>
      <c r="H521" s="9" t="s">
        <v>167</v>
      </c>
      <c r="I521" s="9"/>
      <c r="J521" s="9"/>
      <c r="K521" s="9"/>
      <c r="L521" s="9"/>
      <c r="M521" s="9"/>
      <c r="N521" s="9">
        <v>901856429</v>
      </c>
      <c r="O521" s="9" t="s">
        <v>257</v>
      </c>
      <c r="P521" s="37">
        <v>1374980</v>
      </c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</row>
    <row r="522" spans="1:33" ht="14.25" customHeight="1" x14ac:dyDescent="0.35">
      <c r="A522" s="12">
        <v>1002167</v>
      </c>
      <c r="B522" s="63" t="str">
        <f>IFERROR(VLOOKUP(Tabla2[[#This Row],[CODIGO]],INVENTARIO!A:B,2,0)," ")</f>
        <v>Cable Trazador Cu 14 AWG Aisl. THW Roj</v>
      </c>
      <c r="C522" s="12">
        <v>100</v>
      </c>
      <c r="D522" s="80">
        <v>29400</v>
      </c>
      <c r="E522" s="40">
        <v>874747</v>
      </c>
      <c r="F522" s="9">
        <v>3871144</v>
      </c>
      <c r="G522" s="77">
        <v>46049</v>
      </c>
      <c r="H522" s="9" t="s">
        <v>167</v>
      </c>
      <c r="I522" s="9"/>
      <c r="J522" s="9" t="s">
        <v>283</v>
      </c>
      <c r="K522" s="9"/>
      <c r="L522" s="9"/>
      <c r="M522" s="9"/>
      <c r="N522" s="9" t="s">
        <v>243</v>
      </c>
      <c r="O522" s="9" t="s">
        <v>258</v>
      </c>
      <c r="P522" s="37">
        <v>1374979</v>
      </c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</row>
    <row r="523" spans="1:33" ht="14.25" customHeight="1" x14ac:dyDescent="0.35">
      <c r="A523" s="12">
        <v>303368</v>
      </c>
      <c r="B523" s="63" t="str">
        <f>IFERROR(VLOOKUP(Tabla2[[#This Row],[CODIGO]],INVENTARIO!A:B,2,0)," ")</f>
        <v>Cinta Plástica "Línea GN", 30 x 0.1</v>
      </c>
      <c r="C523" s="12">
        <v>200</v>
      </c>
      <c r="D523" s="80">
        <v>24200</v>
      </c>
      <c r="E523" s="40">
        <v>874747</v>
      </c>
      <c r="F523" s="9">
        <v>3871144</v>
      </c>
      <c r="G523" s="77">
        <v>46049</v>
      </c>
      <c r="H523" s="9" t="s">
        <v>167</v>
      </c>
      <c r="I523" s="9"/>
      <c r="J523" s="9"/>
      <c r="K523" s="9"/>
      <c r="L523" s="9"/>
      <c r="M523" s="9"/>
      <c r="N523" s="9" t="s">
        <v>243</v>
      </c>
      <c r="O523" s="9" t="s">
        <v>258</v>
      </c>
      <c r="P523" s="37">
        <v>1374979</v>
      </c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</row>
    <row r="524" spans="1:33" ht="14.25" customHeight="1" x14ac:dyDescent="0.35">
      <c r="A524" s="12">
        <v>301749</v>
      </c>
      <c r="B524" s="63" t="str">
        <f>IFERROR(VLOOKUP(Tabla2[[#This Row],[CODIGO]],INVENTARIO!A:B,2,0)," ")</f>
        <v>Tubería PE80 025mm Rollo</v>
      </c>
      <c r="C524" s="12">
        <v>100</v>
      </c>
      <c r="D524" s="80">
        <v>76500</v>
      </c>
      <c r="E524" s="40">
        <v>874747</v>
      </c>
      <c r="F524" s="9">
        <v>3871144</v>
      </c>
      <c r="G524" s="77">
        <v>46049</v>
      </c>
      <c r="H524" s="9" t="s">
        <v>167</v>
      </c>
      <c r="I524" s="9"/>
      <c r="J524" s="9" t="s">
        <v>217</v>
      </c>
      <c r="K524" s="34">
        <v>45883</v>
      </c>
      <c r="L524" s="9" t="s">
        <v>240</v>
      </c>
      <c r="M524" s="9"/>
      <c r="N524" s="9" t="s">
        <v>243</v>
      </c>
      <c r="O524" s="9" t="s">
        <v>258</v>
      </c>
      <c r="P524" s="37">
        <v>1374979</v>
      </c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</row>
    <row r="525" spans="1:33" ht="14.25" customHeight="1" x14ac:dyDescent="0.35">
      <c r="A525" s="12">
        <v>302737</v>
      </c>
      <c r="B525" s="63" t="str">
        <f>IFERROR(VLOOKUP(Tabla2[[#This Row],[CODIGO]],INVENTARIO!A:B,2,0)," ")</f>
        <v>Válvula Bola 3/4" Hi Un Cuerpo Pn5 Arco</v>
      </c>
      <c r="C525" s="12">
        <v>1</v>
      </c>
      <c r="D525" s="80">
        <v>16445</v>
      </c>
      <c r="E525" s="40">
        <v>874747</v>
      </c>
      <c r="F525" s="9">
        <v>3871144</v>
      </c>
      <c r="G525" s="77">
        <v>46049</v>
      </c>
      <c r="H525" s="9" t="s">
        <v>167</v>
      </c>
      <c r="I525" s="9"/>
      <c r="J525" s="9"/>
      <c r="K525" s="9"/>
      <c r="L525" s="9"/>
      <c r="M525" s="9"/>
      <c r="N525" s="9" t="s">
        <v>243</v>
      </c>
      <c r="O525" s="9" t="s">
        <v>258</v>
      </c>
      <c r="P525" s="37">
        <v>1374979</v>
      </c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</row>
    <row r="526" spans="1:33" ht="14.25" customHeight="1" x14ac:dyDescent="0.35">
      <c r="A526" s="12">
        <v>2008481</v>
      </c>
      <c r="B526" s="63" t="str">
        <f>IFERROR(VLOOKUP(Tabla2[[#This Row],[CODIGO]],INVENTARIO!A:B,2,0)," ")</f>
        <v>Tapa Tornillo Bronce 3/4" HE Bspt.</v>
      </c>
      <c r="C526" s="12">
        <v>1</v>
      </c>
      <c r="D526" s="80">
        <v>1</v>
      </c>
      <c r="E526" s="40">
        <v>874747</v>
      </c>
      <c r="F526" s="9">
        <v>3871144</v>
      </c>
      <c r="G526" s="77">
        <v>46049</v>
      </c>
      <c r="H526" s="9" t="s">
        <v>167</v>
      </c>
      <c r="I526" s="9"/>
      <c r="J526" s="9"/>
      <c r="K526" s="9"/>
      <c r="L526" s="9"/>
      <c r="M526" s="9"/>
      <c r="N526" s="9" t="s">
        <v>243</v>
      </c>
      <c r="O526" s="9" t="s">
        <v>258</v>
      </c>
      <c r="P526" s="37">
        <v>1374979</v>
      </c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</row>
    <row r="527" spans="1:33" ht="14.25" customHeight="1" x14ac:dyDescent="0.35">
      <c r="A527" s="12">
        <v>1000720</v>
      </c>
      <c r="B527" s="63" t="str">
        <f>IFERROR(VLOOKUP(Tabla2[[#This Row],[CODIGO]],INVENTARIO!A:B,2,0)," ")</f>
        <v>Teflón en Cinta de 3/4" Ancho x 520" a 5</v>
      </c>
      <c r="C527" s="12">
        <v>1</v>
      </c>
      <c r="D527" s="80">
        <v>2201</v>
      </c>
      <c r="E527" s="40">
        <v>874747</v>
      </c>
      <c r="F527" s="9">
        <v>3871144</v>
      </c>
      <c r="G527" s="77">
        <v>46049</v>
      </c>
      <c r="H527" s="9" t="s">
        <v>167</v>
      </c>
      <c r="I527" s="9"/>
      <c r="J527" s="9"/>
      <c r="K527" s="9"/>
      <c r="L527" s="9"/>
      <c r="M527" s="9"/>
      <c r="N527" s="9" t="s">
        <v>243</v>
      </c>
      <c r="O527" s="9" t="s">
        <v>258</v>
      </c>
      <c r="P527" s="37">
        <v>1374979</v>
      </c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</row>
    <row r="528" spans="1:33" ht="14.25" customHeight="1" x14ac:dyDescent="0.35">
      <c r="A528" s="12">
        <v>2002262</v>
      </c>
      <c r="B528" s="63" t="str">
        <f>IFERROR(VLOOKUP(Tabla2[[#This Row],[CODIGO]],INVENTARIO!A:B,2,0)," ")</f>
        <v>Tubería PE80 050mm Rollo</v>
      </c>
      <c r="C528" s="12">
        <v>100</v>
      </c>
      <c r="D528" s="80">
        <v>258200</v>
      </c>
      <c r="E528" s="40">
        <v>874747</v>
      </c>
      <c r="F528" s="9">
        <v>3871144</v>
      </c>
      <c r="G528" s="77">
        <v>46049</v>
      </c>
      <c r="H528" s="9" t="s">
        <v>167</v>
      </c>
      <c r="I528" s="9"/>
      <c r="J528" s="9" t="s">
        <v>216</v>
      </c>
      <c r="K528" s="34">
        <v>45863</v>
      </c>
      <c r="L528" s="9" t="s">
        <v>240</v>
      </c>
      <c r="M528" s="9"/>
      <c r="N528" s="9" t="s">
        <v>243</v>
      </c>
      <c r="O528" s="9" t="s">
        <v>258</v>
      </c>
      <c r="P528" s="37">
        <v>1374979</v>
      </c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</row>
    <row r="529" spans="1:33" ht="14.25" customHeight="1" x14ac:dyDescent="0.35">
      <c r="A529" s="12">
        <v>2008481</v>
      </c>
      <c r="B529" s="63" t="str">
        <f>IFERROR(VLOOKUP(Tabla2[[#This Row],[CODIGO]],INVENTARIO!A:B,2,0)," ")</f>
        <v>Tapa Tornillo Bronce 3/4" HE Bspt.</v>
      </c>
      <c r="C529" s="12">
        <v>3</v>
      </c>
      <c r="D529" s="80">
        <v>3</v>
      </c>
      <c r="E529" s="40">
        <v>874680</v>
      </c>
      <c r="F529" s="9">
        <v>3871143</v>
      </c>
      <c r="G529" s="77">
        <v>46049</v>
      </c>
      <c r="H529" s="9" t="s">
        <v>167</v>
      </c>
      <c r="I529" s="9"/>
      <c r="J529" s="9"/>
      <c r="K529" s="9"/>
      <c r="L529" s="9"/>
      <c r="M529" s="9"/>
      <c r="N529" s="9" t="s">
        <v>193</v>
      </c>
      <c r="O529" s="9" t="s">
        <v>257</v>
      </c>
      <c r="P529" s="37">
        <v>1374978</v>
      </c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</row>
    <row r="530" spans="1:33" ht="14.25" customHeight="1" x14ac:dyDescent="0.35">
      <c r="A530" s="12">
        <v>302737</v>
      </c>
      <c r="B530" s="63" t="str">
        <f>IFERROR(VLOOKUP(Tabla2[[#This Row],[CODIGO]],INVENTARIO!A:B,2,0)," ")</f>
        <v>Válvula Bola 3/4" Hi Un Cuerpo Pn5 Arco</v>
      </c>
      <c r="C530" s="12">
        <v>3</v>
      </c>
      <c r="D530" s="80">
        <v>49335</v>
      </c>
      <c r="E530" s="40">
        <v>874680</v>
      </c>
      <c r="F530" s="9">
        <v>3871143</v>
      </c>
      <c r="G530" s="77">
        <v>46049</v>
      </c>
      <c r="H530" s="9" t="s">
        <v>167</v>
      </c>
      <c r="I530" s="9"/>
      <c r="J530" s="9"/>
      <c r="K530" s="9"/>
      <c r="L530" s="9"/>
      <c r="M530" s="9"/>
      <c r="N530" s="9" t="s">
        <v>193</v>
      </c>
      <c r="O530" s="9" t="s">
        <v>257</v>
      </c>
      <c r="P530" s="37">
        <v>1374978</v>
      </c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</row>
    <row r="531" spans="1:33" ht="14.25" customHeight="1" x14ac:dyDescent="0.35">
      <c r="A531" s="12">
        <v>2000350</v>
      </c>
      <c r="B531" s="63" t="str">
        <f>IFERROR(VLOOKUP(Tabla2[[#This Row],[CODIGO]],INVENTARIO!A:B,2,0)," ")</f>
        <v>Codo PE 90º  25 mm EF.</v>
      </c>
      <c r="C531" s="12">
        <v>10</v>
      </c>
      <c r="D531" s="13"/>
      <c r="E531" s="40">
        <v>4500517048</v>
      </c>
      <c r="F531" s="9">
        <v>3871142</v>
      </c>
      <c r="G531" s="77">
        <v>46049</v>
      </c>
      <c r="H531" s="9" t="s">
        <v>166</v>
      </c>
      <c r="I531" s="9"/>
      <c r="J531" s="9"/>
      <c r="K531" s="9"/>
      <c r="L531" s="9"/>
      <c r="M531" s="9"/>
      <c r="N531" s="9" t="s">
        <v>273</v>
      </c>
      <c r="O531" s="9"/>
      <c r="P531" s="37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</row>
    <row r="532" spans="1:33" ht="14.25" customHeight="1" x14ac:dyDescent="0.35">
      <c r="A532" s="12">
        <v>101618</v>
      </c>
      <c r="B532" s="63" t="str">
        <f>IFERROR(VLOOKUP(Tabla2[[#This Row],[CODIGO]],INVENTARIO!A:B,2,0)," ")</f>
        <v>Risers Ac,Recto 3/4 "x25 mm</v>
      </c>
      <c r="C532" s="12">
        <v>10</v>
      </c>
      <c r="D532" s="13"/>
      <c r="E532" s="40">
        <v>4500517048</v>
      </c>
      <c r="F532" s="9">
        <v>3871142</v>
      </c>
      <c r="G532" s="77">
        <v>46049</v>
      </c>
      <c r="H532" s="9" t="s">
        <v>166</v>
      </c>
      <c r="I532" s="9"/>
      <c r="J532" s="9"/>
      <c r="K532" s="9"/>
      <c r="L532" s="9"/>
      <c r="M532" s="9"/>
      <c r="N532" s="9" t="s">
        <v>273</v>
      </c>
      <c r="O532" s="9"/>
      <c r="P532" s="37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</row>
    <row r="533" spans="1:33" ht="14.25" customHeight="1" x14ac:dyDescent="0.35">
      <c r="A533" s="12">
        <v>300527</v>
      </c>
      <c r="B533" s="63" t="str">
        <f>IFERROR(VLOOKUP(Tabla2[[#This Row],[CODIGO]],INVENTARIO!A:B,2,0)," ")</f>
        <v>Tapping Tee PE 160-25 mm</v>
      </c>
      <c r="C533" s="12">
        <v>1</v>
      </c>
      <c r="D533" s="13"/>
      <c r="E533" s="40">
        <v>4500516985</v>
      </c>
      <c r="F533" s="9">
        <v>3871140</v>
      </c>
      <c r="G533" s="77">
        <v>46049</v>
      </c>
      <c r="H533" s="9" t="s">
        <v>166</v>
      </c>
      <c r="I533" s="9"/>
      <c r="J533" s="9"/>
      <c r="K533" s="9"/>
      <c r="L533" s="9"/>
      <c r="M533" s="9"/>
      <c r="N533" s="9">
        <v>500055461</v>
      </c>
      <c r="O533" s="9"/>
      <c r="P533" s="37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</row>
    <row r="534" spans="1:33" ht="14.25" customHeight="1" x14ac:dyDescent="0.35">
      <c r="A534" s="12">
        <v>301099</v>
      </c>
      <c r="B534" s="63" t="str">
        <f>IFERROR(VLOOKUP(Tabla2[[#This Row],[CODIGO]],INVENTARIO!A:B,2,0)," ")</f>
        <v>Válvula PE100 Dn 25mm</v>
      </c>
      <c r="C534" s="12">
        <v>1</v>
      </c>
      <c r="D534" s="13"/>
      <c r="E534" s="40">
        <v>4500516985</v>
      </c>
      <c r="F534" s="9">
        <v>3871140</v>
      </c>
      <c r="G534" s="77">
        <v>46049</v>
      </c>
      <c r="H534" s="9" t="s">
        <v>166</v>
      </c>
      <c r="I534" s="9"/>
      <c r="J534" s="9"/>
      <c r="K534" s="9"/>
      <c r="L534" s="9"/>
      <c r="M534" s="9"/>
      <c r="N534" s="9">
        <v>500055461</v>
      </c>
      <c r="O534" s="9"/>
      <c r="P534" s="37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</row>
    <row r="535" spans="1:33" ht="14.25" customHeight="1" x14ac:dyDescent="0.35">
      <c r="A535" s="12">
        <v>301329</v>
      </c>
      <c r="B535" s="63" t="str">
        <f>IFERROR(VLOOKUP(Tabla2[[#This Row],[CODIGO]],INVENTARIO!A:B,2,0)," ")</f>
        <v>Copla PE100 025mm EF</v>
      </c>
      <c r="C535" s="12">
        <v>4</v>
      </c>
      <c r="D535" s="13"/>
      <c r="E535" s="40">
        <v>4500516985</v>
      </c>
      <c r="F535" s="9">
        <v>3871140</v>
      </c>
      <c r="G535" s="77">
        <v>46049</v>
      </c>
      <c r="H535" s="9" t="s">
        <v>166</v>
      </c>
      <c r="I535" s="9"/>
      <c r="J535" s="9"/>
      <c r="K535" s="9"/>
      <c r="L535" s="9"/>
      <c r="M535" s="9"/>
      <c r="N535" s="9">
        <v>500055461</v>
      </c>
      <c r="O535" s="9"/>
      <c r="P535" s="37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</row>
    <row r="536" spans="1:33" ht="14.25" customHeight="1" x14ac:dyDescent="0.35">
      <c r="A536" s="12">
        <v>300109</v>
      </c>
      <c r="B536" s="63" t="str">
        <f>IFERROR(VLOOKUP(Tabla2[[#This Row],[CODIGO]],INVENTARIO!A:B,2,0)," ")</f>
        <v>Risers de Acero 3/4" Bsp x 25 mm</v>
      </c>
      <c r="C536" s="12">
        <v>1</v>
      </c>
      <c r="D536" s="13"/>
      <c r="E536" s="40">
        <v>4500516985</v>
      </c>
      <c r="F536" s="9">
        <v>3871140</v>
      </c>
      <c r="G536" s="77">
        <v>46049</v>
      </c>
      <c r="H536" s="9" t="s">
        <v>166</v>
      </c>
      <c r="I536" s="9"/>
      <c r="J536" s="9"/>
      <c r="K536" s="9"/>
      <c r="L536" s="9"/>
      <c r="M536" s="9"/>
      <c r="N536" s="9">
        <v>500055461</v>
      </c>
      <c r="O536" s="9"/>
      <c r="P536" s="37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</row>
    <row r="537" spans="1:33" ht="14.25" customHeight="1" x14ac:dyDescent="0.35">
      <c r="A537" s="12">
        <v>2003911</v>
      </c>
      <c r="B537" s="63" t="str">
        <f>IFERROR(VLOOKUP(Tabla2[[#This Row],[CODIGO]],INVENTARIO!A:B,2,0)," ")</f>
        <v>Válvula EFv PE 25 mm Para Tap. Tee</v>
      </c>
      <c r="C537" s="12">
        <v>1</v>
      </c>
      <c r="D537" s="13"/>
      <c r="E537" s="40">
        <v>4500516985</v>
      </c>
      <c r="F537" s="9">
        <v>3871140</v>
      </c>
      <c r="G537" s="77">
        <v>46049</v>
      </c>
      <c r="H537" s="9" t="s">
        <v>166</v>
      </c>
      <c r="I537" s="9"/>
      <c r="J537" s="9"/>
      <c r="K537" s="9"/>
      <c r="L537" s="9"/>
      <c r="M537" s="9"/>
      <c r="N537" s="9">
        <v>500055461</v>
      </c>
      <c r="O537" s="9"/>
      <c r="P537" s="37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</row>
    <row r="538" spans="1:33" ht="14.25" customHeight="1" x14ac:dyDescent="0.35">
      <c r="A538" s="12">
        <v>301666</v>
      </c>
      <c r="B538" s="63" t="str">
        <f>IFERROR(VLOOKUP(Tabla2[[#This Row],[CODIGO]],INVENTARIO!A:B,2,0)," ")</f>
        <v>Tapping Tee PE 110-25 mm</v>
      </c>
      <c r="C538" s="12">
        <v>1</v>
      </c>
      <c r="D538" s="13"/>
      <c r="E538" s="40">
        <v>4500516978</v>
      </c>
      <c r="F538" s="9">
        <v>3871138</v>
      </c>
      <c r="G538" s="77">
        <v>46049</v>
      </c>
      <c r="H538" s="9" t="s">
        <v>166</v>
      </c>
      <c r="I538" s="9"/>
      <c r="J538" s="9"/>
      <c r="K538" s="9"/>
      <c r="L538" s="9"/>
      <c r="M538" s="9"/>
      <c r="N538" s="9">
        <v>901856429</v>
      </c>
      <c r="O538" s="9"/>
      <c r="P538" s="37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</row>
    <row r="539" spans="1:33" ht="14.25" customHeight="1" x14ac:dyDescent="0.35">
      <c r="A539" s="12">
        <v>301099</v>
      </c>
      <c r="B539" s="63" t="str">
        <f>IFERROR(VLOOKUP(Tabla2[[#This Row],[CODIGO]],INVENTARIO!A:B,2,0)," ")</f>
        <v>Válvula PE100 Dn 25mm</v>
      </c>
      <c r="C539" s="12">
        <v>1</v>
      </c>
      <c r="D539" s="13"/>
      <c r="E539" s="40">
        <v>4500516978</v>
      </c>
      <c r="F539" s="9">
        <v>3871138</v>
      </c>
      <c r="G539" s="77">
        <v>46049</v>
      </c>
      <c r="H539" s="9" t="s">
        <v>166</v>
      </c>
      <c r="I539" s="9"/>
      <c r="J539" s="9"/>
      <c r="K539" s="9"/>
      <c r="L539" s="9"/>
      <c r="M539" s="9"/>
      <c r="N539" s="9">
        <v>901856429</v>
      </c>
      <c r="O539" s="9"/>
      <c r="P539" s="37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</row>
    <row r="540" spans="1:33" ht="14.25" customHeight="1" x14ac:dyDescent="0.35">
      <c r="A540" s="12">
        <v>301329</v>
      </c>
      <c r="B540" s="63" t="str">
        <f>IFERROR(VLOOKUP(Tabla2[[#This Row],[CODIGO]],INVENTARIO!A:B,2,0)," ")</f>
        <v>Copla PE100 025mm EF</v>
      </c>
      <c r="C540" s="12">
        <v>4</v>
      </c>
      <c r="D540" s="13"/>
      <c r="E540" s="40">
        <v>4500516978</v>
      </c>
      <c r="F540" s="9">
        <v>3871138</v>
      </c>
      <c r="G540" s="77">
        <v>46049</v>
      </c>
      <c r="H540" s="9" t="s">
        <v>166</v>
      </c>
      <c r="I540" s="9"/>
      <c r="J540" s="9"/>
      <c r="K540" s="9"/>
      <c r="L540" s="9"/>
      <c r="M540" s="9"/>
      <c r="N540" s="9">
        <v>901856429</v>
      </c>
      <c r="O540" s="9"/>
      <c r="P540" s="37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</row>
    <row r="541" spans="1:33" ht="14.25" customHeight="1" x14ac:dyDescent="0.35">
      <c r="A541" s="12">
        <v>300109</v>
      </c>
      <c r="B541" s="63" t="str">
        <f>IFERROR(VLOOKUP(Tabla2[[#This Row],[CODIGO]],INVENTARIO!A:B,2,0)," ")</f>
        <v>Risers de Acero 3/4" Bsp x 25 mm</v>
      </c>
      <c r="C541" s="12">
        <v>1</v>
      </c>
      <c r="D541" s="13"/>
      <c r="E541" s="40">
        <v>4500516978</v>
      </c>
      <c r="F541" s="9">
        <v>3871138</v>
      </c>
      <c r="G541" s="77">
        <v>46049</v>
      </c>
      <c r="H541" s="9" t="s">
        <v>166</v>
      </c>
      <c r="I541" s="9"/>
      <c r="J541" s="9"/>
      <c r="K541" s="9"/>
      <c r="L541" s="9"/>
      <c r="M541" s="9"/>
      <c r="N541" s="9">
        <v>901856429</v>
      </c>
      <c r="O541" s="9"/>
      <c r="P541" s="37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</row>
    <row r="542" spans="1:33" ht="14.25" customHeight="1" x14ac:dyDescent="0.35">
      <c r="A542" s="12">
        <v>2003911</v>
      </c>
      <c r="B542" s="63" t="str">
        <f>IFERROR(VLOOKUP(Tabla2[[#This Row],[CODIGO]],INVENTARIO!A:B,2,0)," ")</f>
        <v>Válvula EFv PE 25 mm Para Tap. Tee</v>
      </c>
      <c r="C542" s="12">
        <v>1</v>
      </c>
      <c r="D542" s="13"/>
      <c r="E542" s="40">
        <v>4500516978</v>
      </c>
      <c r="F542" s="9">
        <v>3871138</v>
      </c>
      <c r="G542" s="77">
        <v>46049</v>
      </c>
      <c r="H542" s="9" t="s">
        <v>166</v>
      </c>
      <c r="I542" s="9"/>
      <c r="J542" s="9"/>
      <c r="K542" s="9"/>
      <c r="L542" s="9"/>
      <c r="M542" s="9"/>
      <c r="N542" s="9">
        <v>901856429</v>
      </c>
      <c r="O542" s="9"/>
      <c r="P542" s="37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</row>
    <row r="543" spans="1:33" ht="14.25" customHeight="1" x14ac:dyDescent="0.35">
      <c r="A543" s="12">
        <v>2000350</v>
      </c>
      <c r="B543" s="63" t="str">
        <f>IFERROR(VLOOKUP(Tabla2[[#This Row],[CODIGO]],INVENTARIO!A:B,2,0)," ")</f>
        <v>Codo PE 90º  25 mm EF.</v>
      </c>
      <c r="C543" s="12">
        <v>1</v>
      </c>
      <c r="D543" s="13"/>
      <c r="E543" s="40">
        <v>4500516978</v>
      </c>
      <c r="F543" s="9">
        <v>3871138</v>
      </c>
      <c r="G543" s="77">
        <v>46049</v>
      </c>
      <c r="H543" s="9" t="s">
        <v>166</v>
      </c>
      <c r="I543" s="9"/>
      <c r="J543" s="9"/>
      <c r="K543" s="9"/>
      <c r="L543" s="9"/>
      <c r="M543" s="9"/>
      <c r="N543" s="9">
        <v>901856429</v>
      </c>
      <c r="O543" s="9"/>
      <c r="P543" s="37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</row>
    <row r="544" spans="1:33" ht="14.25" customHeight="1" x14ac:dyDescent="0.35">
      <c r="A544" s="12">
        <v>101624</v>
      </c>
      <c r="B544" s="63" t="str">
        <f>IFERROR(VLOOKUP(Tabla2[[#This Row],[CODIGO]],INVENTARIO!A:B,2,0)," ")</f>
        <v>Tapping Tee PE 50-25 mm</v>
      </c>
      <c r="C544" s="12">
        <v>1</v>
      </c>
      <c r="D544" s="13"/>
      <c r="E544" s="40">
        <v>4500516976</v>
      </c>
      <c r="F544" s="9">
        <v>3871136</v>
      </c>
      <c r="G544" s="77">
        <v>46049</v>
      </c>
      <c r="H544" s="9" t="s">
        <v>166</v>
      </c>
      <c r="I544" s="9"/>
      <c r="J544" s="9"/>
      <c r="K544" s="9"/>
      <c r="L544" s="9"/>
      <c r="M544" s="9"/>
      <c r="N544" s="9">
        <v>500054633</v>
      </c>
      <c r="O544" s="9"/>
      <c r="P544" s="37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</row>
    <row r="545" spans="1:33" ht="14.25" customHeight="1" x14ac:dyDescent="0.35">
      <c r="A545" s="12">
        <v>301099</v>
      </c>
      <c r="B545" s="63" t="str">
        <f>IFERROR(VLOOKUP(Tabla2[[#This Row],[CODIGO]],INVENTARIO!A:B,2,0)," ")</f>
        <v>Válvula PE100 Dn 25mm</v>
      </c>
      <c r="C545" s="12">
        <v>1</v>
      </c>
      <c r="D545" s="13"/>
      <c r="E545" s="40">
        <v>4500516976</v>
      </c>
      <c r="F545" s="9">
        <v>3871136</v>
      </c>
      <c r="G545" s="77">
        <v>46049</v>
      </c>
      <c r="H545" s="9" t="s">
        <v>166</v>
      </c>
      <c r="I545" s="9"/>
      <c r="J545" s="9"/>
      <c r="K545" s="9"/>
      <c r="L545" s="9"/>
      <c r="M545" s="9"/>
      <c r="N545" s="9">
        <v>500054633</v>
      </c>
      <c r="O545" s="9"/>
      <c r="P545" s="37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</row>
    <row r="546" spans="1:33" ht="14.25" customHeight="1" x14ac:dyDescent="0.35">
      <c r="A546" s="12">
        <v>301329</v>
      </c>
      <c r="B546" s="63" t="str">
        <f>IFERROR(VLOOKUP(Tabla2[[#This Row],[CODIGO]],INVENTARIO!A:B,2,0)," ")</f>
        <v>Copla PE100 025mm EF</v>
      </c>
      <c r="C546" s="12">
        <v>4</v>
      </c>
      <c r="D546" s="13"/>
      <c r="E546" s="40">
        <v>4500516976</v>
      </c>
      <c r="F546" s="9">
        <v>3871136</v>
      </c>
      <c r="G546" s="77">
        <v>46049</v>
      </c>
      <c r="H546" s="9" t="s">
        <v>166</v>
      </c>
      <c r="I546" s="9"/>
      <c r="J546" s="9"/>
      <c r="K546" s="9"/>
      <c r="L546" s="9"/>
      <c r="M546" s="9"/>
      <c r="N546" s="9">
        <v>500054633</v>
      </c>
      <c r="O546" s="9"/>
      <c r="P546" s="37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</row>
    <row r="547" spans="1:33" ht="14.25" customHeight="1" x14ac:dyDescent="0.35">
      <c r="A547" s="12">
        <v>300109</v>
      </c>
      <c r="B547" s="63" t="str">
        <f>IFERROR(VLOOKUP(Tabla2[[#This Row],[CODIGO]],INVENTARIO!A:B,2,0)," ")</f>
        <v>Risers de Acero 3/4" Bsp x 25 mm</v>
      </c>
      <c r="C547" s="12">
        <v>1</v>
      </c>
      <c r="D547" s="13"/>
      <c r="E547" s="40">
        <v>4500516976</v>
      </c>
      <c r="F547" s="9">
        <v>3871136</v>
      </c>
      <c r="G547" s="77">
        <v>46049</v>
      </c>
      <c r="H547" s="9" t="s">
        <v>166</v>
      </c>
      <c r="I547" s="9"/>
      <c r="J547" s="9"/>
      <c r="K547" s="9"/>
      <c r="L547" s="9"/>
      <c r="M547" s="9"/>
      <c r="N547" s="9">
        <v>500054633</v>
      </c>
      <c r="O547" s="9"/>
      <c r="P547" s="37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</row>
    <row r="548" spans="1:33" ht="14.25" customHeight="1" x14ac:dyDescent="0.35">
      <c r="A548" s="12">
        <v>2003911</v>
      </c>
      <c r="B548" s="63" t="str">
        <f>IFERROR(VLOOKUP(Tabla2[[#This Row],[CODIGO]],INVENTARIO!A:B,2,0)," ")</f>
        <v>Válvula EFv PE 25 mm Para Tap. Tee</v>
      </c>
      <c r="C548" s="12">
        <v>1</v>
      </c>
      <c r="D548" s="13"/>
      <c r="E548" s="40">
        <v>4500516976</v>
      </c>
      <c r="F548" s="9">
        <v>3871136</v>
      </c>
      <c r="G548" s="77">
        <v>46049</v>
      </c>
      <c r="H548" s="9" t="s">
        <v>166</v>
      </c>
      <c r="I548" s="9"/>
      <c r="J548" s="9"/>
      <c r="K548" s="9"/>
      <c r="L548" s="9"/>
      <c r="M548" s="9"/>
      <c r="N548" s="9">
        <v>500054633</v>
      </c>
      <c r="O548" s="9"/>
      <c r="P548" s="37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</row>
    <row r="549" spans="1:33" ht="14.25" customHeight="1" x14ac:dyDescent="0.35">
      <c r="A549" s="12">
        <v>101624</v>
      </c>
      <c r="B549" s="63" t="str">
        <f>IFERROR(VLOOKUP(Tabla2[[#This Row],[CODIGO]],INVENTARIO!A:B,2,0)," ")</f>
        <v>Tapping Tee PE 50-25 mm</v>
      </c>
      <c r="C549" s="12">
        <v>14</v>
      </c>
      <c r="D549" s="13"/>
      <c r="E549" s="40">
        <v>4500516973</v>
      </c>
      <c r="F549" s="9">
        <v>3871135</v>
      </c>
      <c r="G549" s="77">
        <v>46049</v>
      </c>
      <c r="H549" s="9" t="s">
        <v>166</v>
      </c>
      <c r="I549" s="9"/>
      <c r="J549" s="9"/>
      <c r="K549" s="9"/>
      <c r="L549" s="9"/>
      <c r="M549" s="9"/>
      <c r="N549" s="9" t="s">
        <v>243</v>
      </c>
      <c r="O549" s="9"/>
      <c r="P549" s="37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</row>
    <row r="550" spans="1:33" ht="14.25" customHeight="1" x14ac:dyDescent="0.35">
      <c r="A550" s="12">
        <v>2003911</v>
      </c>
      <c r="B550" s="63" t="str">
        <f>IFERROR(VLOOKUP(Tabla2[[#This Row],[CODIGO]],INVENTARIO!A:B,2,0)," ")</f>
        <v>Válvula EFv PE 25 mm Para Tap. Tee</v>
      </c>
      <c r="C550" s="12">
        <v>13</v>
      </c>
      <c r="D550" s="13"/>
      <c r="E550" s="40">
        <v>4500516973</v>
      </c>
      <c r="F550" s="9">
        <v>3871135</v>
      </c>
      <c r="G550" s="77">
        <v>46049</v>
      </c>
      <c r="H550" s="9" t="s">
        <v>166</v>
      </c>
      <c r="I550" s="9"/>
      <c r="J550" s="9"/>
      <c r="K550" s="9"/>
      <c r="L550" s="9"/>
      <c r="M550" s="9"/>
      <c r="N550" s="9" t="s">
        <v>243</v>
      </c>
      <c r="O550" s="9"/>
      <c r="P550" s="37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</row>
    <row r="551" spans="1:33" ht="14.25" customHeight="1" x14ac:dyDescent="0.35">
      <c r="A551" s="12">
        <v>301329</v>
      </c>
      <c r="B551" s="63" t="str">
        <f>IFERROR(VLOOKUP(Tabla2[[#This Row],[CODIGO]],INVENTARIO!A:B,2,0)," ")</f>
        <v>Copla PE100 025mm EF</v>
      </c>
      <c r="C551" s="12">
        <v>26</v>
      </c>
      <c r="D551" s="13"/>
      <c r="E551" s="40">
        <v>4500516973</v>
      </c>
      <c r="F551" s="9">
        <v>3871135</v>
      </c>
      <c r="G551" s="77">
        <v>46049</v>
      </c>
      <c r="H551" s="9" t="s">
        <v>166</v>
      </c>
      <c r="I551" s="9"/>
      <c r="J551" s="9"/>
      <c r="K551" s="9"/>
      <c r="L551" s="9"/>
      <c r="M551" s="9"/>
      <c r="N551" s="9" t="s">
        <v>243</v>
      </c>
      <c r="O551" s="9"/>
      <c r="P551" s="37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</row>
    <row r="552" spans="1:33" ht="14.25" customHeight="1" x14ac:dyDescent="0.35">
      <c r="A552" s="12">
        <v>300712</v>
      </c>
      <c r="B552" s="63" t="str">
        <f>IFERROR(VLOOKUP(Tabla2[[#This Row],[CODIGO]],INVENTARIO!A:B,2,0)," ")</f>
        <v>Tapa PE  025 mm Termo F.</v>
      </c>
      <c r="C552" s="12">
        <v>13</v>
      </c>
      <c r="D552" s="13"/>
      <c r="E552" s="40">
        <v>4500516973</v>
      </c>
      <c r="F552" s="9">
        <v>3871135</v>
      </c>
      <c r="G552" s="77">
        <v>46049</v>
      </c>
      <c r="H552" s="9" t="s">
        <v>166</v>
      </c>
      <c r="I552" s="9"/>
      <c r="J552" s="9"/>
      <c r="K552" s="9"/>
      <c r="L552" s="9"/>
      <c r="M552" s="9"/>
      <c r="N552" s="9" t="s">
        <v>243</v>
      </c>
      <c r="O552" s="9"/>
      <c r="P552" s="37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</row>
    <row r="553" spans="1:33" ht="14.25" customHeight="1" x14ac:dyDescent="0.35">
      <c r="A553" s="12">
        <v>303345</v>
      </c>
      <c r="B553" s="63" t="str">
        <f>IFERROR(VLOOKUP(Tabla2[[#This Row],[CODIGO]],INVENTARIO!A:B,2,0)," ")</f>
        <v>Copla PE100 050mm EF</v>
      </c>
      <c r="C553" s="12">
        <v>3</v>
      </c>
      <c r="D553" s="13"/>
      <c r="E553" s="40">
        <v>4500516973</v>
      </c>
      <c r="F553" s="9">
        <v>3871135</v>
      </c>
      <c r="G553" s="77">
        <v>46049</v>
      </c>
      <c r="H553" s="9" t="s">
        <v>166</v>
      </c>
      <c r="I553" s="9"/>
      <c r="J553" s="9"/>
      <c r="K553" s="9"/>
      <c r="L553" s="9"/>
      <c r="M553" s="9"/>
      <c r="N553" s="9" t="s">
        <v>243</v>
      </c>
      <c r="O553" s="9"/>
      <c r="P553" s="37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</row>
    <row r="554" spans="1:33" ht="14.25" customHeight="1" x14ac:dyDescent="0.35">
      <c r="A554" s="12">
        <v>301327</v>
      </c>
      <c r="B554" s="63" t="str">
        <f>IFERROR(VLOOKUP(Tabla2[[#This Row],[CODIGO]],INVENTARIO!A:B,2,0)," ")</f>
        <v>Tapa PE  050 mm Termo F.</v>
      </c>
      <c r="C554" s="12">
        <v>2</v>
      </c>
      <c r="D554" s="13"/>
      <c r="E554" s="40">
        <v>4500516973</v>
      </c>
      <c r="F554" s="9">
        <v>3871135</v>
      </c>
      <c r="G554" s="77">
        <v>46049</v>
      </c>
      <c r="H554" s="9" t="s">
        <v>166</v>
      </c>
      <c r="I554" s="9"/>
      <c r="J554" s="9"/>
      <c r="K554" s="9"/>
      <c r="L554" s="9"/>
      <c r="M554" s="9"/>
      <c r="N554" s="9" t="s">
        <v>243</v>
      </c>
      <c r="O554" s="9"/>
      <c r="P554" s="37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</row>
    <row r="555" spans="1:33" ht="14.25" customHeight="1" x14ac:dyDescent="0.35">
      <c r="A555" s="12">
        <v>300109</v>
      </c>
      <c r="B555" s="63" t="str">
        <f>IFERROR(VLOOKUP(Tabla2[[#This Row],[CODIGO]],INVENTARIO!A:B,2,0)," ")</f>
        <v>Risers de Acero 3/4" Bsp x 25 mm</v>
      </c>
      <c r="C555" s="12">
        <v>1</v>
      </c>
      <c r="D555" s="13"/>
      <c r="E555" s="40">
        <v>4500516973</v>
      </c>
      <c r="F555" s="9">
        <v>3871135</v>
      </c>
      <c r="G555" s="77">
        <v>46049</v>
      </c>
      <c r="H555" s="9" t="s">
        <v>166</v>
      </c>
      <c r="I555" s="9"/>
      <c r="J555" s="9"/>
      <c r="K555" s="9"/>
      <c r="L555" s="9"/>
      <c r="M555" s="9"/>
      <c r="N555" s="9" t="s">
        <v>243</v>
      </c>
      <c r="O555" s="9"/>
      <c r="P555" s="37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</row>
    <row r="556" spans="1:33" ht="14.25" customHeight="1" x14ac:dyDescent="0.35">
      <c r="A556" s="12">
        <v>2000350</v>
      </c>
      <c r="B556" s="63" t="str">
        <f>IFERROR(VLOOKUP(Tabla2[[#This Row],[CODIGO]],INVENTARIO!A:B,2,0)," ")</f>
        <v>Codo PE 90º  25 mm EF.</v>
      </c>
      <c r="C556" s="12">
        <v>1</v>
      </c>
      <c r="D556" s="13"/>
      <c r="E556" s="40">
        <v>4500516973</v>
      </c>
      <c r="F556" s="9">
        <v>3871135</v>
      </c>
      <c r="G556" s="77">
        <v>46049</v>
      </c>
      <c r="H556" s="9" t="s">
        <v>166</v>
      </c>
      <c r="I556" s="9"/>
      <c r="J556" s="9"/>
      <c r="K556" s="9"/>
      <c r="L556" s="9"/>
      <c r="M556" s="9"/>
      <c r="N556" s="9" t="s">
        <v>243</v>
      </c>
      <c r="O556" s="9"/>
      <c r="P556" s="37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</row>
    <row r="557" spans="1:33" ht="14.25" customHeight="1" x14ac:dyDescent="0.35">
      <c r="A557" s="12">
        <v>2000350</v>
      </c>
      <c r="B557" s="63" t="str">
        <f>IFERROR(VLOOKUP(Tabla2[[#This Row],[CODIGO]],INVENTARIO!A:B,2,0)," ")</f>
        <v>Codo PE 90º  25 mm EF.</v>
      </c>
      <c r="C557" s="12">
        <v>3</v>
      </c>
      <c r="D557" s="13"/>
      <c r="E557" s="40">
        <v>4500516971</v>
      </c>
      <c r="F557" s="9">
        <v>3871134</v>
      </c>
      <c r="G557" s="77">
        <v>46049</v>
      </c>
      <c r="H557" s="9" t="s">
        <v>166</v>
      </c>
      <c r="I557" s="9"/>
      <c r="J557" s="9"/>
      <c r="K557" s="9"/>
      <c r="L557" s="9"/>
      <c r="M557" s="9"/>
      <c r="N557" s="9" t="s">
        <v>206</v>
      </c>
      <c r="O557" s="9"/>
      <c r="P557" s="37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</row>
    <row r="558" spans="1:33" ht="14.25" customHeight="1" x14ac:dyDescent="0.35">
      <c r="A558" s="12">
        <v>2007948</v>
      </c>
      <c r="B558" s="63" t="str">
        <f>IFERROR(VLOOKUP(Tabla2[[#This Row],[CODIGO]],INVENTARIO!A:B,2,0)," ")</f>
        <v>Tubo PVC Hidraulico 110 mm Pn6 Celeste</v>
      </c>
      <c r="C558" s="12">
        <v>2</v>
      </c>
      <c r="D558" s="13"/>
      <c r="E558" s="40"/>
      <c r="F558" s="9">
        <v>886</v>
      </c>
      <c r="G558" s="77">
        <v>46048</v>
      </c>
      <c r="H558" s="9" t="s">
        <v>181</v>
      </c>
      <c r="I558" s="9"/>
      <c r="J558" s="9"/>
      <c r="K558" s="9"/>
      <c r="L558" s="9"/>
      <c r="M558" s="9"/>
      <c r="N558" s="9" t="s">
        <v>203</v>
      </c>
      <c r="O558" s="9"/>
      <c r="P558" s="37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</row>
    <row r="559" spans="1:33" ht="14.25" customHeight="1" x14ac:dyDescent="0.35">
      <c r="A559" s="12">
        <v>303362</v>
      </c>
      <c r="B559" s="63" t="str">
        <f>IFERROR(VLOOKUP(Tabla2[[#This Row],[CODIGO]],INVENTARIO!A:B,2,0)," ")</f>
        <v>Reductor PE  50-40 mm Electro F.</v>
      </c>
      <c r="C559" s="12">
        <v>2</v>
      </c>
      <c r="D559" s="13"/>
      <c r="E559" s="40"/>
      <c r="F559" s="9">
        <v>886</v>
      </c>
      <c r="G559" s="77">
        <v>46048</v>
      </c>
      <c r="H559" s="9" t="s">
        <v>181</v>
      </c>
      <c r="I559" s="9"/>
      <c r="J559" s="9"/>
      <c r="K559" s="9"/>
      <c r="L559" s="9"/>
      <c r="M559" s="9"/>
      <c r="N559" s="9" t="s">
        <v>203</v>
      </c>
      <c r="O559" s="9"/>
      <c r="P559" s="37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</row>
    <row r="560" spans="1:33" ht="14.25" customHeight="1" x14ac:dyDescent="0.35">
      <c r="A560" s="12">
        <v>301327</v>
      </c>
      <c r="B560" s="63" t="str">
        <f>IFERROR(VLOOKUP(Tabla2[[#This Row],[CODIGO]],INVENTARIO!A:B,2,0)," ")</f>
        <v>Tapa PE  050 mm Termo F.</v>
      </c>
      <c r="C560" s="12">
        <v>2</v>
      </c>
      <c r="D560" s="13"/>
      <c r="E560" s="40"/>
      <c r="F560" s="9">
        <v>886</v>
      </c>
      <c r="G560" s="77">
        <v>46048</v>
      </c>
      <c r="H560" s="9" t="s">
        <v>181</v>
      </c>
      <c r="I560" s="9"/>
      <c r="J560" s="9"/>
      <c r="K560" s="9"/>
      <c r="L560" s="9"/>
      <c r="M560" s="9"/>
      <c r="N560" s="9" t="s">
        <v>203</v>
      </c>
      <c r="O560" s="9"/>
      <c r="P560" s="37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</row>
    <row r="561" spans="1:33" ht="14.25" customHeight="1" x14ac:dyDescent="0.35">
      <c r="A561" s="12">
        <v>302992</v>
      </c>
      <c r="B561" s="63" t="str">
        <f>IFERROR(VLOOKUP(Tabla2[[#This Row],[CODIGO]],INVENTARIO!A:B,2,0)," ")</f>
        <v>Codo PE100 90° 050mm EF</v>
      </c>
      <c r="C561" s="12">
        <v>1</v>
      </c>
      <c r="D561" s="13"/>
      <c r="E561" s="40"/>
      <c r="F561" s="9">
        <v>886</v>
      </c>
      <c r="G561" s="77">
        <v>46048</v>
      </c>
      <c r="H561" s="9" t="s">
        <v>181</v>
      </c>
      <c r="I561" s="9"/>
      <c r="J561" s="9"/>
      <c r="K561" s="9"/>
      <c r="L561" s="9"/>
      <c r="M561" s="9"/>
      <c r="N561" s="9" t="s">
        <v>203</v>
      </c>
      <c r="O561" s="9"/>
      <c r="P561" s="37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</row>
    <row r="562" spans="1:33" ht="14.25" customHeight="1" x14ac:dyDescent="0.35">
      <c r="A562" s="12">
        <v>303345</v>
      </c>
      <c r="B562" s="63" t="str">
        <f>IFERROR(VLOOKUP(Tabla2[[#This Row],[CODIGO]],INVENTARIO!A:B,2,0)," ")</f>
        <v>Copla PE100 050mm EF</v>
      </c>
      <c r="C562" s="12">
        <v>6</v>
      </c>
      <c r="D562" s="13"/>
      <c r="E562" s="40"/>
      <c r="F562" s="9">
        <v>886</v>
      </c>
      <c r="G562" s="77">
        <v>46048</v>
      </c>
      <c r="H562" s="9" t="s">
        <v>181</v>
      </c>
      <c r="I562" s="9"/>
      <c r="J562" s="9"/>
      <c r="K562" s="9"/>
      <c r="L562" s="9"/>
      <c r="M562" s="9"/>
      <c r="N562" s="9" t="s">
        <v>203</v>
      </c>
      <c r="O562" s="9"/>
      <c r="P562" s="37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</row>
    <row r="563" spans="1:33" ht="14.25" customHeight="1" x14ac:dyDescent="0.35">
      <c r="A563" s="12">
        <v>300712</v>
      </c>
      <c r="B563" s="63" t="str">
        <f>IFERROR(VLOOKUP(Tabla2[[#This Row],[CODIGO]],INVENTARIO!A:B,2,0)," ")</f>
        <v>Tapa PE  025 mm Termo F.</v>
      </c>
      <c r="C563" s="12">
        <v>2</v>
      </c>
      <c r="D563" s="13"/>
      <c r="E563" s="40"/>
      <c r="F563" s="9">
        <v>886</v>
      </c>
      <c r="G563" s="77">
        <v>46048</v>
      </c>
      <c r="H563" s="9" t="s">
        <v>181</v>
      </c>
      <c r="I563" s="9"/>
      <c r="J563" s="9"/>
      <c r="K563" s="9"/>
      <c r="L563" s="9"/>
      <c r="M563" s="9"/>
      <c r="N563" s="9" t="s">
        <v>203</v>
      </c>
      <c r="O563" s="9"/>
      <c r="P563" s="37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</row>
    <row r="564" spans="1:33" ht="14.25" customHeight="1" x14ac:dyDescent="0.35">
      <c r="A564" s="12">
        <v>301329</v>
      </c>
      <c r="B564" s="63" t="str">
        <f>IFERROR(VLOOKUP(Tabla2[[#This Row],[CODIGO]],INVENTARIO!A:B,2,0)," ")</f>
        <v>Copla PE100 025mm EF</v>
      </c>
      <c r="C564" s="12">
        <v>6</v>
      </c>
      <c r="D564" s="13"/>
      <c r="E564" s="40"/>
      <c r="F564" s="9">
        <v>886</v>
      </c>
      <c r="G564" s="77">
        <v>46048</v>
      </c>
      <c r="H564" s="9" t="s">
        <v>181</v>
      </c>
      <c r="I564" s="9"/>
      <c r="J564" s="9"/>
      <c r="K564" s="9"/>
      <c r="L564" s="9"/>
      <c r="M564" s="9"/>
      <c r="N564" s="9" t="s">
        <v>203</v>
      </c>
      <c r="O564" s="9"/>
      <c r="P564" s="37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</row>
    <row r="565" spans="1:33" ht="14.25" customHeight="1" x14ac:dyDescent="0.35">
      <c r="A565" s="12">
        <v>300109</v>
      </c>
      <c r="B565" s="63" t="str">
        <f>IFERROR(VLOOKUP(Tabla2[[#This Row],[CODIGO]],INVENTARIO!A:B,2,0)," ")</f>
        <v>Risers de Acero 3/4" Bsp x 25 mm</v>
      </c>
      <c r="C565" s="12">
        <v>2</v>
      </c>
      <c r="D565" s="13"/>
      <c r="E565" s="40"/>
      <c r="F565" s="9">
        <v>886</v>
      </c>
      <c r="G565" s="77">
        <v>46048</v>
      </c>
      <c r="H565" s="9" t="s">
        <v>181</v>
      </c>
      <c r="I565" s="9"/>
      <c r="J565" s="9"/>
      <c r="K565" s="9"/>
      <c r="L565" s="9"/>
      <c r="M565" s="9"/>
      <c r="N565" s="9" t="s">
        <v>203</v>
      </c>
      <c r="O565" s="9"/>
      <c r="P565" s="37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</row>
    <row r="566" spans="1:33" ht="14.25" customHeight="1" x14ac:dyDescent="0.35">
      <c r="A566" s="12">
        <v>101624</v>
      </c>
      <c r="B566" s="63" t="str">
        <f>IFERROR(VLOOKUP(Tabla2[[#This Row],[CODIGO]],INVENTARIO!A:B,2,0)," ")</f>
        <v>Tapping Tee PE 50-25 mm</v>
      </c>
      <c r="C566" s="12">
        <v>2</v>
      </c>
      <c r="D566" s="13"/>
      <c r="E566" s="40"/>
      <c r="F566" s="9">
        <v>886</v>
      </c>
      <c r="G566" s="77">
        <v>46048</v>
      </c>
      <c r="H566" s="9" t="s">
        <v>181</v>
      </c>
      <c r="I566" s="9"/>
      <c r="J566" s="9"/>
      <c r="K566" s="9"/>
      <c r="L566" s="9"/>
      <c r="M566" s="9"/>
      <c r="N566" s="9" t="s">
        <v>203</v>
      </c>
      <c r="O566" s="9"/>
      <c r="P566" s="37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</row>
    <row r="567" spans="1:33" ht="14.25" customHeight="1" x14ac:dyDescent="0.35">
      <c r="A567" s="12">
        <v>1002167</v>
      </c>
      <c r="B567" s="63" t="str">
        <f>IFERROR(VLOOKUP(Tabla2[[#This Row],[CODIGO]],INVENTARIO!A:B,2,0)," ")</f>
        <v>Cable Trazador Cu 14 AWG Aisl. THW Roj</v>
      </c>
      <c r="C567" s="12">
        <v>12</v>
      </c>
      <c r="D567" s="13"/>
      <c r="E567" s="40"/>
      <c r="F567" s="9">
        <v>886</v>
      </c>
      <c r="G567" s="77">
        <v>46048</v>
      </c>
      <c r="H567" s="9" t="s">
        <v>181</v>
      </c>
      <c r="I567" s="9"/>
      <c r="J567" s="9"/>
      <c r="K567" s="9"/>
      <c r="L567" s="9"/>
      <c r="M567" s="9"/>
      <c r="N567" s="9" t="s">
        <v>203</v>
      </c>
      <c r="O567" s="9"/>
      <c r="P567" s="37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</row>
    <row r="568" spans="1:33" ht="14.25" customHeight="1" x14ac:dyDescent="0.35">
      <c r="A568" s="12">
        <v>301751</v>
      </c>
      <c r="B568" s="63" t="str">
        <f>IFERROR(VLOOKUP(Tabla2[[#This Row],[CODIGO]],INVENTARIO!A:B,2,0)," ")</f>
        <v>Tubería PE80 050mm SDR11 Tira</v>
      </c>
      <c r="C568" s="12">
        <v>6</v>
      </c>
      <c r="D568" s="13"/>
      <c r="E568" s="40"/>
      <c r="F568" s="9">
        <v>886</v>
      </c>
      <c r="G568" s="77">
        <v>46048</v>
      </c>
      <c r="H568" s="9" t="s">
        <v>181</v>
      </c>
      <c r="I568" s="9"/>
      <c r="J568" s="9"/>
      <c r="K568" s="9"/>
      <c r="L568" s="9"/>
      <c r="M568" s="9"/>
      <c r="N568" s="9" t="s">
        <v>203</v>
      </c>
      <c r="O568" s="9"/>
      <c r="P568" s="37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</row>
    <row r="569" spans="1:33" ht="14.25" customHeight="1" x14ac:dyDescent="0.35">
      <c r="A569" s="12">
        <v>2002262</v>
      </c>
      <c r="B569" s="63" t="str">
        <f>IFERROR(VLOOKUP(Tabla2[[#This Row],[CODIGO]],INVENTARIO!A:B,2,0)," ")</f>
        <v>Tubería PE80 050mm Rollo</v>
      </c>
      <c r="C569" s="12">
        <v>0.5</v>
      </c>
      <c r="D569" s="13"/>
      <c r="E569" s="40"/>
      <c r="F569" s="9">
        <v>886</v>
      </c>
      <c r="G569" s="77">
        <v>46048</v>
      </c>
      <c r="H569" s="9" t="s">
        <v>181</v>
      </c>
      <c r="I569" s="9"/>
      <c r="J569" s="9"/>
      <c r="K569" s="9"/>
      <c r="L569" s="9"/>
      <c r="M569" s="9"/>
      <c r="N569" s="9" t="s">
        <v>203</v>
      </c>
      <c r="O569" s="9"/>
      <c r="P569" s="37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</row>
    <row r="570" spans="1:33" ht="14.25" customHeight="1" x14ac:dyDescent="0.35">
      <c r="A570" s="12">
        <v>300342</v>
      </c>
      <c r="B570" s="63" t="str">
        <f>IFERROR(VLOOKUP(Tabla2[[#This Row],[CODIGO]],INVENTARIO!A:B,2,0)," ")</f>
        <v>Codo So/So 1 1/2 IN Bronce</v>
      </c>
      <c r="C570" s="12">
        <v>6</v>
      </c>
      <c r="D570" s="13"/>
      <c r="E570" s="40"/>
      <c r="F570" s="9">
        <v>886</v>
      </c>
      <c r="G570" s="77">
        <v>46048</v>
      </c>
      <c r="H570" s="9" t="s">
        <v>181</v>
      </c>
      <c r="I570" s="9"/>
      <c r="J570" s="9"/>
      <c r="K570" s="9"/>
      <c r="L570" s="9"/>
      <c r="M570" s="9"/>
      <c r="N570" s="9" t="s">
        <v>203</v>
      </c>
      <c r="O570" s="9"/>
      <c r="P570" s="37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</row>
    <row r="571" spans="1:33" ht="14.25" customHeight="1" x14ac:dyDescent="0.35">
      <c r="A571" s="12">
        <v>303510</v>
      </c>
      <c r="B571" s="63" t="str">
        <f>IFERROR(VLOOKUP(Tabla2[[#This Row],[CODIGO]],INVENTARIO!A:B,2,0)," ")</f>
        <v>Guardallave Hormigón 125 mm con Tapa</v>
      </c>
      <c r="C571" s="12">
        <v>1</v>
      </c>
      <c r="D571" s="13"/>
      <c r="E571" s="40"/>
      <c r="F571" s="9">
        <v>886</v>
      </c>
      <c r="G571" s="77">
        <v>46048</v>
      </c>
      <c r="H571" s="9" t="s">
        <v>181</v>
      </c>
      <c r="I571" s="9"/>
      <c r="J571" s="9"/>
      <c r="K571" s="9"/>
      <c r="L571" s="9"/>
      <c r="M571" s="9"/>
      <c r="N571" s="9" t="s">
        <v>203</v>
      </c>
      <c r="O571" s="9"/>
      <c r="P571" s="37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</row>
    <row r="572" spans="1:33" ht="14.25" customHeight="1" x14ac:dyDescent="0.35">
      <c r="A572" s="12">
        <v>302184</v>
      </c>
      <c r="B572" s="63" t="str">
        <f>IFERROR(VLOOKUP(Tabla2[[#This Row],[CODIGO]],INVENTARIO!A:B,2,0)," ")</f>
        <v>Tapa Tornillo Cambio de Codigo por: 2008481</v>
      </c>
      <c r="C572" s="12">
        <v>2</v>
      </c>
      <c r="D572" s="13"/>
      <c r="E572" s="40"/>
      <c r="F572" s="9">
        <v>886</v>
      </c>
      <c r="G572" s="77">
        <v>46048</v>
      </c>
      <c r="H572" s="9" t="s">
        <v>181</v>
      </c>
      <c r="I572" s="9"/>
      <c r="J572" s="9"/>
      <c r="K572" s="9"/>
      <c r="L572" s="9"/>
      <c r="M572" s="9"/>
      <c r="N572" s="9" t="s">
        <v>203</v>
      </c>
      <c r="O572" s="9"/>
      <c r="P572" s="37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</row>
    <row r="573" spans="1:33" ht="14.25" customHeight="1" x14ac:dyDescent="0.35">
      <c r="A573" s="12">
        <v>302737</v>
      </c>
      <c r="B573" s="63" t="str">
        <f>IFERROR(VLOOKUP(Tabla2[[#This Row],[CODIGO]],INVENTARIO!A:B,2,0)," ")</f>
        <v>Válvula Bola 3/4" Hi Un Cuerpo Pn5 Arco</v>
      </c>
      <c r="C573" s="12">
        <v>2</v>
      </c>
      <c r="D573" s="13"/>
      <c r="E573" s="40"/>
      <c r="F573" s="9">
        <v>886</v>
      </c>
      <c r="G573" s="77">
        <v>46048</v>
      </c>
      <c r="H573" s="9" t="s">
        <v>181</v>
      </c>
      <c r="I573" s="9"/>
      <c r="J573" s="9"/>
      <c r="K573" s="9"/>
      <c r="L573" s="9"/>
      <c r="M573" s="9"/>
      <c r="N573" s="9" t="s">
        <v>203</v>
      </c>
      <c r="O573" s="9"/>
      <c r="P573" s="37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</row>
    <row r="574" spans="1:33" ht="14.25" customHeight="1" x14ac:dyDescent="0.35">
      <c r="A574" s="12">
        <v>2005135</v>
      </c>
      <c r="B574" s="63" t="str">
        <f>IFERROR(VLOOKUP(Tabla2[[#This Row],[CODIGO]],INVENTARIO!A:B,2,0)," ")</f>
        <v>Tubo PVC 110 mm PN6 CG Amarillo Tira 6 m</v>
      </c>
      <c r="C574" s="12">
        <v>2</v>
      </c>
      <c r="D574" s="13">
        <v>55862</v>
      </c>
      <c r="E574" s="40">
        <v>874696</v>
      </c>
      <c r="F574" s="9">
        <v>3566956</v>
      </c>
      <c r="G574" s="77">
        <v>46044</v>
      </c>
      <c r="H574" s="9" t="s">
        <v>167</v>
      </c>
      <c r="I574" s="9"/>
      <c r="J574" s="9"/>
      <c r="K574" s="9"/>
      <c r="L574" s="9"/>
      <c r="M574" s="9"/>
      <c r="N574" s="9" t="s">
        <v>262</v>
      </c>
      <c r="O574" s="9" t="s">
        <v>258</v>
      </c>
      <c r="P574" s="37">
        <v>1374967</v>
      </c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</row>
    <row r="575" spans="1:33" ht="14.25" customHeight="1" x14ac:dyDescent="0.35">
      <c r="A575" s="12">
        <v>2002262</v>
      </c>
      <c r="B575" s="63" t="str">
        <f>IFERROR(VLOOKUP(Tabla2[[#This Row],[CODIGO]],INVENTARIO!A:B,2,0)," ")</f>
        <v>Tubería PE80 050mm Rollo</v>
      </c>
      <c r="C575" s="12">
        <v>700</v>
      </c>
      <c r="D575" s="13">
        <v>1807400</v>
      </c>
      <c r="E575" s="40">
        <v>874696</v>
      </c>
      <c r="F575" s="9">
        <v>3566956</v>
      </c>
      <c r="G575" s="77">
        <v>46044</v>
      </c>
      <c r="H575" s="9" t="s">
        <v>167</v>
      </c>
      <c r="I575" s="9"/>
      <c r="J575" s="9"/>
      <c r="K575" s="9"/>
      <c r="L575" s="9"/>
      <c r="M575" s="9"/>
      <c r="N575" s="9" t="s">
        <v>262</v>
      </c>
      <c r="O575" s="9" t="s">
        <v>258</v>
      </c>
      <c r="P575" s="37">
        <v>1374967</v>
      </c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</row>
    <row r="576" spans="1:33" ht="14.25" customHeight="1" x14ac:dyDescent="0.35">
      <c r="A576" s="12">
        <v>2005135</v>
      </c>
      <c r="B576" s="63" t="str">
        <f>IFERROR(VLOOKUP(Tabla2[[#This Row],[CODIGO]],INVENTARIO!A:B,2,0)," ")</f>
        <v>Tubo PVC 110 mm PN6 CG Amarillo Tira 6 m</v>
      </c>
      <c r="C576" s="12">
        <v>1</v>
      </c>
      <c r="D576" s="13">
        <v>27931</v>
      </c>
      <c r="E576" s="40">
        <v>874678</v>
      </c>
      <c r="F576" s="9">
        <v>3566954</v>
      </c>
      <c r="G576" s="77">
        <v>46044</v>
      </c>
      <c r="H576" s="9" t="s">
        <v>167</v>
      </c>
      <c r="I576" s="9"/>
      <c r="J576" s="9"/>
      <c r="K576" s="9"/>
      <c r="L576" s="9"/>
      <c r="M576" s="9"/>
      <c r="N576" s="9" t="s">
        <v>255</v>
      </c>
      <c r="O576" s="9" t="s">
        <v>258</v>
      </c>
      <c r="P576" s="37">
        <v>1374965</v>
      </c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</row>
    <row r="577" spans="1:33" ht="14.25" customHeight="1" x14ac:dyDescent="0.35">
      <c r="A577" s="12">
        <v>302065</v>
      </c>
      <c r="B577" s="63" t="str">
        <f>IFERROR(VLOOKUP(Tabla2[[#This Row],[CODIGO]],INVENTARIO!A:B,2,0)," ")</f>
        <v>Tubería PE80 110mm Tira</v>
      </c>
      <c r="C577" s="12">
        <v>72</v>
      </c>
      <c r="D577" s="13">
        <v>762696</v>
      </c>
      <c r="E577" s="40">
        <v>874679</v>
      </c>
      <c r="F577" s="9">
        <v>3566955</v>
      </c>
      <c r="G577" s="77">
        <v>46044</v>
      </c>
      <c r="H577" s="9" t="s">
        <v>167</v>
      </c>
      <c r="I577" s="9"/>
      <c r="J577" s="9"/>
      <c r="K577" s="9"/>
      <c r="L577" s="9"/>
      <c r="M577" s="9"/>
      <c r="N577" s="9" t="s">
        <v>254</v>
      </c>
      <c r="O577" s="9" t="s">
        <v>258</v>
      </c>
      <c r="P577" s="37">
        <v>1374966</v>
      </c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</row>
    <row r="578" spans="1:33" ht="14.25" customHeight="1" x14ac:dyDescent="0.35">
      <c r="A578" s="12">
        <v>2005137</v>
      </c>
      <c r="B578" s="63" t="str">
        <f>IFERROR(VLOOKUP(Tabla2[[#This Row],[CODIGO]],INVENTARIO!A:B,2,0)," ")</f>
        <v>Tubo PVC 200 mm PN6 CG Amarillo</v>
      </c>
      <c r="C578" s="12">
        <v>5</v>
      </c>
      <c r="D578" s="13">
        <v>409395</v>
      </c>
      <c r="E578" s="40">
        <v>874679</v>
      </c>
      <c r="F578" s="9">
        <v>3566955</v>
      </c>
      <c r="G578" s="77">
        <v>46044</v>
      </c>
      <c r="H578" s="9" t="s">
        <v>167</v>
      </c>
      <c r="I578" s="9"/>
      <c r="J578" s="9"/>
      <c r="K578" s="9"/>
      <c r="L578" s="9"/>
      <c r="M578" s="9"/>
      <c r="N578" s="9" t="s">
        <v>254</v>
      </c>
      <c r="O578" s="9" t="s">
        <v>258</v>
      </c>
      <c r="P578" s="37">
        <v>1374966</v>
      </c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</row>
    <row r="579" spans="1:33" ht="14.25" customHeight="1" x14ac:dyDescent="0.35">
      <c r="A579" s="12">
        <v>2003911</v>
      </c>
      <c r="B579" s="63" t="str">
        <f>IFERROR(VLOOKUP(Tabla2[[#This Row],[CODIGO]],INVENTARIO!A:B,2,0)," ")</f>
        <v>Válvula EFv PE 25 mm Para Tap. Tee</v>
      </c>
      <c r="C579" s="12">
        <v>1</v>
      </c>
      <c r="D579" s="13">
        <v>6233</v>
      </c>
      <c r="E579" s="40">
        <v>4500516582</v>
      </c>
      <c r="F579" s="9">
        <v>3566948</v>
      </c>
      <c r="G579" s="77">
        <v>46044</v>
      </c>
      <c r="H579" s="9" t="s">
        <v>166</v>
      </c>
      <c r="I579" s="9"/>
      <c r="J579" s="9"/>
      <c r="K579" s="9"/>
      <c r="L579" s="9"/>
      <c r="M579" s="9"/>
      <c r="N579" s="9" t="s">
        <v>259</v>
      </c>
      <c r="O579" s="9"/>
      <c r="P579" s="37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</row>
    <row r="580" spans="1:33" ht="14.25" customHeight="1" x14ac:dyDescent="0.35">
      <c r="A580" s="12">
        <v>301329</v>
      </c>
      <c r="B580" s="63" t="str">
        <f>IFERROR(VLOOKUP(Tabla2[[#This Row],[CODIGO]],INVENTARIO!A:B,2,0)," ")</f>
        <v>Copla PE100 025mm EF</v>
      </c>
      <c r="C580" s="12">
        <v>4</v>
      </c>
      <c r="D580" s="13">
        <v>8712</v>
      </c>
      <c r="E580" s="40">
        <v>4500516582</v>
      </c>
      <c r="F580" s="9">
        <v>3566948</v>
      </c>
      <c r="G580" s="77">
        <v>46044</v>
      </c>
      <c r="H580" s="9" t="s">
        <v>166</v>
      </c>
      <c r="I580" s="9"/>
      <c r="J580" s="9"/>
      <c r="K580" s="9"/>
      <c r="L580" s="9"/>
      <c r="M580" s="9"/>
      <c r="N580" s="9" t="s">
        <v>259</v>
      </c>
      <c r="O580" s="9"/>
      <c r="P580" s="37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</row>
    <row r="581" spans="1:33" ht="14.25" customHeight="1" x14ac:dyDescent="0.35">
      <c r="A581" s="12">
        <v>301099</v>
      </c>
      <c r="B581" s="63" t="str">
        <f>IFERROR(VLOOKUP(Tabla2[[#This Row],[CODIGO]],INVENTARIO!A:B,2,0)," ")</f>
        <v>Válvula PE100 Dn 25mm</v>
      </c>
      <c r="C581" s="12">
        <v>1</v>
      </c>
      <c r="D581" s="13">
        <v>64303</v>
      </c>
      <c r="E581" s="40">
        <v>4500516582</v>
      </c>
      <c r="F581" s="9">
        <v>3566948</v>
      </c>
      <c r="G581" s="77">
        <v>46044</v>
      </c>
      <c r="H581" s="9" t="s">
        <v>166</v>
      </c>
      <c r="I581" s="9"/>
      <c r="J581" s="9"/>
      <c r="K581" s="9"/>
      <c r="L581" s="9"/>
      <c r="M581" s="9"/>
      <c r="N581" s="9" t="s">
        <v>259</v>
      </c>
      <c r="O581" s="9"/>
      <c r="P581" s="37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</row>
    <row r="582" spans="1:33" ht="14.25" customHeight="1" x14ac:dyDescent="0.35">
      <c r="A582" s="12">
        <v>300109</v>
      </c>
      <c r="B582" s="63" t="str">
        <f>IFERROR(VLOOKUP(Tabla2[[#This Row],[CODIGO]],INVENTARIO!A:B,2,0)," ")</f>
        <v>Risers de Acero 3/4" Bsp x 25 mm</v>
      </c>
      <c r="C582" s="12">
        <v>1</v>
      </c>
      <c r="D582" s="13">
        <v>30001</v>
      </c>
      <c r="E582" s="40">
        <v>4500516582</v>
      </c>
      <c r="F582" s="9">
        <v>3566948</v>
      </c>
      <c r="G582" s="77">
        <v>46044</v>
      </c>
      <c r="H582" s="9" t="s">
        <v>166</v>
      </c>
      <c r="I582" s="9"/>
      <c r="J582" s="9"/>
      <c r="K582" s="9"/>
      <c r="L582" s="9"/>
      <c r="M582" s="9"/>
      <c r="N582" s="9" t="s">
        <v>259</v>
      </c>
      <c r="O582" s="9"/>
      <c r="P582" s="37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</row>
    <row r="583" spans="1:33" ht="14.25" customHeight="1" x14ac:dyDescent="0.35">
      <c r="A583" s="12">
        <v>101624</v>
      </c>
      <c r="B583" s="63" t="str">
        <f>IFERROR(VLOOKUP(Tabla2[[#This Row],[CODIGO]],INVENTARIO!A:B,2,0)," ")</f>
        <v>Tapping Tee PE 50-25 mm</v>
      </c>
      <c r="C583" s="12">
        <v>1</v>
      </c>
      <c r="D583" s="13">
        <v>15600</v>
      </c>
      <c r="E583" s="40">
        <v>4500516582</v>
      </c>
      <c r="F583" s="9">
        <v>3566948</v>
      </c>
      <c r="G583" s="77">
        <v>46044</v>
      </c>
      <c r="H583" s="9" t="s">
        <v>166</v>
      </c>
      <c r="I583" s="9"/>
      <c r="J583" s="9"/>
      <c r="K583" s="9"/>
      <c r="L583" s="9"/>
      <c r="M583" s="9"/>
      <c r="N583" s="9" t="s">
        <v>259</v>
      </c>
      <c r="O583" s="9"/>
      <c r="P583" s="37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</row>
    <row r="584" spans="1:33" ht="14.25" customHeight="1" x14ac:dyDescent="0.35">
      <c r="A584" s="12">
        <v>302446</v>
      </c>
      <c r="B584" s="63" t="str">
        <f>IFERROR(VLOOKUP(Tabla2[[#This Row],[CODIGO]],INVENTARIO!A:B,2,0)," ")</f>
        <v>Tapping Tee PE 200-25 mm</v>
      </c>
      <c r="C584" s="12">
        <v>1</v>
      </c>
      <c r="D584" s="13">
        <v>46460</v>
      </c>
      <c r="E584" s="40">
        <v>4500516580</v>
      </c>
      <c r="F584" s="9">
        <v>3566949</v>
      </c>
      <c r="G584" s="77">
        <v>46044</v>
      </c>
      <c r="H584" s="9" t="s">
        <v>166</v>
      </c>
      <c r="I584" s="9"/>
      <c r="J584" s="9"/>
      <c r="K584" s="9"/>
      <c r="L584" s="9"/>
      <c r="M584" s="9"/>
      <c r="N584" s="9" t="s">
        <v>265</v>
      </c>
      <c r="O584" s="9"/>
      <c r="P584" s="37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</row>
    <row r="585" spans="1:33" ht="14.25" customHeight="1" x14ac:dyDescent="0.35">
      <c r="A585" s="12">
        <v>301329</v>
      </c>
      <c r="B585" s="63" t="str">
        <f>IFERROR(VLOOKUP(Tabla2[[#This Row],[CODIGO]],INVENTARIO!A:B,2,0)," ")</f>
        <v>Copla PE100 025mm EF</v>
      </c>
      <c r="C585" s="12">
        <v>4</v>
      </c>
      <c r="D585" s="13">
        <v>8712</v>
      </c>
      <c r="E585" s="40">
        <v>4500516580</v>
      </c>
      <c r="F585" s="9">
        <v>3566949</v>
      </c>
      <c r="G585" s="77">
        <v>46044</v>
      </c>
      <c r="H585" s="9" t="s">
        <v>166</v>
      </c>
      <c r="I585" s="9"/>
      <c r="J585" s="9"/>
      <c r="K585" s="9"/>
      <c r="L585" s="9"/>
      <c r="M585" s="9"/>
      <c r="N585" s="9" t="s">
        <v>265</v>
      </c>
      <c r="O585" s="9"/>
      <c r="P585" s="37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</row>
    <row r="586" spans="1:33" ht="14.25" customHeight="1" x14ac:dyDescent="0.35">
      <c r="A586" s="12">
        <v>301099</v>
      </c>
      <c r="B586" s="63" t="str">
        <f>IFERROR(VLOOKUP(Tabla2[[#This Row],[CODIGO]],INVENTARIO!A:B,2,0)," ")</f>
        <v>Válvula PE100 Dn 25mm</v>
      </c>
      <c r="C586" s="12">
        <v>1</v>
      </c>
      <c r="D586" s="13">
        <v>64303</v>
      </c>
      <c r="E586" s="40">
        <v>4500516580</v>
      </c>
      <c r="F586" s="9">
        <v>3566949</v>
      </c>
      <c r="G586" s="77">
        <v>46044</v>
      </c>
      <c r="H586" s="9" t="s">
        <v>166</v>
      </c>
      <c r="I586" s="9"/>
      <c r="J586" s="9"/>
      <c r="K586" s="9"/>
      <c r="L586" s="9"/>
      <c r="M586" s="9"/>
      <c r="N586" s="9" t="s">
        <v>265</v>
      </c>
      <c r="O586" s="9"/>
      <c r="P586" s="37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</row>
    <row r="587" spans="1:33" ht="14.25" customHeight="1" x14ac:dyDescent="0.35">
      <c r="A587" s="12">
        <v>300109</v>
      </c>
      <c r="B587" s="63" t="str">
        <f>IFERROR(VLOOKUP(Tabla2[[#This Row],[CODIGO]],INVENTARIO!A:B,2,0)," ")</f>
        <v>Risers de Acero 3/4" Bsp x 25 mm</v>
      </c>
      <c r="C587" s="12">
        <v>1</v>
      </c>
      <c r="D587" s="13">
        <v>30001</v>
      </c>
      <c r="E587" s="40">
        <v>4500516580</v>
      </c>
      <c r="F587" s="9">
        <v>3566949</v>
      </c>
      <c r="G587" s="77">
        <v>46044</v>
      </c>
      <c r="H587" s="9" t="s">
        <v>166</v>
      </c>
      <c r="I587" s="9"/>
      <c r="J587" s="9"/>
      <c r="K587" s="9"/>
      <c r="L587" s="9"/>
      <c r="M587" s="9"/>
      <c r="N587" s="9" t="s">
        <v>265</v>
      </c>
      <c r="O587" s="9"/>
      <c r="P587" s="37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</row>
    <row r="588" spans="1:33" ht="14.25" customHeight="1" x14ac:dyDescent="0.35">
      <c r="A588" s="12">
        <v>301343</v>
      </c>
      <c r="B588" s="63" t="str">
        <f>IFERROR(VLOOKUP(Tabla2[[#This Row],[CODIGO]],INVENTARIO!A:B,2,0)," ")</f>
        <v>Tapping Tee PE 63-63 mm</v>
      </c>
      <c r="C588" s="12">
        <v>1</v>
      </c>
      <c r="D588" s="13">
        <v>24926</v>
      </c>
      <c r="E588" s="40">
        <v>4500516586</v>
      </c>
      <c r="F588" s="9">
        <v>3566950</v>
      </c>
      <c r="G588" s="77">
        <v>46044</v>
      </c>
      <c r="H588" s="9" t="s">
        <v>166</v>
      </c>
      <c r="I588" s="9"/>
      <c r="J588" s="9"/>
      <c r="K588" s="9"/>
      <c r="L588" s="9"/>
      <c r="M588" s="9"/>
      <c r="N588" s="9" t="s">
        <v>260</v>
      </c>
      <c r="O588" s="9"/>
      <c r="P588" s="37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</row>
    <row r="589" spans="1:33" ht="14.25" customHeight="1" x14ac:dyDescent="0.35">
      <c r="A589" s="12">
        <v>302678</v>
      </c>
      <c r="B589" s="63" t="str">
        <f>IFERROR(VLOOKUP(Tabla2[[#This Row],[CODIGO]],INVENTARIO!A:B,2,0)," ")</f>
        <v>Reductor PE  63-50 mm Electro F.</v>
      </c>
      <c r="C589" s="12">
        <v>1</v>
      </c>
      <c r="D589" s="13">
        <v>13128</v>
      </c>
      <c r="E589" s="40">
        <v>4500516586</v>
      </c>
      <c r="F589" s="9">
        <v>3566950</v>
      </c>
      <c r="G589" s="77">
        <v>46044</v>
      </c>
      <c r="H589" s="9" t="s">
        <v>166</v>
      </c>
      <c r="I589" s="9"/>
      <c r="J589" s="9"/>
      <c r="K589" s="9"/>
      <c r="L589" s="9"/>
      <c r="M589" s="9"/>
      <c r="N589" s="9" t="s">
        <v>260</v>
      </c>
      <c r="O589" s="9"/>
      <c r="P589" s="37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</row>
    <row r="590" spans="1:33" ht="14.25" customHeight="1" x14ac:dyDescent="0.35">
      <c r="A590" s="12">
        <v>300414</v>
      </c>
      <c r="B590" s="63" t="str">
        <f>IFERROR(VLOOKUP(Tabla2[[#This Row],[CODIGO]],INVENTARIO!A:B,2,0)," ")</f>
        <v>Válvula PE100 Dn 50mm</v>
      </c>
      <c r="C590" s="12">
        <v>1</v>
      </c>
      <c r="D590" s="13">
        <v>83109</v>
      </c>
      <c r="E590" s="40">
        <v>4500516586</v>
      </c>
      <c r="F590" s="9">
        <v>3566950</v>
      </c>
      <c r="G590" s="77">
        <v>46044</v>
      </c>
      <c r="H590" s="9" t="s">
        <v>166</v>
      </c>
      <c r="I590" s="9"/>
      <c r="J590" s="9"/>
      <c r="K590" s="9"/>
      <c r="L590" s="9"/>
      <c r="M590" s="9"/>
      <c r="N590" s="9" t="s">
        <v>260</v>
      </c>
      <c r="O590" s="9"/>
      <c r="P590" s="37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</row>
    <row r="591" spans="1:33" ht="14.25" customHeight="1" x14ac:dyDescent="0.35">
      <c r="A591" s="12">
        <v>303362</v>
      </c>
      <c r="B591" s="63" t="str">
        <f>IFERROR(VLOOKUP(Tabla2[[#This Row],[CODIGO]],INVENTARIO!A:B,2,0)," ")</f>
        <v>Reductor PE  50-40 mm Electro F.</v>
      </c>
      <c r="C591" s="12">
        <v>1</v>
      </c>
      <c r="D591" s="13">
        <v>6296</v>
      </c>
      <c r="E591" s="40">
        <v>4500516586</v>
      </c>
      <c r="F591" s="9">
        <v>3566950</v>
      </c>
      <c r="G591" s="77">
        <v>46044</v>
      </c>
      <c r="H591" s="9" t="s">
        <v>166</v>
      </c>
      <c r="I591" s="9"/>
      <c r="J591" s="9"/>
      <c r="K591" s="9"/>
      <c r="L591" s="9"/>
      <c r="M591" s="9"/>
      <c r="N591" s="9" t="s">
        <v>260</v>
      </c>
      <c r="O591" s="9"/>
      <c r="P591" s="37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</row>
    <row r="592" spans="1:33" ht="14.25" customHeight="1" x14ac:dyDescent="0.35">
      <c r="A592" s="12">
        <v>303345</v>
      </c>
      <c r="B592" s="63" t="str">
        <f>IFERROR(VLOOKUP(Tabla2[[#This Row],[CODIGO]],INVENTARIO!A:B,2,0)," ")</f>
        <v>Copla PE100 050mm EF</v>
      </c>
      <c r="C592" s="12">
        <v>3</v>
      </c>
      <c r="D592" s="13">
        <v>9906</v>
      </c>
      <c r="E592" s="40">
        <v>4500516586</v>
      </c>
      <c r="F592" s="9">
        <v>3566950</v>
      </c>
      <c r="G592" s="77">
        <v>46044</v>
      </c>
      <c r="H592" s="9" t="s">
        <v>166</v>
      </c>
      <c r="I592" s="9"/>
      <c r="J592" s="9"/>
      <c r="K592" s="9"/>
      <c r="L592" s="9"/>
      <c r="M592" s="9"/>
      <c r="N592" s="9" t="s">
        <v>260</v>
      </c>
      <c r="O592" s="9"/>
      <c r="P592" s="37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</row>
    <row r="593" spans="1:33" ht="14.25" customHeight="1" x14ac:dyDescent="0.35">
      <c r="A593" s="12">
        <v>302992</v>
      </c>
      <c r="B593" s="63" t="str">
        <f>IFERROR(VLOOKUP(Tabla2[[#This Row],[CODIGO]],INVENTARIO!A:B,2,0)," ")</f>
        <v>Codo PE100 90° 050mm EF</v>
      </c>
      <c r="C593" s="12">
        <v>2</v>
      </c>
      <c r="D593" s="13">
        <v>11242</v>
      </c>
      <c r="E593" s="40">
        <v>4500516586</v>
      </c>
      <c r="F593" s="9">
        <v>3566950</v>
      </c>
      <c r="G593" s="77">
        <v>46044</v>
      </c>
      <c r="H593" s="9" t="s">
        <v>166</v>
      </c>
      <c r="I593" s="9"/>
      <c r="J593" s="9"/>
      <c r="K593" s="9"/>
      <c r="L593" s="9"/>
      <c r="M593" s="9"/>
      <c r="N593" s="9" t="s">
        <v>260</v>
      </c>
      <c r="O593" s="9"/>
      <c r="P593" s="37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</row>
    <row r="594" spans="1:33" ht="14.25" customHeight="1" x14ac:dyDescent="0.35">
      <c r="A594" s="12">
        <v>301327</v>
      </c>
      <c r="B594" s="63" t="str">
        <f>IFERROR(VLOOKUP(Tabla2[[#This Row],[CODIGO]],INVENTARIO!A:B,2,0)," ")</f>
        <v>Tapa PE  050 mm Termo F.</v>
      </c>
      <c r="C594" s="12">
        <v>1</v>
      </c>
      <c r="D594" s="13">
        <v>3063</v>
      </c>
      <c r="E594" s="40">
        <v>4500516586</v>
      </c>
      <c r="F594" s="9">
        <v>3566950</v>
      </c>
      <c r="G594" s="77">
        <v>46044</v>
      </c>
      <c r="H594" s="9" t="s">
        <v>166</v>
      </c>
      <c r="I594" s="9"/>
      <c r="J594" s="9"/>
      <c r="K594" s="9"/>
      <c r="L594" s="9"/>
      <c r="M594" s="9"/>
      <c r="N594" s="9" t="s">
        <v>260</v>
      </c>
      <c r="O594" s="9"/>
      <c r="P594" s="37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</row>
    <row r="595" spans="1:33" ht="14.25" customHeight="1" x14ac:dyDescent="0.35">
      <c r="A595" s="12">
        <v>2004602</v>
      </c>
      <c r="B595" s="63" t="str">
        <f>IFERROR(VLOOKUP(Tabla2[[#This Row],[CODIGO]],INVENTARIO!A:B,2,0)," ")</f>
        <v>MRPC-120-(4/1,2)-(S)-2</v>
      </c>
      <c r="C595" s="12">
        <v>1</v>
      </c>
      <c r="D595" s="13">
        <v>2855512</v>
      </c>
      <c r="E595" s="40">
        <v>4500516586</v>
      </c>
      <c r="F595" s="9">
        <v>3566950</v>
      </c>
      <c r="G595" s="77">
        <v>46044</v>
      </c>
      <c r="H595" s="9" t="s">
        <v>166</v>
      </c>
      <c r="I595" s="53" t="s">
        <v>276</v>
      </c>
      <c r="J595" s="9"/>
      <c r="K595" s="9"/>
      <c r="L595" s="9"/>
      <c r="M595" s="9"/>
      <c r="N595" s="9" t="s">
        <v>260</v>
      </c>
      <c r="O595" s="9"/>
      <c r="P595" s="37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</row>
    <row r="596" spans="1:33" ht="14.25" customHeight="1" x14ac:dyDescent="0.35">
      <c r="A596" s="12">
        <v>2004602</v>
      </c>
      <c r="B596" s="63" t="str">
        <f>IFERROR(VLOOKUP(Tabla2[[#This Row],[CODIGO]],INVENTARIO!A:B,2,0)," ")</f>
        <v>MRPC-120-(4/1,2)-(S)-2</v>
      </c>
      <c r="C596" s="12">
        <v>1</v>
      </c>
      <c r="D596" s="13">
        <v>2855512</v>
      </c>
      <c r="E596" s="40">
        <v>4500516635</v>
      </c>
      <c r="F596" s="9">
        <v>3566952</v>
      </c>
      <c r="G596" s="77">
        <v>46044</v>
      </c>
      <c r="H596" s="9" t="s">
        <v>166</v>
      </c>
      <c r="I596" s="53" t="s">
        <v>277</v>
      </c>
      <c r="J596" s="9"/>
      <c r="K596" s="9"/>
      <c r="L596" s="9"/>
      <c r="M596" s="9"/>
      <c r="N596" s="9" t="s">
        <v>263</v>
      </c>
      <c r="O596" s="9"/>
      <c r="P596" s="37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</row>
    <row r="597" spans="1:33" ht="14.25" customHeight="1" x14ac:dyDescent="0.35">
      <c r="A597" s="12">
        <v>303362</v>
      </c>
      <c r="B597" s="63" t="str">
        <f>IFERROR(VLOOKUP(Tabla2[[#This Row],[CODIGO]],INVENTARIO!A:B,2,0)," ")</f>
        <v>Reductor PE  50-40 mm Electro F.</v>
      </c>
      <c r="C597" s="12">
        <v>1</v>
      </c>
      <c r="D597" s="13">
        <v>6296</v>
      </c>
      <c r="E597" s="40"/>
      <c r="F597" s="9">
        <v>3566852</v>
      </c>
      <c r="G597" s="77">
        <v>46044</v>
      </c>
      <c r="H597" s="9" t="s">
        <v>166</v>
      </c>
      <c r="I597" s="9"/>
      <c r="J597" s="9"/>
      <c r="K597" s="9"/>
      <c r="L597" s="9"/>
      <c r="M597" s="9"/>
      <c r="N597" s="9" t="s">
        <v>263</v>
      </c>
      <c r="O597" s="9"/>
      <c r="P597" s="37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</row>
    <row r="598" spans="1:33" ht="14.25" customHeight="1" x14ac:dyDescent="0.35">
      <c r="A598" s="12">
        <v>303345</v>
      </c>
      <c r="B598" s="63" t="str">
        <f>IFERROR(VLOOKUP(Tabla2[[#This Row],[CODIGO]],INVENTARIO!A:B,2,0)," ")</f>
        <v>Copla PE100 050mm EF</v>
      </c>
      <c r="C598" s="12">
        <v>3</v>
      </c>
      <c r="D598" s="13">
        <v>9906</v>
      </c>
      <c r="E598" s="40"/>
      <c r="F598" s="9">
        <v>3566852</v>
      </c>
      <c r="G598" s="77">
        <v>46044</v>
      </c>
      <c r="H598" s="9" t="s">
        <v>166</v>
      </c>
      <c r="I598" s="9"/>
      <c r="J598" s="9"/>
      <c r="K598" s="9"/>
      <c r="L598" s="9"/>
      <c r="M598" s="9"/>
      <c r="N598" s="9" t="s">
        <v>263</v>
      </c>
      <c r="O598" s="9"/>
      <c r="P598" s="37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</row>
    <row r="599" spans="1:33" ht="14.25" customHeight="1" x14ac:dyDescent="0.35">
      <c r="A599" s="12">
        <v>302992</v>
      </c>
      <c r="B599" s="63" t="str">
        <f>IFERROR(VLOOKUP(Tabla2[[#This Row],[CODIGO]],INVENTARIO!A:B,2,0)," ")</f>
        <v>Codo PE100 90° 050mm EF</v>
      </c>
      <c r="C599" s="12">
        <v>3</v>
      </c>
      <c r="D599" s="13">
        <v>16863</v>
      </c>
      <c r="E599" s="40"/>
      <c r="F599" s="9">
        <v>3566852</v>
      </c>
      <c r="G599" s="77">
        <v>46044</v>
      </c>
      <c r="H599" s="9" t="s">
        <v>166</v>
      </c>
      <c r="I599" s="9"/>
      <c r="J599" s="9"/>
      <c r="K599" s="9"/>
      <c r="L599" s="9"/>
      <c r="M599" s="9"/>
      <c r="N599" s="9" t="s">
        <v>263</v>
      </c>
      <c r="O599" s="9"/>
      <c r="P599" s="37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</row>
    <row r="600" spans="1:33" ht="14.25" customHeight="1" x14ac:dyDescent="0.35">
      <c r="A600" s="12">
        <v>302678</v>
      </c>
      <c r="B600" s="63" t="str">
        <f>IFERROR(VLOOKUP(Tabla2[[#This Row],[CODIGO]],INVENTARIO!A:B,2,0)," ")</f>
        <v>Reductor PE  63-50 mm Electro F.</v>
      </c>
      <c r="C600" s="12">
        <v>1</v>
      </c>
      <c r="D600" s="13">
        <v>13128</v>
      </c>
      <c r="E600" s="40"/>
      <c r="F600" s="9">
        <v>3566852</v>
      </c>
      <c r="G600" s="77">
        <v>46044</v>
      </c>
      <c r="H600" s="9" t="s">
        <v>166</v>
      </c>
      <c r="I600" s="9"/>
      <c r="J600" s="9"/>
      <c r="K600" s="9"/>
      <c r="L600" s="9"/>
      <c r="M600" s="9"/>
      <c r="N600" s="9" t="s">
        <v>263</v>
      </c>
      <c r="O600" s="9"/>
      <c r="P600" s="37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</row>
    <row r="601" spans="1:33" ht="14.25" customHeight="1" x14ac:dyDescent="0.35">
      <c r="A601" s="12">
        <v>301343</v>
      </c>
      <c r="B601" s="63" t="str">
        <f>IFERROR(VLOOKUP(Tabla2[[#This Row],[CODIGO]],INVENTARIO!A:B,2,0)," ")</f>
        <v>Tapping Tee PE 63-63 mm</v>
      </c>
      <c r="C601" s="12">
        <v>1</v>
      </c>
      <c r="D601" s="13">
        <v>24926</v>
      </c>
      <c r="E601" s="40"/>
      <c r="F601" s="9">
        <v>3566852</v>
      </c>
      <c r="G601" s="77">
        <v>46044</v>
      </c>
      <c r="H601" s="9" t="s">
        <v>166</v>
      </c>
      <c r="I601" s="9"/>
      <c r="J601" s="9"/>
      <c r="K601" s="9"/>
      <c r="L601" s="9"/>
      <c r="M601" s="9"/>
      <c r="N601" s="9" t="s">
        <v>263</v>
      </c>
      <c r="O601" s="9"/>
      <c r="P601" s="37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</row>
    <row r="602" spans="1:33" ht="14.25" customHeight="1" x14ac:dyDescent="0.35">
      <c r="A602" s="12">
        <v>301327</v>
      </c>
      <c r="B602" s="63" t="str">
        <f>IFERROR(VLOOKUP(Tabla2[[#This Row],[CODIGO]],INVENTARIO!A:B,2,0)," ")</f>
        <v>Tapa PE  050 mm Termo F.</v>
      </c>
      <c r="C602" s="12">
        <v>1</v>
      </c>
      <c r="D602" s="13">
        <v>3063</v>
      </c>
      <c r="E602" s="40"/>
      <c r="F602" s="9">
        <v>3566852</v>
      </c>
      <c r="G602" s="77">
        <v>46044</v>
      </c>
      <c r="H602" s="9" t="s">
        <v>166</v>
      </c>
      <c r="I602" s="9"/>
      <c r="J602" s="9"/>
      <c r="K602" s="9"/>
      <c r="L602" s="9"/>
      <c r="M602" s="9"/>
      <c r="N602" s="9" t="s">
        <v>263</v>
      </c>
      <c r="O602" s="9"/>
      <c r="P602" s="37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</row>
    <row r="603" spans="1:33" ht="14.25" customHeight="1" x14ac:dyDescent="0.35">
      <c r="A603" s="12">
        <v>300414</v>
      </c>
      <c r="B603" s="63" t="str">
        <f>IFERROR(VLOOKUP(Tabla2[[#This Row],[CODIGO]],INVENTARIO!A:B,2,0)," ")</f>
        <v>Válvula PE100 Dn 50mm</v>
      </c>
      <c r="C603" s="12">
        <v>1</v>
      </c>
      <c r="D603" s="13">
        <v>83109</v>
      </c>
      <c r="E603" s="40"/>
      <c r="F603" s="9">
        <v>3566852</v>
      </c>
      <c r="G603" s="77">
        <v>46044</v>
      </c>
      <c r="H603" s="9" t="s">
        <v>166</v>
      </c>
      <c r="I603" s="9"/>
      <c r="J603" s="9"/>
      <c r="K603" s="9"/>
      <c r="L603" s="9"/>
      <c r="M603" s="9"/>
      <c r="N603" s="9" t="s">
        <v>263</v>
      </c>
      <c r="O603" s="9"/>
      <c r="P603" s="37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</row>
    <row r="604" spans="1:33" ht="14.25" customHeight="1" x14ac:dyDescent="0.35">
      <c r="A604" s="12">
        <v>301666</v>
      </c>
      <c r="B604" s="63" t="str">
        <f>IFERROR(VLOOKUP(Tabla2[[#This Row],[CODIGO]],INVENTARIO!A:B,2,0)," ")</f>
        <v>Tapping Tee PE 110-25 mm</v>
      </c>
      <c r="C604" s="12">
        <v>1</v>
      </c>
      <c r="D604" s="13">
        <v>12084</v>
      </c>
      <c r="E604" s="40">
        <v>4500516587</v>
      </c>
      <c r="F604" s="9">
        <v>3566951</v>
      </c>
      <c r="G604" s="77">
        <v>46044</v>
      </c>
      <c r="H604" s="9" t="s">
        <v>166</v>
      </c>
      <c r="I604" s="9"/>
      <c r="J604" s="9"/>
      <c r="K604" s="9"/>
      <c r="L604" s="9"/>
      <c r="M604" s="9"/>
      <c r="N604" s="9" t="s">
        <v>261</v>
      </c>
      <c r="O604" s="9"/>
      <c r="P604" s="37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</row>
    <row r="605" spans="1:33" ht="14.25" customHeight="1" x14ac:dyDescent="0.35">
      <c r="A605" s="12">
        <v>301329</v>
      </c>
      <c r="B605" s="63" t="str">
        <f>IFERROR(VLOOKUP(Tabla2[[#This Row],[CODIGO]],INVENTARIO!A:B,2,0)," ")</f>
        <v>Copla PE100 025mm EF</v>
      </c>
      <c r="C605" s="12">
        <v>4</v>
      </c>
      <c r="D605" s="13">
        <v>8712</v>
      </c>
      <c r="E605" s="40">
        <v>4500516587</v>
      </c>
      <c r="F605" s="9">
        <v>3566951</v>
      </c>
      <c r="G605" s="77">
        <v>46044</v>
      </c>
      <c r="H605" s="9" t="s">
        <v>166</v>
      </c>
      <c r="I605" s="9"/>
      <c r="J605" s="9"/>
      <c r="K605" s="9"/>
      <c r="L605" s="9"/>
      <c r="M605" s="9"/>
      <c r="N605" s="9" t="s">
        <v>261</v>
      </c>
      <c r="O605" s="9"/>
      <c r="P605" s="37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</row>
    <row r="606" spans="1:33" ht="14.25" customHeight="1" x14ac:dyDescent="0.35">
      <c r="A606" s="12">
        <v>301099</v>
      </c>
      <c r="B606" s="63" t="str">
        <f>IFERROR(VLOOKUP(Tabla2[[#This Row],[CODIGO]],INVENTARIO!A:B,2,0)," ")</f>
        <v>Válvula PE100 Dn 25mm</v>
      </c>
      <c r="C606" s="12">
        <v>1</v>
      </c>
      <c r="D606" s="13">
        <v>64303</v>
      </c>
      <c r="E606" s="40">
        <v>4500516587</v>
      </c>
      <c r="F606" s="9">
        <v>3566951</v>
      </c>
      <c r="G606" s="77">
        <v>46044</v>
      </c>
      <c r="H606" s="9" t="s">
        <v>166</v>
      </c>
      <c r="I606" s="9"/>
      <c r="J606" s="9"/>
      <c r="K606" s="9"/>
      <c r="L606" s="9"/>
      <c r="M606" s="9"/>
      <c r="N606" s="9" t="s">
        <v>261</v>
      </c>
      <c r="O606" s="9"/>
      <c r="P606" s="37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</row>
    <row r="607" spans="1:33" ht="14.25" customHeight="1" x14ac:dyDescent="0.35">
      <c r="A607" s="12">
        <v>300109</v>
      </c>
      <c r="B607" s="63" t="str">
        <f>IFERROR(VLOOKUP(Tabla2[[#This Row],[CODIGO]],INVENTARIO!A:B,2,0)," ")</f>
        <v>Risers de Acero 3/4" Bsp x 25 mm</v>
      </c>
      <c r="C607" s="12">
        <v>1</v>
      </c>
      <c r="D607" s="13">
        <v>30001</v>
      </c>
      <c r="E607" s="40">
        <v>4500516587</v>
      </c>
      <c r="F607" s="9">
        <v>3566951</v>
      </c>
      <c r="G607" s="77">
        <v>46044</v>
      </c>
      <c r="H607" s="9" t="s">
        <v>166</v>
      </c>
      <c r="I607" s="9"/>
      <c r="J607" s="9"/>
      <c r="K607" s="9"/>
      <c r="L607" s="9"/>
      <c r="M607" s="9"/>
      <c r="N607" s="9" t="s">
        <v>261</v>
      </c>
      <c r="O607" s="9"/>
      <c r="P607" s="37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</row>
    <row r="608" spans="1:33" ht="14.25" customHeight="1" x14ac:dyDescent="0.35">
      <c r="A608" s="12">
        <v>300109</v>
      </c>
      <c r="B608" s="63" t="str">
        <f>IFERROR(VLOOKUP(Tabla2[[#This Row],[CODIGO]],INVENTARIO!A:B,2,0)," ")</f>
        <v>Risers de Acero 3/4" Bsp x 25 mm</v>
      </c>
      <c r="C608" s="12">
        <v>106</v>
      </c>
      <c r="D608" s="13">
        <v>3180106</v>
      </c>
      <c r="E608" s="40">
        <v>4500516638</v>
      </c>
      <c r="F608" s="9">
        <v>3566953</v>
      </c>
      <c r="G608" s="77">
        <v>46044</v>
      </c>
      <c r="H608" s="9" t="s">
        <v>166</v>
      </c>
      <c r="I608" s="9"/>
      <c r="J608" s="9"/>
      <c r="K608" s="9"/>
      <c r="L608" s="9"/>
      <c r="M608" s="9"/>
      <c r="N608" s="9" t="s">
        <v>264</v>
      </c>
      <c r="O608" s="9"/>
      <c r="P608" s="37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</row>
    <row r="609" spans="1:33" ht="14.25" customHeight="1" x14ac:dyDescent="0.35">
      <c r="A609" s="12">
        <v>301329</v>
      </c>
      <c r="B609" s="63" t="str">
        <f>IFERROR(VLOOKUP(Tabla2[[#This Row],[CODIGO]],INVENTARIO!A:B,2,0)," ")</f>
        <v>Copla PE100 025mm EF</v>
      </c>
      <c r="C609" s="12">
        <v>217</v>
      </c>
      <c r="D609" s="13">
        <v>472626</v>
      </c>
      <c r="E609" s="40">
        <v>4500516638</v>
      </c>
      <c r="F609" s="9">
        <v>3566953</v>
      </c>
      <c r="G609" s="77">
        <v>46044</v>
      </c>
      <c r="H609" s="9" t="s">
        <v>166</v>
      </c>
      <c r="I609" s="9"/>
      <c r="J609" s="9"/>
      <c r="K609" s="9"/>
      <c r="L609" s="9"/>
      <c r="M609" s="9"/>
      <c r="N609" s="9" t="s">
        <v>264</v>
      </c>
      <c r="O609" s="9"/>
      <c r="P609" s="37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</row>
    <row r="610" spans="1:33" ht="14.25" customHeight="1" x14ac:dyDescent="0.35">
      <c r="A610" s="12">
        <v>2006393</v>
      </c>
      <c r="B610" s="63" t="str">
        <f>IFERROR(VLOOKUP(Tabla2[[#This Row],[CODIGO]],INVENTARIO!A:B,2,0)," ")</f>
        <v>Transición Latón 3/4"x25 MM PE100, SDR11</v>
      </c>
      <c r="C610" s="12">
        <v>2</v>
      </c>
      <c r="D610" s="13">
        <v>25410</v>
      </c>
      <c r="E610" s="40">
        <v>4500516638</v>
      </c>
      <c r="F610" s="9">
        <v>3566953</v>
      </c>
      <c r="G610" s="77">
        <v>46044</v>
      </c>
      <c r="H610" s="9" t="s">
        <v>166</v>
      </c>
      <c r="I610" s="9"/>
      <c r="J610" s="9"/>
      <c r="K610" s="9"/>
      <c r="L610" s="9"/>
      <c r="M610" s="9"/>
      <c r="N610" s="9" t="s">
        <v>264</v>
      </c>
      <c r="O610" s="9"/>
      <c r="P610" s="37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</row>
    <row r="611" spans="1:33" ht="14.25" customHeight="1" x14ac:dyDescent="0.35">
      <c r="A611" s="12">
        <v>2006392</v>
      </c>
      <c r="B611" s="63" t="str">
        <f>IFERROR(VLOOKUP(Tabla2[[#This Row],[CODIGO]],INVENTARIO!A:B,2,0)," ")</f>
        <v>Limitador Flujo P/Tapping Tee 25 MM</v>
      </c>
      <c r="C611" s="12">
        <v>2</v>
      </c>
      <c r="D611" s="13">
        <v>3772</v>
      </c>
      <c r="E611" s="40">
        <v>4500516638</v>
      </c>
      <c r="F611" s="9">
        <v>3566953</v>
      </c>
      <c r="G611" s="77">
        <v>46044</v>
      </c>
      <c r="H611" s="9" t="s">
        <v>166</v>
      </c>
      <c r="I611" s="9"/>
      <c r="J611" s="9"/>
      <c r="K611" s="9"/>
      <c r="L611" s="9"/>
      <c r="M611" s="9"/>
      <c r="N611" s="9" t="s">
        <v>264</v>
      </c>
      <c r="O611" s="9"/>
      <c r="P611" s="37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</row>
    <row r="612" spans="1:33" ht="14.25" customHeight="1" x14ac:dyDescent="0.35">
      <c r="A612" s="12">
        <v>2000350</v>
      </c>
      <c r="B612" s="63" t="str">
        <f>IFERROR(VLOOKUP(Tabla2[[#This Row],[CODIGO]],INVENTARIO!A:B,2,0)," ")</f>
        <v>Codo PE 90º  25 mm EF.</v>
      </c>
      <c r="C612" s="12">
        <v>2</v>
      </c>
      <c r="D612" s="13">
        <v>12264</v>
      </c>
      <c r="E612" s="40">
        <v>4500516638</v>
      </c>
      <c r="F612" s="9">
        <v>3566953</v>
      </c>
      <c r="G612" s="77">
        <v>46044</v>
      </c>
      <c r="H612" s="9" t="s">
        <v>166</v>
      </c>
      <c r="I612" s="9"/>
      <c r="J612" s="9"/>
      <c r="K612" s="9"/>
      <c r="L612" s="9"/>
      <c r="M612" s="9"/>
      <c r="N612" s="9" t="s">
        <v>264</v>
      </c>
      <c r="O612" s="9"/>
      <c r="P612" s="37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</row>
    <row r="613" spans="1:33" ht="14.25" customHeight="1" x14ac:dyDescent="0.35">
      <c r="A613" s="12">
        <v>303345</v>
      </c>
      <c r="B613" s="63" t="str">
        <f>IFERROR(VLOOKUP(Tabla2[[#This Row],[CODIGO]],INVENTARIO!A:B,2,0)," ")</f>
        <v>Copla PE100 050mm EF</v>
      </c>
      <c r="C613" s="12">
        <v>25</v>
      </c>
      <c r="D613" s="13">
        <v>82550</v>
      </c>
      <c r="E613" s="40">
        <v>4500516638</v>
      </c>
      <c r="F613" s="9">
        <v>3566953</v>
      </c>
      <c r="G613" s="77">
        <v>46044</v>
      </c>
      <c r="H613" s="9" t="s">
        <v>166</v>
      </c>
      <c r="I613" s="9"/>
      <c r="J613" s="9"/>
      <c r="K613" s="9"/>
      <c r="L613" s="9"/>
      <c r="M613" s="9"/>
      <c r="N613" s="9" t="s">
        <v>264</v>
      </c>
      <c r="O613" s="9"/>
      <c r="P613" s="37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</row>
    <row r="614" spans="1:33" ht="14.25" customHeight="1" x14ac:dyDescent="0.35">
      <c r="A614" s="12">
        <v>302992</v>
      </c>
      <c r="B614" s="63" t="str">
        <f>IFERROR(VLOOKUP(Tabla2[[#This Row],[CODIGO]],INVENTARIO!A:B,2,0)," ")</f>
        <v>Codo PE100 90° 050mm EF</v>
      </c>
      <c r="C614" s="12">
        <v>2</v>
      </c>
      <c r="D614" s="13">
        <v>11242</v>
      </c>
      <c r="E614" s="40">
        <v>4500516638</v>
      </c>
      <c r="F614" s="9">
        <v>3566953</v>
      </c>
      <c r="G614" s="77">
        <v>46044</v>
      </c>
      <c r="H614" s="9" t="s">
        <v>166</v>
      </c>
      <c r="I614" s="9"/>
      <c r="J614" s="9"/>
      <c r="K614" s="9"/>
      <c r="L614" s="9"/>
      <c r="M614" s="9"/>
      <c r="N614" s="9" t="s">
        <v>264</v>
      </c>
      <c r="O614" s="9"/>
      <c r="P614" s="37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</row>
    <row r="615" spans="1:33" ht="14.25" customHeight="1" x14ac:dyDescent="0.35">
      <c r="A615" s="12">
        <v>301327</v>
      </c>
      <c r="B615" s="63" t="str">
        <f>IFERROR(VLOOKUP(Tabla2[[#This Row],[CODIGO]],INVENTARIO!A:B,2,0)," ")</f>
        <v>Tapa PE  050 mm Termo F.</v>
      </c>
      <c r="C615" s="12">
        <v>4</v>
      </c>
      <c r="D615" s="13">
        <v>12252</v>
      </c>
      <c r="E615" s="40">
        <v>4500516638</v>
      </c>
      <c r="F615" s="9">
        <v>3566953</v>
      </c>
      <c r="G615" s="77">
        <v>46044</v>
      </c>
      <c r="H615" s="9" t="s">
        <v>166</v>
      </c>
      <c r="I615" s="9"/>
      <c r="J615" s="9"/>
      <c r="K615" s="9"/>
      <c r="L615" s="9"/>
      <c r="M615" s="9"/>
      <c r="N615" s="9" t="s">
        <v>264</v>
      </c>
      <c r="O615" s="9"/>
      <c r="P615" s="37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</row>
    <row r="616" spans="1:33" ht="14.25" customHeight="1" x14ac:dyDescent="0.35">
      <c r="A616" s="12">
        <v>300712</v>
      </c>
      <c r="B616" s="63" t="str">
        <f>IFERROR(VLOOKUP(Tabla2[[#This Row],[CODIGO]],INVENTARIO!A:B,2,0)," ")</f>
        <v>Tapa PE  025 mm Termo F.</v>
      </c>
      <c r="C616" s="12">
        <v>3</v>
      </c>
      <c r="D616" s="13">
        <v>4119</v>
      </c>
      <c r="E616" s="40">
        <v>4500516638</v>
      </c>
      <c r="F616" s="9">
        <v>3566953</v>
      </c>
      <c r="G616" s="77">
        <v>46044</v>
      </c>
      <c r="H616" s="9" t="s">
        <v>166</v>
      </c>
      <c r="I616" s="9"/>
      <c r="J616" s="9"/>
      <c r="K616" s="9"/>
      <c r="L616" s="9"/>
      <c r="M616" s="9"/>
      <c r="N616" s="9" t="s">
        <v>264</v>
      </c>
      <c r="O616" s="9"/>
      <c r="P616" s="37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</row>
    <row r="617" spans="1:33" ht="14.25" customHeight="1" x14ac:dyDescent="0.35">
      <c r="A617" s="12">
        <v>300414</v>
      </c>
      <c r="B617" s="63" t="str">
        <f>IFERROR(VLOOKUP(Tabla2[[#This Row],[CODIGO]],INVENTARIO!A:B,2,0)," ")</f>
        <v>Válvula PE100 Dn 50mm</v>
      </c>
      <c r="C617" s="12">
        <v>2</v>
      </c>
      <c r="D617" s="13">
        <v>166218</v>
      </c>
      <c r="E617" s="40">
        <v>4500516638</v>
      </c>
      <c r="F617" s="9">
        <v>3566953</v>
      </c>
      <c r="G617" s="77">
        <v>46044</v>
      </c>
      <c r="H617" s="9" t="s">
        <v>166</v>
      </c>
      <c r="I617" s="9"/>
      <c r="J617" s="9"/>
      <c r="K617" s="9"/>
      <c r="L617" s="9"/>
      <c r="M617" s="9"/>
      <c r="N617" s="9" t="s">
        <v>264</v>
      </c>
      <c r="O617" s="9"/>
      <c r="P617" s="37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</row>
    <row r="618" spans="1:33" ht="14.25" customHeight="1" x14ac:dyDescent="0.35">
      <c r="A618" s="12">
        <v>400205</v>
      </c>
      <c r="B618" s="63" t="str">
        <f>IFERROR(VLOOKUP(Tabla2[[#This Row],[CODIGO]],INVENTARIO!A:B,2,0)," ")</f>
        <v>Tee PE  50 mm Electro F.</v>
      </c>
      <c r="C618" s="12">
        <v>3</v>
      </c>
      <c r="D618" s="13">
        <v>17739</v>
      </c>
      <c r="E618" s="40">
        <v>4500516638</v>
      </c>
      <c r="F618" s="9">
        <v>3566953</v>
      </c>
      <c r="G618" s="77">
        <v>46044</v>
      </c>
      <c r="H618" s="9" t="s">
        <v>166</v>
      </c>
      <c r="I618" s="9"/>
      <c r="J618" s="9"/>
      <c r="K618" s="9"/>
      <c r="L618" s="9"/>
      <c r="M618" s="9"/>
      <c r="N618" s="9" t="s">
        <v>264</v>
      </c>
      <c r="O618" s="9"/>
      <c r="P618" s="37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</row>
    <row r="619" spans="1:33" ht="14.25" customHeight="1" x14ac:dyDescent="0.35">
      <c r="A619" s="12">
        <v>101624</v>
      </c>
      <c r="B619" s="63" t="str">
        <f>IFERROR(VLOOKUP(Tabla2[[#This Row],[CODIGO]],INVENTARIO!A:B,2,0)," ")</f>
        <v>Tapping Tee PE 50-25 mm</v>
      </c>
      <c r="C619" s="12">
        <v>108</v>
      </c>
      <c r="D619" s="13">
        <v>1684800</v>
      </c>
      <c r="E619" s="40">
        <v>4500516638</v>
      </c>
      <c r="F619" s="9">
        <v>3566953</v>
      </c>
      <c r="G619" s="77">
        <v>46044</v>
      </c>
      <c r="H619" s="9" t="s">
        <v>166</v>
      </c>
      <c r="I619" s="9"/>
      <c r="J619" s="9"/>
      <c r="K619" s="9"/>
      <c r="L619" s="9"/>
      <c r="M619" s="9"/>
      <c r="N619" s="9" t="s">
        <v>264</v>
      </c>
      <c r="O619" s="9"/>
      <c r="P619" s="37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</row>
    <row r="620" spans="1:33" ht="14.25" customHeight="1" x14ac:dyDescent="0.35">
      <c r="A620" s="12">
        <v>2003911</v>
      </c>
      <c r="B620" s="63" t="str">
        <f>IFERROR(VLOOKUP(Tabla2[[#This Row],[CODIGO]],INVENTARIO!A:B,2,0)," ")</f>
        <v>Válvula EFv PE 25 mm Para Tap. Tee</v>
      </c>
      <c r="C620" s="12">
        <v>103</v>
      </c>
      <c r="D620" s="13">
        <v>641999</v>
      </c>
      <c r="E620" s="40">
        <v>4500516638</v>
      </c>
      <c r="F620" s="9">
        <v>3566953</v>
      </c>
      <c r="G620" s="77">
        <v>46044</v>
      </c>
      <c r="H620" s="9" t="s">
        <v>166</v>
      </c>
      <c r="I620" s="9"/>
      <c r="J620" s="9"/>
      <c r="K620" s="9"/>
      <c r="L620" s="9"/>
      <c r="M620" s="9"/>
      <c r="N620" s="9" t="s">
        <v>264</v>
      </c>
      <c r="O620" s="9"/>
      <c r="P620" s="37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</row>
    <row r="621" spans="1:33" ht="14.25" customHeight="1" x14ac:dyDescent="0.35">
      <c r="A621" s="12">
        <v>300118</v>
      </c>
      <c r="B621" s="63" t="str">
        <f>IFERROR(VLOOKUP(Tabla2[[#This Row],[CODIGO]],INVENTARIO!A:B,2,0)," ")</f>
        <v>Codo PE100 45° 050mm EF</v>
      </c>
      <c r="C621" s="12">
        <v>1</v>
      </c>
      <c r="D621" s="13">
        <v>5497</v>
      </c>
      <c r="E621" s="40">
        <v>4500516638</v>
      </c>
      <c r="F621" s="9">
        <v>3566953</v>
      </c>
      <c r="G621" s="77">
        <v>46044</v>
      </c>
      <c r="H621" s="9" t="s">
        <v>166</v>
      </c>
      <c r="I621" s="9"/>
      <c r="J621" s="9"/>
      <c r="K621" s="9"/>
      <c r="L621" s="9"/>
      <c r="M621" s="9"/>
      <c r="N621" s="9" t="s">
        <v>264</v>
      </c>
      <c r="O621" s="9"/>
      <c r="P621" s="37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</row>
    <row r="622" spans="1:33" ht="14.25" customHeight="1" x14ac:dyDescent="0.35">
      <c r="A622" s="12">
        <v>302683</v>
      </c>
      <c r="B622" s="63" t="str">
        <f>IFERROR(VLOOKUP(Tabla2[[#This Row],[CODIGO]],INVENTARIO!A:B,2,0)," ")</f>
        <v>Codo PE100 45° 160mm EF</v>
      </c>
      <c r="C622" s="12">
        <v>5</v>
      </c>
      <c r="D622" s="13">
        <v>456090</v>
      </c>
      <c r="E622" s="40">
        <v>4500516647</v>
      </c>
      <c r="F622" s="9">
        <v>3566957</v>
      </c>
      <c r="G622" s="77">
        <v>46044</v>
      </c>
      <c r="H622" s="9" t="s">
        <v>166</v>
      </c>
      <c r="I622" s="9"/>
      <c r="J622" s="9"/>
      <c r="K622" s="9"/>
      <c r="L622" s="9"/>
      <c r="M622" s="9"/>
      <c r="N622" s="9" t="s">
        <v>193</v>
      </c>
      <c r="O622" s="9"/>
      <c r="P622" s="37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</row>
    <row r="623" spans="1:33" ht="14.25" customHeight="1" x14ac:dyDescent="0.35">
      <c r="A623" s="12">
        <v>2008302</v>
      </c>
      <c r="B623" s="63" t="str">
        <f>IFERROR(VLOOKUP(Tabla2[[#This Row],[CODIGO]],INVENTARIO!A:B,2,0)," ")</f>
        <v>Tapa PE 063 mm Electro F.</v>
      </c>
      <c r="C623" s="12">
        <v>2</v>
      </c>
      <c r="D623" s="13">
        <v>27246</v>
      </c>
      <c r="E623" s="40">
        <v>4500516647</v>
      </c>
      <c r="F623" s="9">
        <v>3566957</v>
      </c>
      <c r="G623" s="77">
        <v>46044</v>
      </c>
      <c r="H623" s="9" t="s">
        <v>166</v>
      </c>
      <c r="I623" s="9"/>
      <c r="J623" s="9"/>
      <c r="K623" s="9"/>
      <c r="L623" s="9"/>
      <c r="M623" s="9"/>
      <c r="N623" s="9" t="s">
        <v>193</v>
      </c>
      <c r="O623" s="9"/>
      <c r="P623" s="37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</row>
    <row r="624" spans="1:33" ht="14.25" customHeight="1" x14ac:dyDescent="0.35">
      <c r="A624" s="12">
        <v>301047</v>
      </c>
      <c r="B624" s="63" t="str">
        <f>IFERROR(VLOOKUP(Tabla2[[#This Row],[CODIGO]],INVENTARIO!A:B,2,0)," ")</f>
        <v>Tee PE 160 mm Electro F.</v>
      </c>
      <c r="C624" s="12">
        <v>6</v>
      </c>
      <c r="D624" s="13">
        <v>301656</v>
      </c>
      <c r="E624" s="40">
        <v>4500516647</v>
      </c>
      <c r="F624" s="9">
        <v>3566957</v>
      </c>
      <c r="G624" s="77">
        <v>46044</v>
      </c>
      <c r="H624" s="9" t="s">
        <v>166</v>
      </c>
      <c r="I624" s="9"/>
      <c r="J624" s="9"/>
      <c r="K624" s="9"/>
      <c r="L624" s="9"/>
      <c r="M624" s="9"/>
      <c r="N624" s="9" t="s">
        <v>193</v>
      </c>
      <c r="O624" s="9"/>
      <c r="P624" s="37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</row>
    <row r="625" spans="1:33" ht="14.25" customHeight="1" x14ac:dyDescent="0.35">
      <c r="A625" s="12">
        <v>303007</v>
      </c>
      <c r="B625" s="63" t="str">
        <f>IFERROR(VLOOKUP(Tabla2[[#This Row],[CODIGO]],INVENTARIO!A:B,2,0)," ")</f>
        <v>Reductor PE 160-110 mm Termo F.</v>
      </c>
      <c r="C625" s="12">
        <v>3</v>
      </c>
      <c r="D625" s="13">
        <v>39519</v>
      </c>
      <c r="E625" s="40">
        <v>4500516647</v>
      </c>
      <c r="F625" s="9">
        <v>3566957</v>
      </c>
      <c r="G625" s="77">
        <v>46044</v>
      </c>
      <c r="H625" s="9" t="s">
        <v>166</v>
      </c>
      <c r="I625" s="9"/>
      <c r="J625" s="9"/>
      <c r="K625" s="9"/>
      <c r="L625" s="9"/>
      <c r="M625" s="9"/>
      <c r="N625" s="9" t="s">
        <v>193</v>
      </c>
      <c r="O625" s="9"/>
      <c r="P625" s="37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</row>
    <row r="626" spans="1:33" ht="14.25" customHeight="1" x14ac:dyDescent="0.35">
      <c r="A626" s="12">
        <v>301770</v>
      </c>
      <c r="B626" s="63" t="str">
        <f>IFERROR(VLOOKUP(Tabla2[[#This Row],[CODIGO]],INVENTARIO!A:B,2,0)," ")</f>
        <v>Válvula PE100 Dn 160mm</v>
      </c>
      <c r="C626" s="12">
        <v>1</v>
      </c>
      <c r="D626" s="13">
        <v>301496</v>
      </c>
      <c r="E626" s="40">
        <v>4500516647</v>
      </c>
      <c r="F626" s="9">
        <v>3566957</v>
      </c>
      <c r="G626" s="77">
        <v>46044</v>
      </c>
      <c r="H626" s="9" t="s">
        <v>166</v>
      </c>
      <c r="I626" s="9"/>
      <c r="J626" s="9"/>
      <c r="K626" s="9"/>
      <c r="L626" s="9"/>
      <c r="M626" s="9"/>
      <c r="N626" s="9" t="s">
        <v>193</v>
      </c>
      <c r="O626" s="9"/>
      <c r="P626" s="37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</row>
    <row r="627" spans="1:33" ht="14.25" customHeight="1" x14ac:dyDescent="0.35">
      <c r="A627" s="12">
        <v>300117</v>
      </c>
      <c r="B627" s="63" t="str">
        <f>IFERROR(VLOOKUP(Tabla2[[#This Row],[CODIGO]],INVENTARIO!A:B,2,0)," ")</f>
        <v>Copla PE100 160mm EF</v>
      </c>
      <c r="C627" s="12">
        <v>16</v>
      </c>
      <c r="D627" s="13">
        <v>132496</v>
      </c>
      <c r="E627" s="40">
        <v>4500516647</v>
      </c>
      <c r="F627" s="9">
        <v>3566957</v>
      </c>
      <c r="G627" s="77">
        <v>46044</v>
      </c>
      <c r="H627" s="9" t="s">
        <v>166</v>
      </c>
      <c r="I627" s="9"/>
      <c r="J627" s="9"/>
      <c r="K627" s="9"/>
      <c r="L627" s="9"/>
      <c r="M627" s="9"/>
      <c r="N627" s="9" t="s">
        <v>193</v>
      </c>
      <c r="O627" s="9"/>
      <c r="P627" s="37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</row>
    <row r="628" spans="1:33" ht="14.25" customHeight="1" x14ac:dyDescent="0.35">
      <c r="A628" s="12">
        <v>300422</v>
      </c>
      <c r="B628" s="63" t="str">
        <f>IFERROR(VLOOKUP(Tabla2[[#This Row],[CODIGO]],INVENTARIO!A:B,2,0)," ")</f>
        <v>Tapa PE 160 mm Termo F.</v>
      </c>
      <c r="C628" s="12">
        <v>3</v>
      </c>
      <c r="D628" s="13">
        <v>55254</v>
      </c>
      <c r="E628" s="40">
        <v>4500516647</v>
      </c>
      <c r="F628" s="9">
        <v>3566957</v>
      </c>
      <c r="G628" s="77">
        <v>46044</v>
      </c>
      <c r="H628" s="9" t="s">
        <v>166</v>
      </c>
      <c r="I628" s="9"/>
      <c r="J628" s="9"/>
      <c r="K628" s="9"/>
      <c r="L628" s="9"/>
      <c r="M628" s="9"/>
      <c r="N628" s="9" t="s">
        <v>193</v>
      </c>
      <c r="O628" s="9"/>
      <c r="P628" s="37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</row>
    <row r="629" spans="1:33" ht="14.25" customHeight="1" x14ac:dyDescent="0.35">
      <c r="A629" s="12">
        <v>2008302</v>
      </c>
      <c r="B629" s="63" t="str">
        <f>IFERROR(VLOOKUP(Tabla2[[#This Row],[CODIGO]],INVENTARIO!A:B,2,0)," ")</f>
        <v>Tapa PE 063 mm Electro F.</v>
      </c>
      <c r="C629" s="12">
        <v>3</v>
      </c>
      <c r="D629" s="13">
        <v>40869</v>
      </c>
      <c r="E629" s="40">
        <v>4500516651</v>
      </c>
      <c r="F629" s="9">
        <v>3566958</v>
      </c>
      <c r="G629" s="77">
        <v>46044</v>
      </c>
      <c r="H629" s="9" t="s">
        <v>166</v>
      </c>
      <c r="I629" s="9"/>
      <c r="J629" s="9"/>
      <c r="K629" s="9"/>
      <c r="L629" s="9"/>
      <c r="M629" s="9"/>
      <c r="N629" s="9" t="s">
        <v>194</v>
      </c>
      <c r="O629" s="9"/>
      <c r="P629" s="37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</row>
    <row r="630" spans="1:33" ht="14.25" customHeight="1" x14ac:dyDescent="0.35">
      <c r="A630" s="12">
        <v>2006391</v>
      </c>
      <c r="B630" s="63" t="str">
        <f>IFERROR(VLOOKUP(Tabla2[[#This Row],[CODIGO]],INVENTARIO!A:B,2,0)," ")</f>
        <v>Guardallave Fierro Fundido C/Tapa</v>
      </c>
      <c r="C630" s="12">
        <v>1</v>
      </c>
      <c r="D630" s="13">
        <v>26923</v>
      </c>
      <c r="E630" s="40">
        <v>874695</v>
      </c>
      <c r="F630" s="9">
        <v>3566947</v>
      </c>
      <c r="G630" s="77">
        <v>46044</v>
      </c>
      <c r="H630" s="9" t="s">
        <v>167</v>
      </c>
      <c r="I630" s="9"/>
      <c r="J630" s="9"/>
      <c r="K630" s="9"/>
      <c r="L630" s="9"/>
      <c r="M630" s="9"/>
      <c r="N630" s="9" t="s">
        <v>263</v>
      </c>
      <c r="O630" s="9" t="s">
        <v>258</v>
      </c>
      <c r="P630" s="37">
        <v>1374964</v>
      </c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</row>
    <row r="631" spans="1:33" ht="14.25" customHeight="1" x14ac:dyDescent="0.35">
      <c r="A631" s="12">
        <v>2007948</v>
      </c>
      <c r="B631" s="63" t="str">
        <f>IFERROR(VLOOKUP(Tabla2[[#This Row],[CODIGO]],INVENTARIO!A:B,2,0)," ")</f>
        <v>Tubo PVC Hidraulico 110 mm Pn6 Celeste</v>
      </c>
      <c r="C631" s="12">
        <v>6</v>
      </c>
      <c r="D631" s="13">
        <v>14556</v>
      </c>
      <c r="E631" s="40">
        <v>874695</v>
      </c>
      <c r="F631" s="9">
        <v>3566947</v>
      </c>
      <c r="G631" s="77">
        <v>46044</v>
      </c>
      <c r="H631" s="9" t="s">
        <v>167</v>
      </c>
      <c r="I631" s="9"/>
      <c r="J631" s="9"/>
      <c r="K631" s="9"/>
      <c r="L631" s="9"/>
      <c r="M631" s="9"/>
      <c r="N631" s="9" t="s">
        <v>263</v>
      </c>
      <c r="O631" s="9" t="s">
        <v>258</v>
      </c>
      <c r="P631" s="37">
        <v>1374964</v>
      </c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</row>
    <row r="632" spans="1:33" ht="14.25" customHeight="1" x14ac:dyDescent="0.35">
      <c r="A632" s="12">
        <v>300342</v>
      </c>
      <c r="B632" s="63" t="str">
        <f>IFERROR(VLOOKUP(Tabla2[[#This Row],[CODIGO]],INVENTARIO!A:B,2,0)," ")</f>
        <v>Codo So/So 1 1/2 IN Bronce</v>
      </c>
      <c r="C632" s="12">
        <v>1</v>
      </c>
      <c r="D632" s="13">
        <v>4152</v>
      </c>
      <c r="E632" s="40">
        <v>874695</v>
      </c>
      <c r="F632" s="9">
        <v>3566947</v>
      </c>
      <c r="G632" s="77">
        <v>46044</v>
      </c>
      <c r="H632" s="9" t="s">
        <v>167</v>
      </c>
      <c r="I632" s="9"/>
      <c r="J632" s="9"/>
      <c r="K632" s="9"/>
      <c r="L632" s="9"/>
      <c r="M632" s="9"/>
      <c r="N632" s="9" t="s">
        <v>263</v>
      </c>
      <c r="O632" s="9" t="s">
        <v>258</v>
      </c>
      <c r="P632" s="37">
        <v>1374964</v>
      </c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</row>
    <row r="633" spans="1:33" ht="14.25" customHeight="1" x14ac:dyDescent="0.35">
      <c r="A633" s="12">
        <v>200229</v>
      </c>
      <c r="B633" s="63" t="str">
        <f>IFERROR(VLOOKUP(Tabla2[[#This Row],[CODIGO]],INVENTARIO!A:B,2,0)," ")</f>
        <v>Disco Corte 115 x 22,2 x 2,5 mm A30Pbf</v>
      </c>
      <c r="C633" s="12">
        <v>1</v>
      </c>
      <c r="D633" s="13">
        <v>610</v>
      </c>
      <c r="E633" s="40">
        <v>874695</v>
      </c>
      <c r="F633" s="9">
        <v>3566947</v>
      </c>
      <c r="G633" s="77">
        <v>46044</v>
      </c>
      <c r="H633" s="9" t="s">
        <v>167</v>
      </c>
      <c r="I633" s="9"/>
      <c r="J633" s="9"/>
      <c r="K633" s="9"/>
      <c r="L633" s="9"/>
      <c r="M633" s="9"/>
      <c r="N633" s="9" t="s">
        <v>263</v>
      </c>
      <c r="O633" s="9" t="s">
        <v>258</v>
      </c>
      <c r="P633" s="37">
        <v>1374964</v>
      </c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</row>
    <row r="634" spans="1:33" ht="14.25" customHeight="1" x14ac:dyDescent="0.35">
      <c r="A634" s="12">
        <v>303511</v>
      </c>
      <c r="B634" s="63" t="str">
        <f>IFERROR(VLOOKUP(Tabla2[[#This Row],[CODIGO]],INVENTARIO!A:B,2,0)," ")</f>
        <v>Lata de Espuma Poliuretano Adimus / 500 ML</v>
      </c>
      <c r="C634" s="12">
        <v>1</v>
      </c>
      <c r="D634" s="13">
        <v>2345</v>
      </c>
      <c r="E634" s="40">
        <v>874695</v>
      </c>
      <c r="F634" s="9">
        <v>3566947</v>
      </c>
      <c r="G634" s="77">
        <v>46044</v>
      </c>
      <c r="H634" s="9" t="s">
        <v>167</v>
      </c>
      <c r="I634" s="9"/>
      <c r="J634" s="9"/>
      <c r="K634" s="9"/>
      <c r="L634" s="9"/>
      <c r="M634" s="9"/>
      <c r="N634" s="9" t="s">
        <v>263</v>
      </c>
      <c r="O634" s="9" t="s">
        <v>258</v>
      </c>
      <c r="P634" s="37">
        <v>1374964</v>
      </c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</row>
    <row r="635" spans="1:33" ht="14.25" customHeight="1" x14ac:dyDescent="0.35">
      <c r="A635" s="12">
        <v>1002167</v>
      </c>
      <c r="B635" s="63" t="str">
        <f>IFERROR(VLOOKUP(Tabla2[[#This Row],[CODIGO]],INVENTARIO!A:B,2,0)," ")</f>
        <v>Cable Trazador Cu 14 AWG Aisl. THW Roj</v>
      </c>
      <c r="C635" s="12">
        <v>1200</v>
      </c>
      <c r="D635" s="13">
        <v>352800</v>
      </c>
      <c r="E635" s="40">
        <v>874696</v>
      </c>
      <c r="F635" s="9">
        <v>3566946</v>
      </c>
      <c r="G635" s="77">
        <v>46044</v>
      </c>
      <c r="H635" s="9" t="s">
        <v>167</v>
      </c>
      <c r="I635" s="9"/>
      <c r="J635" s="9"/>
      <c r="K635" s="9"/>
      <c r="L635" s="9"/>
      <c r="M635" s="9"/>
      <c r="N635" s="9" t="s">
        <v>262</v>
      </c>
      <c r="O635" s="9" t="s">
        <v>258</v>
      </c>
      <c r="P635" s="37">
        <v>1374963</v>
      </c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</row>
    <row r="636" spans="1:33" ht="14.25" customHeight="1" x14ac:dyDescent="0.35">
      <c r="A636" s="12">
        <v>303368</v>
      </c>
      <c r="B636" s="63" t="str">
        <f>IFERROR(VLOOKUP(Tabla2[[#This Row],[CODIGO]],INVENTARIO!A:B,2,0)," ")</f>
        <v>Cinta Plástica "Línea GN", 30 x 0.1</v>
      </c>
      <c r="C636" s="12">
        <v>1200</v>
      </c>
      <c r="D636" s="13">
        <v>145200</v>
      </c>
      <c r="E636" s="40">
        <v>874696</v>
      </c>
      <c r="F636" s="9">
        <v>3566946</v>
      </c>
      <c r="G636" s="77">
        <v>46044</v>
      </c>
      <c r="H636" s="9" t="s">
        <v>167</v>
      </c>
      <c r="I636" s="9"/>
      <c r="J636" s="9"/>
      <c r="K636" s="9"/>
      <c r="L636" s="9"/>
      <c r="M636" s="9"/>
      <c r="N636" s="9" t="s">
        <v>262</v>
      </c>
      <c r="O636" s="9" t="s">
        <v>258</v>
      </c>
      <c r="P636" s="37">
        <v>1374963</v>
      </c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</row>
    <row r="637" spans="1:33" ht="14.25" customHeight="1" x14ac:dyDescent="0.35">
      <c r="A637" s="12">
        <v>301749</v>
      </c>
      <c r="B637" s="63" t="str">
        <f>IFERROR(VLOOKUP(Tabla2[[#This Row],[CODIGO]],INVENTARIO!A:B,2,0)," ")</f>
        <v>Tubería PE80 025mm Rollo</v>
      </c>
      <c r="C637" s="12">
        <v>500</v>
      </c>
      <c r="D637" s="13">
        <v>382500</v>
      </c>
      <c r="E637" s="40">
        <v>874696</v>
      </c>
      <c r="F637" s="9">
        <v>3566946</v>
      </c>
      <c r="G637" s="77">
        <v>46044</v>
      </c>
      <c r="H637" s="9" t="s">
        <v>167</v>
      </c>
      <c r="I637" s="9"/>
      <c r="J637" s="9"/>
      <c r="K637" s="9"/>
      <c r="L637" s="9"/>
      <c r="M637" s="9"/>
      <c r="N637" s="9" t="s">
        <v>262</v>
      </c>
      <c r="O637" s="9" t="s">
        <v>258</v>
      </c>
      <c r="P637" s="37">
        <v>1374963</v>
      </c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</row>
    <row r="638" spans="1:33" ht="14.25" customHeight="1" x14ac:dyDescent="0.35">
      <c r="A638" s="12">
        <v>2008481</v>
      </c>
      <c r="B638" s="63" t="str">
        <f>IFERROR(VLOOKUP(Tabla2[[#This Row],[CODIGO]],INVENTARIO!A:B,2,0)," ")</f>
        <v>Tapa Tornillo Bronce 3/4" HE Bspt.</v>
      </c>
      <c r="C638" s="12">
        <v>108</v>
      </c>
      <c r="D638" s="13">
        <v>108</v>
      </c>
      <c r="E638" s="40">
        <v>874696</v>
      </c>
      <c r="F638" s="9">
        <v>3566946</v>
      </c>
      <c r="G638" s="77">
        <v>46044</v>
      </c>
      <c r="H638" s="9" t="s">
        <v>167</v>
      </c>
      <c r="I638" s="9"/>
      <c r="J638" s="9"/>
      <c r="K638" s="9"/>
      <c r="L638" s="9"/>
      <c r="M638" s="9"/>
      <c r="N638" s="9" t="s">
        <v>262</v>
      </c>
      <c r="O638" s="9" t="s">
        <v>258</v>
      </c>
      <c r="P638" s="37">
        <v>1374963</v>
      </c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</row>
    <row r="639" spans="1:33" ht="14.25" customHeight="1" x14ac:dyDescent="0.35">
      <c r="A639" s="12">
        <v>302737</v>
      </c>
      <c r="B639" s="63" t="str">
        <f>IFERROR(VLOOKUP(Tabla2[[#This Row],[CODIGO]],INVENTARIO!A:B,2,0)," ")</f>
        <v>Válvula Bola 3/4" Hi Un Cuerpo Pn5 Arco</v>
      </c>
      <c r="C639" s="12">
        <v>108</v>
      </c>
      <c r="D639" s="13">
        <v>1776060</v>
      </c>
      <c r="E639" s="40">
        <v>874696</v>
      </c>
      <c r="F639" s="9">
        <v>3566946</v>
      </c>
      <c r="G639" s="77">
        <v>46044</v>
      </c>
      <c r="H639" s="9" t="s">
        <v>167</v>
      </c>
      <c r="I639" s="9"/>
      <c r="J639" s="9"/>
      <c r="K639" s="9"/>
      <c r="L639" s="9"/>
      <c r="M639" s="9"/>
      <c r="N639" s="9" t="s">
        <v>262</v>
      </c>
      <c r="O639" s="9" t="s">
        <v>258</v>
      </c>
      <c r="P639" s="37">
        <v>1374963</v>
      </c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</row>
    <row r="640" spans="1:33" ht="14.25" customHeight="1" x14ac:dyDescent="0.35">
      <c r="A640" s="12">
        <v>2007948</v>
      </c>
      <c r="B640" s="63" t="str">
        <f>IFERROR(VLOOKUP(Tabla2[[#This Row],[CODIGO]],INVENTARIO!A:B,2,0)," ")</f>
        <v>Tubo PVC Hidraulico 110 mm Pn6 Celeste</v>
      </c>
      <c r="C640" s="12">
        <v>6</v>
      </c>
      <c r="D640" s="13">
        <v>14556</v>
      </c>
      <c r="E640" s="40">
        <v>874696</v>
      </c>
      <c r="F640" s="9">
        <v>3566946</v>
      </c>
      <c r="G640" s="77">
        <v>46044</v>
      </c>
      <c r="H640" s="9" t="s">
        <v>167</v>
      </c>
      <c r="I640" s="9"/>
      <c r="J640" s="9"/>
      <c r="K640" s="9"/>
      <c r="L640" s="9"/>
      <c r="M640" s="9"/>
      <c r="N640" s="9" t="s">
        <v>262</v>
      </c>
      <c r="O640" s="9" t="s">
        <v>258</v>
      </c>
      <c r="P640" s="37">
        <v>1374963</v>
      </c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</row>
    <row r="641" spans="1:33" ht="14.25" customHeight="1" x14ac:dyDescent="0.35">
      <c r="A641" s="12">
        <v>2006391</v>
      </c>
      <c r="B641" s="63" t="str">
        <f>IFERROR(VLOOKUP(Tabla2[[#This Row],[CODIGO]],INVENTARIO!A:B,2,0)," ")</f>
        <v>Guardallave Fierro Fundido C/Tapa</v>
      </c>
      <c r="C641" s="12">
        <v>4</v>
      </c>
      <c r="D641" s="13">
        <v>107692</v>
      </c>
      <c r="E641" s="40">
        <v>874696</v>
      </c>
      <c r="F641" s="9">
        <v>3566946</v>
      </c>
      <c r="G641" s="77">
        <v>46044</v>
      </c>
      <c r="H641" s="9" t="s">
        <v>167</v>
      </c>
      <c r="I641" s="9"/>
      <c r="J641" s="9"/>
      <c r="K641" s="9"/>
      <c r="L641" s="9"/>
      <c r="M641" s="9"/>
      <c r="N641" s="9" t="s">
        <v>262</v>
      </c>
      <c r="O641" s="9" t="s">
        <v>258</v>
      </c>
      <c r="P641" s="37">
        <v>1374963</v>
      </c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</row>
    <row r="642" spans="1:33" ht="14.25" customHeight="1" x14ac:dyDescent="0.35">
      <c r="A642" s="12">
        <v>303510</v>
      </c>
      <c r="B642" s="63" t="str">
        <f>IFERROR(VLOOKUP(Tabla2[[#This Row],[CODIGO]],INVENTARIO!A:B,2,0)," ")</f>
        <v>Guardallave Hormigón 125 mm con Tapa</v>
      </c>
      <c r="C642" s="12">
        <v>12</v>
      </c>
      <c r="D642" s="13">
        <v>46800</v>
      </c>
      <c r="E642" s="40">
        <v>874696</v>
      </c>
      <c r="F642" s="9">
        <v>3566946</v>
      </c>
      <c r="G642" s="77">
        <v>46044</v>
      </c>
      <c r="H642" s="9" t="s">
        <v>167</v>
      </c>
      <c r="I642" s="9"/>
      <c r="J642" s="9"/>
      <c r="K642" s="9"/>
      <c r="L642" s="9"/>
      <c r="M642" s="9"/>
      <c r="N642" s="9" t="s">
        <v>262</v>
      </c>
      <c r="O642" s="9" t="s">
        <v>258</v>
      </c>
      <c r="P642" s="37">
        <v>1374963</v>
      </c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</row>
    <row r="643" spans="1:33" ht="14.25" customHeight="1" x14ac:dyDescent="0.35">
      <c r="A643" s="12">
        <v>2006391</v>
      </c>
      <c r="B643" s="63" t="str">
        <f>IFERROR(VLOOKUP(Tabla2[[#This Row],[CODIGO]],INVENTARIO!A:B,2,0)," ")</f>
        <v>Guardallave Fierro Fundido C/Tapa</v>
      </c>
      <c r="C643" s="12">
        <v>1</v>
      </c>
      <c r="D643" s="13">
        <v>26923</v>
      </c>
      <c r="E643" s="40">
        <v>874684</v>
      </c>
      <c r="F643" s="9">
        <v>3566945</v>
      </c>
      <c r="G643" s="77">
        <v>46044</v>
      </c>
      <c r="H643" s="9" t="s">
        <v>167</v>
      </c>
      <c r="I643" s="9"/>
      <c r="J643" s="9"/>
      <c r="K643" s="9"/>
      <c r="L643" s="9"/>
      <c r="M643" s="9"/>
      <c r="N643" s="9" t="s">
        <v>261</v>
      </c>
      <c r="O643" s="9" t="s">
        <v>258</v>
      </c>
      <c r="P643" s="37">
        <v>1374962</v>
      </c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</row>
    <row r="644" spans="1:33" ht="14.25" customHeight="1" x14ac:dyDescent="0.35">
      <c r="A644" s="12">
        <v>302737</v>
      </c>
      <c r="B644" s="63" t="str">
        <f>IFERROR(VLOOKUP(Tabla2[[#This Row],[CODIGO]],INVENTARIO!A:B,2,0)," ")</f>
        <v>Válvula Bola 3/4" Hi Un Cuerpo Pn5 Arco</v>
      </c>
      <c r="C644" s="12">
        <v>1</v>
      </c>
      <c r="D644" s="13">
        <v>16445</v>
      </c>
      <c r="E644" s="40">
        <v>874684</v>
      </c>
      <c r="F644" s="9">
        <v>3566945</v>
      </c>
      <c r="G644" s="77">
        <v>46044</v>
      </c>
      <c r="H644" s="9" t="s">
        <v>167</v>
      </c>
      <c r="I644" s="9"/>
      <c r="J644" s="9"/>
      <c r="K644" s="9"/>
      <c r="L644" s="9"/>
      <c r="M644" s="9"/>
      <c r="N644" s="9" t="s">
        <v>261</v>
      </c>
      <c r="O644" s="9" t="s">
        <v>258</v>
      </c>
      <c r="P644" s="37">
        <v>1374962</v>
      </c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</row>
    <row r="645" spans="1:33" ht="14.25" customHeight="1" x14ac:dyDescent="0.35">
      <c r="A645" s="12">
        <v>302184</v>
      </c>
      <c r="B645" s="63" t="str">
        <f>IFERROR(VLOOKUP(Tabla2[[#This Row],[CODIGO]],INVENTARIO!A:B,2,0)," ")</f>
        <v>Tapa Tornillo Cambio de Codigo por: 2008481</v>
      </c>
      <c r="C645" s="12">
        <v>1</v>
      </c>
      <c r="D645" s="13">
        <v>805</v>
      </c>
      <c r="E645" s="40">
        <v>874684</v>
      </c>
      <c r="F645" s="9">
        <v>3566945</v>
      </c>
      <c r="G645" s="77">
        <v>46044</v>
      </c>
      <c r="H645" s="9" t="s">
        <v>167</v>
      </c>
      <c r="I645" s="9"/>
      <c r="J645" s="9"/>
      <c r="K645" s="9"/>
      <c r="L645" s="9"/>
      <c r="M645" s="9"/>
      <c r="N645" s="9" t="s">
        <v>261</v>
      </c>
      <c r="O645" s="9" t="s">
        <v>258</v>
      </c>
      <c r="P645" s="37">
        <v>1374962</v>
      </c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</row>
    <row r="646" spans="1:33" ht="14.25" customHeight="1" x14ac:dyDescent="0.35">
      <c r="A646" s="12">
        <v>2006391</v>
      </c>
      <c r="B646" s="63" t="str">
        <f>IFERROR(VLOOKUP(Tabla2[[#This Row],[CODIGO]],INVENTARIO!A:B,2,0)," ")</f>
        <v>Guardallave Fierro Fundido C/Tapa</v>
      </c>
      <c r="C646" s="12">
        <v>1</v>
      </c>
      <c r="D646" s="13">
        <v>26923</v>
      </c>
      <c r="E646" s="40">
        <v>874683</v>
      </c>
      <c r="F646" s="9">
        <v>3566944</v>
      </c>
      <c r="G646" s="77">
        <v>46044</v>
      </c>
      <c r="H646" s="9" t="s">
        <v>167</v>
      </c>
      <c r="I646" s="9"/>
      <c r="J646" s="9"/>
      <c r="K646" s="9"/>
      <c r="L646" s="9"/>
      <c r="M646" s="9"/>
      <c r="N646" s="9" t="s">
        <v>260</v>
      </c>
      <c r="O646" s="9" t="s">
        <v>258</v>
      </c>
      <c r="P646" s="37">
        <v>1374961</v>
      </c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</row>
    <row r="647" spans="1:33" ht="14.25" customHeight="1" x14ac:dyDescent="0.35">
      <c r="A647" s="12">
        <v>2006391</v>
      </c>
      <c r="B647" s="63" t="str">
        <f>IFERROR(VLOOKUP(Tabla2[[#This Row],[CODIGO]],INVENTARIO!A:B,2,0)," ")</f>
        <v>Guardallave Fierro Fundido C/Tapa</v>
      </c>
      <c r="C647" s="12">
        <v>1</v>
      </c>
      <c r="D647" s="13">
        <v>26923</v>
      </c>
      <c r="E647" s="40">
        <v>874682</v>
      </c>
      <c r="F647" s="9">
        <v>3566943</v>
      </c>
      <c r="G647" s="77">
        <v>46044</v>
      </c>
      <c r="H647" s="9" t="s">
        <v>167</v>
      </c>
      <c r="I647" s="9"/>
      <c r="J647" s="9"/>
      <c r="K647" s="9"/>
      <c r="L647" s="9"/>
      <c r="M647" s="9"/>
      <c r="N647" s="9" t="s">
        <v>259</v>
      </c>
      <c r="O647" s="9" t="s">
        <v>258</v>
      </c>
      <c r="P647" s="37">
        <v>1374960</v>
      </c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</row>
    <row r="648" spans="1:33" ht="14.25" customHeight="1" x14ac:dyDescent="0.35">
      <c r="A648" s="12">
        <v>302737</v>
      </c>
      <c r="B648" s="63" t="str">
        <f>IFERROR(VLOOKUP(Tabla2[[#This Row],[CODIGO]],INVENTARIO!A:B,2,0)," ")</f>
        <v>Válvula Bola 3/4" Hi Un Cuerpo Pn5 Arco</v>
      </c>
      <c r="C648" s="12">
        <v>1</v>
      </c>
      <c r="D648" s="13">
        <v>16445</v>
      </c>
      <c r="E648" s="40">
        <v>874682</v>
      </c>
      <c r="F648" s="9">
        <v>3566943</v>
      </c>
      <c r="G648" s="77">
        <v>46044</v>
      </c>
      <c r="H648" s="9" t="s">
        <v>167</v>
      </c>
      <c r="I648" s="9"/>
      <c r="J648" s="9"/>
      <c r="K648" s="9"/>
      <c r="L648" s="9"/>
      <c r="M648" s="9"/>
      <c r="N648" s="9" t="s">
        <v>259</v>
      </c>
      <c r="O648" s="9" t="s">
        <v>258</v>
      </c>
      <c r="P648" s="37">
        <v>1374960</v>
      </c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</row>
    <row r="649" spans="1:33" ht="14.25" customHeight="1" x14ac:dyDescent="0.35">
      <c r="A649" s="12">
        <v>302184</v>
      </c>
      <c r="B649" s="63" t="str">
        <f>IFERROR(VLOOKUP(Tabla2[[#This Row],[CODIGO]],INVENTARIO!A:B,2,0)," ")</f>
        <v>Tapa Tornillo Cambio de Codigo por: 2008481</v>
      </c>
      <c r="C649" s="12">
        <v>1</v>
      </c>
      <c r="D649" s="13">
        <v>805</v>
      </c>
      <c r="E649" s="40">
        <v>874682</v>
      </c>
      <c r="F649" s="9">
        <v>3566943</v>
      </c>
      <c r="G649" s="77">
        <v>46044</v>
      </c>
      <c r="H649" s="9" t="s">
        <v>167</v>
      </c>
      <c r="I649" s="9"/>
      <c r="J649" s="9"/>
      <c r="K649" s="9"/>
      <c r="L649" s="9"/>
      <c r="M649" s="9"/>
      <c r="N649" s="9" t="s">
        <v>259</v>
      </c>
      <c r="O649" s="9" t="s">
        <v>258</v>
      </c>
      <c r="P649" s="37">
        <v>1374960</v>
      </c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</row>
    <row r="650" spans="1:33" ht="14.25" customHeight="1" x14ac:dyDescent="0.35">
      <c r="A650" s="12">
        <v>2007948</v>
      </c>
      <c r="B650" s="63" t="str">
        <f>IFERROR(VLOOKUP(Tabla2[[#This Row],[CODIGO]],INVENTARIO!A:B,2,0)," ")</f>
        <v>Tubo PVC Hidraulico 110 mm Pn6 Celeste</v>
      </c>
      <c r="C650" s="12">
        <v>6</v>
      </c>
      <c r="D650" s="13">
        <v>14556</v>
      </c>
      <c r="E650" s="40">
        <v>874682</v>
      </c>
      <c r="F650" s="9">
        <v>3566943</v>
      </c>
      <c r="G650" s="77">
        <v>46044</v>
      </c>
      <c r="H650" s="9" t="s">
        <v>167</v>
      </c>
      <c r="I650" s="9"/>
      <c r="J650" s="9"/>
      <c r="K650" s="9"/>
      <c r="L650" s="9"/>
      <c r="M650" s="9"/>
      <c r="N650" s="9" t="s">
        <v>259</v>
      </c>
      <c r="O650" s="9" t="s">
        <v>258</v>
      </c>
      <c r="P650" s="37">
        <v>1374960</v>
      </c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</row>
    <row r="651" spans="1:33" ht="14.25" customHeight="1" x14ac:dyDescent="0.35">
      <c r="A651" s="12">
        <v>2006393</v>
      </c>
      <c r="B651" s="63" t="str">
        <f>IFERROR(VLOOKUP(Tabla2[[#This Row],[CODIGO]],INVENTARIO!A:B,2,0)," ")</f>
        <v>Transición Latón 3/4"x25 MM PE100, SDR11</v>
      </c>
      <c r="C651" s="12">
        <v>2</v>
      </c>
      <c r="D651" s="13">
        <v>25410</v>
      </c>
      <c r="E651" s="40">
        <v>4500516563</v>
      </c>
      <c r="F651" s="9">
        <v>3566910</v>
      </c>
      <c r="G651" s="77">
        <v>46043</v>
      </c>
      <c r="H651" s="9" t="s">
        <v>166</v>
      </c>
      <c r="I651" s="9"/>
      <c r="J651" s="9"/>
      <c r="K651" s="9"/>
      <c r="L651" s="9"/>
      <c r="M651" s="9" t="s">
        <v>248</v>
      </c>
      <c r="N651" s="9" t="s">
        <v>255</v>
      </c>
      <c r="O651" s="9"/>
      <c r="P651" s="37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</row>
    <row r="652" spans="1:33" ht="14.25" customHeight="1" x14ac:dyDescent="0.35">
      <c r="A652" s="12">
        <v>2006392</v>
      </c>
      <c r="B652" s="63" t="str">
        <f>IFERROR(VLOOKUP(Tabla2[[#This Row],[CODIGO]],INVENTARIO!A:B,2,0)," ")</f>
        <v>Limitador Flujo P/Tapping Tee 25 MM</v>
      </c>
      <c r="C652" s="12">
        <v>2</v>
      </c>
      <c r="D652" s="13">
        <v>3772</v>
      </c>
      <c r="E652" s="40">
        <v>4500516563</v>
      </c>
      <c r="F652" s="9">
        <v>3566910</v>
      </c>
      <c r="G652" s="77">
        <v>46043</v>
      </c>
      <c r="H652" s="9" t="s">
        <v>166</v>
      </c>
      <c r="I652" s="9"/>
      <c r="J652" s="9"/>
      <c r="K652" s="9"/>
      <c r="L652" s="9"/>
      <c r="M652" s="9" t="s">
        <v>248</v>
      </c>
      <c r="N652" s="9" t="s">
        <v>255</v>
      </c>
      <c r="O652" s="9"/>
      <c r="P652" s="37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</row>
    <row r="653" spans="1:33" ht="14.25" customHeight="1" x14ac:dyDescent="0.35">
      <c r="A653" s="12">
        <v>2000350</v>
      </c>
      <c r="B653" s="63" t="str">
        <f>IFERROR(VLOOKUP(Tabla2[[#This Row],[CODIGO]],INVENTARIO!A:B,2,0)," ")</f>
        <v>Codo PE 90º  25 mm EF.</v>
      </c>
      <c r="C653" s="12">
        <v>2</v>
      </c>
      <c r="D653" s="13">
        <v>12264</v>
      </c>
      <c r="E653" s="40">
        <v>4500516563</v>
      </c>
      <c r="F653" s="9">
        <v>3566910</v>
      </c>
      <c r="G653" s="77">
        <v>46043</v>
      </c>
      <c r="H653" s="9" t="s">
        <v>166</v>
      </c>
      <c r="I653" s="9"/>
      <c r="J653" s="9"/>
      <c r="K653" s="9"/>
      <c r="L653" s="9"/>
      <c r="M653" s="9" t="s">
        <v>248</v>
      </c>
      <c r="N653" s="9" t="s">
        <v>255</v>
      </c>
      <c r="O653" s="9"/>
      <c r="P653" s="37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</row>
    <row r="654" spans="1:33" ht="14.25" customHeight="1" x14ac:dyDescent="0.35">
      <c r="A654" s="12">
        <v>400205</v>
      </c>
      <c r="B654" s="63" t="str">
        <f>IFERROR(VLOOKUP(Tabla2[[#This Row],[CODIGO]],INVENTARIO!A:B,2,0)," ")</f>
        <v>Tee PE  50 mm Electro F.</v>
      </c>
      <c r="C654" s="12">
        <v>2</v>
      </c>
      <c r="D654" s="13">
        <v>11826</v>
      </c>
      <c r="E654" s="40">
        <v>4500516563</v>
      </c>
      <c r="F654" s="9">
        <v>3566910</v>
      </c>
      <c r="G654" s="77">
        <v>46043</v>
      </c>
      <c r="H654" s="9" t="s">
        <v>166</v>
      </c>
      <c r="I654" s="9"/>
      <c r="J654" s="9"/>
      <c r="K654" s="9"/>
      <c r="L654" s="9"/>
      <c r="M654" s="9" t="s">
        <v>248</v>
      </c>
      <c r="N654" s="9" t="s">
        <v>255</v>
      </c>
      <c r="O654" s="9"/>
      <c r="P654" s="37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</row>
    <row r="655" spans="1:33" ht="14.25" customHeight="1" x14ac:dyDescent="0.35">
      <c r="A655" s="12">
        <v>2004602</v>
      </c>
      <c r="B655" s="63" t="str">
        <f>IFERROR(VLOOKUP(Tabla2[[#This Row],[CODIGO]],INVENTARIO!A:B,2,0)," ")</f>
        <v>MRPC-120-(4/1,2)-(S)-2</v>
      </c>
      <c r="C655" s="12">
        <v>1</v>
      </c>
      <c r="D655" s="13">
        <v>2855512</v>
      </c>
      <c r="E655" s="40">
        <v>4500516563</v>
      </c>
      <c r="F655" s="9">
        <v>3566910</v>
      </c>
      <c r="G655" s="77">
        <v>46043</v>
      </c>
      <c r="H655" s="9" t="s">
        <v>166</v>
      </c>
      <c r="I655" s="53" t="s">
        <v>278</v>
      </c>
      <c r="J655" s="9"/>
      <c r="K655" s="9"/>
      <c r="L655" s="9"/>
      <c r="M655" s="9" t="s">
        <v>248</v>
      </c>
      <c r="N655" s="9" t="s">
        <v>255</v>
      </c>
      <c r="O655" s="9"/>
      <c r="P655" s="37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</row>
    <row r="656" spans="1:33" ht="14.25" customHeight="1" x14ac:dyDescent="0.35">
      <c r="A656" s="12">
        <v>303362</v>
      </c>
      <c r="B656" s="63" t="str">
        <f>IFERROR(VLOOKUP(Tabla2[[#This Row],[CODIGO]],INVENTARIO!A:B,2,0)," ")</f>
        <v>Reductor PE  50-40 mm Electro F.</v>
      </c>
      <c r="C656" s="12">
        <v>1</v>
      </c>
      <c r="D656" s="13">
        <v>6296</v>
      </c>
      <c r="E656" s="40">
        <v>4500516563</v>
      </c>
      <c r="F656" s="9">
        <v>3566910</v>
      </c>
      <c r="G656" s="77">
        <v>46043</v>
      </c>
      <c r="H656" s="9" t="s">
        <v>166</v>
      </c>
      <c r="I656" s="9"/>
      <c r="J656" s="9"/>
      <c r="K656" s="9"/>
      <c r="L656" s="9"/>
      <c r="M656" s="9" t="s">
        <v>248</v>
      </c>
      <c r="N656" s="9" t="s">
        <v>255</v>
      </c>
      <c r="O656" s="9"/>
      <c r="P656" s="37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</row>
    <row r="657" spans="1:33" ht="14.25" customHeight="1" x14ac:dyDescent="0.35">
      <c r="A657" s="12">
        <v>303345</v>
      </c>
      <c r="B657" s="63" t="str">
        <f>IFERROR(VLOOKUP(Tabla2[[#This Row],[CODIGO]],INVENTARIO!A:B,2,0)," ")</f>
        <v>Copla PE100 050mm EF</v>
      </c>
      <c r="C657" s="12">
        <v>14</v>
      </c>
      <c r="D657" s="13">
        <v>46228</v>
      </c>
      <c r="E657" s="40">
        <v>4500516563</v>
      </c>
      <c r="F657" s="9">
        <v>3566910</v>
      </c>
      <c r="G657" s="77">
        <v>46043</v>
      </c>
      <c r="H657" s="9" t="s">
        <v>166</v>
      </c>
      <c r="I657" s="9"/>
      <c r="J657" s="9"/>
      <c r="K657" s="9"/>
      <c r="L657" s="9"/>
      <c r="M657" s="9" t="s">
        <v>248</v>
      </c>
      <c r="N657" s="9" t="s">
        <v>255</v>
      </c>
      <c r="O657" s="9"/>
      <c r="P657" s="37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</row>
    <row r="658" spans="1:33" ht="14.25" customHeight="1" x14ac:dyDescent="0.35">
      <c r="A658" s="12">
        <v>302992</v>
      </c>
      <c r="B658" s="63" t="str">
        <f>IFERROR(VLOOKUP(Tabla2[[#This Row],[CODIGO]],INVENTARIO!A:B,2,0)," ")</f>
        <v>Codo PE100 90° 050mm EF</v>
      </c>
      <c r="C658" s="12">
        <v>1</v>
      </c>
      <c r="D658" s="13">
        <v>5621</v>
      </c>
      <c r="E658" s="40">
        <v>4500516563</v>
      </c>
      <c r="F658" s="9">
        <v>3566910</v>
      </c>
      <c r="G658" s="77">
        <v>46043</v>
      </c>
      <c r="H658" s="9" t="s">
        <v>166</v>
      </c>
      <c r="I658" s="9"/>
      <c r="J658" s="9"/>
      <c r="K658" s="9"/>
      <c r="L658" s="9"/>
      <c r="M658" s="9" t="s">
        <v>248</v>
      </c>
      <c r="N658" s="9" t="s">
        <v>255</v>
      </c>
      <c r="O658" s="9"/>
      <c r="P658" s="37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</row>
    <row r="659" spans="1:33" ht="14.25" customHeight="1" x14ac:dyDescent="0.35">
      <c r="A659" s="12">
        <v>302678</v>
      </c>
      <c r="B659" s="63" t="str">
        <f>IFERROR(VLOOKUP(Tabla2[[#This Row],[CODIGO]],INVENTARIO!A:B,2,0)," ")</f>
        <v>Reductor PE  63-50 mm Electro F.</v>
      </c>
      <c r="C659" s="12">
        <v>1</v>
      </c>
      <c r="D659" s="13">
        <v>13128</v>
      </c>
      <c r="E659" s="40">
        <v>4500516563</v>
      </c>
      <c r="F659" s="9">
        <v>3566910</v>
      </c>
      <c r="G659" s="77">
        <v>46043</v>
      </c>
      <c r="H659" s="9" t="s">
        <v>166</v>
      </c>
      <c r="I659" s="9"/>
      <c r="J659" s="9"/>
      <c r="K659" s="9"/>
      <c r="L659" s="9"/>
      <c r="M659" s="9" t="s">
        <v>248</v>
      </c>
      <c r="N659" s="9" t="s">
        <v>255</v>
      </c>
      <c r="O659" s="9"/>
      <c r="P659" s="37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</row>
    <row r="660" spans="1:33" ht="14.25" customHeight="1" x14ac:dyDescent="0.35">
      <c r="A660" s="12">
        <v>301343</v>
      </c>
      <c r="B660" s="63" t="str">
        <f>IFERROR(VLOOKUP(Tabla2[[#This Row],[CODIGO]],INVENTARIO!A:B,2,0)," ")</f>
        <v>Tapping Tee PE 63-63 mm</v>
      </c>
      <c r="C660" s="12">
        <v>1</v>
      </c>
      <c r="D660" s="13">
        <v>24926</v>
      </c>
      <c r="E660" s="40">
        <v>4500516563</v>
      </c>
      <c r="F660" s="9">
        <v>3566910</v>
      </c>
      <c r="G660" s="77">
        <v>46043</v>
      </c>
      <c r="H660" s="9" t="s">
        <v>166</v>
      </c>
      <c r="I660" s="9"/>
      <c r="J660" s="9"/>
      <c r="K660" s="9"/>
      <c r="L660" s="9"/>
      <c r="M660" s="9" t="s">
        <v>248</v>
      </c>
      <c r="N660" s="9" t="s">
        <v>255</v>
      </c>
      <c r="O660" s="9"/>
      <c r="P660" s="37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</row>
    <row r="661" spans="1:33" ht="14.25" customHeight="1" x14ac:dyDescent="0.35">
      <c r="A661" s="12">
        <v>301329</v>
      </c>
      <c r="B661" s="63" t="str">
        <f>IFERROR(VLOOKUP(Tabla2[[#This Row],[CODIGO]],INVENTARIO!A:B,2,0)," ")</f>
        <v>Copla PE100 025mm EF</v>
      </c>
      <c r="C661" s="12">
        <v>5</v>
      </c>
      <c r="D661" s="13">
        <v>10890</v>
      </c>
      <c r="E661" s="40">
        <v>4500516563</v>
      </c>
      <c r="F661" s="9">
        <v>3566910</v>
      </c>
      <c r="G661" s="77">
        <v>46043</v>
      </c>
      <c r="H661" s="9" t="s">
        <v>166</v>
      </c>
      <c r="I661" s="9"/>
      <c r="J661" s="9"/>
      <c r="K661" s="9"/>
      <c r="L661" s="9"/>
      <c r="M661" s="9" t="s">
        <v>248</v>
      </c>
      <c r="N661" s="9" t="s">
        <v>255</v>
      </c>
      <c r="O661" s="9"/>
      <c r="P661" s="37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</row>
    <row r="662" spans="1:33" ht="14.25" customHeight="1" x14ac:dyDescent="0.35">
      <c r="A662" s="12">
        <v>301327</v>
      </c>
      <c r="B662" s="63" t="str">
        <f>IFERROR(VLOOKUP(Tabla2[[#This Row],[CODIGO]],INVENTARIO!A:B,2,0)," ")</f>
        <v>Tapa PE  050 mm Termo F.</v>
      </c>
      <c r="C662" s="12">
        <v>3</v>
      </c>
      <c r="D662" s="13">
        <v>9189</v>
      </c>
      <c r="E662" s="40">
        <v>4500516563</v>
      </c>
      <c r="F662" s="9">
        <v>3566910</v>
      </c>
      <c r="G662" s="77">
        <v>46043</v>
      </c>
      <c r="H662" s="9" t="s">
        <v>166</v>
      </c>
      <c r="I662" s="9"/>
      <c r="J662" s="9"/>
      <c r="K662" s="9"/>
      <c r="L662" s="9"/>
      <c r="M662" s="9" t="s">
        <v>248</v>
      </c>
      <c r="N662" s="9" t="s">
        <v>255</v>
      </c>
      <c r="O662" s="9"/>
      <c r="P662" s="37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</row>
    <row r="663" spans="1:33" ht="14.25" customHeight="1" x14ac:dyDescent="0.35">
      <c r="A663" s="12">
        <v>300712</v>
      </c>
      <c r="B663" s="63" t="str">
        <f>IFERROR(VLOOKUP(Tabla2[[#This Row],[CODIGO]],INVENTARIO!A:B,2,0)," ")</f>
        <v>Tapa PE  025 mm Termo F.</v>
      </c>
      <c r="C663" s="12">
        <v>1</v>
      </c>
      <c r="D663" s="13">
        <v>1373</v>
      </c>
      <c r="E663" s="40">
        <v>4500516563</v>
      </c>
      <c r="F663" s="9">
        <v>3566910</v>
      </c>
      <c r="G663" s="77">
        <v>46043</v>
      </c>
      <c r="H663" s="9" t="s">
        <v>166</v>
      </c>
      <c r="I663" s="9"/>
      <c r="J663" s="9"/>
      <c r="K663" s="9"/>
      <c r="L663" s="9"/>
      <c r="M663" s="9" t="s">
        <v>248</v>
      </c>
      <c r="N663" s="9" t="s">
        <v>255</v>
      </c>
      <c r="O663" s="9"/>
      <c r="P663" s="37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</row>
    <row r="664" spans="1:33" ht="14.25" customHeight="1" x14ac:dyDescent="0.35">
      <c r="A664" s="12">
        <v>300414</v>
      </c>
      <c r="B664" s="63" t="str">
        <f>IFERROR(VLOOKUP(Tabla2[[#This Row],[CODIGO]],INVENTARIO!A:B,2,0)," ")</f>
        <v>Válvula PE100 Dn 50mm</v>
      </c>
      <c r="C664" s="12">
        <v>2</v>
      </c>
      <c r="D664" s="13">
        <v>166218</v>
      </c>
      <c r="E664" s="40">
        <v>4500516563</v>
      </c>
      <c r="F664" s="9">
        <v>3566910</v>
      </c>
      <c r="G664" s="77">
        <v>46043</v>
      </c>
      <c r="H664" s="9" t="s">
        <v>166</v>
      </c>
      <c r="I664" s="9"/>
      <c r="J664" s="9"/>
      <c r="K664" s="9"/>
      <c r="L664" s="9"/>
      <c r="M664" s="9" t="s">
        <v>248</v>
      </c>
      <c r="N664" s="9" t="s">
        <v>255</v>
      </c>
      <c r="O664" s="9"/>
      <c r="P664" s="37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</row>
    <row r="665" spans="1:33" ht="14.25" customHeight="1" x14ac:dyDescent="0.35">
      <c r="A665" s="12">
        <v>300109</v>
      </c>
      <c r="B665" s="63" t="str">
        <f>IFERROR(VLOOKUP(Tabla2[[#This Row],[CODIGO]],INVENTARIO!A:B,2,0)," ")</f>
        <v>Risers de Acero 3/4" Bsp x 25 mm</v>
      </c>
      <c r="C665" s="12">
        <v>1</v>
      </c>
      <c r="D665" s="13">
        <v>30001</v>
      </c>
      <c r="E665" s="40">
        <v>4500516563</v>
      </c>
      <c r="F665" s="9">
        <v>3566910</v>
      </c>
      <c r="G665" s="77">
        <v>46043</v>
      </c>
      <c r="H665" s="9" t="s">
        <v>166</v>
      </c>
      <c r="I665" s="9"/>
      <c r="J665" s="9"/>
      <c r="K665" s="9"/>
      <c r="L665" s="9"/>
      <c r="M665" s="9" t="s">
        <v>248</v>
      </c>
      <c r="N665" s="9" t="s">
        <v>255</v>
      </c>
      <c r="O665" s="9"/>
      <c r="P665" s="37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</row>
    <row r="666" spans="1:33" ht="14.25" customHeight="1" x14ac:dyDescent="0.35">
      <c r="A666" s="12">
        <v>101624</v>
      </c>
      <c r="B666" s="63" t="str">
        <f>IFERROR(VLOOKUP(Tabla2[[#This Row],[CODIGO]],INVENTARIO!A:B,2,0)," ")</f>
        <v>Tapping Tee PE 50-25 mm</v>
      </c>
      <c r="C666" s="12">
        <v>3</v>
      </c>
      <c r="D666" s="13">
        <v>46800</v>
      </c>
      <c r="E666" s="40">
        <v>4500516563</v>
      </c>
      <c r="F666" s="9">
        <v>3566910</v>
      </c>
      <c r="G666" s="77">
        <v>46043</v>
      </c>
      <c r="H666" s="9" t="s">
        <v>166</v>
      </c>
      <c r="I666" s="9"/>
      <c r="J666" s="9"/>
      <c r="K666" s="9"/>
      <c r="L666" s="9"/>
      <c r="M666" s="9" t="s">
        <v>248</v>
      </c>
      <c r="N666" s="9" t="s">
        <v>255</v>
      </c>
      <c r="O666" s="9"/>
      <c r="P666" s="37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</row>
    <row r="667" spans="1:33" ht="14.25" customHeight="1" x14ac:dyDescent="0.35">
      <c r="A667" s="12">
        <v>2006393</v>
      </c>
      <c r="B667" s="63" t="str">
        <f>IFERROR(VLOOKUP(Tabla2[[#This Row],[CODIGO]],INVENTARIO!A:B,2,0)," ")</f>
        <v>Transición Latón 3/4"x25 MM PE100, SDR11</v>
      </c>
      <c r="C667" s="12">
        <v>2</v>
      </c>
      <c r="D667" s="13">
        <v>25410</v>
      </c>
      <c r="E667" s="40">
        <v>4500516564</v>
      </c>
      <c r="F667" s="9">
        <v>3566911</v>
      </c>
      <c r="G667" s="77">
        <v>46043</v>
      </c>
      <c r="H667" s="9" t="s">
        <v>166</v>
      </c>
      <c r="I667" s="9"/>
      <c r="J667" s="9"/>
      <c r="K667" s="9"/>
      <c r="L667" s="9"/>
      <c r="M667" s="9" t="s">
        <v>248</v>
      </c>
      <c r="N667" s="9" t="s">
        <v>254</v>
      </c>
      <c r="O667" s="9"/>
      <c r="P667" s="37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</row>
    <row r="668" spans="1:33" ht="14.25" customHeight="1" x14ac:dyDescent="0.35">
      <c r="A668" s="12">
        <v>300109</v>
      </c>
      <c r="B668" s="63" t="str">
        <f>IFERROR(VLOOKUP(Tabla2[[#This Row],[CODIGO]],INVENTARIO!A:B,2,0)," ")</f>
        <v>Risers de Acero 3/4" Bsp x 25 mm</v>
      </c>
      <c r="C668" s="12">
        <v>1</v>
      </c>
      <c r="D668" s="13">
        <v>30001</v>
      </c>
      <c r="E668" s="40">
        <v>4500516564</v>
      </c>
      <c r="F668" s="9">
        <v>3566911</v>
      </c>
      <c r="G668" s="77">
        <v>46043</v>
      </c>
      <c r="H668" s="9" t="s">
        <v>166</v>
      </c>
      <c r="I668" s="9"/>
      <c r="J668" s="9"/>
      <c r="K668" s="9"/>
      <c r="L668" s="9"/>
      <c r="M668" s="9" t="s">
        <v>248</v>
      </c>
      <c r="N668" s="9" t="s">
        <v>254</v>
      </c>
      <c r="O668" s="9"/>
      <c r="P668" s="37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</row>
    <row r="669" spans="1:33" ht="14.25" customHeight="1" x14ac:dyDescent="0.35">
      <c r="A669" s="12">
        <v>301329</v>
      </c>
      <c r="B669" s="63" t="str">
        <f>IFERROR(VLOOKUP(Tabla2[[#This Row],[CODIGO]],INVENTARIO!A:B,2,0)," ")</f>
        <v>Copla PE100 025mm EF</v>
      </c>
      <c r="C669" s="12">
        <v>5</v>
      </c>
      <c r="D669" s="13">
        <v>10890</v>
      </c>
      <c r="E669" s="40">
        <v>4500516564</v>
      </c>
      <c r="F669" s="9">
        <v>3566911</v>
      </c>
      <c r="G669" s="77">
        <v>46043</v>
      </c>
      <c r="H669" s="9" t="s">
        <v>166</v>
      </c>
      <c r="I669" s="9"/>
      <c r="J669" s="9"/>
      <c r="K669" s="9"/>
      <c r="L669" s="9"/>
      <c r="M669" s="9" t="s">
        <v>248</v>
      </c>
      <c r="N669" s="9" t="s">
        <v>254</v>
      </c>
      <c r="O669" s="9"/>
      <c r="P669" s="37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</row>
    <row r="670" spans="1:33" ht="14.25" customHeight="1" x14ac:dyDescent="0.35">
      <c r="A670" s="12">
        <v>2006450</v>
      </c>
      <c r="B670" s="63" t="str">
        <f>IFERROR(VLOOKUP(Tabla2[[#This Row],[CODIGO]],INVENTARIO!A:B,2,0)," ")</f>
        <v>Toma Supraflow 110 - 110 mm</v>
      </c>
      <c r="C670" s="12">
        <v>1</v>
      </c>
      <c r="D670" s="13">
        <v>934421</v>
      </c>
      <c r="E670" s="40">
        <v>4500516564</v>
      </c>
      <c r="F670" s="9">
        <v>3566911</v>
      </c>
      <c r="G670" s="77">
        <v>46043</v>
      </c>
      <c r="H670" s="9" t="s">
        <v>166</v>
      </c>
      <c r="I670" s="9"/>
      <c r="J670" s="9"/>
      <c r="K670" s="9"/>
      <c r="L670" s="9"/>
      <c r="M670" s="9" t="s">
        <v>248</v>
      </c>
      <c r="N670" s="9" t="s">
        <v>254</v>
      </c>
      <c r="O670" s="9"/>
      <c r="P670" s="37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</row>
    <row r="671" spans="1:33" ht="14.25" customHeight="1" x14ac:dyDescent="0.35">
      <c r="A671" s="12">
        <v>2006392</v>
      </c>
      <c r="B671" s="63" t="str">
        <f>IFERROR(VLOOKUP(Tabla2[[#This Row],[CODIGO]],INVENTARIO!A:B,2,0)," ")</f>
        <v>Limitador Flujo P/Tapping Tee 25 MM</v>
      </c>
      <c r="C671" s="12">
        <v>2</v>
      </c>
      <c r="D671" s="13">
        <v>3772</v>
      </c>
      <c r="E671" s="40">
        <v>4500516564</v>
      </c>
      <c r="F671" s="9">
        <v>3566911</v>
      </c>
      <c r="G671" s="77">
        <v>46043</v>
      </c>
      <c r="H671" s="9" t="s">
        <v>166</v>
      </c>
      <c r="I671" s="9"/>
      <c r="J671" s="9"/>
      <c r="K671" s="9"/>
      <c r="L671" s="9"/>
      <c r="M671" s="9" t="s">
        <v>248</v>
      </c>
      <c r="N671" s="9" t="s">
        <v>254</v>
      </c>
      <c r="O671" s="9"/>
      <c r="P671" s="37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</row>
    <row r="672" spans="1:33" ht="14.25" customHeight="1" x14ac:dyDescent="0.35">
      <c r="A672" s="12">
        <v>2004602</v>
      </c>
      <c r="B672" s="63" t="str">
        <f>IFERROR(VLOOKUP(Tabla2[[#This Row],[CODIGO]],INVENTARIO!A:B,2,0)," ")</f>
        <v>MRPC-120-(4/1,2)-(S)-2</v>
      </c>
      <c r="C672" s="12">
        <v>1</v>
      </c>
      <c r="D672" s="13">
        <v>2855512</v>
      </c>
      <c r="E672" s="40">
        <v>4500516564</v>
      </c>
      <c r="F672" s="9">
        <v>3566911</v>
      </c>
      <c r="G672" s="77">
        <v>46043</v>
      </c>
      <c r="H672" s="9" t="s">
        <v>166</v>
      </c>
      <c r="I672" s="53" t="s">
        <v>279</v>
      </c>
      <c r="J672" s="9"/>
      <c r="K672" s="9"/>
      <c r="L672" s="9"/>
      <c r="M672" s="9" t="s">
        <v>248</v>
      </c>
      <c r="N672" s="9" t="s">
        <v>254</v>
      </c>
      <c r="O672" s="9"/>
      <c r="P672" s="37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</row>
    <row r="673" spans="1:33" ht="14.25" customHeight="1" x14ac:dyDescent="0.35">
      <c r="A673" s="12">
        <v>2003736</v>
      </c>
      <c r="B673" s="63" t="str">
        <f>IFERROR(VLOOKUP(Tabla2[[#This Row],[CODIGO]],INVENTARIO!A:B,2,0)," ")</f>
        <v>Válvula PE100 Dn 110mm</v>
      </c>
      <c r="C673" s="12">
        <v>2</v>
      </c>
      <c r="D673" s="13">
        <v>348724</v>
      </c>
      <c r="E673" s="40">
        <v>4500516564</v>
      </c>
      <c r="F673" s="9">
        <v>3566911</v>
      </c>
      <c r="G673" s="77">
        <v>46043</v>
      </c>
      <c r="H673" s="9" t="s">
        <v>166</v>
      </c>
      <c r="I673" s="9"/>
      <c r="J673" s="9"/>
      <c r="K673" s="9"/>
      <c r="L673" s="9"/>
      <c r="M673" s="9" t="s">
        <v>248</v>
      </c>
      <c r="N673" s="9" t="s">
        <v>254</v>
      </c>
      <c r="O673" s="9"/>
      <c r="P673" s="37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</row>
    <row r="674" spans="1:33" ht="14.25" customHeight="1" x14ac:dyDescent="0.35">
      <c r="A674" s="12">
        <v>2000350</v>
      </c>
      <c r="B674" s="63" t="str">
        <f>IFERROR(VLOOKUP(Tabla2[[#This Row],[CODIGO]],INVENTARIO!A:B,2,0)," ")</f>
        <v>Codo PE 90º  25 mm EF.</v>
      </c>
      <c r="C674" s="12">
        <v>2</v>
      </c>
      <c r="D674" s="13">
        <v>12264</v>
      </c>
      <c r="E674" s="40">
        <v>4500516564</v>
      </c>
      <c r="F674" s="9">
        <v>3566911</v>
      </c>
      <c r="G674" s="77">
        <v>46043</v>
      </c>
      <c r="H674" s="9" t="s">
        <v>166</v>
      </c>
      <c r="I674" s="9"/>
      <c r="J674" s="9"/>
      <c r="K674" s="9"/>
      <c r="L674" s="9"/>
      <c r="M674" s="9" t="s">
        <v>248</v>
      </c>
      <c r="N674" s="9" t="s">
        <v>254</v>
      </c>
      <c r="O674" s="9"/>
      <c r="P674" s="37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</row>
    <row r="675" spans="1:33" ht="14.25" customHeight="1" x14ac:dyDescent="0.35">
      <c r="A675" s="12">
        <v>303439</v>
      </c>
      <c r="B675" s="63" t="str">
        <f>IFERROR(VLOOKUP(Tabla2[[#This Row],[CODIGO]],INVENTARIO!A:B,2,0)," ")</f>
        <v>Reductor PE 110-50 mm Termo F.</v>
      </c>
      <c r="C675" s="12">
        <v>1</v>
      </c>
      <c r="D675" s="13">
        <v>6928</v>
      </c>
      <c r="E675" s="40">
        <v>4500516564</v>
      </c>
      <c r="F675" s="9">
        <v>3566911</v>
      </c>
      <c r="G675" s="77">
        <v>46043</v>
      </c>
      <c r="H675" s="9" t="s">
        <v>166</v>
      </c>
      <c r="I675" s="9"/>
      <c r="J675" s="9"/>
      <c r="K675" s="9"/>
      <c r="L675" s="9"/>
      <c r="M675" s="9" t="s">
        <v>248</v>
      </c>
      <c r="N675" s="9" t="s">
        <v>254</v>
      </c>
      <c r="O675" s="9"/>
      <c r="P675" s="37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</row>
    <row r="676" spans="1:33" ht="14.25" customHeight="1" x14ac:dyDescent="0.35">
      <c r="A676" s="12">
        <v>303362</v>
      </c>
      <c r="B676" s="63" t="str">
        <f>IFERROR(VLOOKUP(Tabla2[[#This Row],[CODIGO]],INVENTARIO!A:B,2,0)," ")</f>
        <v>Reductor PE  50-40 mm Electro F.</v>
      </c>
      <c r="C676" s="12">
        <v>1</v>
      </c>
      <c r="D676" s="13">
        <v>6296</v>
      </c>
      <c r="E676" s="40">
        <v>4500516564</v>
      </c>
      <c r="F676" s="9">
        <v>3566911</v>
      </c>
      <c r="G676" s="77">
        <v>46043</v>
      </c>
      <c r="H676" s="9" t="s">
        <v>166</v>
      </c>
      <c r="I676" s="9"/>
      <c r="J676" s="9"/>
      <c r="K676" s="9"/>
      <c r="L676" s="9"/>
      <c r="M676" s="9" t="s">
        <v>248</v>
      </c>
      <c r="N676" s="9" t="s">
        <v>254</v>
      </c>
      <c r="O676" s="9"/>
      <c r="P676" s="37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</row>
    <row r="677" spans="1:33" ht="14.25" customHeight="1" x14ac:dyDescent="0.35">
      <c r="A677" s="12">
        <v>303345</v>
      </c>
      <c r="B677" s="63" t="str">
        <f>IFERROR(VLOOKUP(Tabla2[[#This Row],[CODIGO]],INVENTARIO!A:B,2,0)," ")</f>
        <v>Copla PE100 050mm EF</v>
      </c>
      <c r="C677" s="12">
        <v>4</v>
      </c>
      <c r="D677" s="13">
        <v>13208</v>
      </c>
      <c r="E677" s="40">
        <v>4500516564</v>
      </c>
      <c r="F677" s="9">
        <v>3566911</v>
      </c>
      <c r="G677" s="77">
        <v>46043</v>
      </c>
      <c r="H677" s="9" t="s">
        <v>166</v>
      </c>
      <c r="I677" s="9"/>
      <c r="J677" s="9"/>
      <c r="K677" s="9"/>
      <c r="L677" s="9"/>
      <c r="M677" s="9" t="s">
        <v>248</v>
      </c>
      <c r="N677" s="9" t="s">
        <v>254</v>
      </c>
      <c r="O677" s="9"/>
      <c r="P677" s="37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</row>
    <row r="678" spans="1:33" ht="14.25" customHeight="1" x14ac:dyDescent="0.35">
      <c r="A678" s="12">
        <v>303017</v>
      </c>
      <c r="B678" s="63" t="str">
        <f>IFERROR(VLOOKUP(Tabla2[[#This Row],[CODIGO]],INVENTARIO!A:B,2,0)," ")</f>
        <v>Codo PE100 90° 110mm EF</v>
      </c>
      <c r="C678" s="12">
        <v>3</v>
      </c>
      <c r="D678" s="13">
        <v>95076</v>
      </c>
      <c r="E678" s="40">
        <v>4500516564</v>
      </c>
      <c r="F678" s="9">
        <v>3566911</v>
      </c>
      <c r="G678" s="77">
        <v>46043</v>
      </c>
      <c r="H678" s="9" t="s">
        <v>166</v>
      </c>
      <c r="I678" s="9"/>
      <c r="J678" s="9"/>
      <c r="K678" s="9"/>
      <c r="L678" s="9"/>
      <c r="M678" s="9" t="s">
        <v>248</v>
      </c>
      <c r="N678" s="9" t="s">
        <v>254</v>
      </c>
      <c r="O678" s="9"/>
      <c r="P678" s="37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</row>
    <row r="679" spans="1:33" ht="14.25" customHeight="1" x14ac:dyDescent="0.35">
      <c r="A679" s="12">
        <v>303015</v>
      </c>
      <c r="B679" s="63" t="str">
        <f>IFERROR(VLOOKUP(Tabla2[[#This Row],[CODIGO]],INVENTARIO!A:B,2,0)," ")</f>
        <v>Tee PE 110 mm Electro F.</v>
      </c>
      <c r="C679" s="12">
        <v>1</v>
      </c>
      <c r="D679" s="13">
        <v>22160</v>
      </c>
      <c r="E679" s="40">
        <v>4500516564</v>
      </c>
      <c r="F679" s="9">
        <v>3566911</v>
      </c>
      <c r="G679" s="77">
        <v>46043</v>
      </c>
      <c r="H679" s="9" t="s">
        <v>166</v>
      </c>
      <c r="I679" s="9"/>
      <c r="J679" s="9"/>
      <c r="K679" s="9"/>
      <c r="L679" s="9"/>
      <c r="M679" s="9" t="s">
        <v>248</v>
      </c>
      <c r="N679" s="9" t="s">
        <v>254</v>
      </c>
      <c r="O679" s="9"/>
      <c r="P679" s="37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</row>
    <row r="680" spans="1:33" ht="14.25" customHeight="1" x14ac:dyDescent="0.35">
      <c r="A680" s="12">
        <v>302992</v>
      </c>
      <c r="B680" s="63" t="str">
        <f>IFERROR(VLOOKUP(Tabla2[[#This Row],[CODIGO]],INVENTARIO!A:B,2,0)," ")</f>
        <v>Codo PE100 90° 050mm EF</v>
      </c>
      <c r="C680" s="12">
        <v>1</v>
      </c>
      <c r="D680" s="13">
        <v>5621</v>
      </c>
      <c r="E680" s="40">
        <v>4500516564</v>
      </c>
      <c r="F680" s="9">
        <v>3566911</v>
      </c>
      <c r="G680" s="77">
        <v>46043</v>
      </c>
      <c r="H680" s="9" t="s">
        <v>166</v>
      </c>
      <c r="I680" s="9"/>
      <c r="J680" s="9"/>
      <c r="K680" s="9"/>
      <c r="L680" s="9"/>
      <c r="M680" s="9" t="s">
        <v>248</v>
      </c>
      <c r="N680" s="9" t="s">
        <v>254</v>
      </c>
      <c r="O680" s="9"/>
      <c r="P680" s="37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</row>
    <row r="681" spans="1:33" ht="14.25" customHeight="1" x14ac:dyDescent="0.35">
      <c r="A681" s="12">
        <v>302991</v>
      </c>
      <c r="B681" s="63" t="str">
        <f>IFERROR(VLOOKUP(Tabla2[[#This Row],[CODIGO]],INVENTARIO!A:B,2,0)," ")</f>
        <v>Copla PE100 110mm EF</v>
      </c>
      <c r="C681" s="12">
        <v>7</v>
      </c>
      <c r="D681" s="13">
        <v>75537</v>
      </c>
      <c r="E681" s="40">
        <v>4500516564</v>
      </c>
      <c r="F681" s="9">
        <v>3566911</v>
      </c>
      <c r="G681" s="77">
        <v>46043</v>
      </c>
      <c r="H681" s="9" t="s">
        <v>166</v>
      </c>
      <c r="I681" s="9"/>
      <c r="J681" s="9"/>
      <c r="K681" s="9"/>
      <c r="L681" s="9"/>
      <c r="M681" s="9" t="s">
        <v>248</v>
      </c>
      <c r="N681" s="9" t="s">
        <v>254</v>
      </c>
      <c r="O681" s="9"/>
      <c r="P681" s="37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</row>
    <row r="682" spans="1:33" ht="14.25" customHeight="1" x14ac:dyDescent="0.35">
      <c r="A682" s="12">
        <v>302338</v>
      </c>
      <c r="B682" s="63" t="str">
        <f>IFERROR(VLOOKUP(Tabla2[[#This Row],[CODIGO]],INVENTARIO!A:B,2,0)," ")</f>
        <v>Codo PE100 45° 110mm EF</v>
      </c>
      <c r="C682" s="12">
        <v>2</v>
      </c>
      <c r="D682" s="13">
        <v>20874</v>
      </c>
      <c r="E682" s="40">
        <v>4500516564</v>
      </c>
      <c r="F682" s="9">
        <v>3566911</v>
      </c>
      <c r="G682" s="77">
        <v>46043</v>
      </c>
      <c r="H682" s="9" t="s">
        <v>166</v>
      </c>
      <c r="I682" s="9"/>
      <c r="J682" s="9"/>
      <c r="K682" s="9"/>
      <c r="L682" s="9"/>
      <c r="M682" s="9" t="s">
        <v>248</v>
      </c>
      <c r="N682" s="9" t="s">
        <v>254</v>
      </c>
      <c r="O682" s="9"/>
      <c r="P682" s="37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</row>
    <row r="683" spans="1:33" ht="14.25" customHeight="1" x14ac:dyDescent="0.35">
      <c r="A683" s="12">
        <v>302317</v>
      </c>
      <c r="B683" s="63" t="str">
        <f>IFERROR(VLOOKUP(Tabla2[[#This Row],[CODIGO]],INVENTARIO!A:B,2,0)," ")</f>
        <v>Tapa PE 110 mm Termo F.</v>
      </c>
      <c r="C683" s="12">
        <v>1</v>
      </c>
      <c r="D683" s="13">
        <v>9752</v>
      </c>
      <c r="E683" s="40">
        <v>4500516564</v>
      </c>
      <c r="F683" s="9">
        <v>3566911</v>
      </c>
      <c r="G683" s="77">
        <v>46043</v>
      </c>
      <c r="H683" s="9" t="s">
        <v>166</v>
      </c>
      <c r="I683" s="9"/>
      <c r="J683" s="9"/>
      <c r="K683" s="9"/>
      <c r="L683" s="9"/>
      <c r="M683" s="9" t="s">
        <v>248</v>
      </c>
      <c r="N683" s="9" t="s">
        <v>254</v>
      </c>
      <c r="O683" s="9"/>
      <c r="P683" s="37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</row>
    <row r="684" spans="1:33" ht="14.25" customHeight="1" x14ac:dyDescent="0.35">
      <c r="A684" s="12">
        <v>301815</v>
      </c>
      <c r="B684" s="63" t="str">
        <f>IFERROR(VLOOKUP(Tabla2[[#This Row],[CODIGO]],INVENTARIO!A:B,2,0)," ")</f>
        <v>Ánodo Magne. Alto Potencial 9 Lbs</v>
      </c>
      <c r="C684" s="12">
        <v>2</v>
      </c>
      <c r="D684" s="13">
        <v>233014</v>
      </c>
      <c r="E684" s="40">
        <v>4500516564</v>
      </c>
      <c r="F684" s="9">
        <v>3566911</v>
      </c>
      <c r="G684" s="77">
        <v>46043</v>
      </c>
      <c r="H684" s="9" t="s">
        <v>166</v>
      </c>
      <c r="I684" s="9"/>
      <c r="J684" s="9"/>
      <c r="K684" s="9"/>
      <c r="L684" s="9"/>
      <c r="M684" s="9" t="s">
        <v>248</v>
      </c>
      <c r="N684" s="9" t="s">
        <v>254</v>
      </c>
      <c r="O684" s="9"/>
      <c r="P684" s="37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</row>
    <row r="685" spans="1:33" ht="14.25" customHeight="1" x14ac:dyDescent="0.35">
      <c r="A685" s="12">
        <v>301666</v>
      </c>
      <c r="B685" s="63" t="str">
        <f>IFERROR(VLOOKUP(Tabla2[[#This Row],[CODIGO]],INVENTARIO!A:B,2,0)," ")</f>
        <v>Tapping Tee PE 110-25 mm</v>
      </c>
      <c r="C685" s="12">
        <v>3</v>
      </c>
      <c r="D685" s="13">
        <v>36252</v>
      </c>
      <c r="E685" s="40">
        <v>4500516564</v>
      </c>
      <c r="F685" s="9">
        <v>3566911</v>
      </c>
      <c r="G685" s="77">
        <v>46043</v>
      </c>
      <c r="H685" s="9" t="s">
        <v>166</v>
      </c>
      <c r="I685" s="9"/>
      <c r="J685" s="9"/>
      <c r="K685" s="9"/>
      <c r="L685" s="9"/>
      <c r="M685" s="9" t="s">
        <v>248</v>
      </c>
      <c r="N685" s="9" t="s">
        <v>254</v>
      </c>
      <c r="O685" s="9"/>
      <c r="P685" s="37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</row>
    <row r="686" spans="1:33" ht="14.25" customHeight="1" x14ac:dyDescent="0.35">
      <c r="A686" s="12">
        <v>301327</v>
      </c>
      <c r="B686" s="63" t="str">
        <f>IFERROR(VLOOKUP(Tabla2[[#This Row],[CODIGO]],INVENTARIO!A:B,2,0)," ")</f>
        <v>Tapa PE  050 mm Termo F.</v>
      </c>
      <c r="C686" s="12">
        <v>1</v>
      </c>
      <c r="D686" s="13">
        <v>3063</v>
      </c>
      <c r="E686" s="40">
        <v>4500516564</v>
      </c>
      <c r="F686" s="9">
        <v>3566911</v>
      </c>
      <c r="G686" s="77">
        <v>46043</v>
      </c>
      <c r="H686" s="9" t="s">
        <v>166</v>
      </c>
      <c r="I686" s="9"/>
      <c r="J686" s="9"/>
      <c r="K686" s="9"/>
      <c r="L686" s="9"/>
      <c r="M686" s="9" t="s">
        <v>248</v>
      </c>
      <c r="N686" s="9" t="s">
        <v>254</v>
      </c>
      <c r="O686" s="9"/>
      <c r="P686" s="37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</row>
    <row r="687" spans="1:33" ht="14.25" customHeight="1" x14ac:dyDescent="0.35">
      <c r="A687" s="12">
        <v>300712</v>
      </c>
      <c r="B687" s="63" t="str">
        <f>IFERROR(VLOOKUP(Tabla2[[#This Row],[CODIGO]],INVENTARIO!A:B,2,0)," ")</f>
        <v>Tapa PE  025 mm Termo F.</v>
      </c>
      <c r="C687" s="12">
        <v>1</v>
      </c>
      <c r="D687" s="13">
        <v>1373</v>
      </c>
      <c r="E687" s="40">
        <v>4500516564</v>
      </c>
      <c r="F687" s="9">
        <v>3566911</v>
      </c>
      <c r="G687" s="77">
        <v>46043</v>
      </c>
      <c r="H687" s="9" t="s">
        <v>166</v>
      </c>
      <c r="I687" s="9"/>
      <c r="J687" s="9"/>
      <c r="K687" s="9"/>
      <c r="L687" s="9"/>
      <c r="M687" s="9" t="s">
        <v>248</v>
      </c>
      <c r="N687" s="9" t="s">
        <v>254</v>
      </c>
      <c r="O687" s="9"/>
      <c r="P687" s="37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</row>
    <row r="688" spans="1:33" ht="14.25" customHeight="1" x14ac:dyDescent="0.35">
      <c r="A688" s="12">
        <v>300414</v>
      </c>
      <c r="B688" s="63" t="str">
        <f>IFERROR(VLOOKUP(Tabla2[[#This Row],[CODIGO]],INVENTARIO!A:B,2,0)," ")</f>
        <v>Válvula PE100 Dn 50mm</v>
      </c>
      <c r="C688" s="12">
        <v>1</v>
      </c>
      <c r="D688" s="13">
        <v>83109</v>
      </c>
      <c r="E688" s="40">
        <v>4500516564</v>
      </c>
      <c r="F688" s="9">
        <v>3566911</v>
      </c>
      <c r="G688" s="77">
        <v>46043</v>
      </c>
      <c r="H688" s="9" t="s">
        <v>166</v>
      </c>
      <c r="I688" s="9"/>
      <c r="J688" s="9"/>
      <c r="K688" s="9"/>
      <c r="L688" s="9"/>
      <c r="M688" s="9" t="s">
        <v>248</v>
      </c>
      <c r="N688" s="9" t="s">
        <v>254</v>
      </c>
      <c r="O688" s="9"/>
      <c r="P688" s="37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</row>
    <row r="689" spans="1:33" ht="14.25" customHeight="1" x14ac:dyDescent="0.35">
      <c r="A689" s="12">
        <v>2006391</v>
      </c>
      <c r="B689" s="63" t="str">
        <f>IFERROR(VLOOKUP(Tabla2[[#This Row],[CODIGO]],INVENTARIO!A:B,2,0)," ")</f>
        <v>Guardallave Fierro Fundido C/Tapa</v>
      </c>
      <c r="C689" s="12">
        <v>5</v>
      </c>
      <c r="D689" s="13">
        <v>134615</v>
      </c>
      <c r="E689" s="40">
        <v>874679</v>
      </c>
      <c r="F689" s="9">
        <v>3566916</v>
      </c>
      <c r="G689" s="77">
        <v>46043</v>
      </c>
      <c r="H689" s="9" t="s">
        <v>167</v>
      </c>
      <c r="I689" s="9"/>
      <c r="J689" s="9"/>
      <c r="K689" s="9"/>
      <c r="L689" s="9"/>
      <c r="M689" s="9" t="s">
        <v>248</v>
      </c>
      <c r="N689" s="9" t="s">
        <v>254</v>
      </c>
      <c r="O689" s="9" t="s">
        <v>258</v>
      </c>
      <c r="P689" s="37">
        <v>1374943</v>
      </c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</row>
    <row r="690" spans="1:33" ht="14.25" customHeight="1" x14ac:dyDescent="0.35">
      <c r="A690" s="12">
        <v>303368</v>
      </c>
      <c r="B690" s="63" t="str">
        <f>IFERROR(VLOOKUP(Tabla2[[#This Row],[CODIGO]],INVENTARIO!A:B,2,0)," ")</f>
        <v>Cinta Plástica "Línea GN", 30 x 0.1</v>
      </c>
      <c r="C690" s="12">
        <v>100</v>
      </c>
      <c r="D690" s="13">
        <v>12100</v>
      </c>
      <c r="E690" s="40">
        <v>874679</v>
      </c>
      <c r="F690" s="9">
        <v>3566916</v>
      </c>
      <c r="G690" s="77">
        <v>46043</v>
      </c>
      <c r="H690" s="9" t="s">
        <v>167</v>
      </c>
      <c r="I690" s="9"/>
      <c r="J690" s="9"/>
      <c r="K690" s="9"/>
      <c r="L690" s="9"/>
      <c r="M690" s="9" t="s">
        <v>248</v>
      </c>
      <c r="N690" s="9" t="s">
        <v>254</v>
      </c>
      <c r="O690" s="9" t="s">
        <v>258</v>
      </c>
      <c r="P690" s="37">
        <v>1374943</v>
      </c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</row>
    <row r="691" spans="1:33" ht="14.25" customHeight="1" x14ac:dyDescent="0.35">
      <c r="A691" s="12">
        <v>1002167</v>
      </c>
      <c r="B691" s="63" t="str">
        <f>IFERROR(VLOOKUP(Tabla2[[#This Row],[CODIGO]],INVENTARIO!A:B,2,0)," ")</f>
        <v>Cable Trazador Cu 14 AWG Aisl. THW Roj</v>
      </c>
      <c r="C691" s="12">
        <v>100</v>
      </c>
      <c r="D691" s="13">
        <v>29400</v>
      </c>
      <c r="E691" s="40">
        <v>874679</v>
      </c>
      <c r="F691" s="9">
        <v>3566916</v>
      </c>
      <c r="G691" s="77">
        <v>46043</v>
      </c>
      <c r="H691" s="9" t="s">
        <v>167</v>
      </c>
      <c r="I691" s="9"/>
      <c r="J691" s="9"/>
      <c r="K691" s="9"/>
      <c r="L691" s="9"/>
      <c r="M691" s="9" t="s">
        <v>248</v>
      </c>
      <c r="N691" s="9" t="s">
        <v>254</v>
      </c>
      <c r="O691" s="9" t="s">
        <v>258</v>
      </c>
      <c r="P691" s="37">
        <v>1374943</v>
      </c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</row>
    <row r="692" spans="1:33" ht="14.25" customHeight="1" x14ac:dyDescent="0.35">
      <c r="A692" s="12">
        <v>303510</v>
      </c>
      <c r="B692" s="63" t="str">
        <f>IFERROR(VLOOKUP(Tabla2[[#This Row],[CODIGO]],INVENTARIO!A:B,2,0)," ")</f>
        <v>Guardallave Hormigón 125 mm con Tapa</v>
      </c>
      <c r="C692" s="12">
        <v>2</v>
      </c>
      <c r="D692" s="13">
        <v>7800</v>
      </c>
      <c r="E692" s="40">
        <v>874679</v>
      </c>
      <c r="F692" s="9">
        <v>3566916</v>
      </c>
      <c r="G692" s="77">
        <v>46043</v>
      </c>
      <c r="H692" s="9" t="s">
        <v>167</v>
      </c>
      <c r="I692" s="9"/>
      <c r="J692" s="9"/>
      <c r="K692" s="9"/>
      <c r="L692" s="9"/>
      <c r="M692" s="9" t="s">
        <v>248</v>
      </c>
      <c r="N692" s="9" t="s">
        <v>254</v>
      </c>
      <c r="O692" s="9" t="s">
        <v>258</v>
      </c>
      <c r="P692" s="37">
        <v>1374943</v>
      </c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</row>
    <row r="693" spans="1:33" ht="14.25" customHeight="1" x14ac:dyDescent="0.35">
      <c r="A693" s="12">
        <v>302737</v>
      </c>
      <c r="B693" s="63" t="str">
        <f>IFERROR(VLOOKUP(Tabla2[[#This Row],[CODIGO]],INVENTARIO!A:B,2,0)," ")</f>
        <v>Válvula Bola 3/4" Hi Un Cuerpo Pn5 Arco</v>
      </c>
      <c r="C693" s="12">
        <v>3</v>
      </c>
      <c r="D693" s="13">
        <v>49335</v>
      </c>
      <c r="E693" s="40">
        <v>874679</v>
      </c>
      <c r="F693" s="9">
        <v>3566916</v>
      </c>
      <c r="G693" s="77">
        <v>46043</v>
      </c>
      <c r="H693" s="9" t="s">
        <v>167</v>
      </c>
      <c r="I693" s="9"/>
      <c r="J693" s="9"/>
      <c r="K693" s="9"/>
      <c r="L693" s="9"/>
      <c r="M693" s="9" t="s">
        <v>248</v>
      </c>
      <c r="N693" s="9" t="s">
        <v>254</v>
      </c>
      <c r="O693" s="9" t="s">
        <v>258</v>
      </c>
      <c r="P693" s="37">
        <v>1374943</v>
      </c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</row>
    <row r="694" spans="1:33" ht="14.25" customHeight="1" x14ac:dyDescent="0.35">
      <c r="A694" s="12">
        <v>303368</v>
      </c>
      <c r="B694" s="63" t="str">
        <f>IFERROR(VLOOKUP(Tabla2[[#This Row],[CODIGO]],INVENTARIO!A:B,2,0)," ")</f>
        <v>Cinta Plástica "Línea GN", 30 x 0.1</v>
      </c>
      <c r="C694" s="12">
        <v>100</v>
      </c>
      <c r="D694" s="13">
        <v>12100</v>
      </c>
      <c r="E694" s="40">
        <v>874678</v>
      </c>
      <c r="F694" s="9">
        <v>3566915</v>
      </c>
      <c r="G694" s="77">
        <v>46043</v>
      </c>
      <c r="H694" s="9" t="s">
        <v>167</v>
      </c>
      <c r="I694" s="9"/>
      <c r="J694" s="9"/>
      <c r="K694" s="9"/>
      <c r="L694" s="9"/>
      <c r="M694" s="9" t="s">
        <v>248</v>
      </c>
      <c r="N694" s="9" t="s">
        <v>255</v>
      </c>
      <c r="O694" s="9" t="s">
        <v>258</v>
      </c>
      <c r="P694" s="37">
        <v>1374942</v>
      </c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</row>
    <row r="695" spans="1:33" ht="14.25" customHeight="1" x14ac:dyDescent="0.35">
      <c r="A695" s="12">
        <v>1002167</v>
      </c>
      <c r="B695" s="63" t="str">
        <f>IFERROR(VLOOKUP(Tabla2[[#This Row],[CODIGO]],INVENTARIO!A:B,2,0)," ")</f>
        <v>Cable Trazador Cu 14 AWG Aisl. THW Roj</v>
      </c>
      <c r="C695" s="12">
        <v>100</v>
      </c>
      <c r="D695" s="13">
        <v>29400</v>
      </c>
      <c r="E695" s="40">
        <v>874678</v>
      </c>
      <c r="F695" s="9">
        <v>3566915</v>
      </c>
      <c r="G695" s="77">
        <v>46043</v>
      </c>
      <c r="H695" s="9" t="s">
        <v>167</v>
      </c>
      <c r="I695" s="9"/>
      <c r="J695" s="9"/>
      <c r="K695" s="9"/>
      <c r="L695" s="9"/>
      <c r="M695" s="9" t="s">
        <v>248</v>
      </c>
      <c r="N695" s="9" t="s">
        <v>255</v>
      </c>
      <c r="O695" s="9" t="s">
        <v>258</v>
      </c>
      <c r="P695" s="37">
        <v>1374942</v>
      </c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</row>
    <row r="696" spans="1:33" ht="14.25" customHeight="1" x14ac:dyDescent="0.35">
      <c r="A696" s="12">
        <v>2002262</v>
      </c>
      <c r="B696" s="63" t="str">
        <f>IFERROR(VLOOKUP(Tabla2[[#This Row],[CODIGO]],INVENTARIO!A:B,2,0)," ")</f>
        <v>Tubería PE80 050mm Rollo</v>
      </c>
      <c r="C696" s="12">
        <v>50</v>
      </c>
      <c r="D696" s="13">
        <v>129100</v>
      </c>
      <c r="E696" s="40">
        <v>874678</v>
      </c>
      <c r="F696" s="9">
        <v>3566915</v>
      </c>
      <c r="G696" s="77">
        <v>46043</v>
      </c>
      <c r="H696" s="9" t="s">
        <v>167</v>
      </c>
      <c r="I696" s="9"/>
      <c r="J696" s="9"/>
      <c r="K696" s="9"/>
      <c r="L696" s="9"/>
      <c r="M696" s="9" t="s">
        <v>248</v>
      </c>
      <c r="N696" s="9" t="s">
        <v>255</v>
      </c>
      <c r="O696" s="9" t="s">
        <v>258</v>
      </c>
      <c r="P696" s="37">
        <v>1374942</v>
      </c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</row>
    <row r="697" spans="1:33" ht="14.25" customHeight="1" x14ac:dyDescent="0.35">
      <c r="A697" s="12">
        <v>303510</v>
      </c>
      <c r="B697" s="63" t="str">
        <f>IFERROR(VLOOKUP(Tabla2[[#This Row],[CODIGO]],INVENTARIO!A:B,2,0)," ")</f>
        <v>Guardallave Hormigón 125 mm con Tapa</v>
      </c>
      <c r="C697" s="12">
        <v>3</v>
      </c>
      <c r="D697" s="13">
        <v>11700</v>
      </c>
      <c r="E697" s="40">
        <v>874678</v>
      </c>
      <c r="F697" s="9">
        <v>3566915</v>
      </c>
      <c r="G697" s="77">
        <v>46043</v>
      </c>
      <c r="H697" s="9" t="s">
        <v>167</v>
      </c>
      <c r="I697" s="9"/>
      <c r="J697" s="9"/>
      <c r="K697" s="9"/>
      <c r="L697" s="9"/>
      <c r="M697" s="9" t="s">
        <v>248</v>
      </c>
      <c r="N697" s="9" t="s">
        <v>255</v>
      </c>
      <c r="O697" s="9" t="s">
        <v>258</v>
      </c>
      <c r="P697" s="37">
        <v>1374942</v>
      </c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</row>
    <row r="698" spans="1:33" ht="14.25" customHeight="1" x14ac:dyDescent="0.35">
      <c r="A698" s="12">
        <v>302737</v>
      </c>
      <c r="B698" s="63" t="str">
        <f>IFERROR(VLOOKUP(Tabla2[[#This Row],[CODIGO]],INVENTARIO!A:B,2,0)," ")</f>
        <v>Válvula Bola 3/4" Hi Un Cuerpo Pn5 Arco</v>
      </c>
      <c r="C698" s="12">
        <v>3</v>
      </c>
      <c r="D698" s="13">
        <v>49335</v>
      </c>
      <c r="E698" s="40">
        <v>874678</v>
      </c>
      <c r="F698" s="9">
        <v>3566915</v>
      </c>
      <c r="G698" s="77">
        <v>46043</v>
      </c>
      <c r="H698" s="9" t="s">
        <v>167</v>
      </c>
      <c r="I698" s="9"/>
      <c r="J698" s="9"/>
      <c r="K698" s="9"/>
      <c r="L698" s="9"/>
      <c r="M698" s="9" t="s">
        <v>248</v>
      </c>
      <c r="N698" s="9" t="s">
        <v>255</v>
      </c>
      <c r="O698" s="9" t="s">
        <v>258</v>
      </c>
      <c r="P698" s="37">
        <v>1374942</v>
      </c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</row>
    <row r="699" spans="1:33" ht="14.25" customHeight="1" x14ac:dyDescent="0.35">
      <c r="A699" s="12">
        <v>2006391</v>
      </c>
      <c r="B699" s="63" t="str">
        <f>IFERROR(VLOOKUP(Tabla2[[#This Row],[CODIGO]],INVENTARIO!A:B,2,0)," ")</f>
        <v>Guardallave Fierro Fundido C/Tapa</v>
      </c>
      <c r="C699" s="12">
        <v>3</v>
      </c>
      <c r="D699" s="13">
        <v>80769</v>
      </c>
      <c r="E699" s="40">
        <v>874678</v>
      </c>
      <c r="F699" s="9">
        <v>3566915</v>
      </c>
      <c r="G699" s="77">
        <v>46043</v>
      </c>
      <c r="H699" s="9" t="s">
        <v>167</v>
      </c>
      <c r="I699" s="9"/>
      <c r="J699" s="9"/>
      <c r="K699" s="9"/>
      <c r="L699" s="9"/>
      <c r="M699" s="9" t="s">
        <v>248</v>
      </c>
      <c r="N699" s="9" t="s">
        <v>255</v>
      </c>
      <c r="O699" s="9" t="s">
        <v>258</v>
      </c>
      <c r="P699" s="37">
        <v>1374942</v>
      </c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</row>
    <row r="700" spans="1:33" ht="14.25" customHeight="1" x14ac:dyDescent="0.35">
      <c r="A700" s="12">
        <v>2007948</v>
      </c>
      <c r="B700" s="63" t="str">
        <f>IFERROR(VLOOKUP(Tabla2[[#This Row],[CODIGO]],INVENTARIO!A:B,2,0)," ")</f>
        <v>Tubo PVC Hidraulico 110 mm Pn6 Celeste</v>
      </c>
      <c r="C700" s="12">
        <v>6</v>
      </c>
      <c r="D700" s="13">
        <v>14556</v>
      </c>
      <c r="E700" s="40">
        <v>874694</v>
      </c>
      <c r="F700" s="9">
        <v>3566917</v>
      </c>
      <c r="G700" s="77">
        <v>46043</v>
      </c>
      <c r="H700" s="9" t="s">
        <v>167</v>
      </c>
      <c r="I700" s="9"/>
      <c r="J700" s="9"/>
      <c r="K700" s="9"/>
      <c r="L700" s="9"/>
      <c r="M700" s="9" t="s">
        <v>248</v>
      </c>
      <c r="N700" s="9" t="s">
        <v>254</v>
      </c>
      <c r="O700" s="9" t="s">
        <v>258</v>
      </c>
      <c r="P700" s="37">
        <v>1374944</v>
      </c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</row>
    <row r="701" spans="1:33" ht="14.25" customHeight="1" x14ac:dyDescent="0.35">
      <c r="A701" s="12">
        <v>300422</v>
      </c>
      <c r="B701" s="63" t="str">
        <f>IFERROR(VLOOKUP(Tabla2[[#This Row],[CODIGO]],INVENTARIO!A:B,2,0)," ")</f>
        <v>Tapa PE 160 mm Termo F.</v>
      </c>
      <c r="C701" s="12">
        <v>6</v>
      </c>
      <c r="D701" s="13">
        <v>110508</v>
      </c>
      <c r="E701" s="40">
        <v>4500516572</v>
      </c>
      <c r="F701" s="9">
        <v>3566912</v>
      </c>
      <c r="G701" s="77">
        <v>46043</v>
      </c>
      <c r="H701" s="9" t="s">
        <v>166</v>
      </c>
      <c r="I701" s="9"/>
      <c r="J701" s="9"/>
      <c r="K701" s="9"/>
      <c r="L701" s="9"/>
      <c r="M701" s="9" t="s">
        <v>252</v>
      </c>
      <c r="N701" s="9" t="s">
        <v>193</v>
      </c>
      <c r="O701" s="9"/>
      <c r="P701" s="37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</row>
    <row r="702" spans="1:33" ht="14.25" customHeight="1" x14ac:dyDescent="0.35">
      <c r="A702" s="12">
        <v>300117</v>
      </c>
      <c r="B702" s="63" t="str">
        <f>IFERROR(VLOOKUP(Tabla2[[#This Row],[CODIGO]],INVENTARIO!A:B,2,0)," ")</f>
        <v>Copla PE100 160mm EF</v>
      </c>
      <c r="C702" s="12">
        <v>12</v>
      </c>
      <c r="D702" s="13">
        <v>99372</v>
      </c>
      <c r="E702" s="40">
        <v>4500516572</v>
      </c>
      <c r="F702" s="9">
        <v>3566912</v>
      </c>
      <c r="G702" s="77">
        <v>46043</v>
      </c>
      <c r="H702" s="9" t="s">
        <v>166</v>
      </c>
      <c r="I702" s="9"/>
      <c r="J702" s="9"/>
      <c r="K702" s="9"/>
      <c r="L702" s="9"/>
      <c r="M702" s="9" t="s">
        <v>252</v>
      </c>
      <c r="N702" s="9" t="s">
        <v>193</v>
      </c>
      <c r="O702" s="9"/>
      <c r="P702" s="37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</row>
    <row r="703" spans="1:33" ht="14.25" customHeight="1" x14ac:dyDescent="0.35">
      <c r="A703" s="12">
        <v>301099</v>
      </c>
      <c r="B703" s="63" t="str">
        <f>IFERROR(VLOOKUP(Tabla2[[#This Row],[CODIGO]],INVENTARIO!A:B,2,0)," ")</f>
        <v>Válvula PE100 Dn 25mm</v>
      </c>
      <c r="C703" s="12">
        <v>3</v>
      </c>
      <c r="D703" s="13">
        <v>192909</v>
      </c>
      <c r="E703" s="40">
        <v>4500516572</v>
      </c>
      <c r="F703" s="9">
        <v>3566912</v>
      </c>
      <c r="G703" s="77">
        <v>46043</v>
      </c>
      <c r="H703" s="9" t="s">
        <v>166</v>
      </c>
      <c r="I703" s="9"/>
      <c r="J703" s="9"/>
      <c r="K703" s="9"/>
      <c r="L703" s="9"/>
      <c r="M703" s="9" t="s">
        <v>252</v>
      </c>
      <c r="N703" s="9" t="s">
        <v>193</v>
      </c>
      <c r="O703" s="9"/>
      <c r="P703" s="37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</row>
    <row r="704" spans="1:33" ht="14.25" customHeight="1" x14ac:dyDescent="0.35">
      <c r="A704" s="12">
        <v>301329</v>
      </c>
      <c r="B704" s="63" t="str">
        <f>IFERROR(VLOOKUP(Tabla2[[#This Row],[CODIGO]],INVENTARIO!A:B,2,0)," ")</f>
        <v>Copla PE100 025mm EF</v>
      </c>
      <c r="C704" s="12">
        <v>6</v>
      </c>
      <c r="D704" s="13">
        <v>13068</v>
      </c>
      <c r="E704" s="40">
        <v>4500516572</v>
      </c>
      <c r="F704" s="9">
        <v>3566912</v>
      </c>
      <c r="G704" s="77">
        <v>46043</v>
      </c>
      <c r="H704" s="9" t="s">
        <v>166</v>
      </c>
      <c r="I704" s="9"/>
      <c r="J704" s="9"/>
      <c r="K704" s="9"/>
      <c r="L704" s="9"/>
      <c r="M704" s="9" t="s">
        <v>252</v>
      </c>
      <c r="N704" s="9" t="s">
        <v>193</v>
      </c>
      <c r="O704" s="9"/>
      <c r="P704" s="37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</row>
    <row r="705" spans="1:33" ht="14.25" customHeight="1" x14ac:dyDescent="0.35">
      <c r="A705" s="12">
        <v>2000350</v>
      </c>
      <c r="B705" s="63" t="str">
        <f>IFERROR(VLOOKUP(Tabla2[[#This Row],[CODIGO]],INVENTARIO!A:B,2,0)," ")</f>
        <v>Codo PE 90º  25 mm EF.</v>
      </c>
      <c r="C705" s="12">
        <v>3</v>
      </c>
      <c r="D705" s="13">
        <v>18396</v>
      </c>
      <c r="E705" s="40">
        <v>4500516572</v>
      </c>
      <c r="F705" s="9">
        <v>3566912</v>
      </c>
      <c r="G705" s="77">
        <v>46043</v>
      </c>
      <c r="H705" s="9" t="s">
        <v>166</v>
      </c>
      <c r="I705" s="9"/>
      <c r="J705" s="9"/>
      <c r="K705" s="9"/>
      <c r="L705" s="9"/>
      <c r="M705" s="9" t="s">
        <v>252</v>
      </c>
      <c r="N705" s="9" t="s">
        <v>193</v>
      </c>
      <c r="O705" s="9"/>
      <c r="P705" s="37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</row>
    <row r="706" spans="1:33" ht="14.25" customHeight="1" x14ac:dyDescent="0.35">
      <c r="A706" s="12">
        <v>300109</v>
      </c>
      <c r="B706" s="63" t="str">
        <f>IFERROR(VLOOKUP(Tabla2[[#This Row],[CODIGO]],INVENTARIO!A:B,2,0)," ")</f>
        <v>Risers de Acero 3/4" Bsp x 25 mm</v>
      </c>
      <c r="C706" s="12">
        <v>3</v>
      </c>
      <c r="D706" s="13">
        <v>90003</v>
      </c>
      <c r="E706" s="40">
        <v>4500516572</v>
      </c>
      <c r="F706" s="9">
        <v>3566912</v>
      </c>
      <c r="G706" s="77">
        <v>46043</v>
      </c>
      <c r="H706" s="9" t="s">
        <v>166</v>
      </c>
      <c r="I706" s="9"/>
      <c r="J706" s="9"/>
      <c r="K706" s="9"/>
      <c r="L706" s="9"/>
      <c r="M706" s="9" t="s">
        <v>252</v>
      </c>
      <c r="N706" s="9" t="s">
        <v>193</v>
      </c>
      <c r="O706" s="9"/>
      <c r="P706" s="37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</row>
    <row r="707" spans="1:33" ht="14.25" customHeight="1" x14ac:dyDescent="0.35">
      <c r="A707" s="12">
        <v>300527</v>
      </c>
      <c r="B707" s="63" t="str">
        <f>IFERROR(VLOOKUP(Tabla2[[#This Row],[CODIGO]],INVENTARIO!A:B,2,0)," ")</f>
        <v>Tapping Tee PE 160-25 mm</v>
      </c>
      <c r="C707" s="12">
        <v>3</v>
      </c>
      <c r="D707" s="13">
        <v>48963</v>
      </c>
      <c r="E707" s="40">
        <v>4500516572</v>
      </c>
      <c r="F707" s="9">
        <v>3566912</v>
      </c>
      <c r="G707" s="77">
        <v>46043</v>
      </c>
      <c r="H707" s="9" t="s">
        <v>166</v>
      </c>
      <c r="I707" s="9"/>
      <c r="J707" s="9"/>
      <c r="K707" s="9"/>
      <c r="L707" s="9"/>
      <c r="M707" s="9" t="s">
        <v>252</v>
      </c>
      <c r="N707" s="9" t="s">
        <v>193</v>
      </c>
      <c r="O707" s="9"/>
      <c r="P707" s="37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</row>
    <row r="708" spans="1:33" ht="14.25" customHeight="1" x14ac:dyDescent="0.35">
      <c r="A708" s="12">
        <v>2007387</v>
      </c>
      <c r="B708" s="63" t="str">
        <f>IFERROR(VLOOKUP(Tabla2[[#This Row],[CODIGO]],INVENTARIO!A:B,2,0)," ")</f>
        <v>Codo PE100 90° 160mm EF</v>
      </c>
      <c r="C708" s="12">
        <v>7</v>
      </c>
      <c r="D708" s="13">
        <v>675150</v>
      </c>
      <c r="E708" s="40">
        <v>4500516572</v>
      </c>
      <c r="F708" s="9">
        <v>3566912</v>
      </c>
      <c r="G708" s="77">
        <v>46043</v>
      </c>
      <c r="H708" s="9" t="s">
        <v>166</v>
      </c>
      <c r="I708" s="9"/>
      <c r="J708" s="9"/>
      <c r="K708" s="9"/>
      <c r="L708" s="9"/>
      <c r="M708" s="9" t="s">
        <v>252</v>
      </c>
      <c r="N708" s="9" t="s">
        <v>193</v>
      </c>
      <c r="O708" s="9"/>
      <c r="P708" s="37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</row>
    <row r="709" spans="1:33" ht="14.25" customHeight="1" x14ac:dyDescent="0.35">
      <c r="A709" s="12">
        <v>301334</v>
      </c>
      <c r="B709" s="63" t="str">
        <f>IFERROR(VLOOKUP(Tabla2[[#This Row],[CODIGO]],INVENTARIO!A:B,2,0)," ")</f>
        <v>Codo PE100 90° 160mm TF</v>
      </c>
      <c r="C709" s="12">
        <v>3</v>
      </c>
      <c r="D709" s="13">
        <v>87180</v>
      </c>
      <c r="E709" s="40">
        <v>4500516572</v>
      </c>
      <c r="F709" s="9">
        <v>3566912</v>
      </c>
      <c r="G709" s="77">
        <v>46043</v>
      </c>
      <c r="H709" s="9" t="s">
        <v>166</v>
      </c>
      <c r="I709" s="9"/>
      <c r="J709" s="9"/>
      <c r="K709" s="9"/>
      <c r="L709" s="9"/>
      <c r="M709" s="9" t="s">
        <v>252</v>
      </c>
      <c r="N709" s="9" t="s">
        <v>193</v>
      </c>
      <c r="O709" s="9"/>
      <c r="P709" s="37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</row>
    <row r="710" spans="1:33" ht="14.25" customHeight="1" x14ac:dyDescent="0.35">
      <c r="A710" s="12">
        <v>2003911</v>
      </c>
      <c r="B710" s="63" t="str">
        <f>IFERROR(VLOOKUP(Tabla2[[#This Row],[CODIGO]],INVENTARIO!A:B,2,0)," ")</f>
        <v>Válvula EFv PE 25 mm Para Tap. Tee</v>
      </c>
      <c r="C710" s="12">
        <v>3</v>
      </c>
      <c r="D710" s="13">
        <v>18699</v>
      </c>
      <c r="E710" s="40">
        <v>4500516572</v>
      </c>
      <c r="F710" s="9">
        <v>3566912</v>
      </c>
      <c r="G710" s="77">
        <v>46043</v>
      </c>
      <c r="H710" s="9" t="s">
        <v>166</v>
      </c>
      <c r="I710" s="9"/>
      <c r="J710" s="9"/>
      <c r="K710" s="9"/>
      <c r="L710" s="9"/>
      <c r="M710" s="9" t="s">
        <v>252</v>
      </c>
      <c r="N710" s="9" t="s">
        <v>193</v>
      </c>
      <c r="O710" s="9"/>
      <c r="P710" s="37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</row>
    <row r="711" spans="1:33" ht="14.25" customHeight="1" x14ac:dyDescent="0.35">
      <c r="A711" s="12">
        <v>2000350</v>
      </c>
      <c r="B711" s="63" t="str">
        <f>IFERROR(VLOOKUP(Tabla2[[#This Row],[CODIGO]],INVENTARIO!A:B,2,0)," ")</f>
        <v>Codo PE 90º  25 mm EF.</v>
      </c>
      <c r="C711" s="12">
        <v>20</v>
      </c>
      <c r="D711" s="13">
        <v>122640</v>
      </c>
      <c r="E711" s="40">
        <v>4500516574</v>
      </c>
      <c r="F711" s="9">
        <v>3566913</v>
      </c>
      <c r="G711" s="77">
        <v>46043</v>
      </c>
      <c r="H711" s="9" t="s">
        <v>166</v>
      </c>
      <c r="I711" s="9"/>
      <c r="J711" s="9"/>
      <c r="K711" s="9"/>
      <c r="L711" s="9"/>
      <c r="M711" s="9" t="s">
        <v>251</v>
      </c>
      <c r="N711" s="9" t="s">
        <v>207</v>
      </c>
      <c r="O711" s="9"/>
      <c r="P711" s="37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</row>
    <row r="712" spans="1:33" ht="14.25" customHeight="1" x14ac:dyDescent="0.35">
      <c r="A712" s="12">
        <v>300532</v>
      </c>
      <c r="B712" s="63" t="str">
        <f>IFERROR(VLOOKUP(Tabla2[[#This Row],[CODIGO]],INVENTARIO!A:B,2,0)," ")</f>
        <v>Codo PE100 45° 063mm TF</v>
      </c>
      <c r="C712" s="12">
        <v>4</v>
      </c>
      <c r="D712" s="13">
        <v>15880</v>
      </c>
      <c r="E712" s="40">
        <v>4500516574</v>
      </c>
      <c r="F712" s="9">
        <v>3566913</v>
      </c>
      <c r="G712" s="77">
        <v>46043</v>
      </c>
      <c r="H712" s="9" t="s">
        <v>166</v>
      </c>
      <c r="I712" s="9"/>
      <c r="J712" s="9"/>
      <c r="K712" s="9"/>
      <c r="L712" s="9"/>
      <c r="M712" s="9" t="s">
        <v>251</v>
      </c>
      <c r="N712" s="9" t="s">
        <v>207</v>
      </c>
      <c r="O712" s="9"/>
      <c r="P712" s="37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</row>
    <row r="713" spans="1:33" ht="14.25" customHeight="1" x14ac:dyDescent="0.35">
      <c r="A713" s="12">
        <v>301044</v>
      </c>
      <c r="B713" s="63" t="str">
        <f>IFERROR(VLOOKUP(Tabla2[[#This Row],[CODIGO]],INVENTARIO!A:B,2,0)," ")</f>
        <v>Codo PE100 45° 063mm EF</v>
      </c>
      <c r="C713" s="12">
        <v>8</v>
      </c>
      <c r="D713" s="13">
        <v>48600</v>
      </c>
      <c r="E713" s="40">
        <v>4500516576</v>
      </c>
      <c r="F713" s="9">
        <v>3566914</v>
      </c>
      <c r="G713" s="77">
        <v>46043</v>
      </c>
      <c r="H713" s="9" t="s">
        <v>166</v>
      </c>
      <c r="I713" s="9"/>
      <c r="J713" s="9"/>
      <c r="K713" s="9"/>
      <c r="L713" s="9"/>
      <c r="M713" s="9" t="s">
        <v>250</v>
      </c>
      <c r="N713" s="9" t="s">
        <v>207</v>
      </c>
      <c r="O713" s="9"/>
      <c r="P713" s="37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</row>
    <row r="714" spans="1:33" ht="14.25" customHeight="1" x14ac:dyDescent="0.35">
      <c r="A714" s="12">
        <v>301749</v>
      </c>
      <c r="B714" s="63" t="str">
        <f>IFERROR(VLOOKUP(Tabla2[[#This Row],[CODIGO]],INVENTARIO!A:B,2,0)," ")</f>
        <v>Tubería PE80 025mm Rollo</v>
      </c>
      <c r="C714" s="12">
        <v>50</v>
      </c>
      <c r="D714" s="13">
        <v>38250</v>
      </c>
      <c r="E714" s="40">
        <v>874575</v>
      </c>
      <c r="F714" s="9">
        <v>3566933</v>
      </c>
      <c r="G714" s="77">
        <v>46042</v>
      </c>
      <c r="H714" s="9" t="s">
        <v>167</v>
      </c>
      <c r="I714" s="9"/>
      <c r="J714" s="9"/>
      <c r="K714" s="9"/>
      <c r="L714" s="9"/>
      <c r="M714" s="9" t="s">
        <v>248</v>
      </c>
      <c r="N714" s="9" t="s">
        <v>253</v>
      </c>
      <c r="O714" s="9" t="s">
        <v>258</v>
      </c>
      <c r="P714" s="37">
        <v>1374951</v>
      </c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</row>
    <row r="715" spans="1:33" ht="14.25" customHeight="1" x14ac:dyDescent="0.35">
      <c r="A715" s="12">
        <v>2006391</v>
      </c>
      <c r="B715" s="63" t="str">
        <f>IFERROR(VLOOKUP(Tabla2[[#This Row],[CODIGO]],INVENTARIO!A:B,2,0)," ")</f>
        <v>Guardallave Fierro Fundido C/Tapa</v>
      </c>
      <c r="C715" s="12">
        <v>4</v>
      </c>
      <c r="D715" s="13">
        <v>107692</v>
      </c>
      <c r="E715" s="40">
        <v>874675</v>
      </c>
      <c r="F715" s="9">
        <v>3566893</v>
      </c>
      <c r="G715" s="77">
        <v>46042</v>
      </c>
      <c r="H715" s="9" t="s">
        <v>167</v>
      </c>
      <c r="I715" s="9"/>
      <c r="J715" s="9"/>
      <c r="K715" s="9"/>
      <c r="L715" s="9"/>
      <c r="M715" s="9" t="s">
        <v>248</v>
      </c>
      <c r="N715" s="9" t="s">
        <v>253</v>
      </c>
      <c r="O715" s="9" t="s">
        <v>258</v>
      </c>
      <c r="P715" s="37">
        <v>1374941</v>
      </c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</row>
    <row r="716" spans="1:33" ht="14.25" customHeight="1" x14ac:dyDescent="0.35">
      <c r="A716" s="12">
        <v>302737</v>
      </c>
      <c r="B716" s="63" t="str">
        <f>IFERROR(VLOOKUP(Tabla2[[#This Row],[CODIGO]],INVENTARIO!A:B,2,0)," ")</f>
        <v>Válvula Bola 3/4" Hi Un Cuerpo Pn5 Arco</v>
      </c>
      <c r="C716" s="12">
        <v>4</v>
      </c>
      <c r="D716" s="13">
        <v>65780</v>
      </c>
      <c r="E716" s="40">
        <v>874675</v>
      </c>
      <c r="F716" s="9">
        <v>3566893</v>
      </c>
      <c r="G716" s="77">
        <v>46042</v>
      </c>
      <c r="H716" s="9" t="s">
        <v>167</v>
      </c>
      <c r="I716" s="9"/>
      <c r="J716" s="9"/>
      <c r="K716" s="9"/>
      <c r="L716" s="9"/>
      <c r="M716" s="9" t="s">
        <v>248</v>
      </c>
      <c r="N716" s="9" t="s">
        <v>253</v>
      </c>
      <c r="O716" s="9" t="s">
        <v>258</v>
      </c>
      <c r="P716" s="37">
        <v>1374941</v>
      </c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</row>
    <row r="717" spans="1:33" ht="14.25" customHeight="1" x14ac:dyDescent="0.35">
      <c r="A717" s="12">
        <v>2008481</v>
      </c>
      <c r="B717" s="63" t="str">
        <f>IFERROR(VLOOKUP(Tabla2[[#This Row],[CODIGO]],INVENTARIO!A:B,2,0)," ")</f>
        <v>Tapa Tornillo Bronce 3/4" HE Bspt.</v>
      </c>
      <c r="C717" s="12">
        <v>4</v>
      </c>
      <c r="D717" s="13">
        <v>4</v>
      </c>
      <c r="E717" s="40">
        <v>874675</v>
      </c>
      <c r="F717" s="9">
        <v>3566893</v>
      </c>
      <c r="G717" s="77">
        <v>46042</v>
      </c>
      <c r="H717" s="9" t="s">
        <v>167</v>
      </c>
      <c r="I717" s="9"/>
      <c r="J717" s="9"/>
      <c r="K717" s="9"/>
      <c r="L717" s="9"/>
      <c r="M717" s="9" t="s">
        <v>248</v>
      </c>
      <c r="N717" s="9" t="s">
        <v>253</v>
      </c>
      <c r="O717" s="9" t="s">
        <v>258</v>
      </c>
      <c r="P717" s="37">
        <v>1374941</v>
      </c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</row>
    <row r="718" spans="1:33" ht="14.25" customHeight="1" x14ac:dyDescent="0.35">
      <c r="A718" s="12">
        <v>303368</v>
      </c>
      <c r="B718" s="63" t="str">
        <f>IFERROR(VLOOKUP(Tabla2[[#This Row],[CODIGO]],INVENTARIO!A:B,2,0)," ")</f>
        <v>Cinta Plástica "Línea GN", 30 x 0.1</v>
      </c>
      <c r="C718" s="12">
        <v>100</v>
      </c>
      <c r="D718" s="13">
        <v>12100</v>
      </c>
      <c r="E718" s="40">
        <v>874675</v>
      </c>
      <c r="F718" s="9">
        <v>3566893</v>
      </c>
      <c r="G718" s="77">
        <v>46042</v>
      </c>
      <c r="H718" s="9" t="s">
        <v>167</v>
      </c>
      <c r="I718" s="9"/>
      <c r="J718" s="9"/>
      <c r="K718" s="9"/>
      <c r="L718" s="9"/>
      <c r="M718" s="9" t="s">
        <v>248</v>
      </c>
      <c r="N718" s="9" t="s">
        <v>253</v>
      </c>
      <c r="O718" s="9" t="s">
        <v>258</v>
      </c>
      <c r="P718" s="37">
        <v>1374941</v>
      </c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</row>
    <row r="719" spans="1:33" ht="14.25" customHeight="1" x14ac:dyDescent="0.35">
      <c r="A719" s="12">
        <v>1002167</v>
      </c>
      <c r="B719" s="63" t="str">
        <f>IFERROR(VLOOKUP(Tabla2[[#This Row],[CODIGO]],INVENTARIO!A:B,2,0)," ")</f>
        <v>Cable Trazador Cu 14 AWG Aisl. THW Roj</v>
      </c>
      <c r="C719" s="12">
        <v>100</v>
      </c>
      <c r="D719" s="13">
        <v>29400</v>
      </c>
      <c r="E719" s="40">
        <v>874675</v>
      </c>
      <c r="F719" s="9">
        <v>3566893</v>
      </c>
      <c r="G719" s="77">
        <v>46042</v>
      </c>
      <c r="H719" s="9" t="s">
        <v>167</v>
      </c>
      <c r="I719" s="9"/>
      <c r="J719" s="9"/>
      <c r="K719" s="9"/>
      <c r="L719" s="9"/>
      <c r="M719" s="9" t="s">
        <v>248</v>
      </c>
      <c r="N719" s="9" t="s">
        <v>253</v>
      </c>
      <c r="O719" s="9" t="s">
        <v>258</v>
      </c>
      <c r="P719" s="37">
        <v>1374941</v>
      </c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</row>
    <row r="720" spans="1:33" ht="14.25" customHeight="1" x14ac:dyDescent="0.35">
      <c r="A720" s="12">
        <v>2007948</v>
      </c>
      <c r="B720" s="63" t="str">
        <f>IFERROR(VLOOKUP(Tabla2[[#This Row],[CODIGO]],INVENTARIO!A:B,2,0)," ")</f>
        <v>Tubo PVC Hidraulico 110 mm Pn6 Celeste</v>
      </c>
      <c r="C720" s="12">
        <v>6</v>
      </c>
      <c r="D720" s="13">
        <v>14556</v>
      </c>
      <c r="E720" s="40">
        <v>874675</v>
      </c>
      <c r="F720" s="9">
        <v>3566893</v>
      </c>
      <c r="G720" s="77">
        <v>46042</v>
      </c>
      <c r="H720" s="9" t="s">
        <v>167</v>
      </c>
      <c r="I720" s="9"/>
      <c r="J720" s="9"/>
      <c r="K720" s="9"/>
      <c r="L720" s="9"/>
      <c r="M720" s="9" t="s">
        <v>248</v>
      </c>
      <c r="N720" s="9" t="s">
        <v>253</v>
      </c>
      <c r="O720" s="9" t="s">
        <v>258</v>
      </c>
      <c r="P720" s="37">
        <v>1374941</v>
      </c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</row>
    <row r="721" spans="1:33" ht="14.25" customHeight="1" x14ac:dyDescent="0.35">
      <c r="A721" s="12">
        <v>302737</v>
      </c>
      <c r="B721" s="63" t="str">
        <f>IFERROR(VLOOKUP(Tabla2[[#This Row],[CODIGO]],INVENTARIO!A:B,2,0)," ")</f>
        <v>Válvula Bola 3/4" Hi Un Cuerpo Pn5 Arco</v>
      </c>
      <c r="C721" s="12">
        <v>3</v>
      </c>
      <c r="D721" s="13">
        <v>49335</v>
      </c>
      <c r="E721" s="40">
        <v>874674</v>
      </c>
      <c r="F721" s="9">
        <v>3566892</v>
      </c>
      <c r="G721" s="77">
        <v>46042</v>
      </c>
      <c r="H721" s="9" t="s">
        <v>167</v>
      </c>
      <c r="I721" s="9"/>
      <c r="J721" s="9"/>
      <c r="K721" s="9"/>
      <c r="L721" s="9"/>
      <c r="M721" s="9" t="s">
        <v>247</v>
      </c>
      <c r="N721" s="9" t="s">
        <v>193</v>
      </c>
      <c r="O721" s="9" t="s">
        <v>257</v>
      </c>
      <c r="P721" s="37">
        <v>1374940</v>
      </c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</row>
    <row r="722" spans="1:33" ht="14.25" customHeight="1" x14ac:dyDescent="0.35">
      <c r="A722" s="12">
        <v>2008481</v>
      </c>
      <c r="B722" s="63" t="str">
        <f>IFERROR(VLOOKUP(Tabla2[[#This Row],[CODIGO]],INVENTARIO!A:B,2,0)," ")</f>
        <v>Tapa Tornillo Bronce 3/4" HE Bspt.</v>
      </c>
      <c r="C722" s="12">
        <v>3</v>
      </c>
      <c r="D722" s="13">
        <v>3</v>
      </c>
      <c r="E722" s="40">
        <v>874674</v>
      </c>
      <c r="F722" s="9">
        <v>3566892</v>
      </c>
      <c r="G722" s="77">
        <v>46042</v>
      </c>
      <c r="H722" s="9" t="s">
        <v>167</v>
      </c>
      <c r="I722" s="9"/>
      <c r="J722" s="9"/>
      <c r="K722" s="9"/>
      <c r="L722" s="9"/>
      <c r="M722" s="9" t="s">
        <v>247</v>
      </c>
      <c r="N722" s="9" t="s">
        <v>193</v>
      </c>
      <c r="O722" s="9" t="s">
        <v>257</v>
      </c>
      <c r="P722" s="37">
        <v>1374940</v>
      </c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</row>
    <row r="723" spans="1:33" ht="14.25" customHeight="1" x14ac:dyDescent="0.35">
      <c r="A723" s="12">
        <v>302737</v>
      </c>
      <c r="B723" s="63" t="str">
        <f>IFERROR(VLOOKUP(Tabla2[[#This Row],[CODIGO]],INVENTARIO!A:B,2,0)," ")</f>
        <v>Válvula Bola 3/4" Hi Un Cuerpo Pn5 Arco</v>
      </c>
      <c r="C723" s="12">
        <v>10</v>
      </c>
      <c r="D723" s="13">
        <v>164450</v>
      </c>
      <c r="E723" s="40">
        <v>874673</v>
      </c>
      <c r="F723" s="9">
        <v>3566891</v>
      </c>
      <c r="G723" s="77">
        <v>46042</v>
      </c>
      <c r="H723" s="9" t="s">
        <v>167</v>
      </c>
      <c r="I723" s="9"/>
      <c r="J723" s="9"/>
      <c r="K723" s="9"/>
      <c r="L723" s="9"/>
      <c r="M723" s="9"/>
      <c r="N723" s="9" t="s">
        <v>197</v>
      </c>
      <c r="O723" s="9" t="s">
        <v>257</v>
      </c>
      <c r="P723" s="37">
        <v>1374939</v>
      </c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</row>
    <row r="724" spans="1:33" ht="14.25" customHeight="1" x14ac:dyDescent="0.35">
      <c r="A724" s="12">
        <v>2008481</v>
      </c>
      <c r="B724" s="63" t="str">
        <f>IFERROR(VLOOKUP(Tabla2[[#This Row],[CODIGO]],INVENTARIO!A:B,2,0)," ")</f>
        <v>Tapa Tornillo Bronce 3/4" HE Bspt.</v>
      </c>
      <c r="C724" s="12">
        <v>10</v>
      </c>
      <c r="D724" s="13">
        <v>10</v>
      </c>
      <c r="E724" s="40">
        <v>874673</v>
      </c>
      <c r="F724" s="9">
        <v>3566891</v>
      </c>
      <c r="G724" s="77">
        <v>46042</v>
      </c>
      <c r="H724" s="9" t="s">
        <v>167</v>
      </c>
      <c r="I724" s="9"/>
      <c r="J724" s="9"/>
      <c r="K724" s="9"/>
      <c r="L724" s="9"/>
      <c r="M724" s="9"/>
      <c r="N724" s="9" t="s">
        <v>197</v>
      </c>
      <c r="O724" s="9" t="s">
        <v>257</v>
      </c>
      <c r="P724" s="37">
        <v>1374939</v>
      </c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</row>
    <row r="725" spans="1:33" ht="14.25" customHeight="1" x14ac:dyDescent="0.35">
      <c r="A725" s="12">
        <v>2006391</v>
      </c>
      <c r="B725" s="63" t="str">
        <f>IFERROR(VLOOKUP(Tabla2[[#This Row],[CODIGO]],INVENTARIO!A:B,2,0)," ")</f>
        <v>Guardallave Fierro Fundido C/Tapa</v>
      </c>
      <c r="C725" s="12">
        <v>10</v>
      </c>
      <c r="D725" s="13">
        <v>269230</v>
      </c>
      <c r="E725" s="40">
        <v>874673</v>
      </c>
      <c r="F725" s="9">
        <v>3566891</v>
      </c>
      <c r="G725" s="77">
        <v>46042</v>
      </c>
      <c r="H725" s="9" t="s">
        <v>167</v>
      </c>
      <c r="I725" s="9"/>
      <c r="J725" s="9"/>
      <c r="K725" s="9"/>
      <c r="L725" s="9"/>
      <c r="M725" s="9"/>
      <c r="N725" s="9" t="s">
        <v>197</v>
      </c>
      <c r="O725" s="9" t="s">
        <v>257</v>
      </c>
      <c r="P725" s="37">
        <v>1374939</v>
      </c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</row>
    <row r="726" spans="1:33" ht="14.25" customHeight="1" x14ac:dyDescent="0.35">
      <c r="A726" s="12">
        <v>2007948</v>
      </c>
      <c r="B726" s="63" t="str">
        <f>IFERROR(VLOOKUP(Tabla2[[#This Row],[CODIGO]],INVENTARIO!A:B,2,0)," ")</f>
        <v>Tubo PVC Hidraulico 110 mm Pn6 Celeste</v>
      </c>
      <c r="C726" s="12">
        <v>12</v>
      </c>
      <c r="D726" s="13">
        <v>29112</v>
      </c>
      <c r="E726" s="40">
        <v>874673</v>
      </c>
      <c r="F726" s="9">
        <v>3566891</v>
      </c>
      <c r="G726" s="77">
        <v>46042</v>
      </c>
      <c r="H726" s="9" t="s">
        <v>167</v>
      </c>
      <c r="I726" s="9"/>
      <c r="J726" s="9"/>
      <c r="K726" s="9"/>
      <c r="L726" s="9"/>
      <c r="M726" s="9"/>
      <c r="N726" s="9" t="s">
        <v>197</v>
      </c>
      <c r="O726" s="9" t="s">
        <v>257</v>
      </c>
      <c r="P726" s="37">
        <v>1374939</v>
      </c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</row>
    <row r="727" spans="1:33" ht="14.25" customHeight="1" x14ac:dyDescent="0.35">
      <c r="A727" s="12">
        <v>301749</v>
      </c>
      <c r="B727" s="63" t="str">
        <f>IFERROR(VLOOKUP(Tabla2[[#This Row],[CODIGO]],INVENTARIO!A:B,2,0)," ")</f>
        <v>Tubería PE80 025mm Rollo</v>
      </c>
      <c r="C727" s="12">
        <v>50</v>
      </c>
      <c r="D727" s="13">
        <v>38250</v>
      </c>
      <c r="E727" s="40">
        <v>874672</v>
      </c>
      <c r="F727" s="9">
        <v>3566934</v>
      </c>
      <c r="G727" s="77">
        <v>46042</v>
      </c>
      <c r="H727" s="9" t="s">
        <v>167</v>
      </c>
      <c r="I727" s="9"/>
      <c r="J727" s="9"/>
      <c r="K727" s="9"/>
      <c r="L727" s="9"/>
      <c r="M727" s="9" t="s">
        <v>248</v>
      </c>
      <c r="N727" s="9" t="s">
        <v>231</v>
      </c>
      <c r="O727" s="9" t="s">
        <v>258</v>
      </c>
      <c r="P727" s="37">
        <v>1374952</v>
      </c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</row>
    <row r="728" spans="1:33" ht="14.25" customHeight="1" x14ac:dyDescent="0.35">
      <c r="A728" s="12">
        <v>2006391</v>
      </c>
      <c r="B728" s="63" t="str">
        <f>IFERROR(VLOOKUP(Tabla2[[#This Row],[CODIGO]],INVENTARIO!A:B,2,0)," ")</f>
        <v>Guardallave Fierro Fundido C/Tapa</v>
      </c>
      <c r="C728" s="12">
        <v>1</v>
      </c>
      <c r="D728" s="13">
        <v>26923</v>
      </c>
      <c r="E728" s="40">
        <v>874672</v>
      </c>
      <c r="F728" s="9">
        <v>3566890</v>
      </c>
      <c r="G728" s="77">
        <v>46042</v>
      </c>
      <c r="H728" s="9" t="s">
        <v>167</v>
      </c>
      <c r="I728" s="9"/>
      <c r="J728" s="9"/>
      <c r="K728" s="9"/>
      <c r="L728" s="9"/>
      <c r="M728" s="9" t="s">
        <v>248</v>
      </c>
      <c r="N728" s="9" t="s">
        <v>231</v>
      </c>
      <c r="O728" s="9" t="s">
        <v>258</v>
      </c>
      <c r="P728" s="37">
        <v>1374938</v>
      </c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</row>
    <row r="729" spans="1:33" ht="14.25" customHeight="1" x14ac:dyDescent="0.35">
      <c r="A729" s="12">
        <v>302737</v>
      </c>
      <c r="B729" s="63" t="str">
        <f>IFERROR(VLOOKUP(Tabla2[[#This Row],[CODIGO]],INVENTARIO!A:B,2,0)," ")</f>
        <v>Válvula Bola 3/4" Hi Un Cuerpo Pn5 Arco</v>
      </c>
      <c r="C729" s="12">
        <v>1</v>
      </c>
      <c r="D729" s="13">
        <v>16445</v>
      </c>
      <c r="E729" s="40">
        <v>874672</v>
      </c>
      <c r="F729" s="9">
        <v>3566890</v>
      </c>
      <c r="G729" s="77">
        <v>46042</v>
      </c>
      <c r="H729" s="9" t="s">
        <v>167</v>
      </c>
      <c r="I729" s="9"/>
      <c r="J729" s="9"/>
      <c r="K729" s="9"/>
      <c r="L729" s="9"/>
      <c r="M729" s="9" t="s">
        <v>248</v>
      </c>
      <c r="N729" s="9" t="s">
        <v>231</v>
      </c>
      <c r="O729" s="9" t="s">
        <v>258</v>
      </c>
      <c r="P729" s="37">
        <v>1374938</v>
      </c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</row>
    <row r="730" spans="1:33" ht="14.25" customHeight="1" x14ac:dyDescent="0.35">
      <c r="A730" s="12">
        <v>303368</v>
      </c>
      <c r="B730" s="63" t="str">
        <f>IFERROR(VLOOKUP(Tabla2[[#This Row],[CODIGO]],INVENTARIO!A:B,2,0)," ")</f>
        <v>Cinta Plástica "Línea GN", 30 x 0.1</v>
      </c>
      <c r="C730" s="12">
        <v>100</v>
      </c>
      <c r="D730" s="13">
        <v>12100</v>
      </c>
      <c r="E730" s="40">
        <v>874672</v>
      </c>
      <c r="F730" s="9">
        <v>3566890</v>
      </c>
      <c r="G730" s="77">
        <v>46042</v>
      </c>
      <c r="H730" s="9" t="s">
        <v>167</v>
      </c>
      <c r="I730" s="9"/>
      <c r="J730" s="9"/>
      <c r="K730" s="9"/>
      <c r="L730" s="9"/>
      <c r="M730" s="9" t="s">
        <v>248</v>
      </c>
      <c r="N730" s="9" t="s">
        <v>231</v>
      </c>
      <c r="O730" s="9" t="s">
        <v>258</v>
      </c>
      <c r="P730" s="37">
        <v>1374938</v>
      </c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</row>
    <row r="731" spans="1:33" ht="14.25" customHeight="1" x14ac:dyDescent="0.35">
      <c r="A731" s="12">
        <v>1002167</v>
      </c>
      <c r="B731" s="63" t="str">
        <f>IFERROR(VLOOKUP(Tabla2[[#This Row],[CODIGO]],INVENTARIO!A:B,2,0)," ")</f>
        <v>Cable Trazador Cu 14 AWG Aisl. THW Roj</v>
      </c>
      <c r="C731" s="12">
        <v>100</v>
      </c>
      <c r="D731" s="13">
        <v>29400</v>
      </c>
      <c r="E731" s="40">
        <v>874672</v>
      </c>
      <c r="F731" s="9">
        <v>3566890</v>
      </c>
      <c r="G731" s="77">
        <v>46042</v>
      </c>
      <c r="H731" s="9" t="s">
        <v>167</v>
      </c>
      <c r="I731" s="9"/>
      <c r="J731" s="9"/>
      <c r="K731" s="9"/>
      <c r="L731" s="9"/>
      <c r="M731" s="9" t="s">
        <v>248</v>
      </c>
      <c r="N731" s="9" t="s">
        <v>231</v>
      </c>
      <c r="O731" s="9" t="s">
        <v>258</v>
      </c>
      <c r="P731" s="37">
        <v>1374938</v>
      </c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</row>
    <row r="732" spans="1:33" ht="14.25" customHeight="1" x14ac:dyDescent="0.35">
      <c r="A732" s="12">
        <v>101624</v>
      </c>
      <c r="B732" s="63" t="str">
        <f>IFERROR(VLOOKUP(Tabla2[[#This Row],[CODIGO]],INVENTARIO!A:B,2,0)," ")</f>
        <v>Tapping Tee PE 50-25 mm</v>
      </c>
      <c r="C732" s="12">
        <v>4</v>
      </c>
      <c r="D732" s="13">
        <v>62400</v>
      </c>
      <c r="E732" s="40">
        <v>4500516559</v>
      </c>
      <c r="F732" s="9">
        <v>3566898</v>
      </c>
      <c r="G732" s="77">
        <v>46042</v>
      </c>
      <c r="H732" s="9" t="s">
        <v>166</v>
      </c>
      <c r="I732" s="9"/>
      <c r="J732" s="9"/>
      <c r="K732" s="9"/>
      <c r="L732" s="9"/>
      <c r="M732" s="9" t="s">
        <v>248</v>
      </c>
      <c r="N732" s="9" t="s">
        <v>253</v>
      </c>
      <c r="O732" s="9"/>
      <c r="P732" s="37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</row>
    <row r="733" spans="1:33" ht="14.25" customHeight="1" x14ac:dyDescent="0.35">
      <c r="A733" s="12">
        <v>300109</v>
      </c>
      <c r="B733" s="63" t="str">
        <f>IFERROR(VLOOKUP(Tabla2[[#This Row],[CODIGO]],INVENTARIO!A:B,2,0)," ")</f>
        <v>Risers de Acero 3/4" Bsp x 25 mm</v>
      </c>
      <c r="C733" s="12">
        <v>4</v>
      </c>
      <c r="D733" s="13">
        <v>120004</v>
      </c>
      <c r="E733" s="40">
        <v>4500516559</v>
      </c>
      <c r="F733" s="9">
        <v>3566898</v>
      </c>
      <c r="G733" s="77">
        <v>46042</v>
      </c>
      <c r="H733" s="9" t="s">
        <v>166</v>
      </c>
      <c r="I733" s="9"/>
      <c r="J733" s="9"/>
      <c r="K733" s="9"/>
      <c r="L733" s="9"/>
      <c r="M733" s="9" t="s">
        <v>248</v>
      </c>
      <c r="N733" s="9" t="s">
        <v>253</v>
      </c>
      <c r="O733" s="9"/>
      <c r="P733" s="37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</row>
    <row r="734" spans="1:33" ht="14.25" customHeight="1" x14ac:dyDescent="0.35">
      <c r="A734" s="12">
        <v>301099</v>
      </c>
      <c r="B734" s="63" t="str">
        <f>IFERROR(VLOOKUP(Tabla2[[#This Row],[CODIGO]],INVENTARIO!A:B,2,0)," ")</f>
        <v>Válvula PE100 Dn 25mm</v>
      </c>
      <c r="C734" s="12">
        <v>4</v>
      </c>
      <c r="D734" s="13">
        <v>257212</v>
      </c>
      <c r="E734" s="40">
        <v>4500516559</v>
      </c>
      <c r="F734" s="9">
        <v>3566898</v>
      </c>
      <c r="G734" s="77">
        <v>46042</v>
      </c>
      <c r="H734" s="9" t="s">
        <v>166</v>
      </c>
      <c r="I734" s="9"/>
      <c r="J734" s="9"/>
      <c r="K734" s="9"/>
      <c r="L734" s="9"/>
      <c r="M734" s="9" t="s">
        <v>248</v>
      </c>
      <c r="N734" s="9" t="s">
        <v>253</v>
      </c>
      <c r="O734" s="9"/>
      <c r="P734" s="37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</row>
    <row r="735" spans="1:33" ht="14.25" customHeight="1" x14ac:dyDescent="0.35">
      <c r="A735" s="12">
        <v>301329</v>
      </c>
      <c r="B735" s="63" t="str">
        <f>IFERROR(VLOOKUP(Tabla2[[#This Row],[CODIGO]],INVENTARIO!A:B,2,0)," ")</f>
        <v>Copla PE100 025mm EF</v>
      </c>
      <c r="C735" s="12">
        <v>16</v>
      </c>
      <c r="D735" s="13">
        <v>34848</v>
      </c>
      <c r="E735" s="40">
        <v>4500516559</v>
      </c>
      <c r="F735" s="9">
        <v>3566898</v>
      </c>
      <c r="G735" s="77">
        <v>46042</v>
      </c>
      <c r="H735" s="9" t="s">
        <v>166</v>
      </c>
      <c r="I735" s="9"/>
      <c r="J735" s="9"/>
      <c r="K735" s="9"/>
      <c r="L735" s="9"/>
      <c r="M735" s="9" t="s">
        <v>248</v>
      </c>
      <c r="N735" s="9" t="s">
        <v>253</v>
      </c>
      <c r="O735" s="9"/>
      <c r="P735" s="37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</row>
    <row r="736" spans="1:33" ht="14.25" customHeight="1" x14ac:dyDescent="0.35">
      <c r="A736" s="12">
        <v>2003911</v>
      </c>
      <c r="B736" s="63" t="str">
        <f>IFERROR(VLOOKUP(Tabla2[[#This Row],[CODIGO]],INVENTARIO!A:B,2,0)," ")</f>
        <v>Válvula EFv PE 25 mm Para Tap. Tee</v>
      </c>
      <c r="C736" s="12">
        <v>4</v>
      </c>
      <c r="D736" s="13">
        <v>24932</v>
      </c>
      <c r="E736" s="40">
        <v>4500516559</v>
      </c>
      <c r="F736" s="9">
        <v>3566898</v>
      </c>
      <c r="G736" s="77">
        <v>46042</v>
      </c>
      <c r="H736" s="9" t="s">
        <v>166</v>
      </c>
      <c r="I736" s="9"/>
      <c r="J736" s="9"/>
      <c r="K736" s="9"/>
      <c r="L736" s="9"/>
      <c r="M736" s="9" t="s">
        <v>248</v>
      </c>
      <c r="N736" s="9" t="s">
        <v>253</v>
      </c>
      <c r="O736" s="9"/>
      <c r="P736" s="37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</row>
    <row r="737" spans="1:33" ht="14.25" customHeight="1" x14ac:dyDescent="0.35">
      <c r="A737" s="12">
        <v>301329</v>
      </c>
      <c r="B737" s="63" t="str">
        <f>IFERROR(VLOOKUP(Tabla2[[#This Row],[CODIGO]],INVENTARIO!A:B,2,0)," ")</f>
        <v>Copla PE100 025mm EF</v>
      </c>
      <c r="C737" s="12">
        <v>6</v>
      </c>
      <c r="D737" s="13">
        <v>13068</v>
      </c>
      <c r="E737" s="40">
        <v>4500516556</v>
      </c>
      <c r="F737" s="9">
        <v>3566897</v>
      </c>
      <c r="G737" s="77">
        <v>46042</v>
      </c>
      <c r="H737" s="9" t="s">
        <v>166</v>
      </c>
      <c r="I737" s="9"/>
      <c r="J737" s="9"/>
      <c r="K737" s="9"/>
      <c r="L737" s="9"/>
      <c r="M737" s="9" t="s">
        <v>247</v>
      </c>
      <c r="N737" s="9" t="s">
        <v>193</v>
      </c>
      <c r="O737" s="9"/>
      <c r="P737" s="37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</row>
    <row r="738" spans="1:33" ht="14.25" customHeight="1" x14ac:dyDescent="0.35">
      <c r="A738" s="12">
        <v>300527</v>
      </c>
      <c r="B738" s="63" t="str">
        <f>IFERROR(VLOOKUP(Tabla2[[#This Row],[CODIGO]],INVENTARIO!A:B,2,0)," ")</f>
        <v>Tapping Tee PE 160-25 mm</v>
      </c>
      <c r="C738" s="12">
        <v>3</v>
      </c>
      <c r="D738" s="13">
        <v>48963</v>
      </c>
      <c r="E738" s="40">
        <v>4500516556</v>
      </c>
      <c r="F738" s="9">
        <v>3566897</v>
      </c>
      <c r="G738" s="77">
        <v>46042</v>
      </c>
      <c r="H738" s="9" t="s">
        <v>166</v>
      </c>
      <c r="I738" s="9"/>
      <c r="J738" s="9"/>
      <c r="K738" s="9"/>
      <c r="L738" s="9"/>
      <c r="M738" s="9" t="s">
        <v>247</v>
      </c>
      <c r="N738" s="9" t="s">
        <v>193</v>
      </c>
      <c r="O738" s="9"/>
      <c r="P738" s="37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</row>
    <row r="739" spans="1:33" ht="14.25" customHeight="1" x14ac:dyDescent="0.35">
      <c r="A739" s="12">
        <v>2006392</v>
      </c>
      <c r="B739" s="63" t="str">
        <f>IFERROR(VLOOKUP(Tabla2[[#This Row],[CODIGO]],INVENTARIO!A:B,2,0)," ")</f>
        <v>Limitador Flujo P/Tapping Tee 25 MM</v>
      </c>
      <c r="C739" s="12">
        <v>3</v>
      </c>
      <c r="D739" s="13">
        <v>5658</v>
      </c>
      <c r="E739" s="40">
        <v>4500516556</v>
      </c>
      <c r="F739" s="9">
        <v>3566897</v>
      </c>
      <c r="G739" s="77">
        <v>46042</v>
      </c>
      <c r="H739" s="9" t="s">
        <v>166</v>
      </c>
      <c r="I739" s="9"/>
      <c r="J739" s="9"/>
      <c r="K739" s="9"/>
      <c r="L739" s="9"/>
      <c r="M739" s="9" t="s">
        <v>247</v>
      </c>
      <c r="N739" s="9" t="s">
        <v>193</v>
      </c>
      <c r="O739" s="9"/>
      <c r="P739" s="37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</row>
    <row r="740" spans="1:33" ht="14.25" customHeight="1" x14ac:dyDescent="0.35">
      <c r="A740" s="12">
        <v>300109</v>
      </c>
      <c r="B740" s="63" t="str">
        <f>IFERROR(VLOOKUP(Tabla2[[#This Row],[CODIGO]],INVENTARIO!A:B,2,0)," ")</f>
        <v>Risers de Acero 3/4" Bsp x 25 mm</v>
      </c>
      <c r="C740" s="12">
        <v>3</v>
      </c>
      <c r="D740" s="13">
        <v>90003</v>
      </c>
      <c r="E740" s="40">
        <v>4500516556</v>
      </c>
      <c r="F740" s="9">
        <v>3566897</v>
      </c>
      <c r="G740" s="77">
        <v>46042</v>
      </c>
      <c r="H740" s="9" t="s">
        <v>166</v>
      </c>
      <c r="I740" s="9"/>
      <c r="J740" s="9"/>
      <c r="K740" s="9"/>
      <c r="L740" s="9"/>
      <c r="M740" s="9" t="s">
        <v>247</v>
      </c>
      <c r="N740" s="9" t="s">
        <v>193</v>
      </c>
      <c r="O740" s="9"/>
      <c r="P740" s="37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</row>
    <row r="741" spans="1:33" ht="14.25" customHeight="1" x14ac:dyDescent="0.35">
      <c r="A741" s="12">
        <v>301329</v>
      </c>
      <c r="B741" s="63" t="str">
        <f>IFERROR(VLOOKUP(Tabla2[[#This Row],[CODIGO]],INVENTARIO!A:B,2,0)," ")</f>
        <v>Copla PE100 025mm EF</v>
      </c>
      <c r="C741" s="12">
        <v>20</v>
      </c>
      <c r="D741" s="13">
        <v>43560</v>
      </c>
      <c r="E741" s="40">
        <v>4500516554</v>
      </c>
      <c r="F741" s="9">
        <v>3566896</v>
      </c>
      <c r="G741" s="77">
        <v>46042</v>
      </c>
      <c r="H741" s="9" t="s">
        <v>166</v>
      </c>
      <c r="I741" s="9"/>
      <c r="J741" s="9"/>
      <c r="K741" s="9"/>
      <c r="L741" s="9"/>
      <c r="M741" s="9"/>
      <c r="N741" s="9" t="s">
        <v>197</v>
      </c>
      <c r="O741" s="9"/>
      <c r="P741" s="37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</row>
    <row r="742" spans="1:33" ht="14.25" customHeight="1" x14ac:dyDescent="0.35">
      <c r="A742" s="12">
        <v>301666</v>
      </c>
      <c r="B742" s="63" t="str">
        <f>IFERROR(VLOOKUP(Tabla2[[#This Row],[CODIGO]],INVENTARIO!A:B,2,0)," ")</f>
        <v>Tapping Tee PE 110-25 mm</v>
      </c>
      <c r="C742" s="12">
        <v>10</v>
      </c>
      <c r="D742" s="13">
        <v>120840</v>
      </c>
      <c r="E742" s="40">
        <v>4500516554</v>
      </c>
      <c r="F742" s="9">
        <v>3566896</v>
      </c>
      <c r="G742" s="77">
        <v>46042</v>
      </c>
      <c r="H742" s="9" t="s">
        <v>166</v>
      </c>
      <c r="I742" s="9"/>
      <c r="J742" s="9"/>
      <c r="K742" s="9"/>
      <c r="L742" s="9"/>
      <c r="M742" s="9"/>
      <c r="N742" s="9" t="s">
        <v>197</v>
      </c>
      <c r="O742" s="9"/>
      <c r="P742" s="37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</row>
    <row r="743" spans="1:33" ht="14.25" customHeight="1" x14ac:dyDescent="0.35">
      <c r="A743" s="12">
        <v>2006392</v>
      </c>
      <c r="B743" s="63" t="str">
        <f>IFERROR(VLOOKUP(Tabla2[[#This Row],[CODIGO]],INVENTARIO!A:B,2,0)," ")</f>
        <v>Limitador Flujo P/Tapping Tee 25 MM</v>
      </c>
      <c r="C743" s="12">
        <v>10</v>
      </c>
      <c r="D743" s="13">
        <v>18860</v>
      </c>
      <c r="E743" s="40">
        <v>4500516554</v>
      </c>
      <c r="F743" s="9">
        <v>3566896</v>
      </c>
      <c r="G743" s="77">
        <v>46042</v>
      </c>
      <c r="H743" s="9" t="s">
        <v>166</v>
      </c>
      <c r="I743" s="9"/>
      <c r="J743" s="9"/>
      <c r="K743" s="9"/>
      <c r="L743" s="9"/>
      <c r="M743" s="9"/>
      <c r="N743" s="9" t="s">
        <v>197</v>
      </c>
      <c r="O743" s="9"/>
      <c r="P743" s="37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</row>
    <row r="744" spans="1:33" ht="14.25" customHeight="1" x14ac:dyDescent="0.35">
      <c r="A744" s="12">
        <v>300109</v>
      </c>
      <c r="B744" s="63" t="str">
        <f>IFERROR(VLOOKUP(Tabla2[[#This Row],[CODIGO]],INVENTARIO!A:B,2,0)," ")</f>
        <v>Risers de Acero 3/4" Bsp x 25 mm</v>
      </c>
      <c r="C744" s="12">
        <v>10</v>
      </c>
      <c r="D744" s="13">
        <v>300010</v>
      </c>
      <c r="E744" s="40">
        <v>4500516554</v>
      </c>
      <c r="F744" s="9">
        <v>3566896</v>
      </c>
      <c r="G744" s="77">
        <v>46042</v>
      </c>
      <c r="H744" s="9" t="s">
        <v>166</v>
      </c>
      <c r="I744" s="9"/>
      <c r="J744" s="9"/>
      <c r="K744" s="9"/>
      <c r="L744" s="9"/>
      <c r="M744" s="9"/>
      <c r="N744" s="9" t="s">
        <v>197</v>
      </c>
      <c r="O744" s="9"/>
      <c r="P744" s="37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</row>
    <row r="745" spans="1:33" ht="14.25" customHeight="1" x14ac:dyDescent="0.35">
      <c r="A745" s="12">
        <v>2003911</v>
      </c>
      <c r="B745" s="63" t="str">
        <f>IFERROR(VLOOKUP(Tabla2[[#This Row],[CODIGO]],INVENTARIO!A:B,2,0)," ")</f>
        <v>Válvula EFv PE 25 mm Para Tap. Tee</v>
      </c>
      <c r="C745" s="12">
        <v>10</v>
      </c>
      <c r="D745" s="13">
        <v>62330</v>
      </c>
      <c r="E745" s="40">
        <v>4500516554</v>
      </c>
      <c r="F745" s="9">
        <v>3566896</v>
      </c>
      <c r="G745" s="77">
        <v>46042</v>
      </c>
      <c r="H745" s="9" t="s">
        <v>166</v>
      </c>
      <c r="I745" s="9"/>
      <c r="J745" s="9"/>
      <c r="K745" s="9"/>
      <c r="L745" s="9"/>
      <c r="M745" s="9"/>
      <c r="N745" s="9" t="s">
        <v>197</v>
      </c>
      <c r="O745" s="9"/>
      <c r="P745" s="37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</row>
    <row r="746" spans="1:33" ht="14.25" customHeight="1" x14ac:dyDescent="0.35">
      <c r="A746" s="12">
        <v>2000350</v>
      </c>
      <c r="B746" s="63" t="str">
        <f>IFERROR(VLOOKUP(Tabla2[[#This Row],[CODIGO]],INVENTARIO!A:B,2,0)," ")</f>
        <v>Codo PE 90º  25 mm EF.</v>
      </c>
      <c r="C746" s="12">
        <v>2</v>
      </c>
      <c r="D746" s="13">
        <v>12264</v>
      </c>
      <c r="E746" s="40">
        <v>4500516551</v>
      </c>
      <c r="F746" s="9">
        <v>3566895</v>
      </c>
      <c r="G746" s="77">
        <v>46042</v>
      </c>
      <c r="H746" s="9" t="s">
        <v>166</v>
      </c>
      <c r="I746" s="9"/>
      <c r="J746" s="9"/>
      <c r="K746" s="9"/>
      <c r="L746" s="9"/>
      <c r="M746" s="9" t="s">
        <v>247</v>
      </c>
      <c r="N746" s="9" t="s">
        <v>195</v>
      </c>
      <c r="O746" s="9"/>
      <c r="P746" s="37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</row>
    <row r="747" spans="1:33" ht="14.25" customHeight="1" x14ac:dyDescent="0.35">
      <c r="A747" s="12">
        <v>301738</v>
      </c>
      <c r="B747" s="63" t="str">
        <f>IFERROR(VLOOKUP(Tabla2[[#This Row],[CODIGO]],INVENTARIO!A:B,2,0)," ")</f>
        <v>Regulador Sum. Fe-25, 20 Mbar P.Fior</v>
      </c>
      <c r="C747" s="12">
        <v>1</v>
      </c>
      <c r="D747" s="13">
        <v>279076</v>
      </c>
      <c r="E747" s="40">
        <v>4500516549</v>
      </c>
      <c r="F747" s="9">
        <v>3566894</v>
      </c>
      <c r="G747" s="77">
        <v>46042</v>
      </c>
      <c r="H747" s="9" t="s">
        <v>166</v>
      </c>
      <c r="I747" s="9"/>
      <c r="J747" s="9"/>
      <c r="K747" s="9"/>
      <c r="L747" s="9"/>
      <c r="M747" s="9" t="s">
        <v>248</v>
      </c>
      <c r="N747" s="9" t="s">
        <v>231</v>
      </c>
      <c r="O747" s="9"/>
      <c r="P747" s="37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</row>
    <row r="748" spans="1:33" ht="14.25" customHeight="1" x14ac:dyDescent="0.35">
      <c r="A748" s="12">
        <v>301329</v>
      </c>
      <c r="B748" s="63" t="str">
        <f>IFERROR(VLOOKUP(Tabla2[[#This Row],[CODIGO]],INVENTARIO!A:B,2,0)," ")</f>
        <v>Copla PE100 025mm EF</v>
      </c>
      <c r="C748" s="12">
        <v>4</v>
      </c>
      <c r="D748" s="13">
        <v>8712</v>
      </c>
      <c r="E748" s="40">
        <v>4500516549</v>
      </c>
      <c r="F748" s="9">
        <v>3566894</v>
      </c>
      <c r="G748" s="77">
        <v>46042</v>
      </c>
      <c r="H748" s="9" t="s">
        <v>166</v>
      </c>
      <c r="I748" s="9"/>
      <c r="J748" s="9"/>
      <c r="K748" s="9"/>
      <c r="L748" s="9"/>
      <c r="M748" s="9" t="s">
        <v>248</v>
      </c>
      <c r="N748" s="9" t="s">
        <v>231</v>
      </c>
      <c r="O748" s="9"/>
      <c r="P748" s="37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</row>
    <row r="749" spans="1:33" ht="14.25" customHeight="1" x14ac:dyDescent="0.35">
      <c r="A749" s="12">
        <v>301099</v>
      </c>
      <c r="B749" s="63" t="str">
        <f>IFERROR(VLOOKUP(Tabla2[[#This Row],[CODIGO]],INVENTARIO!A:B,2,0)," ")</f>
        <v>Válvula PE100 Dn 25mm</v>
      </c>
      <c r="C749" s="12">
        <v>1</v>
      </c>
      <c r="D749" s="13">
        <v>64303</v>
      </c>
      <c r="E749" s="40">
        <v>4500516549</v>
      </c>
      <c r="F749" s="9">
        <v>3566894</v>
      </c>
      <c r="G749" s="77">
        <v>46042</v>
      </c>
      <c r="H749" s="9" t="s">
        <v>166</v>
      </c>
      <c r="I749" s="9"/>
      <c r="J749" s="9"/>
      <c r="K749" s="9"/>
      <c r="L749" s="9"/>
      <c r="M749" s="9" t="s">
        <v>248</v>
      </c>
      <c r="N749" s="9" t="s">
        <v>231</v>
      </c>
      <c r="O749" s="9"/>
      <c r="P749" s="37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</row>
    <row r="750" spans="1:33" ht="14.25" customHeight="1" x14ac:dyDescent="0.35">
      <c r="A750" s="12">
        <v>300527</v>
      </c>
      <c r="B750" s="63" t="str">
        <f>IFERROR(VLOOKUP(Tabla2[[#This Row],[CODIGO]],INVENTARIO!A:B,2,0)," ")</f>
        <v>Tapping Tee PE 160-25 mm</v>
      </c>
      <c r="C750" s="12">
        <v>1</v>
      </c>
      <c r="D750" s="13">
        <v>16321</v>
      </c>
      <c r="E750" s="40">
        <v>4500516549</v>
      </c>
      <c r="F750" s="9">
        <v>3566894</v>
      </c>
      <c r="G750" s="77">
        <v>46042</v>
      </c>
      <c r="H750" s="9" t="s">
        <v>166</v>
      </c>
      <c r="I750" s="9"/>
      <c r="J750" s="9"/>
      <c r="K750" s="9"/>
      <c r="L750" s="9"/>
      <c r="M750" s="9" t="s">
        <v>248</v>
      </c>
      <c r="N750" s="9" t="s">
        <v>231</v>
      </c>
      <c r="O750" s="9"/>
      <c r="P750" s="37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</row>
    <row r="751" spans="1:33" ht="14.25" customHeight="1" x14ac:dyDescent="0.35">
      <c r="A751" s="12">
        <v>101618</v>
      </c>
      <c r="B751" s="63" t="str">
        <f>IFERROR(VLOOKUP(Tabla2[[#This Row],[CODIGO]],INVENTARIO!A:B,2,0)," ")</f>
        <v>Risers Ac,Recto 3/4 "x25 mm</v>
      </c>
      <c r="C751" s="12">
        <v>1</v>
      </c>
      <c r="D751" s="13">
        <v>31589</v>
      </c>
      <c r="E751" s="40">
        <v>4500516549</v>
      </c>
      <c r="F751" s="9">
        <v>3566894</v>
      </c>
      <c r="G751" s="77">
        <v>46042</v>
      </c>
      <c r="H751" s="9" t="s">
        <v>166</v>
      </c>
      <c r="I751" s="9"/>
      <c r="J751" s="9"/>
      <c r="K751" s="9"/>
      <c r="L751" s="9"/>
      <c r="M751" s="9" t="s">
        <v>248</v>
      </c>
      <c r="N751" s="9" t="s">
        <v>231</v>
      </c>
      <c r="O751" s="9"/>
      <c r="P751" s="37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</row>
    <row r="752" spans="1:33" ht="14.25" customHeight="1" x14ac:dyDescent="0.35">
      <c r="A752" s="12">
        <v>301749</v>
      </c>
      <c r="B752" s="63" t="str">
        <f>IFERROR(VLOOKUP(Tabla2[[#This Row],[CODIGO]],INVENTARIO!A:B,2,0)," ")</f>
        <v>Tubería PE80 025mm Rollo</v>
      </c>
      <c r="C752" s="12">
        <v>550</v>
      </c>
      <c r="D752" s="13">
        <v>420750</v>
      </c>
      <c r="E752" s="40">
        <v>874662</v>
      </c>
      <c r="F752" s="9">
        <v>3566846</v>
      </c>
      <c r="G752" s="77">
        <v>46039</v>
      </c>
      <c r="H752" s="12" t="s">
        <v>167</v>
      </c>
      <c r="I752" s="12"/>
      <c r="J752" s="9" t="s">
        <v>217</v>
      </c>
      <c r="K752" s="9"/>
      <c r="L752" s="9" t="s">
        <v>240</v>
      </c>
      <c r="M752" s="9"/>
      <c r="N752" s="9"/>
      <c r="O752" s="9" t="s">
        <v>258</v>
      </c>
      <c r="P752" s="37">
        <v>1374932</v>
      </c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</row>
    <row r="753" spans="1:33" ht="14.25" customHeight="1" x14ac:dyDescent="0.35">
      <c r="A753" s="12">
        <v>302065</v>
      </c>
      <c r="B753" s="63" t="str">
        <f>IFERROR(VLOOKUP(Tabla2[[#This Row],[CODIGO]],INVENTARIO!A:B,2,0)," ")</f>
        <v>Tubería PE80 110mm Tira</v>
      </c>
      <c r="C753" s="12">
        <v>396</v>
      </c>
      <c r="D753" s="13">
        <v>4194828</v>
      </c>
      <c r="E753" s="40">
        <v>874236</v>
      </c>
      <c r="F753" s="9">
        <v>3566821</v>
      </c>
      <c r="G753" s="77">
        <v>46037</v>
      </c>
      <c r="H753" s="12" t="s">
        <v>167</v>
      </c>
      <c r="I753" s="12"/>
      <c r="J753" s="9"/>
      <c r="K753" s="9"/>
      <c r="L753" s="9"/>
      <c r="M753" s="9"/>
      <c r="N753" s="9" t="s">
        <v>201</v>
      </c>
      <c r="O753" s="9" t="s">
        <v>258</v>
      </c>
      <c r="P753" s="37">
        <v>1374929</v>
      </c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</row>
    <row r="754" spans="1:33" ht="14.25" customHeight="1" x14ac:dyDescent="0.35">
      <c r="A754" s="12">
        <v>301329</v>
      </c>
      <c r="B754" s="63" t="str">
        <f>IFERROR(VLOOKUP(Tabla2[[#This Row],[CODIGO]],INVENTARIO!A:B,2,0)," ")</f>
        <v>Copla PE100 025mm EF</v>
      </c>
      <c r="C754" s="12">
        <v>3</v>
      </c>
      <c r="D754" s="13"/>
      <c r="E754" s="40"/>
      <c r="F754" s="9">
        <v>861</v>
      </c>
      <c r="G754" s="77">
        <v>46037</v>
      </c>
      <c r="H754" s="9" t="s">
        <v>181</v>
      </c>
      <c r="I754" s="9"/>
      <c r="J754" s="9"/>
      <c r="K754" s="9"/>
      <c r="L754" s="9"/>
      <c r="M754" s="9"/>
      <c r="N754" s="9" t="s">
        <v>208</v>
      </c>
      <c r="O754" s="9"/>
      <c r="P754" s="37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</row>
    <row r="755" spans="1:33" ht="14.25" customHeight="1" x14ac:dyDescent="0.35">
      <c r="A755" s="12">
        <v>2000350</v>
      </c>
      <c r="B755" s="63" t="str">
        <f>IFERROR(VLOOKUP(Tabla2[[#This Row],[CODIGO]],INVENTARIO!A:B,2,0)," ")</f>
        <v>Codo PE 90º  25 mm EF.</v>
      </c>
      <c r="C755" s="12">
        <v>2</v>
      </c>
      <c r="D755" s="13"/>
      <c r="E755" s="40"/>
      <c r="F755" s="9">
        <v>861</v>
      </c>
      <c r="G755" s="77">
        <v>46037</v>
      </c>
      <c r="H755" s="9" t="s">
        <v>181</v>
      </c>
      <c r="I755" s="9"/>
      <c r="J755" s="9"/>
      <c r="K755" s="9"/>
      <c r="L755" s="9"/>
      <c r="M755" s="9"/>
      <c r="N755" s="9" t="s">
        <v>208</v>
      </c>
      <c r="O755" s="9"/>
      <c r="P755" s="37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</row>
    <row r="756" spans="1:33" ht="14.25" customHeight="1" x14ac:dyDescent="0.35">
      <c r="A756" s="12">
        <v>101618</v>
      </c>
      <c r="B756" s="63" t="str">
        <f>IFERROR(VLOOKUP(Tabla2[[#This Row],[CODIGO]],INVENTARIO!A:B,2,0)," ")</f>
        <v>Risers Ac,Recto 3/4 "x25 mm</v>
      </c>
      <c r="C756" s="12">
        <v>1</v>
      </c>
      <c r="D756" s="13">
        <v>31589</v>
      </c>
      <c r="E756" s="40">
        <v>4500514869</v>
      </c>
      <c r="F756" s="12">
        <v>3566696</v>
      </c>
      <c r="G756" s="77">
        <v>46030</v>
      </c>
      <c r="H756" s="12" t="s">
        <v>166</v>
      </c>
      <c r="I756" s="12"/>
      <c r="J756" s="12"/>
      <c r="K756" s="12"/>
      <c r="L756" s="12"/>
      <c r="M756" s="12"/>
      <c r="N756" s="9" t="s">
        <v>208</v>
      </c>
      <c r="O756" s="9"/>
      <c r="P756" s="37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</row>
    <row r="757" spans="1:33" ht="14.25" customHeight="1" x14ac:dyDescent="0.35">
      <c r="A757" s="12">
        <v>300412</v>
      </c>
      <c r="B757" s="63" t="str">
        <f>IFERROR(VLOOKUP(Tabla2[[#This Row],[CODIGO]],INVENTARIO!A:B,2,0)," ")</f>
        <v>Tapping Tee PE 90-25 mm</v>
      </c>
      <c r="C757" s="12">
        <v>1</v>
      </c>
      <c r="D757" s="13">
        <v>19688</v>
      </c>
      <c r="E757" s="40">
        <v>4500514869</v>
      </c>
      <c r="F757" s="12">
        <v>3566696</v>
      </c>
      <c r="G757" s="77">
        <v>46030</v>
      </c>
      <c r="H757" s="12" t="s">
        <v>166</v>
      </c>
      <c r="I757" s="12"/>
      <c r="J757" s="12"/>
      <c r="K757" s="12"/>
      <c r="L757" s="12"/>
      <c r="M757" s="12"/>
      <c r="N757" s="9" t="s">
        <v>208</v>
      </c>
      <c r="O757" s="9"/>
      <c r="P757" s="37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</row>
    <row r="758" spans="1:33" ht="14.25" customHeight="1" x14ac:dyDescent="0.35">
      <c r="A758" s="12">
        <v>301099</v>
      </c>
      <c r="B758" s="63" t="str">
        <f>IFERROR(VLOOKUP(Tabla2[[#This Row],[CODIGO]],INVENTARIO!A:B,2,0)," ")</f>
        <v>Válvula PE100 Dn 25mm</v>
      </c>
      <c r="C758" s="12">
        <v>1</v>
      </c>
      <c r="D758" s="13">
        <v>64303</v>
      </c>
      <c r="E758" s="40">
        <v>4500514869</v>
      </c>
      <c r="F758" s="12">
        <v>3566696</v>
      </c>
      <c r="G758" s="77">
        <v>46030</v>
      </c>
      <c r="H758" s="12" t="s">
        <v>166</v>
      </c>
      <c r="I758" s="12"/>
      <c r="J758" s="12"/>
      <c r="K758" s="12"/>
      <c r="L758" s="12"/>
      <c r="M758" s="12"/>
      <c r="N758" s="9" t="s">
        <v>208</v>
      </c>
      <c r="O758" s="9"/>
      <c r="P758" s="37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</row>
    <row r="759" spans="1:33" ht="14.25" customHeight="1" x14ac:dyDescent="0.35">
      <c r="A759" s="12">
        <v>301329</v>
      </c>
      <c r="B759" s="63" t="str">
        <f>IFERROR(VLOOKUP(Tabla2[[#This Row],[CODIGO]],INVENTARIO!A:B,2,0)," ")</f>
        <v>Copla PE100 025mm EF</v>
      </c>
      <c r="C759" s="12">
        <v>4</v>
      </c>
      <c r="D759" s="13">
        <v>7796</v>
      </c>
      <c r="E759" s="40">
        <v>4500514869</v>
      </c>
      <c r="F759" s="12">
        <v>3566696</v>
      </c>
      <c r="G759" s="77">
        <v>46030</v>
      </c>
      <c r="H759" s="12" t="s">
        <v>166</v>
      </c>
      <c r="I759" s="12"/>
      <c r="J759" s="12"/>
      <c r="K759" s="12"/>
      <c r="L759" s="12"/>
      <c r="M759" s="12"/>
      <c r="N759" s="9" t="s">
        <v>208</v>
      </c>
      <c r="O759" s="9"/>
      <c r="P759" s="37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</row>
    <row r="760" spans="1:33" ht="14.25" customHeight="1" x14ac:dyDescent="0.35">
      <c r="A760" s="12">
        <v>301738</v>
      </c>
      <c r="B760" s="63" t="str">
        <f>IFERROR(VLOOKUP(Tabla2[[#This Row],[CODIGO]],INVENTARIO!A:B,2,0)," ")</f>
        <v>Regulador Sum. Fe-25, 20 Mbar P.Fior</v>
      </c>
      <c r="C760" s="12">
        <v>1</v>
      </c>
      <c r="D760" s="13">
        <v>279076</v>
      </c>
      <c r="E760" s="40">
        <v>4500514869</v>
      </c>
      <c r="F760" s="12">
        <v>3566696</v>
      </c>
      <c r="G760" s="77">
        <v>46030</v>
      </c>
      <c r="H760" s="12" t="s">
        <v>166</v>
      </c>
      <c r="I760" s="12"/>
      <c r="J760" s="12"/>
      <c r="K760" s="12"/>
      <c r="L760" s="12"/>
      <c r="M760" s="12"/>
      <c r="N760" s="9" t="s">
        <v>208</v>
      </c>
      <c r="O760" s="9"/>
      <c r="P760" s="37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</row>
    <row r="761" spans="1:33" ht="14.25" customHeight="1" x14ac:dyDescent="0.35">
      <c r="A761" s="12">
        <v>2000350</v>
      </c>
      <c r="B761" s="63" t="str">
        <f>IFERROR(VLOOKUP(Tabla2[[#This Row],[CODIGO]],INVENTARIO!A:B,2,0)," ")</f>
        <v>Codo PE 90º  25 mm EF.</v>
      </c>
      <c r="C761" s="12">
        <v>4</v>
      </c>
      <c r="D761" s="13">
        <v>24528</v>
      </c>
      <c r="E761" s="40">
        <v>4500514869</v>
      </c>
      <c r="F761" s="12">
        <v>3566696</v>
      </c>
      <c r="G761" s="77">
        <v>46030</v>
      </c>
      <c r="H761" s="12" t="s">
        <v>166</v>
      </c>
      <c r="I761" s="12"/>
      <c r="J761" s="12"/>
      <c r="K761" s="12"/>
      <c r="L761" s="12"/>
      <c r="M761" s="12"/>
      <c r="N761" s="9" t="s">
        <v>208</v>
      </c>
      <c r="O761" s="9"/>
      <c r="P761" s="37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</row>
    <row r="762" spans="1:33" ht="14.25" customHeight="1" x14ac:dyDescent="0.35">
      <c r="A762" s="12">
        <v>2004186</v>
      </c>
      <c r="B762" s="59" t="str">
        <f>IFERROR(VLOOKUP(Tabla2[[#This Row],[CODIGO]],INVENTARIO!A:B,2,0)," ")</f>
        <v>Tapa AX-S Composite 800x800 B125</v>
      </c>
      <c r="C762" s="12">
        <v>1</v>
      </c>
      <c r="D762" s="13">
        <v>462522</v>
      </c>
      <c r="E762" s="40">
        <v>874277</v>
      </c>
      <c r="F762" s="12">
        <v>3566663</v>
      </c>
      <c r="G762" s="77">
        <v>46029</v>
      </c>
      <c r="H762" s="12" t="s">
        <v>167</v>
      </c>
      <c r="I762" s="12"/>
      <c r="J762" s="12"/>
      <c r="K762" s="12"/>
      <c r="L762" s="12"/>
      <c r="M762" s="12"/>
      <c r="N762" s="9" t="s">
        <v>197</v>
      </c>
      <c r="O762" s="9" t="s">
        <v>257</v>
      </c>
      <c r="P762" s="37">
        <v>1374890</v>
      </c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</row>
    <row r="763" spans="1:33" ht="14.25" customHeight="1" x14ac:dyDescent="0.35">
      <c r="A763" s="12">
        <v>2004185</v>
      </c>
      <c r="B763" s="59" t="str">
        <f>IFERROR(VLOOKUP(Tabla2[[#This Row],[CODIGO]],INVENTARIO!A:B,2,0)," ")</f>
        <v>Anillo Cámara Modular 800x800 H=150 E6</v>
      </c>
      <c r="C763" s="12">
        <v>6</v>
      </c>
      <c r="D763" s="13">
        <v>606624</v>
      </c>
      <c r="E763" s="40">
        <v>874277</v>
      </c>
      <c r="F763" s="12">
        <v>3566663</v>
      </c>
      <c r="G763" s="77">
        <v>46029</v>
      </c>
      <c r="H763" s="12" t="s">
        <v>167</v>
      </c>
      <c r="I763" s="12"/>
      <c r="J763" s="12"/>
      <c r="K763" s="12"/>
      <c r="L763" s="12"/>
      <c r="M763" s="12"/>
      <c r="N763" s="9" t="s">
        <v>197</v>
      </c>
      <c r="O763" s="9" t="s">
        <v>257</v>
      </c>
      <c r="P763" s="37">
        <v>1374890</v>
      </c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</row>
    <row r="764" spans="1:33" ht="14.25" customHeight="1" x14ac:dyDescent="0.35">
      <c r="A764" s="12">
        <v>2005135</v>
      </c>
      <c r="B764" s="59" t="str">
        <f>IFERROR(VLOOKUP(Tabla2[[#This Row],[CODIGO]],INVENTARIO!A:B,2,0)," ")</f>
        <v>Tubo PVC 110 mm PN6 CG Amarillo Tira 6 m</v>
      </c>
      <c r="C764" s="12">
        <v>4</v>
      </c>
      <c r="D764" s="13">
        <v>111724</v>
      </c>
      <c r="E764" s="40">
        <v>874237</v>
      </c>
      <c r="F764" s="12">
        <v>3566668</v>
      </c>
      <c r="G764" s="77">
        <v>46029</v>
      </c>
      <c r="H764" s="12" t="s">
        <v>167</v>
      </c>
      <c r="I764" s="12"/>
      <c r="J764" s="12"/>
      <c r="K764" s="12"/>
      <c r="L764" s="12"/>
      <c r="M764" s="12"/>
      <c r="N764" s="9" t="s">
        <v>202</v>
      </c>
      <c r="O764" s="9" t="s">
        <v>258</v>
      </c>
      <c r="P764" s="37">
        <v>1374895</v>
      </c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</row>
    <row r="765" spans="1:33" ht="14.25" customHeight="1" x14ac:dyDescent="0.35">
      <c r="A765" s="12">
        <v>2005135</v>
      </c>
      <c r="B765" s="59" t="str">
        <f>IFERROR(VLOOKUP(Tabla2[[#This Row],[CODIGO]],INVENTARIO!A:B,2,0)," ")</f>
        <v>Tubo PVC 110 mm PN6 CG Amarillo Tira 6 m</v>
      </c>
      <c r="C765" s="12">
        <v>4</v>
      </c>
      <c r="D765" s="13">
        <v>111724</v>
      </c>
      <c r="E765" s="40">
        <v>844242</v>
      </c>
      <c r="F765" s="12">
        <v>3566667</v>
      </c>
      <c r="G765" s="77">
        <v>46029</v>
      </c>
      <c r="H765" s="12" t="s">
        <v>167</v>
      </c>
      <c r="I765" s="12"/>
      <c r="J765" s="12"/>
      <c r="K765" s="12"/>
      <c r="L765" s="12"/>
      <c r="M765" s="12"/>
      <c r="N765" s="9" t="s">
        <v>194</v>
      </c>
      <c r="O765" s="9" t="s">
        <v>258</v>
      </c>
      <c r="P765" s="37">
        <v>1374894</v>
      </c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</row>
    <row r="766" spans="1:33" ht="14.25" customHeight="1" x14ac:dyDescent="0.35">
      <c r="A766" s="12">
        <v>2005135</v>
      </c>
      <c r="B766" s="59" t="str">
        <f>IFERROR(VLOOKUP(Tabla2[[#This Row],[CODIGO]],INVENTARIO!A:B,2,0)," ")</f>
        <v>Tubo PVC 110 mm PN6 CG Amarillo Tira 6 m</v>
      </c>
      <c r="C766" s="12">
        <v>12</v>
      </c>
      <c r="D766" s="13">
        <v>335172</v>
      </c>
      <c r="E766" s="40">
        <v>874200</v>
      </c>
      <c r="F766" s="12">
        <v>3566666</v>
      </c>
      <c r="G766" s="77">
        <v>46029</v>
      </c>
      <c r="H766" s="12" t="s">
        <v>167</v>
      </c>
      <c r="I766" s="12"/>
      <c r="J766" s="12"/>
      <c r="K766" s="12"/>
      <c r="L766" s="12"/>
      <c r="M766" s="12"/>
      <c r="N766" s="9" t="s">
        <v>194</v>
      </c>
      <c r="O766" s="9" t="s">
        <v>258</v>
      </c>
      <c r="P766" s="37">
        <v>1374893</v>
      </c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</row>
    <row r="767" spans="1:33" ht="14.25" customHeight="1" x14ac:dyDescent="0.35">
      <c r="A767" s="12">
        <v>2005135</v>
      </c>
      <c r="B767" s="59" t="str">
        <f>IFERROR(VLOOKUP(Tabla2[[#This Row],[CODIGO]],INVENTARIO!A:B,2,0)," ")</f>
        <v>Tubo PVC 110 mm PN6 CG Amarillo Tira 6 m</v>
      </c>
      <c r="C767" s="12">
        <v>2</v>
      </c>
      <c r="D767" s="13">
        <v>55862</v>
      </c>
      <c r="E767" s="40">
        <v>874278</v>
      </c>
      <c r="F767" s="12">
        <v>3566665</v>
      </c>
      <c r="G767" s="77">
        <v>46029</v>
      </c>
      <c r="H767" s="12" t="s">
        <v>167</v>
      </c>
      <c r="I767" s="12"/>
      <c r="J767" s="12"/>
      <c r="K767" s="12"/>
      <c r="L767" s="12"/>
      <c r="M767" s="12"/>
      <c r="N767" s="9" t="s">
        <v>207</v>
      </c>
      <c r="O767" s="9" t="s">
        <v>258</v>
      </c>
      <c r="P767" s="37">
        <v>1374892</v>
      </c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</row>
    <row r="768" spans="1:33" ht="14.25" customHeight="1" x14ac:dyDescent="0.35">
      <c r="A768" s="12">
        <v>2005135</v>
      </c>
      <c r="B768" s="59" t="str">
        <f>IFERROR(VLOOKUP(Tabla2[[#This Row],[CODIGO]],INVENTARIO!A:B,2,0)," ")</f>
        <v>Tubo PVC 110 mm PN6 CG Amarillo Tira 6 m</v>
      </c>
      <c r="C768" s="12">
        <v>2</v>
      </c>
      <c r="D768" s="13">
        <v>55862</v>
      </c>
      <c r="E768" s="40">
        <v>874236</v>
      </c>
      <c r="F768" s="12">
        <v>3566664</v>
      </c>
      <c r="G768" s="77">
        <v>46029</v>
      </c>
      <c r="H768" s="12" t="s">
        <v>167</v>
      </c>
      <c r="I768" s="12"/>
      <c r="J768" s="12"/>
      <c r="K768" s="12"/>
      <c r="L768" s="12"/>
      <c r="M768" s="12"/>
      <c r="N768" s="9" t="s">
        <v>201</v>
      </c>
      <c r="O768" s="9" t="s">
        <v>258</v>
      </c>
      <c r="P768" s="37">
        <v>1374891</v>
      </c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</row>
    <row r="769" spans="1:33" ht="14.25" customHeight="1" x14ac:dyDescent="0.35">
      <c r="A769" s="12">
        <v>2005136</v>
      </c>
      <c r="B769" s="59" t="str">
        <f>IFERROR(VLOOKUP(Tabla2[[#This Row],[CODIGO]],INVENTARIO!A:B,2,0)," ")</f>
        <v>Tubo PVC 160 mm PN6 CG Amarillo</v>
      </c>
      <c r="C769" s="12">
        <v>1</v>
      </c>
      <c r="D769" s="13">
        <v>54504</v>
      </c>
      <c r="E769" s="40">
        <v>874236</v>
      </c>
      <c r="F769" s="12">
        <v>3566664</v>
      </c>
      <c r="G769" s="77">
        <v>46029</v>
      </c>
      <c r="H769" s="12" t="s">
        <v>167</v>
      </c>
      <c r="I769" s="12"/>
      <c r="J769" s="12"/>
      <c r="K769" s="12"/>
      <c r="L769" s="12"/>
      <c r="M769" s="12"/>
      <c r="N769" s="9" t="s">
        <v>201</v>
      </c>
      <c r="O769" s="9" t="s">
        <v>258</v>
      </c>
      <c r="P769" s="37">
        <v>1374891</v>
      </c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</row>
    <row r="770" spans="1:33" ht="14.25" customHeight="1" x14ac:dyDescent="0.35">
      <c r="A770" s="12">
        <v>2002262</v>
      </c>
      <c r="B770" s="59" t="str">
        <f>IFERROR(VLOOKUP(Tabla2[[#This Row],[CODIGO]],INVENTARIO!A:B,2,0)," ")</f>
        <v>Tubería PE80 050mm Rollo</v>
      </c>
      <c r="C770" s="12">
        <v>750</v>
      </c>
      <c r="D770" s="13">
        <v>1936500</v>
      </c>
      <c r="E770" s="40">
        <v>874278</v>
      </c>
      <c r="F770" s="12">
        <v>3566651</v>
      </c>
      <c r="G770" s="77">
        <v>46028</v>
      </c>
      <c r="H770" s="12" t="s">
        <v>167</v>
      </c>
      <c r="I770" s="12"/>
      <c r="J770" s="9" t="s">
        <v>216</v>
      </c>
      <c r="K770" s="9"/>
      <c r="L770" s="9"/>
      <c r="M770" s="9"/>
      <c r="N770" s="9" t="s">
        <v>207</v>
      </c>
      <c r="O770" s="9" t="s">
        <v>258</v>
      </c>
      <c r="P770" s="37">
        <v>1374888</v>
      </c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</row>
    <row r="771" spans="1:33" ht="14.25" customHeight="1" x14ac:dyDescent="0.35">
      <c r="A771" s="12">
        <v>2007948</v>
      </c>
      <c r="B771" s="59" t="str">
        <f>IFERROR(VLOOKUP(Tabla2[[#This Row],[CODIGO]],INVENTARIO!A:B,2,0)," ")</f>
        <v>Tubo PVC Hidraulico 110 mm Pn6 Celeste</v>
      </c>
      <c r="C771" s="12">
        <v>78</v>
      </c>
      <c r="D771" s="13">
        <v>189228</v>
      </c>
      <c r="E771" s="40">
        <v>874278</v>
      </c>
      <c r="F771" s="12">
        <v>3566651</v>
      </c>
      <c r="G771" s="77">
        <v>46028</v>
      </c>
      <c r="H771" s="12" t="s">
        <v>167</v>
      </c>
      <c r="I771" s="12"/>
      <c r="J771" s="12"/>
      <c r="K771" s="12"/>
      <c r="L771" s="12"/>
      <c r="M771" s="12"/>
      <c r="N771" s="9" t="s">
        <v>207</v>
      </c>
      <c r="O771" s="9" t="s">
        <v>258</v>
      </c>
      <c r="P771" s="37">
        <v>1374888</v>
      </c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</row>
    <row r="772" spans="1:33" ht="14.25" customHeight="1" x14ac:dyDescent="0.35">
      <c r="A772" s="12">
        <v>301749</v>
      </c>
      <c r="B772" s="59" t="str">
        <f>IFERROR(VLOOKUP(Tabla2[[#This Row],[CODIGO]],INVENTARIO!A:B,2,0)," ")</f>
        <v>Tubería PE80 025mm Rollo</v>
      </c>
      <c r="C772" s="12">
        <v>200</v>
      </c>
      <c r="D772" s="13">
        <v>153000</v>
      </c>
      <c r="E772" s="40">
        <v>874278</v>
      </c>
      <c r="F772" s="12">
        <v>3566651</v>
      </c>
      <c r="G772" s="77">
        <v>46028</v>
      </c>
      <c r="H772" s="12" t="s">
        <v>167</v>
      </c>
      <c r="I772" s="12"/>
      <c r="J772" s="9" t="s">
        <v>217</v>
      </c>
      <c r="K772" s="14">
        <v>45840</v>
      </c>
      <c r="L772" s="9" t="s">
        <v>240</v>
      </c>
      <c r="M772" s="9"/>
      <c r="N772" s="9" t="s">
        <v>207</v>
      </c>
      <c r="O772" s="9" t="s">
        <v>258</v>
      </c>
      <c r="P772" s="37">
        <v>1374888</v>
      </c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</row>
    <row r="773" spans="1:33" ht="14.25" customHeight="1" x14ac:dyDescent="0.35">
      <c r="A773" s="12">
        <v>2002263</v>
      </c>
      <c r="B773" s="59" t="str">
        <f>IFERROR(VLOOKUP(Tabla2[[#This Row],[CODIGO]],INVENTARIO!A:B,2,0)," ")</f>
        <v>Tubería PE80 063mm Rollo</v>
      </c>
      <c r="C773" s="12">
        <v>600</v>
      </c>
      <c r="D773" s="13">
        <v>2239800</v>
      </c>
      <c r="E773" s="40">
        <v>874278</v>
      </c>
      <c r="F773" s="12">
        <v>3566651</v>
      </c>
      <c r="G773" s="77">
        <v>46028</v>
      </c>
      <c r="H773" s="12" t="s">
        <v>167</v>
      </c>
      <c r="I773" s="12"/>
      <c r="J773" s="9" t="s">
        <v>218</v>
      </c>
      <c r="K773" s="9"/>
      <c r="L773" s="9"/>
      <c r="M773" s="9"/>
      <c r="N773" s="9" t="s">
        <v>207</v>
      </c>
      <c r="O773" s="9" t="s">
        <v>258</v>
      </c>
      <c r="P773" s="37">
        <v>1374888</v>
      </c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</row>
    <row r="774" spans="1:33" ht="14.25" customHeight="1" x14ac:dyDescent="0.35">
      <c r="A774" s="12">
        <v>2005136</v>
      </c>
      <c r="B774" s="59" t="str">
        <f>IFERROR(VLOOKUP(Tabla2[[#This Row],[CODIGO]],INVENTARIO!A:B,2,0)," ")</f>
        <v>Tubo PVC 160 mm PN6 CG Amarillo</v>
      </c>
      <c r="C774" s="12">
        <v>13</v>
      </c>
      <c r="D774" s="13">
        <v>708552</v>
      </c>
      <c r="E774" s="40">
        <v>874277</v>
      </c>
      <c r="F774" s="12">
        <v>3566663</v>
      </c>
      <c r="G774" s="77">
        <v>46029</v>
      </c>
      <c r="H774" s="12" t="s">
        <v>167</v>
      </c>
      <c r="I774" s="12"/>
      <c r="J774" s="12"/>
      <c r="K774" s="12"/>
      <c r="L774" s="12"/>
      <c r="M774" s="12"/>
      <c r="N774" s="9" t="s">
        <v>197</v>
      </c>
      <c r="O774" s="9" t="s">
        <v>257</v>
      </c>
      <c r="P774" s="37">
        <v>1374890</v>
      </c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</row>
    <row r="775" spans="1:33" ht="14.25" customHeight="1" x14ac:dyDescent="0.35">
      <c r="A775" s="12">
        <v>302065</v>
      </c>
      <c r="B775" s="59" t="str">
        <f>IFERROR(VLOOKUP(Tabla2[[#This Row],[CODIGO]],INVENTARIO!A:B,2,0)," ")</f>
        <v>Tubería PE80 110mm Tira</v>
      </c>
      <c r="C775" s="12">
        <v>1164</v>
      </c>
      <c r="D775" s="13">
        <v>12330252</v>
      </c>
      <c r="E775" s="40">
        <v>874277</v>
      </c>
      <c r="F775" s="12">
        <v>3566661</v>
      </c>
      <c r="G775" s="77">
        <v>46029</v>
      </c>
      <c r="H775" s="12" t="s">
        <v>167</v>
      </c>
      <c r="I775" s="12"/>
      <c r="J775" s="9" t="s">
        <v>215</v>
      </c>
      <c r="K775" s="9"/>
      <c r="L775" s="9"/>
      <c r="M775" s="9"/>
      <c r="N775" s="9" t="s">
        <v>197</v>
      </c>
      <c r="O775" s="9" t="s">
        <v>257</v>
      </c>
      <c r="P775" s="37">
        <v>1374889</v>
      </c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</row>
    <row r="776" spans="1:33" ht="14.25" customHeight="1" x14ac:dyDescent="0.35">
      <c r="A776" s="12">
        <v>302065</v>
      </c>
      <c r="B776" s="59" t="str">
        <f>IFERROR(VLOOKUP(Tabla2[[#This Row],[CODIGO]],INVENTARIO!A:B,2,0)," ")</f>
        <v>Tubería PE80 110mm Tira</v>
      </c>
      <c r="C776" s="12">
        <v>132</v>
      </c>
      <c r="D776" s="13">
        <v>1398276</v>
      </c>
      <c r="E776" s="40">
        <v>874186</v>
      </c>
      <c r="F776" s="12">
        <v>3566560</v>
      </c>
      <c r="G776" s="77">
        <v>46386</v>
      </c>
      <c r="H776" s="12" t="s">
        <v>167</v>
      </c>
      <c r="I776" s="12"/>
      <c r="J776" s="9" t="s">
        <v>215</v>
      </c>
      <c r="K776" s="9"/>
      <c r="L776" s="9"/>
      <c r="M776" s="9" t="s">
        <v>249</v>
      </c>
      <c r="N776" s="9" t="s">
        <v>193</v>
      </c>
      <c r="O776" s="9" t="s">
        <v>257</v>
      </c>
      <c r="P776" s="37">
        <v>1374849</v>
      </c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</row>
    <row r="777" spans="1:33" ht="14.25" customHeight="1" x14ac:dyDescent="0.35">
      <c r="A777" s="12">
        <v>300820</v>
      </c>
      <c r="B777" s="59" t="str">
        <f>IFERROR(VLOOKUP(Tabla2[[#This Row],[CODIGO]],INVENTARIO!A:B,2,0)," ")</f>
        <v>Tubería PE80 160mm Tira</v>
      </c>
      <c r="C777" s="12">
        <v>300</v>
      </c>
      <c r="D777" s="13">
        <v>9127200</v>
      </c>
      <c r="E777" s="40">
        <v>874186</v>
      </c>
      <c r="F777" s="12">
        <v>3566560</v>
      </c>
      <c r="G777" s="77">
        <v>46021</v>
      </c>
      <c r="H777" s="12" t="s">
        <v>167</v>
      </c>
      <c r="I777" s="12"/>
      <c r="J777" s="9" t="s">
        <v>219</v>
      </c>
      <c r="K777" s="9"/>
      <c r="L777" s="9"/>
      <c r="M777" s="9" t="s">
        <v>249</v>
      </c>
      <c r="N777" s="9" t="s">
        <v>193</v>
      </c>
      <c r="O777" s="9" t="s">
        <v>257</v>
      </c>
      <c r="P777" s="37">
        <v>1374849</v>
      </c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</row>
    <row r="778" spans="1:33" ht="14.25" customHeight="1" x14ac:dyDescent="0.35">
      <c r="A778" s="12">
        <v>2005138</v>
      </c>
      <c r="B778" s="59" t="str">
        <f>IFERROR(VLOOKUP(Tabla2[[#This Row],[CODIGO]],INVENTARIO!A:B,2,0)," ")</f>
        <v>Tubo PVC 250 mm PN6 CG Amarillo</v>
      </c>
      <c r="C778" s="12">
        <v>3</v>
      </c>
      <c r="D778" s="13">
        <v>305406</v>
      </c>
      <c r="E778" s="40">
        <v>874186</v>
      </c>
      <c r="F778" s="12">
        <v>3566560</v>
      </c>
      <c r="G778" s="77">
        <v>46021</v>
      </c>
      <c r="H778" s="12" t="s">
        <v>167</v>
      </c>
      <c r="I778" s="12"/>
      <c r="J778" s="12"/>
      <c r="K778" s="12"/>
      <c r="L778" s="12"/>
      <c r="M778" s="9" t="s">
        <v>249</v>
      </c>
      <c r="N778" s="9" t="s">
        <v>193</v>
      </c>
      <c r="O778" s="9" t="s">
        <v>257</v>
      </c>
      <c r="P778" s="37">
        <v>1374849</v>
      </c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</row>
    <row r="779" spans="1:33" ht="14.25" customHeight="1" x14ac:dyDescent="0.35">
      <c r="A779" s="12">
        <v>303368</v>
      </c>
      <c r="B779" s="59" t="str">
        <f>IFERROR(VLOOKUP(Tabla2[[#This Row],[CODIGO]],INVENTARIO!A:B,2,0)," ")</f>
        <v>Cinta Plástica "Línea GN", 30 x 0.1</v>
      </c>
      <c r="C779" s="12">
        <v>1</v>
      </c>
      <c r="D779" s="13"/>
      <c r="E779" s="40"/>
      <c r="F779" s="12">
        <v>5</v>
      </c>
      <c r="G779" s="77">
        <v>46029</v>
      </c>
      <c r="H779" s="12" t="s">
        <v>181</v>
      </c>
      <c r="I779" s="12"/>
      <c r="J779" s="12"/>
      <c r="K779" s="12"/>
      <c r="L779" s="12"/>
      <c r="M779" s="12"/>
      <c r="N779" s="35" t="s">
        <v>183</v>
      </c>
      <c r="O779" s="35"/>
      <c r="P779" s="37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</row>
    <row r="780" spans="1:33" ht="14.25" customHeight="1" x14ac:dyDescent="0.35">
      <c r="A780" s="12">
        <v>301329</v>
      </c>
      <c r="B780" s="59" t="str">
        <f>IFERROR(VLOOKUP(Tabla2[[#This Row],[CODIGO]],INVENTARIO!A:B,2,0)," ")</f>
        <v>Copla PE100 025mm EF</v>
      </c>
      <c r="C780" s="12">
        <v>4</v>
      </c>
      <c r="D780" s="13"/>
      <c r="E780" s="40"/>
      <c r="F780" s="12">
        <v>5</v>
      </c>
      <c r="G780" s="77">
        <v>46029</v>
      </c>
      <c r="H780" s="12" t="s">
        <v>181</v>
      </c>
      <c r="I780" s="12"/>
      <c r="J780" s="12"/>
      <c r="K780" s="12"/>
      <c r="L780" s="12"/>
      <c r="M780" s="12"/>
      <c r="N780" s="35" t="s">
        <v>183</v>
      </c>
      <c r="O780" s="35"/>
      <c r="P780" s="37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</row>
    <row r="781" spans="1:33" ht="14.25" customHeight="1" x14ac:dyDescent="0.35">
      <c r="A781" s="12">
        <v>2006392</v>
      </c>
      <c r="B781" s="59" t="str">
        <f>IFERROR(VLOOKUP(Tabla2[[#This Row],[CODIGO]],INVENTARIO!A:B,2,0)," ")</f>
        <v>Limitador Flujo P/Tapping Tee 25 MM</v>
      </c>
      <c r="C781" s="12">
        <v>6</v>
      </c>
      <c r="D781" s="13"/>
      <c r="E781" s="40">
        <v>4500515072</v>
      </c>
      <c r="F781" s="12">
        <v>3566625</v>
      </c>
      <c r="G781" s="77">
        <v>46028</v>
      </c>
      <c r="H781" s="12" t="s">
        <v>166</v>
      </c>
      <c r="I781" s="12"/>
      <c r="J781" s="12"/>
      <c r="K781" s="12"/>
      <c r="L781" s="12"/>
      <c r="M781" s="12"/>
      <c r="N781" s="9" t="s">
        <v>197</v>
      </c>
      <c r="O781" s="9"/>
      <c r="P781" s="37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</row>
    <row r="782" spans="1:33" ht="14.25" customHeight="1" x14ac:dyDescent="0.35">
      <c r="A782" s="12">
        <v>2003736</v>
      </c>
      <c r="B782" s="59" t="str">
        <f>IFERROR(VLOOKUP(Tabla2[[#This Row],[CODIGO]],INVENTARIO!A:B,2,0)," ")</f>
        <v>Válvula PE100 Dn 110mm</v>
      </c>
      <c r="C782" s="12">
        <v>3</v>
      </c>
      <c r="D782" s="13"/>
      <c r="E782" s="40">
        <v>4500515072</v>
      </c>
      <c r="F782" s="12">
        <v>3566625</v>
      </c>
      <c r="G782" s="77">
        <v>46028</v>
      </c>
      <c r="H782" s="12" t="s">
        <v>166</v>
      </c>
      <c r="I782" s="12"/>
      <c r="J782" s="12"/>
      <c r="K782" s="12"/>
      <c r="L782" s="12"/>
      <c r="M782" s="12"/>
      <c r="N782" s="9" t="s">
        <v>197</v>
      </c>
      <c r="O782" s="9"/>
      <c r="P782" s="37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</row>
    <row r="783" spans="1:33" ht="14.25" customHeight="1" x14ac:dyDescent="0.35">
      <c r="A783" s="12">
        <v>2002454</v>
      </c>
      <c r="B783" s="59" t="str">
        <f>IFERROR(VLOOKUP(Tabla2[[#This Row],[CODIGO]],INVENTARIO!A:B,2,0)," ")</f>
        <v>MRP-400-(4/1,2)-(S)-2</v>
      </c>
      <c r="C783" s="12">
        <v>1</v>
      </c>
      <c r="D783" s="13"/>
      <c r="E783" s="40">
        <v>4500515072</v>
      </c>
      <c r="F783" s="12">
        <v>3566625</v>
      </c>
      <c r="G783" s="77">
        <v>46028</v>
      </c>
      <c r="H783" s="12" t="s">
        <v>166</v>
      </c>
      <c r="I783" s="12"/>
      <c r="J783" s="12"/>
      <c r="K783" s="12"/>
      <c r="L783" s="12"/>
      <c r="M783" s="12"/>
      <c r="N783" s="9" t="s">
        <v>197</v>
      </c>
      <c r="O783" s="9"/>
      <c r="P783" s="37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</row>
    <row r="784" spans="1:33" ht="14.25" customHeight="1" x14ac:dyDescent="0.35">
      <c r="A784" s="12">
        <v>2000350</v>
      </c>
      <c r="B784" s="59" t="str">
        <f>IFERROR(VLOOKUP(Tabla2[[#This Row],[CODIGO]],INVENTARIO!A:B,2,0)," ")</f>
        <v>Codo PE 90º  25 mm EF.</v>
      </c>
      <c r="C784" s="12">
        <v>6</v>
      </c>
      <c r="D784" s="13"/>
      <c r="E784" s="40">
        <v>4500515072</v>
      </c>
      <c r="F784" s="12">
        <v>3566625</v>
      </c>
      <c r="G784" s="77">
        <v>46028</v>
      </c>
      <c r="H784" s="12" t="s">
        <v>166</v>
      </c>
      <c r="I784" s="12"/>
      <c r="J784" s="12"/>
      <c r="K784" s="12"/>
      <c r="L784" s="12"/>
      <c r="M784" s="12"/>
      <c r="N784" s="9" t="s">
        <v>197</v>
      </c>
      <c r="O784" s="9"/>
      <c r="P784" s="37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</row>
    <row r="785" spans="1:33" ht="14.25" customHeight="1" x14ac:dyDescent="0.35">
      <c r="A785" s="12">
        <v>303362</v>
      </c>
      <c r="B785" s="59" t="str">
        <f>IFERROR(VLOOKUP(Tabla2[[#This Row],[CODIGO]],INVENTARIO!A:B,2,0)," ")</f>
        <v>Reductor PE  50-40 mm Electro F.</v>
      </c>
      <c r="C785" s="12">
        <v>1</v>
      </c>
      <c r="D785" s="13"/>
      <c r="E785" s="40">
        <v>4500515072</v>
      </c>
      <c r="F785" s="12">
        <v>3566625</v>
      </c>
      <c r="G785" s="77">
        <v>46028</v>
      </c>
      <c r="H785" s="12" t="s">
        <v>166</v>
      </c>
      <c r="I785" s="12"/>
      <c r="J785" s="12"/>
      <c r="K785" s="12"/>
      <c r="L785" s="12"/>
      <c r="M785" s="12"/>
      <c r="N785" s="9" t="s">
        <v>197</v>
      </c>
      <c r="O785" s="9"/>
      <c r="P785" s="37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</row>
    <row r="786" spans="1:33" ht="14.25" customHeight="1" x14ac:dyDescent="0.35">
      <c r="A786" s="12">
        <v>303345</v>
      </c>
      <c r="B786" s="59" t="str">
        <f>IFERROR(VLOOKUP(Tabla2[[#This Row],[CODIGO]],INVENTARIO!A:B,2,0)," ")</f>
        <v>Copla PE100 050mm EF</v>
      </c>
      <c r="C786" s="12">
        <v>4</v>
      </c>
      <c r="D786" s="13"/>
      <c r="E786" s="40">
        <v>4500515072</v>
      </c>
      <c r="F786" s="12">
        <v>3566625</v>
      </c>
      <c r="G786" s="77">
        <v>46028</v>
      </c>
      <c r="H786" s="12" t="s">
        <v>166</v>
      </c>
      <c r="I786" s="12"/>
      <c r="J786" s="12"/>
      <c r="K786" s="12"/>
      <c r="L786" s="12"/>
      <c r="M786" s="12"/>
      <c r="N786" s="9" t="s">
        <v>197</v>
      </c>
      <c r="O786" s="9"/>
      <c r="P786" s="37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</row>
    <row r="787" spans="1:33" ht="14.25" customHeight="1" x14ac:dyDescent="0.35">
      <c r="A787" s="12">
        <v>303017</v>
      </c>
      <c r="B787" s="59" t="str">
        <f>IFERROR(VLOOKUP(Tabla2[[#This Row],[CODIGO]],INVENTARIO!A:B,2,0)," ")</f>
        <v>Codo PE100 90° 110mm EF</v>
      </c>
      <c r="C787" s="12">
        <v>10</v>
      </c>
      <c r="D787" s="13"/>
      <c r="E787" s="40">
        <v>4500515072</v>
      </c>
      <c r="F787" s="12">
        <v>3566625</v>
      </c>
      <c r="G787" s="77">
        <v>46028</v>
      </c>
      <c r="H787" s="12" t="s">
        <v>166</v>
      </c>
      <c r="I787" s="12"/>
      <c r="J787" s="12"/>
      <c r="K787" s="12"/>
      <c r="L787" s="12"/>
      <c r="M787" s="12"/>
      <c r="N787" s="9" t="s">
        <v>197</v>
      </c>
      <c r="O787" s="9"/>
      <c r="P787" s="37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</row>
    <row r="788" spans="1:33" ht="14.25" customHeight="1" x14ac:dyDescent="0.35">
      <c r="A788" s="12">
        <v>302992</v>
      </c>
      <c r="B788" s="59" t="str">
        <f>IFERROR(VLOOKUP(Tabla2[[#This Row],[CODIGO]],INVENTARIO!A:B,2,0)," ")</f>
        <v>Codo PE100 90° 050mm EF</v>
      </c>
      <c r="C788" s="12">
        <v>1</v>
      </c>
      <c r="D788" s="13"/>
      <c r="E788" s="40">
        <v>4500515072</v>
      </c>
      <c r="F788" s="12">
        <v>3566625</v>
      </c>
      <c r="G788" s="77">
        <v>46028</v>
      </c>
      <c r="H788" s="12" t="s">
        <v>166</v>
      </c>
      <c r="I788" s="12"/>
      <c r="J788" s="12"/>
      <c r="K788" s="12"/>
      <c r="L788" s="12"/>
      <c r="M788" s="12"/>
      <c r="N788" s="9" t="s">
        <v>197</v>
      </c>
      <c r="O788" s="9"/>
      <c r="P788" s="37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</row>
    <row r="789" spans="1:33" ht="14.25" customHeight="1" x14ac:dyDescent="0.35">
      <c r="A789" s="12">
        <v>302991</v>
      </c>
      <c r="B789" s="59" t="str">
        <f>IFERROR(VLOOKUP(Tabla2[[#This Row],[CODIGO]],INVENTARIO!A:B,2,0)," ")</f>
        <v>Copla PE100 110mm EF</v>
      </c>
      <c r="C789" s="12">
        <v>44</v>
      </c>
      <c r="D789" s="13"/>
      <c r="E789" s="40">
        <v>4500515072</v>
      </c>
      <c r="F789" s="12">
        <v>3566625</v>
      </c>
      <c r="G789" s="77">
        <v>46028</v>
      </c>
      <c r="H789" s="12" t="s">
        <v>166</v>
      </c>
      <c r="I789" s="12"/>
      <c r="J789" s="12"/>
      <c r="K789" s="12"/>
      <c r="L789" s="12"/>
      <c r="M789" s="12"/>
      <c r="N789" s="9" t="s">
        <v>197</v>
      </c>
      <c r="O789" s="9"/>
      <c r="P789" s="37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</row>
    <row r="790" spans="1:33" ht="14.25" customHeight="1" x14ac:dyDescent="0.35">
      <c r="A790" s="12">
        <v>302678</v>
      </c>
      <c r="B790" s="59" t="str">
        <f>IFERROR(VLOOKUP(Tabla2[[#This Row],[CODIGO]],INVENTARIO!A:B,2,0)," ")</f>
        <v>Reductor PE  63-50 mm Electro F.</v>
      </c>
      <c r="C790" s="12">
        <v>1</v>
      </c>
      <c r="D790" s="13"/>
      <c r="E790" s="40">
        <v>4500515072</v>
      </c>
      <c r="F790" s="12">
        <v>3566625</v>
      </c>
      <c r="G790" s="77">
        <v>46028</v>
      </c>
      <c r="H790" s="12" t="s">
        <v>166</v>
      </c>
      <c r="I790" s="12"/>
      <c r="J790" s="12"/>
      <c r="K790" s="12"/>
      <c r="L790" s="12"/>
      <c r="M790" s="12"/>
      <c r="N790" s="9" t="s">
        <v>197</v>
      </c>
      <c r="O790" s="9"/>
      <c r="P790" s="37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</row>
    <row r="791" spans="1:33" ht="14.25" customHeight="1" x14ac:dyDescent="0.35">
      <c r="A791" s="12">
        <v>302338</v>
      </c>
      <c r="B791" s="59" t="str">
        <f>IFERROR(VLOOKUP(Tabla2[[#This Row],[CODIGO]],INVENTARIO!A:B,2,0)," ")</f>
        <v>Codo PE100 45° 110mm EF</v>
      </c>
      <c r="C791" s="12">
        <v>10</v>
      </c>
      <c r="D791" s="13"/>
      <c r="E791" s="40">
        <v>4500515072</v>
      </c>
      <c r="F791" s="12">
        <v>3566625</v>
      </c>
      <c r="G791" s="77">
        <v>46028</v>
      </c>
      <c r="H791" s="12" t="s">
        <v>166</v>
      </c>
      <c r="I791" s="12"/>
      <c r="J791" s="12"/>
      <c r="K791" s="12"/>
      <c r="L791" s="12"/>
      <c r="M791" s="12"/>
      <c r="N791" s="9" t="s">
        <v>197</v>
      </c>
      <c r="O791" s="9"/>
      <c r="P791" s="37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</row>
    <row r="792" spans="1:33" ht="14.25" customHeight="1" x14ac:dyDescent="0.35">
      <c r="A792" s="12">
        <v>302317</v>
      </c>
      <c r="B792" s="59" t="str">
        <f>IFERROR(VLOOKUP(Tabla2[[#This Row],[CODIGO]],INVENTARIO!A:B,2,0)," ")</f>
        <v>Tapa PE 110 mm Termo F.</v>
      </c>
      <c r="C792" s="12">
        <v>3</v>
      </c>
      <c r="D792" s="13"/>
      <c r="E792" s="40">
        <v>4500515072</v>
      </c>
      <c r="F792" s="12">
        <v>3566625</v>
      </c>
      <c r="G792" s="77">
        <v>46028</v>
      </c>
      <c r="H792" s="12" t="s">
        <v>166</v>
      </c>
      <c r="I792" s="12"/>
      <c r="J792" s="12"/>
      <c r="K792" s="12"/>
      <c r="L792" s="12"/>
      <c r="M792" s="12"/>
      <c r="N792" s="9" t="s">
        <v>197</v>
      </c>
      <c r="O792" s="9"/>
      <c r="P792" s="37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</row>
    <row r="793" spans="1:33" ht="14.25" customHeight="1" x14ac:dyDescent="0.35">
      <c r="A793" s="12">
        <v>302315</v>
      </c>
      <c r="B793" s="59" t="str">
        <f>IFERROR(VLOOKUP(Tabla2[[#This Row],[CODIGO]],INVENTARIO!A:B,2,0)," ")</f>
        <v>Tee PE 110 mm Termo F.</v>
      </c>
      <c r="C793" s="12">
        <v>2</v>
      </c>
      <c r="D793" s="13"/>
      <c r="E793" s="40">
        <v>4500515072</v>
      </c>
      <c r="F793" s="12">
        <v>3566625</v>
      </c>
      <c r="G793" s="77">
        <v>46028</v>
      </c>
      <c r="H793" s="12" t="s">
        <v>166</v>
      </c>
      <c r="I793" s="12"/>
      <c r="J793" s="12"/>
      <c r="K793" s="12"/>
      <c r="L793" s="12"/>
      <c r="M793" s="12"/>
      <c r="N793" s="9" t="s">
        <v>197</v>
      </c>
      <c r="O793" s="9"/>
      <c r="P793" s="37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</row>
    <row r="794" spans="1:33" ht="14.25" customHeight="1" x14ac:dyDescent="0.35">
      <c r="A794" s="12">
        <v>301675</v>
      </c>
      <c r="B794" s="59" t="str">
        <f>IFERROR(VLOOKUP(Tabla2[[#This Row],[CODIGO]],INVENTARIO!A:B,2,0)," ")</f>
        <v>Tee PE Reducción 110-63 mm TF</v>
      </c>
      <c r="C794" s="12">
        <v>1</v>
      </c>
      <c r="D794" s="13"/>
      <c r="E794" s="40">
        <v>4500515072</v>
      </c>
      <c r="F794" s="12">
        <v>3566625</v>
      </c>
      <c r="G794" s="77">
        <v>46028</v>
      </c>
      <c r="H794" s="12" t="s">
        <v>166</v>
      </c>
      <c r="I794" s="12"/>
      <c r="J794" s="12"/>
      <c r="K794" s="12"/>
      <c r="L794" s="12"/>
      <c r="M794" s="12"/>
      <c r="N794" s="9" t="s">
        <v>197</v>
      </c>
      <c r="O794" s="9"/>
      <c r="P794" s="37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</row>
    <row r="795" spans="1:33" ht="14.25" customHeight="1" x14ac:dyDescent="0.35">
      <c r="A795" s="12">
        <v>301666</v>
      </c>
      <c r="B795" s="59" t="str">
        <f>IFERROR(VLOOKUP(Tabla2[[#This Row],[CODIGO]],INVENTARIO!A:B,2,0)," ")</f>
        <v>Tapping Tee PE 110-25 mm</v>
      </c>
      <c r="C795" s="12">
        <v>10</v>
      </c>
      <c r="D795" s="13"/>
      <c r="E795" s="40">
        <v>4500515072</v>
      </c>
      <c r="F795" s="12">
        <v>3566625</v>
      </c>
      <c r="G795" s="77">
        <v>46028</v>
      </c>
      <c r="H795" s="12" t="s">
        <v>166</v>
      </c>
      <c r="I795" s="12"/>
      <c r="J795" s="12"/>
      <c r="K795" s="12"/>
      <c r="L795" s="12"/>
      <c r="M795" s="12"/>
      <c r="N795" s="9" t="s">
        <v>197</v>
      </c>
      <c r="O795" s="9"/>
      <c r="P795" s="37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</row>
    <row r="796" spans="1:33" ht="14.25" customHeight="1" x14ac:dyDescent="0.35">
      <c r="A796" s="12">
        <v>301329</v>
      </c>
      <c r="B796" s="59" t="str">
        <f>IFERROR(VLOOKUP(Tabla2[[#This Row],[CODIGO]],INVENTARIO!A:B,2,0)," ")</f>
        <v>Copla PE100 025mm EF</v>
      </c>
      <c r="C796" s="12">
        <v>18</v>
      </c>
      <c r="D796" s="13"/>
      <c r="E796" s="40">
        <v>4500515072</v>
      </c>
      <c r="F796" s="12">
        <v>3566625</v>
      </c>
      <c r="G796" s="77">
        <v>46028</v>
      </c>
      <c r="H796" s="12" t="s">
        <v>166</v>
      </c>
      <c r="I796" s="12"/>
      <c r="J796" s="12"/>
      <c r="K796" s="12"/>
      <c r="L796" s="12"/>
      <c r="M796" s="12"/>
      <c r="N796" s="9" t="s">
        <v>197</v>
      </c>
      <c r="O796" s="9"/>
      <c r="P796" s="37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</row>
    <row r="797" spans="1:33" ht="14.25" customHeight="1" x14ac:dyDescent="0.35">
      <c r="A797" s="12">
        <v>301327</v>
      </c>
      <c r="B797" s="59" t="str">
        <f>IFERROR(VLOOKUP(Tabla2[[#This Row],[CODIGO]],INVENTARIO!A:B,2,0)," ")</f>
        <v>Tapa PE  050 mm Termo F.</v>
      </c>
      <c r="C797" s="12">
        <v>1</v>
      </c>
      <c r="D797" s="13"/>
      <c r="E797" s="40">
        <v>4500515072</v>
      </c>
      <c r="F797" s="12">
        <v>3566625</v>
      </c>
      <c r="G797" s="77">
        <v>46028</v>
      </c>
      <c r="H797" s="12" t="s">
        <v>166</v>
      </c>
      <c r="I797" s="12"/>
      <c r="J797" s="12"/>
      <c r="K797" s="12"/>
      <c r="L797" s="12"/>
      <c r="M797" s="12"/>
      <c r="N797" s="9" t="s">
        <v>197</v>
      </c>
      <c r="O797" s="9"/>
      <c r="P797" s="37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</row>
    <row r="798" spans="1:33" ht="14.25" customHeight="1" x14ac:dyDescent="0.35">
      <c r="A798" s="12">
        <v>300712</v>
      </c>
      <c r="B798" s="59" t="str">
        <f>IFERROR(VLOOKUP(Tabla2[[#This Row],[CODIGO]],INVENTARIO!A:B,2,0)," ")</f>
        <v>Tapa PE  025 mm Termo F.</v>
      </c>
      <c r="C798" s="12">
        <v>4</v>
      </c>
      <c r="D798" s="13"/>
      <c r="E798" s="40">
        <v>4500515072</v>
      </c>
      <c r="F798" s="12">
        <v>3566625</v>
      </c>
      <c r="G798" s="77">
        <v>46028</v>
      </c>
      <c r="H798" s="12" t="s">
        <v>166</v>
      </c>
      <c r="I798" s="12"/>
      <c r="J798" s="12"/>
      <c r="K798" s="12"/>
      <c r="L798" s="12"/>
      <c r="M798" s="12"/>
      <c r="N798" s="9" t="s">
        <v>197</v>
      </c>
      <c r="O798" s="9"/>
      <c r="P798" s="37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</row>
    <row r="799" spans="1:33" ht="14.25" customHeight="1" x14ac:dyDescent="0.35">
      <c r="A799" s="12">
        <v>300414</v>
      </c>
      <c r="B799" s="59" t="str">
        <f>IFERROR(VLOOKUP(Tabla2[[#This Row],[CODIGO]],INVENTARIO!A:B,2,0)," ")</f>
        <v>Válvula PE100 Dn 50mm</v>
      </c>
      <c r="C799" s="12">
        <v>1</v>
      </c>
      <c r="D799" s="13"/>
      <c r="E799" s="40">
        <v>4500515072</v>
      </c>
      <c r="F799" s="12">
        <v>3566625</v>
      </c>
      <c r="G799" s="77">
        <v>46028</v>
      </c>
      <c r="H799" s="12" t="s">
        <v>166</v>
      </c>
      <c r="I799" s="12"/>
      <c r="J799" s="12"/>
      <c r="K799" s="12"/>
      <c r="L799" s="12"/>
      <c r="M799" s="12"/>
      <c r="N799" s="9" t="s">
        <v>197</v>
      </c>
      <c r="O799" s="9"/>
      <c r="P799" s="37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</row>
    <row r="800" spans="1:33" ht="14.25" customHeight="1" x14ac:dyDescent="0.35">
      <c r="A800" s="12">
        <v>300109</v>
      </c>
      <c r="B800" s="59" t="str">
        <f>IFERROR(VLOOKUP(Tabla2[[#This Row],[CODIGO]],INVENTARIO!A:B,2,0)," ")</f>
        <v>Risers de Acero 3/4" Bsp x 25 mm</v>
      </c>
      <c r="C800" s="12">
        <v>4</v>
      </c>
      <c r="D800" s="13"/>
      <c r="E800" s="40">
        <v>4500515072</v>
      </c>
      <c r="F800" s="12">
        <v>3566625</v>
      </c>
      <c r="G800" s="77">
        <v>46028</v>
      </c>
      <c r="H800" s="12" t="s">
        <v>166</v>
      </c>
      <c r="I800" s="12"/>
      <c r="J800" s="12"/>
      <c r="K800" s="12"/>
      <c r="L800" s="12"/>
      <c r="M800" s="12"/>
      <c r="N800" s="9" t="s">
        <v>197</v>
      </c>
      <c r="O800" s="9"/>
      <c r="P800" s="37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</row>
    <row r="801" spans="1:33" ht="14.25" customHeight="1" x14ac:dyDescent="0.35">
      <c r="A801" s="12">
        <v>2006393</v>
      </c>
      <c r="B801" s="59" t="str">
        <f>IFERROR(VLOOKUP(Tabla2[[#This Row],[CODIGO]],INVENTARIO!A:B,2,0)," ")</f>
        <v>Transición Latón 3/4"x25 MM PE100, SDR11</v>
      </c>
      <c r="C801" s="12">
        <v>6</v>
      </c>
      <c r="D801" s="13"/>
      <c r="E801" s="40">
        <v>4500515072</v>
      </c>
      <c r="F801" s="12">
        <v>3566625</v>
      </c>
      <c r="G801" s="77">
        <v>46028</v>
      </c>
      <c r="H801" s="12" t="s">
        <v>166</v>
      </c>
      <c r="I801" s="12"/>
      <c r="J801" s="12"/>
      <c r="K801" s="12"/>
      <c r="L801" s="12"/>
      <c r="M801" s="12"/>
      <c r="N801" s="9" t="s">
        <v>197</v>
      </c>
      <c r="O801" s="9"/>
      <c r="P801" s="37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</row>
    <row r="802" spans="1:33" ht="14.25" customHeight="1" x14ac:dyDescent="0.35">
      <c r="A802" s="12">
        <v>2008302</v>
      </c>
      <c r="B802" s="59" t="str">
        <f>IFERROR(VLOOKUP(Tabla2[[#This Row],[CODIGO]],INVENTARIO!A:B,2,0)," ")</f>
        <v>Tapa PE 063 mm Electro F.</v>
      </c>
      <c r="C802" s="12">
        <v>10</v>
      </c>
      <c r="D802" s="13">
        <v>136230</v>
      </c>
      <c r="E802" s="40">
        <v>4500515192</v>
      </c>
      <c r="F802" s="12">
        <v>3566626</v>
      </c>
      <c r="G802" s="77">
        <v>46028</v>
      </c>
      <c r="H802" s="12" t="s">
        <v>166</v>
      </c>
      <c r="I802" s="12"/>
      <c r="J802" s="12"/>
      <c r="K802" s="12"/>
      <c r="L802" s="12"/>
      <c r="M802" s="12"/>
      <c r="N802" s="9" t="s">
        <v>207</v>
      </c>
      <c r="O802" s="9"/>
      <c r="P802" s="37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</row>
    <row r="803" spans="1:33" ht="14.25" customHeight="1" x14ac:dyDescent="0.35">
      <c r="A803" s="12">
        <v>302659</v>
      </c>
      <c r="B803" s="59" t="str">
        <f>IFERROR(VLOOKUP(Tabla2[[#This Row],[CODIGO]],INVENTARIO!A:B,2,0)," ")</f>
        <v>Copla PE100 063mm EF</v>
      </c>
      <c r="C803" s="12">
        <v>10</v>
      </c>
      <c r="D803" s="13">
        <v>46280</v>
      </c>
      <c r="E803" s="40">
        <v>4500515192</v>
      </c>
      <c r="F803" s="12">
        <v>3566626</v>
      </c>
      <c r="G803" s="77">
        <v>46028</v>
      </c>
      <c r="H803" s="12" t="s">
        <v>166</v>
      </c>
      <c r="I803" s="12"/>
      <c r="J803" s="12"/>
      <c r="K803" s="12"/>
      <c r="L803" s="12"/>
      <c r="M803" s="12"/>
      <c r="N803" s="9" t="s">
        <v>207</v>
      </c>
      <c r="O803" s="9"/>
      <c r="P803" s="37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</row>
    <row r="804" spans="1:33" ht="14.25" customHeight="1" x14ac:dyDescent="0.35">
      <c r="A804" s="12">
        <v>2000350</v>
      </c>
      <c r="B804" s="59" t="str">
        <f>IFERROR(VLOOKUP(Tabla2[[#This Row],[CODIGO]],INVENTARIO!A:B,2,0)," ")</f>
        <v>Codo PE 90º  25 mm EF.</v>
      </c>
      <c r="C804" s="12">
        <v>15</v>
      </c>
      <c r="D804" s="13"/>
      <c r="E804" s="40">
        <v>4500515080</v>
      </c>
      <c r="F804" s="12">
        <v>3566627</v>
      </c>
      <c r="G804" s="77">
        <v>46028</v>
      </c>
      <c r="H804" s="12" t="s">
        <v>166</v>
      </c>
      <c r="I804" s="12"/>
      <c r="J804" s="12"/>
      <c r="K804" s="12"/>
      <c r="L804" s="12"/>
      <c r="M804" s="12"/>
      <c r="N804" s="9" t="s">
        <v>194</v>
      </c>
      <c r="O804" s="9"/>
      <c r="P804" s="37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</row>
    <row r="805" spans="1:33" ht="14.25" customHeight="1" x14ac:dyDescent="0.35">
      <c r="A805" s="12">
        <v>300712</v>
      </c>
      <c r="B805" s="59" t="str">
        <f>IFERROR(VLOOKUP(Tabla2[[#This Row],[CODIGO]],INVENTARIO!A:B,2,0)," ")</f>
        <v>Tapa PE  025 mm Termo F.</v>
      </c>
      <c r="C805" s="12">
        <v>10</v>
      </c>
      <c r="D805" s="13"/>
      <c r="E805" s="40">
        <v>4500515080</v>
      </c>
      <c r="F805" s="12">
        <v>3566627</v>
      </c>
      <c r="G805" s="77">
        <v>46028</v>
      </c>
      <c r="H805" s="12" t="s">
        <v>166</v>
      </c>
      <c r="I805" s="12"/>
      <c r="J805" s="12"/>
      <c r="K805" s="12"/>
      <c r="L805" s="12"/>
      <c r="M805" s="12"/>
      <c r="N805" s="9" t="s">
        <v>194</v>
      </c>
      <c r="O805" s="9"/>
      <c r="P805" s="37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</row>
    <row r="806" spans="1:33" ht="14.25" customHeight="1" x14ac:dyDescent="0.35">
      <c r="A806" s="12">
        <v>301329</v>
      </c>
      <c r="B806" s="59" t="str">
        <f>IFERROR(VLOOKUP(Tabla2[[#This Row],[CODIGO]],INVENTARIO!A:B,2,0)," ")</f>
        <v>Copla PE100 025mm EF</v>
      </c>
      <c r="C806" s="12">
        <v>10</v>
      </c>
      <c r="D806" s="13"/>
      <c r="E806" s="40">
        <v>4500515080</v>
      </c>
      <c r="F806" s="12">
        <v>3566627</v>
      </c>
      <c r="G806" s="77">
        <v>46028</v>
      </c>
      <c r="H806" s="12" t="s">
        <v>166</v>
      </c>
      <c r="I806" s="12"/>
      <c r="J806" s="12"/>
      <c r="K806" s="12"/>
      <c r="L806" s="12"/>
      <c r="M806" s="12"/>
      <c r="N806" s="9" t="s">
        <v>194</v>
      </c>
      <c r="O806" s="9"/>
      <c r="P806" s="37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</row>
    <row r="807" spans="1:33" ht="14.25" customHeight="1" x14ac:dyDescent="0.35">
      <c r="A807" s="12">
        <v>300712</v>
      </c>
      <c r="B807" s="59" t="str">
        <f>IFERROR(VLOOKUP(Tabla2[[#This Row],[CODIGO]],INVENTARIO!A:B,2,0)," ")</f>
        <v>Tapa PE  025 mm Termo F.</v>
      </c>
      <c r="C807" s="12">
        <v>10</v>
      </c>
      <c r="D807" s="13"/>
      <c r="E807" s="40">
        <v>4500515285</v>
      </c>
      <c r="F807" s="12">
        <v>3566628</v>
      </c>
      <c r="G807" s="77">
        <v>46028</v>
      </c>
      <c r="H807" s="12" t="s">
        <v>166</v>
      </c>
      <c r="I807" s="12"/>
      <c r="J807" s="12"/>
      <c r="K807" s="12"/>
      <c r="L807" s="12"/>
      <c r="M807" s="12"/>
      <c r="N807" s="9" t="s">
        <v>194</v>
      </c>
      <c r="O807" s="9"/>
      <c r="P807" s="37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</row>
    <row r="808" spans="1:33" ht="14.25" customHeight="1" x14ac:dyDescent="0.35">
      <c r="A808" s="12">
        <v>2000350</v>
      </c>
      <c r="B808" s="59" t="str">
        <f>IFERROR(VLOOKUP(Tabla2[[#This Row],[CODIGO]],INVENTARIO!A:B,2,0)," ")</f>
        <v>Codo PE 90º  25 mm EF.</v>
      </c>
      <c r="C808" s="12">
        <v>10</v>
      </c>
      <c r="D808" s="13"/>
      <c r="E808" s="40">
        <v>4500515285</v>
      </c>
      <c r="F808" s="12">
        <v>3566628</v>
      </c>
      <c r="G808" s="77">
        <v>46028</v>
      </c>
      <c r="H808" s="12" t="s">
        <v>166</v>
      </c>
      <c r="I808" s="12"/>
      <c r="J808" s="12"/>
      <c r="K808" s="12"/>
      <c r="L808" s="12"/>
      <c r="M808" s="12"/>
      <c r="N808" s="9" t="s">
        <v>194</v>
      </c>
      <c r="O808" s="9"/>
      <c r="P808" s="37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</row>
    <row r="809" spans="1:33" ht="14.25" customHeight="1" x14ac:dyDescent="0.35">
      <c r="A809" s="12">
        <v>301987</v>
      </c>
      <c r="B809" s="59" t="str">
        <f>IFERROR(VLOOKUP(Tabla2[[#This Row],[CODIGO]],INVENTARIO!A:B,2,0)," ")</f>
        <v>Codo PE100 90° 063mm EF</v>
      </c>
      <c r="C809" s="12">
        <v>4</v>
      </c>
      <c r="D809" s="13">
        <v>47144</v>
      </c>
      <c r="E809" s="40">
        <v>4500515285</v>
      </c>
      <c r="F809" s="12">
        <v>3566628</v>
      </c>
      <c r="G809" s="77">
        <v>46028</v>
      </c>
      <c r="H809" s="12" t="s">
        <v>166</v>
      </c>
      <c r="I809" s="12"/>
      <c r="J809" s="12"/>
      <c r="K809" s="12"/>
      <c r="L809" s="12"/>
      <c r="M809" s="12"/>
      <c r="N809" s="9" t="s">
        <v>194</v>
      </c>
      <c r="O809" s="9"/>
      <c r="P809" s="37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</row>
    <row r="810" spans="1:33" ht="14.25" customHeight="1" x14ac:dyDescent="0.35">
      <c r="A810" s="12">
        <v>1000720</v>
      </c>
      <c r="B810" s="59" t="str">
        <f>IFERROR(VLOOKUP(Tabla2[[#This Row],[CODIGO]],INVENTARIO!A:B,2,0)," ")</f>
        <v>Teflón en Cinta de 3/4" Ancho x 520" a 5</v>
      </c>
      <c r="C810" s="12">
        <v>20</v>
      </c>
      <c r="D810" s="13">
        <v>44020</v>
      </c>
      <c r="E810" s="40">
        <v>874280</v>
      </c>
      <c r="F810" s="12">
        <v>3566623</v>
      </c>
      <c r="G810" s="77">
        <v>46028</v>
      </c>
      <c r="H810" s="12" t="s">
        <v>167</v>
      </c>
      <c r="I810" s="12"/>
      <c r="J810" s="12"/>
      <c r="K810" s="12"/>
      <c r="L810" s="12"/>
      <c r="M810" s="12"/>
      <c r="N810" s="35"/>
      <c r="O810" s="9" t="s">
        <v>258</v>
      </c>
      <c r="P810" s="37">
        <v>1374885</v>
      </c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</row>
    <row r="811" spans="1:33" ht="14.25" customHeight="1" x14ac:dyDescent="0.35">
      <c r="A811" s="12">
        <v>2006391</v>
      </c>
      <c r="B811" s="59" t="str">
        <f>IFERROR(VLOOKUP(Tabla2[[#This Row],[CODIGO]],INVENTARIO!A:B,2,0)," ")</f>
        <v>Guardallave Fierro Fundido C/Tapa</v>
      </c>
      <c r="C811" s="12">
        <v>10</v>
      </c>
      <c r="D811" s="13">
        <v>269230</v>
      </c>
      <c r="E811" s="40">
        <v>874277</v>
      </c>
      <c r="F811" s="12">
        <v>3566629</v>
      </c>
      <c r="G811" s="77">
        <v>46028</v>
      </c>
      <c r="H811" s="12" t="s">
        <v>167</v>
      </c>
      <c r="I811" s="12"/>
      <c r="J811" s="12"/>
      <c r="K811" s="12"/>
      <c r="L811" s="12"/>
      <c r="M811" s="12"/>
      <c r="N811" s="9" t="s">
        <v>197</v>
      </c>
      <c r="O811" s="9" t="s">
        <v>257</v>
      </c>
      <c r="P811" s="37">
        <v>1374886</v>
      </c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</row>
    <row r="812" spans="1:33" ht="14.25" customHeight="1" x14ac:dyDescent="0.35">
      <c r="A812" s="12">
        <v>1002167</v>
      </c>
      <c r="B812" s="59" t="str">
        <f>IFERROR(VLOOKUP(Tabla2[[#This Row],[CODIGO]],INVENTARIO!A:B,2,0)," ")</f>
        <v>Cable Trazador Cu 14 AWG Aisl. THW Roj</v>
      </c>
      <c r="C812" s="12">
        <v>1200</v>
      </c>
      <c r="D812" s="13">
        <v>352800</v>
      </c>
      <c r="E812" s="40">
        <v>874277</v>
      </c>
      <c r="F812" s="12">
        <v>3566629</v>
      </c>
      <c r="G812" s="77">
        <v>46028</v>
      </c>
      <c r="H812" s="12" t="s">
        <v>167</v>
      </c>
      <c r="I812" s="12"/>
      <c r="J812" s="12"/>
      <c r="K812" s="12"/>
      <c r="L812" s="12"/>
      <c r="M812" s="12"/>
      <c r="N812" s="9" t="s">
        <v>197</v>
      </c>
      <c r="O812" s="9" t="s">
        <v>257</v>
      </c>
      <c r="P812" s="37">
        <v>1374886</v>
      </c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</row>
    <row r="813" spans="1:33" ht="14.25" customHeight="1" x14ac:dyDescent="0.35">
      <c r="A813" s="12">
        <v>303511</v>
      </c>
      <c r="B813" s="59" t="str">
        <f>IFERROR(VLOOKUP(Tabla2[[#This Row],[CODIGO]],INVENTARIO!A:B,2,0)," ")</f>
        <v>Lata de Espuma Poliuretano Adimus / 500 ML</v>
      </c>
      <c r="C813" s="12">
        <v>1</v>
      </c>
      <c r="D813" s="13">
        <v>2345</v>
      </c>
      <c r="E813" s="40">
        <v>874277</v>
      </c>
      <c r="F813" s="12">
        <v>3566629</v>
      </c>
      <c r="G813" s="77">
        <v>46028</v>
      </c>
      <c r="H813" s="12" t="s">
        <v>167</v>
      </c>
      <c r="I813" s="12"/>
      <c r="J813" s="12"/>
      <c r="K813" s="12"/>
      <c r="L813" s="12"/>
      <c r="M813" s="12"/>
      <c r="N813" s="9" t="s">
        <v>197</v>
      </c>
      <c r="O813" s="9" t="s">
        <v>257</v>
      </c>
      <c r="P813" s="37">
        <v>1374886</v>
      </c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</row>
    <row r="814" spans="1:33" ht="14.25" customHeight="1" x14ac:dyDescent="0.35">
      <c r="A814" s="12">
        <v>303510</v>
      </c>
      <c r="B814" s="59" t="str">
        <f>IFERROR(VLOOKUP(Tabla2[[#This Row],[CODIGO]],INVENTARIO!A:B,2,0)," ")</f>
        <v>Guardallave Hormigón 125 mm con Tapa</v>
      </c>
      <c r="C814" s="12">
        <v>13</v>
      </c>
      <c r="D814" s="13">
        <v>50700</v>
      </c>
      <c r="E814" s="40">
        <v>874277</v>
      </c>
      <c r="F814" s="12">
        <v>3566629</v>
      </c>
      <c r="G814" s="77">
        <v>46028</v>
      </c>
      <c r="H814" s="12" t="s">
        <v>167</v>
      </c>
      <c r="I814" s="12"/>
      <c r="J814" s="12"/>
      <c r="K814" s="12"/>
      <c r="L814" s="12"/>
      <c r="M814" s="12"/>
      <c r="N814" s="9" t="s">
        <v>197</v>
      </c>
      <c r="O814" s="9" t="s">
        <v>257</v>
      </c>
      <c r="P814" s="37">
        <v>1374886</v>
      </c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</row>
    <row r="815" spans="1:33" ht="14.25" customHeight="1" x14ac:dyDescent="0.35">
      <c r="A815" s="12">
        <v>303368</v>
      </c>
      <c r="B815" s="59" t="str">
        <f>IFERROR(VLOOKUP(Tabla2[[#This Row],[CODIGO]],INVENTARIO!A:B,2,0)," ")</f>
        <v>Cinta Plástica "Línea GN", 30 x 0.1</v>
      </c>
      <c r="C815" s="12">
        <v>1200</v>
      </c>
      <c r="D815" s="13">
        <v>145200</v>
      </c>
      <c r="E815" s="40">
        <v>874277</v>
      </c>
      <c r="F815" s="12">
        <v>3566629</v>
      </c>
      <c r="G815" s="77">
        <v>46028</v>
      </c>
      <c r="H815" s="12" t="s">
        <v>167</v>
      </c>
      <c r="I815" s="12"/>
      <c r="J815" s="12"/>
      <c r="K815" s="12"/>
      <c r="L815" s="12"/>
      <c r="M815" s="12"/>
      <c r="N815" s="9" t="s">
        <v>197</v>
      </c>
      <c r="O815" s="9" t="s">
        <v>257</v>
      </c>
      <c r="P815" s="37">
        <v>1374886</v>
      </c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</row>
    <row r="816" spans="1:33" ht="14.25" customHeight="1" x14ac:dyDescent="0.35">
      <c r="A816" s="12">
        <v>302737</v>
      </c>
      <c r="B816" s="59" t="str">
        <f>IFERROR(VLOOKUP(Tabla2[[#This Row],[CODIGO]],INVENTARIO!A:B,2,0)," ")</f>
        <v>Válvula Bola 3/4" Hi Un Cuerpo Pn5 Arco</v>
      </c>
      <c r="C816" s="12">
        <v>10</v>
      </c>
      <c r="D816" s="13">
        <v>164450</v>
      </c>
      <c r="E816" s="40">
        <v>874277</v>
      </c>
      <c r="F816" s="12">
        <v>3566629</v>
      </c>
      <c r="G816" s="77">
        <v>46028</v>
      </c>
      <c r="H816" s="12" t="s">
        <v>167</v>
      </c>
      <c r="I816" s="12"/>
      <c r="J816" s="12"/>
      <c r="K816" s="12"/>
      <c r="L816" s="12"/>
      <c r="M816" s="12"/>
      <c r="N816" s="9" t="s">
        <v>197</v>
      </c>
      <c r="O816" s="9" t="s">
        <v>257</v>
      </c>
      <c r="P816" s="37">
        <v>1374886</v>
      </c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</row>
    <row r="817" spans="1:33" ht="14.25" customHeight="1" x14ac:dyDescent="0.35">
      <c r="A817" s="12">
        <v>302184</v>
      </c>
      <c r="B817" s="59" t="str">
        <f>IFERROR(VLOOKUP(Tabla2[[#This Row],[CODIGO]],INVENTARIO!A:B,2,0)," ")</f>
        <v>Tapa Tornillo Cambio de Codigo por: 2008481</v>
      </c>
      <c r="C817" s="12">
        <v>10</v>
      </c>
      <c r="D817" s="13">
        <v>8050</v>
      </c>
      <c r="E817" s="40">
        <v>874277</v>
      </c>
      <c r="F817" s="12">
        <v>3566629</v>
      </c>
      <c r="G817" s="77">
        <v>46028</v>
      </c>
      <c r="H817" s="12" t="s">
        <v>167</v>
      </c>
      <c r="I817" s="12"/>
      <c r="J817" s="12"/>
      <c r="K817" s="12"/>
      <c r="L817" s="12"/>
      <c r="M817" s="12"/>
      <c r="N817" s="9" t="s">
        <v>197</v>
      </c>
      <c r="O817" s="9" t="s">
        <v>257</v>
      </c>
      <c r="P817" s="37">
        <v>1374886</v>
      </c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</row>
    <row r="818" spans="1:33" ht="14.25" customHeight="1" x14ac:dyDescent="0.35">
      <c r="A818" s="12">
        <v>301749</v>
      </c>
      <c r="B818" s="59" t="str">
        <f>IFERROR(VLOOKUP(Tabla2[[#This Row],[CODIGO]],INVENTARIO!A:B,2,0)," ")</f>
        <v>Tubería PE80 025mm Rollo</v>
      </c>
      <c r="C818" s="12">
        <v>50</v>
      </c>
      <c r="D818" s="13">
        <v>30250</v>
      </c>
      <c r="E818" s="40">
        <v>874277</v>
      </c>
      <c r="F818" s="12">
        <v>3566629</v>
      </c>
      <c r="G818" s="77">
        <v>46028</v>
      </c>
      <c r="H818" s="12" t="s">
        <v>167</v>
      </c>
      <c r="I818" s="12"/>
      <c r="J818" s="9" t="s">
        <v>217</v>
      </c>
      <c r="K818" s="14">
        <v>45840</v>
      </c>
      <c r="L818" s="9" t="s">
        <v>240</v>
      </c>
      <c r="M818" s="9"/>
      <c r="N818" s="9" t="s">
        <v>197</v>
      </c>
      <c r="O818" s="9" t="s">
        <v>257</v>
      </c>
      <c r="P818" s="37">
        <v>1374886</v>
      </c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</row>
    <row r="819" spans="1:33" ht="14.25" customHeight="1" x14ac:dyDescent="0.35">
      <c r="A819" s="12">
        <v>2006391</v>
      </c>
      <c r="B819" s="59" t="str">
        <f>IFERROR(VLOOKUP(Tabla2[[#This Row],[CODIGO]],INVENTARIO!A:B,2,0)," ")</f>
        <v>Guardallave Fierro Fundido C/Tapa</v>
      </c>
      <c r="C819" s="12">
        <v>75</v>
      </c>
      <c r="D819" s="13">
        <v>2019225</v>
      </c>
      <c r="E819" s="40">
        <v>874278</v>
      </c>
      <c r="F819" s="12">
        <v>3566631</v>
      </c>
      <c r="G819" s="77">
        <v>46028</v>
      </c>
      <c r="H819" s="12" t="s">
        <v>167</v>
      </c>
      <c r="I819" s="12"/>
      <c r="J819" s="12"/>
      <c r="K819" s="12"/>
      <c r="L819" s="12"/>
      <c r="M819" s="12"/>
      <c r="N819" s="9" t="s">
        <v>207</v>
      </c>
      <c r="O819" s="9" t="s">
        <v>258</v>
      </c>
      <c r="P819" s="37">
        <v>1374887</v>
      </c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</row>
    <row r="820" spans="1:33" ht="14.25" customHeight="1" x14ac:dyDescent="0.35">
      <c r="A820" s="12">
        <v>302737</v>
      </c>
      <c r="B820" s="59" t="str">
        <f>IFERROR(VLOOKUP(Tabla2[[#This Row],[CODIGO]],INVENTARIO!A:B,2,0)," ")</f>
        <v>Válvula Bola 3/4" Hi Un Cuerpo Pn5 Arco</v>
      </c>
      <c r="C820" s="12">
        <v>75</v>
      </c>
      <c r="D820" s="13">
        <v>1233375</v>
      </c>
      <c r="E820" s="40">
        <v>874278</v>
      </c>
      <c r="F820" s="12">
        <v>3566631</v>
      </c>
      <c r="G820" s="77">
        <v>46028</v>
      </c>
      <c r="H820" s="12" t="s">
        <v>167</v>
      </c>
      <c r="I820" s="12"/>
      <c r="J820" s="12"/>
      <c r="K820" s="12"/>
      <c r="L820" s="12"/>
      <c r="M820" s="12"/>
      <c r="N820" s="9" t="s">
        <v>207</v>
      </c>
      <c r="O820" s="9" t="s">
        <v>258</v>
      </c>
      <c r="P820" s="37">
        <v>1374887</v>
      </c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</row>
    <row r="821" spans="1:33" ht="14.25" customHeight="1" x14ac:dyDescent="0.35">
      <c r="A821" s="12">
        <v>302184</v>
      </c>
      <c r="B821" s="59" t="str">
        <f>IFERROR(VLOOKUP(Tabla2[[#This Row],[CODIGO]],INVENTARIO!A:B,2,0)," ")</f>
        <v>Tapa Tornillo Cambio de Codigo por: 2008481</v>
      </c>
      <c r="C821" s="12">
        <v>75</v>
      </c>
      <c r="D821" s="13">
        <v>60375</v>
      </c>
      <c r="E821" s="40">
        <v>874278</v>
      </c>
      <c r="F821" s="12">
        <v>3566631</v>
      </c>
      <c r="G821" s="77">
        <v>46028</v>
      </c>
      <c r="H821" s="12" t="s">
        <v>167</v>
      </c>
      <c r="I821" s="12"/>
      <c r="J821" s="12"/>
      <c r="K821" s="12"/>
      <c r="L821" s="12"/>
      <c r="M821" s="12"/>
      <c r="N821" s="9" t="s">
        <v>207</v>
      </c>
      <c r="O821" s="9" t="s">
        <v>258</v>
      </c>
      <c r="P821" s="37">
        <v>1374887</v>
      </c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</row>
    <row r="822" spans="1:33" ht="14.25" customHeight="1" x14ac:dyDescent="0.35">
      <c r="A822" s="12">
        <v>1002167</v>
      </c>
      <c r="B822" s="59" t="str">
        <f>IFERROR(VLOOKUP(Tabla2[[#This Row],[CODIGO]],INVENTARIO!A:B,2,0)," ")</f>
        <v>Cable Trazador Cu 14 AWG Aisl. THW Roj</v>
      </c>
      <c r="C822" s="12">
        <v>1400</v>
      </c>
      <c r="D822" s="13">
        <v>411600</v>
      </c>
      <c r="E822" s="40">
        <v>874278</v>
      </c>
      <c r="F822" s="12">
        <v>3566631</v>
      </c>
      <c r="G822" s="77">
        <v>46028</v>
      </c>
      <c r="H822" s="12" t="s">
        <v>167</v>
      </c>
      <c r="I822" s="12"/>
      <c r="J822" s="12"/>
      <c r="K822" s="12"/>
      <c r="L822" s="12"/>
      <c r="M822" s="12"/>
      <c r="N822" s="9" t="s">
        <v>207</v>
      </c>
      <c r="O822" s="9" t="s">
        <v>258</v>
      </c>
      <c r="P822" s="37">
        <v>1374887</v>
      </c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</row>
    <row r="823" spans="1:33" ht="14.25" customHeight="1" x14ac:dyDescent="0.35">
      <c r="A823" s="12">
        <v>303368</v>
      </c>
      <c r="B823" s="59" t="str">
        <f>IFERROR(VLOOKUP(Tabla2[[#This Row],[CODIGO]],INVENTARIO!A:B,2,0)," ")</f>
        <v>Cinta Plástica "Línea GN", 30 x 0.1</v>
      </c>
      <c r="C823" s="12">
        <v>1400</v>
      </c>
      <c r="D823" s="13">
        <v>169400</v>
      </c>
      <c r="E823" s="40">
        <v>874278</v>
      </c>
      <c r="F823" s="12">
        <v>3566631</v>
      </c>
      <c r="G823" s="77">
        <v>46028</v>
      </c>
      <c r="H823" s="12" t="s">
        <v>167</v>
      </c>
      <c r="I823" s="12"/>
      <c r="J823" s="12"/>
      <c r="K823" s="12"/>
      <c r="L823" s="12"/>
      <c r="M823" s="12"/>
      <c r="N823" s="9" t="s">
        <v>207</v>
      </c>
      <c r="O823" s="9" t="s">
        <v>258</v>
      </c>
      <c r="P823" s="37">
        <v>1374887</v>
      </c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</row>
    <row r="824" spans="1:33" ht="14.25" customHeight="1" x14ac:dyDescent="0.35">
      <c r="A824" s="12">
        <v>303510</v>
      </c>
      <c r="B824" s="59" t="str">
        <f>IFERROR(VLOOKUP(Tabla2[[#This Row],[CODIGO]],INVENTARIO!A:B,2,0)," ")</f>
        <v>Guardallave Hormigón 125 mm con Tapa</v>
      </c>
      <c r="C824" s="12">
        <v>30</v>
      </c>
      <c r="D824" s="13">
        <v>117000</v>
      </c>
      <c r="E824" s="40">
        <v>874278</v>
      </c>
      <c r="F824" s="12">
        <v>3566631</v>
      </c>
      <c r="G824" s="77">
        <v>46028</v>
      </c>
      <c r="H824" s="12" t="s">
        <v>167</v>
      </c>
      <c r="I824" s="12"/>
      <c r="J824" s="12"/>
      <c r="K824" s="12"/>
      <c r="L824" s="12"/>
      <c r="M824" s="12"/>
      <c r="N824" s="9" t="s">
        <v>207</v>
      </c>
      <c r="O824" s="9" t="s">
        <v>258</v>
      </c>
      <c r="P824" s="37">
        <v>1374887</v>
      </c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</row>
    <row r="825" spans="1:33" ht="14.25" customHeight="1" x14ac:dyDescent="0.35">
      <c r="A825" s="12">
        <v>2008302</v>
      </c>
      <c r="B825" s="59" t="str">
        <f>IFERROR(VLOOKUP(Tabla2[[#This Row],[CODIGO]],INVENTARIO!A:B,2,0)," ")</f>
        <v>Tapa PE 063 mm Electro F.</v>
      </c>
      <c r="C825" s="12">
        <v>2</v>
      </c>
      <c r="D825" s="13"/>
      <c r="E825" s="40">
        <v>4500515077</v>
      </c>
      <c r="F825" s="12">
        <v>3566624</v>
      </c>
      <c r="G825" s="77">
        <v>46028</v>
      </c>
      <c r="H825" s="12" t="s">
        <v>166</v>
      </c>
      <c r="I825" s="12"/>
      <c r="J825" s="12"/>
      <c r="K825" s="12"/>
      <c r="L825" s="12"/>
      <c r="M825" s="12"/>
      <c r="N825" s="9" t="s">
        <v>207</v>
      </c>
      <c r="O825" s="9"/>
      <c r="P825" s="37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</row>
    <row r="826" spans="1:33" ht="14.25" customHeight="1" x14ac:dyDescent="0.35">
      <c r="A826" s="12">
        <v>2006392</v>
      </c>
      <c r="B826" s="59" t="str">
        <f>IFERROR(VLOOKUP(Tabla2[[#This Row],[CODIGO]],INVENTARIO!A:B,2,0)," ")</f>
        <v>Limitador Flujo P/Tapping Tee 25 MM</v>
      </c>
      <c r="C826" s="12">
        <v>2</v>
      </c>
      <c r="D826" s="13"/>
      <c r="E826" s="40">
        <v>4500515077</v>
      </c>
      <c r="F826" s="12">
        <v>3566624</v>
      </c>
      <c r="G826" s="77">
        <v>46028</v>
      </c>
      <c r="H826" s="12" t="s">
        <v>166</v>
      </c>
      <c r="I826" s="12"/>
      <c r="J826" s="12"/>
      <c r="K826" s="12"/>
      <c r="L826" s="12"/>
      <c r="M826" s="12"/>
      <c r="N826" s="9" t="s">
        <v>207</v>
      </c>
      <c r="O826" s="9"/>
      <c r="P826" s="37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</row>
    <row r="827" spans="1:33" ht="14.25" customHeight="1" x14ac:dyDescent="0.35">
      <c r="A827" s="12">
        <v>2003965</v>
      </c>
      <c r="B827" s="59" t="str">
        <f>IFERROR(VLOOKUP(Tabla2[[#This Row],[CODIGO]],INVENTARIO!A:B,2,0)," ")</f>
        <v>Válvula PE100 Dn 63mm</v>
      </c>
      <c r="C827" s="12">
        <v>1</v>
      </c>
      <c r="D827" s="13"/>
      <c r="E827" s="40">
        <v>4500515077</v>
      </c>
      <c r="F827" s="12">
        <v>3566624</v>
      </c>
      <c r="G827" s="77">
        <v>46028</v>
      </c>
      <c r="H827" s="12" t="s">
        <v>166</v>
      </c>
      <c r="I827" s="12"/>
      <c r="J827" s="12"/>
      <c r="K827" s="12"/>
      <c r="L827" s="12"/>
      <c r="M827" s="12"/>
      <c r="N827" s="9" t="s">
        <v>207</v>
      </c>
      <c r="O827" s="9"/>
      <c r="P827" s="37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</row>
    <row r="828" spans="1:33" ht="14.25" customHeight="1" x14ac:dyDescent="0.35">
      <c r="A828" s="12">
        <v>2003911</v>
      </c>
      <c r="B828" s="59" t="str">
        <f>IFERROR(VLOOKUP(Tabla2[[#This Row],[CODIGO]],INVENTARIO!A:B,2,0)," ")</f>
        <v>Válvula EFv PE 25 mm Para Tap. Tee</v>
      </c>
      <c r="C828" s="12">
        <v>133</v>
      </c>
      <c r="D828" s="13"/>
      <c r="E828" s="40">
        <v>4500515077</v>
      </c>
      <c r="F828" s="12">
        <v>3566624</v>
      </c>
      <c r="G828" s="77">
        <v>46028</v>
      </c>
      <c r="H828" s="12" t="s">
        <v>166</v>
      </c>
      <c r="I828" s="12"/>
      <c r="J828" s="12"/>
      <c r="K828" s="12"/>
      <c r="L828" s="12"/>
      <c r="M828" s="12"/>
      <c r="N828" s="9" t="s">
        <v>207</v>
      </c>
      <c r="O828" s="9"/>
      <c r="P828" s="37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</row>
    <row r="829" spans="1:33" ht="14.25" customHeight="1" x14ac:dyDescent="0.35">
      <c r="A829" s="12">
        <v>2000350</v>
      </c>
      <c r="B829" s="59" t="str">
        <f>IFERROR(VLOOKUP(Tabla2[[#This Row],[CODIGO]],INVENTARIO!A:B,2,0)," ")</f>
        <v>Codo PE 90º  25 mm EF.</v>
      </c>
      <c r="C829" s="12">
        <v>2</v>
      </c>
      <c r="D829" s="13"/>
      <c r="E829" s="40">
        <v>4500515077</v>
      </c>
      <c r="F829" s="12">
        <v>3566624</v>
      </c>
      <c r="G829" s="77">
        <v>46028</v>
      </c>
      <c r="H829" s="12" t="s">
        <v>166</v>
      </c>
      <c r="I829" s="12"/>
      <c r="J829" s="12"/>
      <c r="K829" s="12"/>
      <c r="L829" s="12"/>
      <c r="M829" s="12"/>
      <c r="N829" s="9" t="s">
        <v>207</v>
      </c>
      <c r="O829" s="9"/>
      <c r="P829" s="37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</row>
    <row r="830" spans="1:33" ht="14.25" customHeight="1" x14ac:dyDescent="0.35">
      <c r="A830" s="12">
        <v>400205</v>
      </c>
      <c r="B830" s="59" t="str">
        <f>IFERROR(VLOOKUP(Tabla2[[#This Row],[CODIGO]],INVENTARIO!A:B,2,0)," ")</f>
        <v>Tee PE  50 mm Electro F.</v>
      </c>
      <c r="C830" s="12">
        <v>4</v>
      </c>
      <c r="D830" s="13"/>
      <c r="E830" s="40">
        <v>4500515077</v>
      </c>
      <c r="F830" s="12">
        <v>3566624</v>
      </c>
      <c r="G830" s="77">
        <v>46028</v>
      </c>
      <c r="H830" s="12" t="s">
        <v>166</v>
      </c>
      <c r="I830" s="12"/>
      <c r="J830" s="12"/>
      <c r="K830" s="12"/>
      <c r="L830" s="12"/>
      <c r="M830" s="12"/>
      <c r="N830" s="9" t="s">
        <v>207</v>
      </c>
      <c r="O830" s="9"/>
      <c r="P830" s="37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</row>
    <row r="831" spans="1:33" ht="14.25" customHeight="1" x14ac:dyDescent="0.35">
      <c r="A831" s="12">
        <v>303439</v>
      </c>
      <c r="B831" s="59" t="str">
        <f>IFERROR(VLOOKUP(Tabla2[[#This Row],[CODIGO]],INVENTARIO!A:B,2,0)," ")</f>
        <v>Reductor PE 110-50 mm Termo F.</v>
      </c>
      <c r="C831" s="12">
        <v>6</v>
      </c>
      <c r="D831" s="13"/>
      <c r="E831" s="40">
        <v>4500515077</v>
      </c>
      <c r="F831" s="12">
        <v>3566624</v>
      </c>
      <c r="G831" s="77">
        <v>46028</v>
      </c>
      <c r="H831" s="12" t="s">
        <v>166</v>
      </c>
      <c r="I831" s="12"/>
      <c r="J831" s="12"/>
      <c r="K831" s="12"/>
      <c r="L831" s="12"/>
      <c r="M831" s="12"/>
      <c r="N831" s="9" t="s">
        <v>207</v>
      </c>
      <c r="O831" s="9"/>
      <c r="P831" s="37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</row>
    <row r="832" spans="1:33" ht="14.25" customHeight="1" x14ac:dyDescent="0.35">
      <c r="A832" s="12">
        <v>303345</v>
      </c>
      <c r="B832" s="59" t="str">
        <f>IFERROR(VLOOKUP(Tabla2[[#This Row],[CODIGO]],INVENTARIO!A:B,2,0)," ")</f>
        <v>Copla PE100 050mm EF</v>
      </c>
      <c r="C832" s="12">
        <v>64</v>
      </c>
      <c r="D832" s="13"/>
      <c r="E832" s="40">
        <v>4500515077</v>
      </c>
      <c r="F832" s="12">
        <v>3566624</v>
      </c>
      <c r="G832" s="77">
        <v>46028</v>
      </c>
      <c r="H832" s="12" t="s">
        <v>166</v>
      </c>
      <c r="I832" s="12"/>
      <c r="J832" s="12"/>
      <c r="K832" s="12"/>
      <c r="L832" s="12"/>
      <c r="M832" s="12"/>
      <c r="N832" s="9" t="s">
        <v>207</v>
      </c>
      <c r="O832" s="9"/>
      <c r="P832" s="37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</row>
    <row r="833" spans="1:33" ht="14.25" customHeight="1" x14ac:dyDescent="0.35">
      <c r="A833" s="12">
        <v>303017</v>
      </c>
      <c r="B833" s="59" t="str">
        <f>IFERROR(VLOOKUP(Tabla2[[#This Row],[CODIGO]],INVENTARIO!A:B,2,0)," ")</f>
        <v>Codo PE100 90° 110mm EF</v>
      </c>
      <c r="C833" s="12">
        <v>6</v>
      </c>
      <c r="D833" s="13"/>
      <c r="E833" s="40">
        <v>4500515077</v>
      </c>
      <c r="F833" s="12">
        <v>3566624</v>
      </c>
      <c r="G833" s="77">
        <v>46028</v>
      </c>
      <c r="H833" s="12" t="s">
        <v>166</v>
      </c>
      <c r="I833" s="12"/>
      <c r="J833" s="12"/>
      <c r="K833" s="12"/>
      <c r="L833" s="12"/>
      <c r="M833" s="12"/>
      <c r="N833" s="9" t="s">
        <v>207</v>
      </c>
      <c r="O833" s="9"/>
      <c r="P833" s="37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</row>
    <row r="834" spans="1:33" ht="14.25" customHeight="1" x14ac:dyDescent="0.35">
      <c r="A834" s="12">
        <v>303015</v>
      </c>
      <c r="B834" s="59" t="str">
        <f>IFERROR(VLOOKUP(Tabla2[[#This Row],[CODIGO]],INVENTARIO!A:B,2,0)," ")</f>
        <v>Tee PE 110 mm Electro F.</v>
      </c>
      <c r="C834" s="12">
        <v>7</v>
      </c>
      <c r="D834" s="13"/>
      <c r="E834" s="40">
        <v>4500515077</v>
      </c>
      <c r="F834" s="12">
        <v>3566624</v>
      </c>
      <c r="G834" s="77">
        <v>46028</v>
      </c>
      <c r="H834" s="12" t="s">
        <v>166</v>
      </c>
      <c r="I834" s="12"/>
      <c r="J834" s="12"/>
      <c r="K834" s="12"/>
      <c r="L834" s="12"/>
      <c r="M834" s="12"/>
      <c r="N834" s="9" t="s">
        <v>207</v>
      </c>
      <c r="O834" s="9"/>
      <c r="P834" s="37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</row>
    <row r="835" spans="1:33" ht="14.25" customHeight="1" x14ac:dyDescent="0.35">
      <c r="A835" s="12">
        <v>302992</v>
      </c>
      <c r="B835" s="59" t="str">
        <f>IFERROR(VLOOKUP(Tabla2[[#This Row],[CODIGO]],INVENTARIO!A:B,2,0)," ")</f>
        <v>Codo PE100 90° 050mm EF</v>
      </c>
      <c r="C835" s="12">
        <v>12</v>
      </c>
      <c r="D835" s="13"/>
      <c r="E835" s="40">
        <v>4500515077</v>
      </c>
      <c r="F835" s="12">
        <v>3566624</v>
      </c>
      <c r="G835" s="77">
        <v>46028</v>
      </c>
      <c r="H835" s="12" t="s">
        <v>166</v>
      </c>
      <c r="I835" s="12"/>
      <c r="J835" s="12"/>
      <c r="K835" s="12"/>
      <c r="L835" s="12"/>
      <c r="M835" s="12"/>
      <c r="N835" s="9" t="s">
        <v>207</v>
      </c>
      <c r="O835" s="9"/>
      <c r="P835" s="37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</row>
    <row r="836" spans="1:33" ht="14.25" customHeight="1" x14ac:dyDescent="0.35">
      <c r="A836" s="12">
        <v>302991</v>
      </c>
      <c r="B836" s="59" t="str">
        <f>IFERROR(VLOOKUP(Tabla2[[#This Row],[CODIGO]],INVENTARIO!A:B,2,0)," ")</f>
        <v>Copla PE100 110mm EF</v>
      </c>
      <c r="C836" s="12">
        <v>34</v>
      </c>
      <c r="D836" s="13"/>
      <c r="E836" s="40">
        <v>4500515077</v>
      </c>
      <c r="F836" s="12">
        <v>3566624</v>
      </c>
      <c r="G836" s="77">
        <v>46028</v>
      </c>
      <c r="H836" s="12" t="s">
        <v>166</v>
      </c>
      <c r="I836" s="12"/>
      <c r="J836" s="12"/>
      <c r="K836" s="12"/>
      <c r="L836" s="12"/>
      <c r="M836" s="12"/>
      <c r="N836" s="9" t="s">
        <v>207</v>
      </c>
      <c r="O836" s="9"/>
      <c r="P836" s="37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</row>
    <row r="837" spans="1:33" ht="14.25" customHeight="1" x14ac:dyDescent="0.35">
      <c r="A837" s="12">
        <v>302678</v>
      </c>
      <c r="B837" s="59" t="str">
        <f>IFERROR(VLOOKUP(Tabla2[[#This Row],[CODIGO]],INVENTARIO!A:B,2,0)," ")</f>
        <v>Reductor PE  63-50 mm Electro F.</v>
      </c>
      <c r="C837" s="12">
        <v>4</v>
      </c>
      <c r="D837" s="13"/>
      <c r="E837" s="40">
        <v>4500515077</v>
      </c>
      <c r="F837" s="12">
        <v>3566624</v>
      </c>
      <c r="G837" s="77">
        <v>46028</v>
      </c>
      <c r="H837" s="12" t="s">
        <v>166</v>
      </c>
      <c r="I837" s="12"/>
      <c r="J837" s="12"/>
      <c r="K837" s="12"/>
      <c r="L837" s="12"/>
      <c r="M837" s="12"/>
      <c r="N837" s="9" t="s">
        <v>207</v>
      </c>
      <c r="O837" s="9"/>
      <c r="P837" s="37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</row>
    <row r="838" spans="1:33" ht="14.25" customHeight="1" x14ac:dyDescent="0.35">
      <c r="A838" s="12">
        <v>302659</v>
      </c>
      <c r="B838" s="59" t="str">
        <f>IFERROR(VLOOKUP(Tabla2[[#This Row],[CODIGO]],INVENTARIO!A:B,2,0)," ")</f>
        <v>Copla PE100 063mm EF</v>
      </c>
      <c r="C838" s="12">
        <v>17</v>
      </c>
      <c r="D838" s="13"/>
      <c r="E838" s="40">
        <v>4500515077</v>
      </c>
      <c r="F838" s="12">
        <v>3566624</v>
      </c>
      <c r="G838" s="77">
        <v>46028</v>
      </c>
      <c r="H838" s="12" t="s">
        <v>166</v>
      </c>
      <c r="I838" s="12"/>
      <c r="J838" s="12"/>
      <c r="K838" s="12"/>
      <c r="L838" s="12"/>
      <c r="M838" s="12"/>
      <c r="N838" s="9" t="s">
        <v>207</v>
      </c>
      <c r="O838" s="9"/>
      <c r="P838" s="37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</row>
    <row r="839" spans="1:33" ht="14.25" customHeight="1" x14ac:dyDescent="0.35">
      <c r="A839" s="12">
        <v>302317</v>
      </c>
      <c r="B839" s="59" t="str">
        <f>IFERROR(VLOOKUP(Tabla2[[#This Row],[CODIGO]],INVENTARIO!A:B,2,0)," ")</f>
        <v>Tapa PE 110 mm Termo F.</v>
      </c>
      <c r="C839" s="12">
        <v>2</v>
      </c>
      <c r="D839" s="13"/>
      <c r="E839" s="40">
        <v>4500515077</v>
      </c>
      <c r="F839" s="12">
        <v>3566624</v>
      </c>
      <c r="G839" s="77">
        <v>46028</v>
      </c>
      <c r="H839" s="12" t="s">
        <v>166</v>
      </c>
      <c r="I839" s="12"/>
      <c r="J839" s="12"/>
      <c r="K839" s="12"/>
      <c r="L839" s="12"/>
      <c r="M839" s="12"/>
      <c r="N839" s="9" t="s">
        <v>207</v>
      </c>
      <c r="O839" s="9"/>
      <c r="P839" s="37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</row>
    <row r="840" spans="1:33" ht="14.25" customHeight="1" x14ac:dyDescent="0.35">
      <c r="A840" s="12">
        <v>301987</v>
      </c>
      <c r="B840" s="59" t="str">
        <f>IFERROR(VLOOKUP(Tabla2[[#This Row],[CODIGO]],INVENTARIO!A:B,2,0)," ")</f>
        <v>Codo PE100 90° 063mm EF</v>
      </c>
      <c r="C840" s="12">
        <v>9</v>
      </c>
      <c r="D840" s="13"/>
      <c r="E840" s="40">
        <v>4500515077</v>
      </c>
      <c r="F840" s="12">
        <v>3566624</v>
      </c>
      <c r="G840" s="77">
        <v>46028</v>
      </c>
      <c r="H840" s="12" t="s">
        <v>166</v>
      </c>
      <c r="I840" s="12"/>
      <c r="J840" s="12"/>
      <c r="K840" s="12"/>
      <c r="L840" s="12"/>
      <c r="M840" s="12"/>
      <c r="N840" s="9" t="s">
        <v>207</v>
      </c>
      <c r="O840" s="9"/>
      <c r="P840" s="37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</row>
    <row r="841" spans="1:33" ht="14.25" customHeight="1" x14ac:dyDescent="0.35">
      <c r="A841" s="12">
        <v>301685</v>
      </c>
      <c r="B841" s="59" t="str">
        <f>IFERROR(VLOOKUP(Tabla2[[#This Row],[CODIGO]],INVENTARIO!A:B,2,0)," ")</f>
        <v>Reductor PE100 110-63 mm TF.</v>
      </c>
      <c r="C841" s="12">
        <v>1</v>
      </c>
      <c r="D841" s="13"/>
      <c r="E841" s="40">
        <v>4500515077</v>
      </c>
      <c r="F841" s="12">
        <v>3566624</v>
      </c>
      <c r="G841" s="77">
        <v>46028</v>
      </c>
      <c r="H841" s="12" t="s">
        <v>166</v>
      </c>
      <c r="I841" s="12"/>
      <c r="J841" s="12"/>
      <c r="K841" s="12"/>
      <c r="L841" s="12"/>
      <c r="M841" s="12"/>
      <c r="N841" s="9" t="s">
        <v>207</v>
      </c>
      <c r="O841" s="9"/>
      <c r="P841" s="37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</row>
    <row r="842" spans="1:33" ht="14.25" customHeight="1" x14ac:dyDescent="0.35">
      <c r="A842" s="12">
        <v>301666</v>
      </c>
      <c r="B842" s="59" t="str">
        <f>IFERROR(VLOOKUP(Tabla2[[#This Row],[CODIGO]],INVENTARIO!A:B,2,0)," ")</f>
        <v>Tapping Tee PE 110-25 mm</v>
      </c>
      <c r="C842" s="12">
        <v>23</v>
      </c>
      <c r="D842" s="13"/>
      <c r="E842" s="40">
        <v>4500515077</v>
      </c>
      <c r="F842" s="12">
        <v>3566624</v>
      </c>
      <c r="G842" s="77">
        <v>46028</v>
      </c>
      <c r="H842" s="12" t="s">
        <v>166</v>
      </c>
      <c r="I842" s="12"/>
      <c r="J842" s="12"/>
      <c r="K842" s="12"/>
      <c r="L842" s="12"/>
      <c r="M842" s="12"/>
      <c r="N842" s="9" t="s">
        <v>207</v>
      </c>
      <c r="O842" s="9"/>
      <c r="P842" s="37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</row>
    <row r="843" spans="1:33" ht="14.25" customHeight="1" x14ac:dyDescent="0.35">
      <c r="A843" s="12">
        <v>301329</v>
      </c>
      <c r="B843" s="59" t="str">
        <f>IFERROR(VLOOKUP(Tabla2[[#This Row],[CODIGO]],INVENTARIO!A:B,2,0)," ")</f>
        <v>Copla PE100 025mm EF</v>
      </c>
      <c r="C843" s="12">
        <v>555</v>
      </c>
      <c r="D843" s="13"/>
      <c r="E843" s="40">
        <v>4500515077</v>
      </c>
      <c r="F843" s="12">
        <v>3566624</v>
      </c>
      <c r="G843" s="77">
        <v>46028</v>
      </c>
      <c r="H843" s="12" t="s">
        <v>166</v>
      </c>
      <c r="I843" s="12"/>
      <c r="J843" s="12"/>
      <c r="K843" s="12"/>
      <c r="L843" s="12"/>
      <c r="M843" s="12"/>
      <c r="N843" s="9" t="s">
        <v>207</v>
      </c>
      <c r="O843" s="9"/>
      <c r="P843" s="37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</row>
    <row r="844" spans="1:33" ht="14.25" customHeight="1" x14ac:dyDescent="0.35">
      <c r="A844" s="12">
        <v>301327</v>
      </c>
      <c r="B844" s="59" t="str">
        <f>IFERROR(VLOOKUP(Tabla2[[#This Row],[CODIGO]],INVENTARIO!A:B,2,0)," ")</f>
        <v>Tapa PE  050 mm Termo F.</v>
      </c>
      <c r="C844" s="12">
        <v>10</v>
      </c>
      <c r="D844" s="13"/>
      <c r="E844" s="40">
        <v>4500515077</v>
      </c>
      <c r="F844" s="12">
        <v>3566624</v>
      </c>
      <c r="G844" s="77">
        <v>46028</v>
      </c>
      <c r="H844" s="12" t="s">
        <v>166</v>
      </c>
      <c r="I844" s="12"/>
      <c r="J844" s="12"/>
      <c r="K844" s="12"/>
      <c r="L844" s="12"/>
      <c r="M844" s="12"/>
      <c r="N844" s="9" t="s">
        <v>207</v>
      </c>
      <c r="O844" s="9"/>
      <c r="P844" s="37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</row>
    <row r="845" spans="1:33" ht="14.25" customHeight="1" x14ac:dyDescent="0.35">
      <c r="A845" s="12">
        <v>301099</v>
      </c>
      <c r="B845" s="59" t="str">
        <f>IFERROR(VLOOKUP(Tabla2[[#This Row],[CODIGO]],INVENTARIO!A:B,2,0)," ")</f>
        <v>Válvula PE100 Dn 25mm</v>
      </c>
      <c r="C845" s="12">
        <v>133</v>
      </c>
      <c r="D845" s="13"/>
      <c r="E845" s="40">
        <v>4500515077</v>
      </c>
      <c r="F845" s="12">
        <v>3566624</v>
      </c>
      <c r="G845" s="77">
        <v>46028</v>
      </c>
      <c r="H845" s="12" t="s">
        <v>166</v>
      </c>
      <c r="I845" s="12"/>
      <c r="J845" s="12"/>
      <c r="K845" s="12"/>
      <c r="L845" s="12"/>
      <c r="M845" s="12"/>
      <c r="N845" s="9" t="s">
        <v>207</v>
      </c>
      <c r="O845" s="9"/>
      <c r="P845" s="37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</row>
    <row r="846" spans="1:33" ht="14.25" customHeight="1" x14ac:dyDescent="0.35">
      <c r="A846" s="12">
        <v>300712</v>
      </c>
      <c r="B846" s="59" t="str">
        <f>IFERROR(VLOOKUP(Tabla2[[#This Row],[CODIGO]],INVENTARIO!A:B,2,0)," ")</f>
        <v>Tapa PE  025 mm Termo F.</v>
      </c>
      <c r="C846" s="12">
        <v>7</v>
      </c>
      <c r="D846" s="13"/>
      <c r="E846" s="40">
        <v>4500515077</v>
      </c>
      <c r="F846" s="12">
        <v>3566624</v>
      </c>
      <c r="G846" s="77">
        <v>46028</v>
      </c>
      <c r="H846" s="12" t="s">
        <v>166</v>
      </c>
      <c r="I846" s="12"/>
      <c r="J846" s="12"/>
      <c r="K846" s="12"/>
      <c r="L846" s="12"/>
      <c r="M846" s="12"/>
      <c r="N846" s="9" t="s">
        <v>207</v>
      </c>
      <c r="O846" s="9"/>
      <c r="P846" s="37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</row>
    <row r="847" spans="1:33" ht="14.25" customHeight="1" x14ac:dyDescent="0.35">
      <c r="A847" s="12">
        <v>300130</v>
      </c>
      <c r="B847" s="59" t="str">
        <f>IFERROR(VLOOKUP(Tabla2[[#This Row],[CODIGO]],INVENTARIO!A:B,2,0)," ")</f>
        <v>Tee PE  63 mm Electro F.</v>
      </c>
      <c r="C847" s="12">
        <v>4</v>
      </c>
      <c r="D847" s="13"/>
      <c r="E847" s="40">
        <v>4500515077</v>
      </c>
      <c r="F847" s="12">
        <v>3566624</v>
      </c>
      <c r="G847" s="77">
        <v>46028</v>
      </c>
      <c r="H847" s="12" t="s">
        <v>166</v>
      </c>
      <c r="I847" s="12"/>
      <c r="J847" s="12"/>
      <c r="K847" s="12"/>
      <c r="L847" s="12"/>
      <c r="M847" s="12"/>
      <c r="N847" s="9" t="s">
        <v>207</v>
      </c>
      <c r="O847" s="9"/>
      <c r="P847" s="37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</row>
    <row r="848" spans="1:33" ht="14.25" customHeight="1" x14ac:dyDescent="0.35">
      <c r="A848" s="12">
        <v>300109</v>
      </c>
      <c r="B848" s="59" t="str">
        <f>IFERROR(VLOOKUP(Tabla2[[#This Row],[CODIGO]],INVENTARIO!A:B,2,0)," ")</f>
        <v>Risers de Acero 3/4" Bsp x 25 mm</v>
      </c>
      <c r="C848" s="12">
        <v>140</v>
      </c>
      <c r="D848" s="13"/>
      <c r="E848" s="40">
        <v>4500515077</v>
      </c>
      <c r="F848" s="12">
        <v>3566624</v>
      </c>
      <c r="G848" s="77">
        <v>46028</v>
      </c>
      <c r="H848" s="12" t="s">
        <v>166</v>
      </c>
      <c r="I848" s="12"/>
      <c r="J848" s="12"/>
      <c r="K848" s="12"/>
      <c r="L848" s="12"/>
      <c r="M848" s="12"/>
      <c r="N848" s="9" t="s">
        <v>207</v>
      </c>
      <c r="O848" s="9"/>
      <c r="P848" s="37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</row>
    <row r="849" spans="1:33" ht="14.25" customHeight="1" x14ac:dyDescent="0.35">
      <c r="A849" s="12">
        <v>300108</v>
      </c>
      <c r="B849" s="59" t="str">
        <f>IFERROR(VLOOKUP(Tabla2[[#This Row],[CODIGO]],INVENTARIO!A:B,2,0)," ")</f>
        <v>Tapping Tee PE 63-25 mm</v>
      </c>
      <c r="C849" s="12">
        <v>18</v>
      </c>
      <c r="D849" s="13"/>
      <c r="E849" s="40">
        <v>4500515077</v>
      </c>
      <c r="F849" s="12">
        <v>3566624</v>
      </c>
      <c r="G849" s="77">
        <v>46028</v>
      </c>
      <c r="H849" s="12" t="s">
        <v>166</v>
      </c>
      <c r="I849" s="12"/>
      <c r="J849" s="12"/>
      <c r="K849" s="12"/>
      <c r="L849" s="12"/>
      <c r="M849" s="12"/>
      <c r="N849" s="9" t="s">
        <v>207</v>
      </c>
      <c r="O849" s="9"/>
      <c r="P849" s="37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</row>
    <row r="850" spans="1:33" ht="14.25" customHeight="1" x14ac:dyDescent="0.35">
      <c r="A850" s="12">
        <v>101624</v>
      </c>
      <c r="B850" s="59" t="str">
        <f>IFERROR(VLOOKUP(Tabla2[[#This Row],[CODIGO]],INVENTARIO!A:B,2,0)," ")</f>
        <v>Tapping Tee PE 50-25 mm</v>
      </c>
      <c r="C850" s="12">
        <v>101</v>
      </c>
      <c r="D850" s="13"/>
      <c r="E850" s="40">
        <v>4500515077</v>
      </c>
      <c r="F850" s="12">
        <v>3566624</v>
      </c>
      <c r="G850" s="77">
        <v>46028</v>
      </c>
      <c r="H850" s="12" t="s">
        <v>166</v>
      </c>
      <c r="I850" s="12"/>
      <c r="J850" s="12"/>
      <c r="K850" s="12"/>
      <c r="L850" s="12"/>
      <c r="M850" s="12"/>
      <c r="N850" s="9" t="s">
        <v>207</v>
      </c>
      <c r="O850" s="9"/>
      <c r="P850" s="37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</row>
    <row r="851" spans="1:33" ht="14.25" customHeight="1" x14ac:dyDescent="0.35">
      <c r="A851" s="12">
        <v>2006393</v>
      </c>
      <c r="B851" s="59" t="str">
        <f>IFERROR(VLOOKUP(Tabla2[[#This Row],[CODIGO]],INVENTARIO!A:B,2,0)," ")</f>
        <v>Transición Latón 3/4"x25 MM PE100, SDR11</v>
      </c>
      <c r="C851" s="12">
        <v>2</v>
      </c>
      <c r="D851" s="13"/>
      <c r="E851" s="40">
        <v>4500515077</v>
      </c>
      <c r="F851" s="12">
        <v>3566624</v>
      </c>
      <c r="G851" s="77">
        <v>46028</v>
      </c>
      <c r="H851" s="12" t="s">
        <v>166</v>
      </c>
      <c r="I851" s="12"/>
      <c r="J851" s="12"/>
      <c r="K851" s="12"/>
      <c r="L851" s="12"/>
      <c r="M851" s="12"/>
      <c r="N851" s="9" t="s">
        <v>207</v>
      </c>
      <c r="O851" s="9"/>
      <c r="P851" s="37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</row>
    <row r="852" spans="1:33" ht="14.25" customHeight="1" x14ac:dyDescent="0.35">
      <c r="A852" s="12">
        <v>301749</v>
      </c>
      <c r="B852" s="59" t="str">
        <f>IFERROR(VLOOKUP(Tabla2[[#This Row],[CODIGO]],INVENTARIO!A:B,2,0)," ")</f>
        <v>Tubería PE80 025mm Rollo</v>
      </c>
      <c r="C852" s="12">
        <v>100</v>
      </c>
      <c r="D852" s="13">
        <v>76500</v>
      </c>
      <c r="E852" s="40">
        <v>874211</v>
      </c>
      <c r="F852" s="12">
        <v>3566509</v>
      </c>
      <c r="G852" s="77">
        <v>46024</v>
      </c>
      <c r="H852" s="12" t="s">
        <v>167</v>
      </c>
      <c r="I852" s="12"/>
      <c r="J852" s="9" t="s">
        <v>217</v>
      </c>
      <c r="K852" s="14">
        <v>45840</v>
      </c>
      <c r="L852" s="9" t="s">
        <v>240</v>
      </c>
      <c r="M852" s="9"/>
      <c r="N852" s="9" t="s">
        <v>194</v>
      </c>
      <c r="O852" s="9" t="s">
        <v>258</v>
      </c>
      <c r="P852" s="37">
        <v>1374871</v>
      </c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</row>
    <row r="853" spans="1:33" ht="14.25" customHeight="1" x14ac:dyDescent="0.35">
      <c r="A853" s="12">
        <v>2002262</v>
      </c>
      <c r="B853" s="59" t="str">
        <f>IFERROR(VLOOKUP(Tabla2[[#This Row],[CODIGO]],INVENTARIO!A:B,2,0)," ")</f>
        <v>Tubería PE80 050mm Rollo</v>
      </c>
      <c r="C853" s="12">
        <v>300</v>
      </c>
      <c r="D853" s="13">
        <v>774600</v>
      </c>
      <c r="E853" s="40">
        <v>874236</v>
      </c>
      <c r="F853" s="12">
        <v>3566589</v>
      </c>
      <c r="G853" s="77">
        <v>46022</v>
      </c>
      <c r="H853" s="12" t="s">
        <v>167</v>
      </c>
      <c r="I853" s="12"/>
      <c r="J853" s="9" t="s">
        <v>216</v>
      </c>
      <c r="K853" s="9"/>
      <c r="L853" s="9"/>
      <c r="M853" s="9"/>
      <c r="N853" s="9" t="s">
        <v>201</v>
      </c>
      <c r="O853" s="9" t="s">
        <v>258</v>
      </c>
      <c r="P853" s="37">
        <v>1374865</v>
      </c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</row>
    <row r="854" spans="1:33" ht="14.25" customHeight="1" x14ac:dyDescent="0.35">
      <c r="A854" s="12">
        <v>2006391</v>
      </c>
      <c r="B854" s="59" t="str">
        <f>IFERROR(VLOOKUP(Tabla2[[#This Row],[CODIGO]],INVENTARIO!A:B,2,0)," ")</f>
        <v>Guardallave Fierro Fundido C/Tapa</v>
      </c>
      <c r="C854" s="12">
        <v>1</v>
      </c>
      <c r="D854" s="13">
        <v>26923</v>
      </c>
      <c r="E854" s="40">
        <v>874242</v>
      </c>
      <c r="F854" s="12">
        <v>3566568</v>
      </c>
      <c r="G854" s="77">
        <v>46021</v>
      </c>
      <c r="H854" s="12" t="s">
        <v>167</v>
      </c>
      <c r="I854" s="12"/>
      <c r="J854" s="12"/>
      <c r="K854" s="12"/>
      <c r="L854" s="12"/>
      <c r="M854" s="12"/>
      <c r="N854" s="9" t="s">
        <v>194</v>
      </c>
      <c r="O854" s="9" t="s">
        <v>258</v>
      </c>
      <c r="P854" s="37">
        <v>1374855</v>
      </c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</row>
    <row r="855" spans="1:33" ht="14.25" customHeight="1" x14ac:dyDescent="0.35">
      <c r="A855" s="12">
        <v>301749</v>
      </c>
      <c r="B855" s="59" t="str">
        <f>IFERROR(VLOOKUP(Tabla2[[#This Row],[CODIGO]],INVENTARIO!A:B,2,0)," ")</f>
        <v>Tubería PE80 025mm Rollo</v>
      </c>
      <c r="C855" s="12">
        <v>100</v>
      </c>
      <c r="D855" s="13">
        <v>76500</v>
      </c>
      <c r="E855" s="40">
        <v>874242</v>
      </c>
      <c r="F855" s="12">
        <v>3566568</v>
      </c>
      <c r="G855" s="77">
        <v>46021</v>
      </c>
      <c r="H855" s="12" t="s">
        <v>167</v>
      </c>
      <c r="I855" s="12"/>
      <c r="J855" s="9" t="s">
        <v>217</v>
      </c>
      <c r="K855" s="14">
        <v>45840</v>
      </c>
      <c r="L855" s="9" t="s">
        <v>240</v>
      </c>
      <c r="M855" s="9"/>
      <c r="N855" s="9" t="s">
        <v>194</v>
      </c>
      <c r="O855" s="9" t="s">
        <v>258</v>
      </c>
      <c r="P855" s="37">
        <v>1374855</v>
      </c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</row>
    <row r="856" spans="1:33" ht="14.25" customHeight="1" x14ac:dyDescent="0.35">
      <c r="A856" s="12">
        <v>303511</v>
      </c>
      <c r="B856" s="59" t="str">
        <f>IFERROR(VLOOKUP(Tabla2[[#This Row],[CODIGO]],INVENTARIO!A:B,2,0)," ")</f>
        <v>Lata de Espuma Poliuretano Adimus / 500 ML</v>
      </c>
      <c r="C856" s="12">
        <v>4</v>
      </c>
      <c r="D856" s="13">
        <v>9380</v>
      </c>
      <c r="E856" s="40">
        <v>874242</v>
      </c>
      <c r="F856" s="12">
        <v>3566568</v>
      </c>
      <c r="G856" s="77">
        <v>46021</v>
      </c>
      <c r="H856" s="12" t="s">
        <v>167</v>
      </c>
      <c r="I856" s="12"/>
      <c r="J856" s="12"/>
      <c r="K856" s="12"/>
      <c r="L856" s="12"/>
      <c r="M856" s="12"/>
      <c r="N856" s="9" t="s">
        <v>194</v>
      </c>
      <c r="O856" s="9" t="s">
        <v>258</v>
      </c>
      <c r="P856" s="37">
        <v>1374855</v>
      </c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</row>
    <row r="857" spans="1:33" ht="14.25" customHeight="1" x14ac:dyDescent="0.35">
      <c r="A857" s="12">
        <v>302737</v>
      </c>
      <c r="B857" s="59" t="str">
        <f>IFERROR(VLOOKUP(Tabla2[[#This Row],[CODIGO]],INVENTARIO!A:B,2,0)," ")</f>
        <v>Válvula Bola 3/4" Hi Un Cuerpo Pn5 Arco</v>
      </c>
      <c r="C857" s="12">
        <v>41</v>
      </c>
      <c r="D857" s="13">
        <v>674245</v>
      </c>
      <c r="E857" s="40">
        <v>874242</v>
      </c>
      <c r="F857" s="12">
        <v>3566568</v>
      </c>
      <c r="G857" s="77">
        <v>46021</v>
      </c>
      <c r="H857" s="12" t="s">
        <v>167</v>
      </c>
      <c r="I857" s="12"/>
      <c r="J857" s="12"/>
      <c r="K857" s="12"/>
      <c r="L857" s="12"/>
      <c r="M857" s="12"/>
      <c r="N857" s="9" t="s">
        <v>194</v>
      </c>
      <c r="O857" s="9" t="s">
        <v>258</v>
      </c>
      <c r="P857" s="37">
        <v>1374855</v>
      </c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</row>
    <row r="858" spans="1:33" ht="14.25" customHeight="1" x14ac:dyDescent="0.35">
      <c r="A858" s="12">
        <v>302184</v>
      </c>
      <c r="B858" s="59" t="str">
        <f>IFERROR(VLOOKUP(Tabla2[[#This Row],[CODIGO]],INVENTARIO!A:B,2,0)," ")</f>
        <v>Tapa Tornillo Cambio de Codigo por: 2008481</v>
      </c>
      <c r="C858" s="12">
        <v>41</v>
      </c>
      <c r="D858" s="13">
        <v>33005</v>
      </c>
      <c r="E858" s="40">
        <v>874242</v>
      </c>
      <c r="F858" s="12">
        <v>3566568</v>
      </c>
      <c r="G858" s="77">
        <v>46021</v>
      </c>
      <c r="H858" s="12" t="s">
        <v>167</v>
      </c>
      <c r="I858" s="12"/>
      <c r="J858" s="12"/>
      <c r="K858" s="12"/>
      <c r="L858" s="12"/>
      <c r="M858" s="12"/>
      <c r="N858" s="9" t="s">
        <v>194</v>
      </c>
      <c r="O858" s="9" t="s">
        <v>258</v>
      </c>
      <c r="P858" s="37">
        <v>1374855</v>
      </c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</row>
    <row r="859" spans="1:33" ht="14.25" customHeight="1" x14ac:dyDescent="0.35">
      <c r="A859" s="12">
        <v>1002167</v>
      </c>
      <c r="B859" s="59" t="str">
        <f>IFERROR(VLOOKUP(Tabla2[[#This Row],[CODIGO]],INVENTARIO!A:B,2,0)," ")</f>
        <v>Cable Trazador Cu 14 AWG Aisl. THW Roj</v>
      </c>
      <c r="C859" s="12">
        <v>600</v>
      </c>
      <c r="D859" s="13">
        <v>176400</v>
      </c>
      <c r="E859" s="40">
        <v>874242</v>
      </c>
      <c r="F859" s="12">
        <v>3566568</v>
      </c>
      <c r="G859" s="77">
        <v>46021</v>
      </c>
      <c r="H859" s="12" t="s">
        <v>167</v>
      </c>
      <c r="I859" s="12"/>
      <c r="J859" s="12"/>
      <c r="K859" s="12"/>
      <c r="L859" s="12"/>
      <c r="M859" s="12"/>
      <c r="N859" s="9" t="s">
        <v>194</v>
      </c>
      <c r="O859" s="9" t="s">
        <v>258</v>
      </c>
      <c r="P859" s="37">
        <v>1374855</v>
      </c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</row>
    <row r="860" spans="1:33" ht="14.25" customHeight="1" x14ac:dyDescent="0.35">
      <c r="A860" s="12">
        <v>303368</v>
      </c>
      <c r="B860" s="59" t="str">
        <f>IFERROR(VLOOKUP(Tabla2[[#This Row],[CODIGO]],INVENTARIO!A:B,2,0)," ")</f>
        <v>Cinta Plástica "Línea GN", 30 x 0.1</v>
      </c>
      <c r="C860" s="12">
        <v>600</v>
      </c>
      <c r="D860" s="13">
        <v>72600</v>
      </c>
      <c r="E860" s="40">
        <v>874242</v>
      </c>
      <c r="F860" s="12">
        <v>3566568</v>
      </c>
      <c r="G860" s="77">
        <v>46021</v>
      </c>
      <c r="H860" s="12" t="s">
        <v>167</v>
      </c>
      <c r="I860" s="12"/>
      <c r="J860" s="12"/>
      <c r="K860" s="12"/>
      <c r="L860" s="12"/>
      <c r="M860" s="12"/>
      <c r="N860" s="9" t="s">
        <v>194</v>
      </c>
      <c r="O860" s="9" t="s">
        <v>258</v>
      </c>
      <c r="P860" s="37">
        <v>1374855</v>
      </c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</row>
    <row r="861" spans="1:33" ht="14.25" customHeight="1" x14ac:dyDescent="0.35">
      <c r="A861" s="12">
        <v>303510</v>
      </c>
      <c r="B861" s="59" t="str">
        <f>IFERROR(VLOOKUP(Tabla2[[#This Row],[CODIGO]],INVENTARIO!A:B,2,0)," ")</f>
        <v>Guardallave Hormigón 125 mm con Tapa</v>
      </c>
      <c r="C861" s="12">
        <v>5</v>
      </c>
      <c r="D861" s="13">
        <v>19500</v>
      </c>
      <c r="E861" s="40">
        <v>874242</v>
      </c>
      <c r="F861" s="12">
        <v>3566568</v>
      </c>
      <c r="G861" s="77">
        <v>46021</v>
      </c>
      <c r="H861" s="12" t="s">
        <v>167</v>
      </c>
      <c r="I861" s="12"/>
      <c r="J861" s="12"/>
      <c r="K861" s="12"/>
      <c r="L861" s="12"/>
      <c r="M861" s="12"/>
      <c r="N861" s="9" t="s">
        <v>194</v>
      </c>
      <c r="O861" s="9" t="s">
        <v>258</v>
      </c>
      <c r="P861" s="37">
        <v>1374855</v>
      </c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</row>
    <row r="862" spans="1:33" ht="14.25" customHeight="1" x14ac:dyDescent="0.35">
      <c r="A862" s="12">
        <v>303510</v>
      </c>
      <c r="B862" s="59" t="str">
        <f>IFERROR(VLOOKUP(Tabla2[[#This Row],[CODIGO]],INVENTARIO!A:B,2,0)," ")</f>
        <v>Guardallave Hormigón 125 mm con Tapa</v>
      </c>
      <c r="C862" s="12">
        <v>35</v>
      </c>
      <c r="D862" s="13">
        <v>136500</v>
      </c>
      <c r="E862" s="40">
        <v>874236</v>
      </c>
      <c r="F862" s="12">
        <v>3566565</v>
      </c>
      <c r="G862" s="77">
        <v>46021</v>
      </c>
      <c r="H862" s="12" t="s">
        <v>167</v>
      </c>
      <c r="I862" s="12"/>
      <c r="J862" s="12"/>
      <c r="K862" s="12"/>
      <c r="L862" s="12"/>
      <c r="M862" s="12"/>
      <c r="N862" s="9" t="s">
        <v>201</v>
      </c>
      <c r="O862" s="9" t="s">
        <v>258</v>
      </c>
      <c r="P862" s="37">
        <v>1374854</v>
      </c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</row>
    <row r="863" spans="1:33" ht="14.25" customHeight="1" x14ac:dyDescent="0.35">
      <c r="A863" s="12">
        <v>1002167</v>
      </c>
      <c r="B863" s="59" t="str">
        <f>IFERROR(VLOOKUP(Tabla2[[#This Row],[CODIGO]],INVENTARIO!A:B,2,0)," ")</f>
        <v>Cable Trazador Cu 14 AWG Aisl. THW Roj</v>
      </c>
      <c r="C863" s="12">
        <v>1900</v>
      </c>
      <c r="D863" s="13">
        <v>558600</v>
      </c>
      <c r="E863" s="40">
        <v>874236</v>
      </c>
      <c r="F863" s="12">
        <v>3566565</v>
      </c>
      <c r="G863" s="77">
        <v>46021</v>
      </c>
      <c r="H863" s="12" t="s">
        <v>167</v>
      </c>
      <c r="I863" s="12"/>
      <c r="J863" s="12"/>
      <c r="K863" s="12"/>
      <c r="L863" s="12"/>
      <c r="M863" s="12"/>
      <c r="N863" s="9" t="s">
        <v>201</v>
      </c>
      <c r="O863" s="9" t="s">
        <v>258</v>
      </c>
      <c r="P863" s="37">
        <v>1374854</v>
      </c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</row>
    <row r="864" spans="1:33" ht="14.25" customHeight="1" x14ac:dyDescent="0.35">
      <c r="A864" s="12">
        <v>303368</v>
      </c>
      <c r="B864" s="59" t="str">
        <f>IFERROR(VLOOKUP(Tabla2[[#This Row],[CODIGO]],INVENTARIO!A:B,2,0)," ")</f>
        <v>Cinta Plástica "Línea GN", 30 x 0.1</v>
      </c>
      <c r="C864" s="12">
        <v>1900</v>
      </c>
      <c r="D864" s="13">
        <v>229900</v>
      </c>
      <c r="E864" s="40">
        <v>874236</v>
      </c>
      <c r="F864" s="12">
        <v>3566565</v>
      </c>
      <c r="G864" s="77">
        <v>46021</v>
      </c>
      <c r="H864" s="12" t="s">
        <v>167</v>
      </c>
      <c r="I864" s="12"/>
      <c r="J864" s="12"/>
      <c r="K864" s="12"/>
      <c r="L864" s="12"/>
      <c r="M864" s="12"/>
      <c r="N864" s="9" t="s">
        <v>201</v>
      </c>
      <c r="O864" s="9" t="s">
        <v>258</v>
      </c>
      <c r="P864" s="37">
        <v>1374854</v>
      </c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</row>
    <row r="865" spans="1:33" ht="14.25" customHeight="1" x14ac:dyDescent="0.35">
      <c r="A865" s="12">
        <v>302184</v>
      </c>
      <c r="B865" s="59" t="str">
        <f>IFERROR(VLOOKUP(Tabla2[[#This Row],[CODIGO]],INVENTARIO!A:B,2,0)," ")</f>
        <v>Tapa Tornillo Cambio de Codigo por: 2008481</v>
      </c>
      <c r="C865" s="12">
        <v>59</v>
      </c>
      <c r="D865" s="13">
        <v>47495</v>
      </c>
      <c r="E865" s="40">
        <v>874236</v>
      </c>
      <c r="F865" s="12">
        <v>3566565</v>
      </c>
      <c r="G865" s="77">
        <v>46021</v>
      </c>
      <c r="H865" s="12" t="s">
        <v>167</v>
      </c>
      <c r="I865" s="12"/>
      <c r="J865" s="12"/>
      <c r="K865" s="12"/>
      <c r="L865" s="12"/>
      <c r="M865" s="12"/>
      <c r="N865" s="9" t="s">
        <v>201</v>
      </c>
      <c r="O865" s="9" t="s">
        <v>258</v>
      </c>
      <c r="P865" s="37">
        <v>1374854</v>
      </c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</row>
    <row r="866" spans="1:33" ht="14.25" customHeight="1" x14ac:dyDescent="0.35">
      <c r="A866" s="12">
        <v>302737</v>
      </c>
      <c r="B866" s="59" t="str">
        <f>IFERROR(VLOOKUP(Tabla2[[#This Row],[CODIGO]],INVENTARIO!A:B,2,0)," ")</f>
        <v>Válvula Bola 3/4" Hi Un Cuerpo Pn5 Arco</v>
      </c>
      <c r="C866" s="12">
        <v>59</v>
      </c>
      <c r="D866" s="13">
        <v>970225</v>
      </c>
      <c r="E866" s="40">
        <v>874236</v>
      </c>
      <c r="F866" s="12">
        <v>3566565</v>
      </c>
      <c r="G866" s="77">
        <v>46021</v>
      </c>
      <c r="H866" s="12" t="s">
        <v>167</v>
      </c>
      <c r="I866" s="12"/>
      <c r="J866" s="12"/>
      <c r="K866" s="12"/>
      <c r="L866" s="12"/>
      <c r="M866" s="12"/>
      <c r="N866" s="9" t="s">
        <v>201</v>
      </c>
      <c r="O866" s="9" t="s">
        <v>258</v>
      </c>
      <c r="P866" s="37">
        <v>1374854</v>
      </c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</row>
    <row r="867" spans="1:33" ht="14.25" customHeight="1" x14ac:dyDescent="0.35">
      <c r="A867" s="12">
        <v>2006391</v>
      </c>
      <c r="B867" s="59" t="str">
        <f>IFERROR(VLOOKUP(Tabla2[[#This Row],[CODIGO]],INVENTARIO!A:B,2,0)," ")</f>
        <v>Guardallave Fierro Fundido C/Tapa</v>
      </c>
      <c r="C867" s="12">
        <v>54</v>
      </c>
      <c r="D867" s="13">
        <v>1453842</v>
      </c>
      <c r="E867" s="40">
        <v>874236</v>
      </c>
      <c r="F867" s="12">
        <v>3566565</v>
      </c>
      <c r="G867" s="77">
        <v>46021</v>
      </c>
      <c r="H867" s="12" t="s">
        <v>167</v>
      </c>
      <c r="I867" s="12"/>
      <c r="J867" s="12"/>
      <c r="K867" s="12"/>
      <c r="L867" s="12"/>
      <c r="M867" s="12"/>
      <c r="N867" s="9" t="s">
        <v>201</v>
      </c>
      <c r="O867" s="9" t="s">
        <v>258</v>
      </c>
      <c r="P867" s="37">
        <v>1374854</v>
      </c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</row>
    <row r="868" spans="1:33" ht="14.25" customHeight="1" x14ac:dyDescent="0.35">
      <c r="A868" s="12">
        <v>301749</v>
      </c>
      <c r="B868" s="59" t="str">
        <f>IFERROR(VLOOKUP(Tabla2[[#This Row],[CODIGO]],INVENTARIO!A:B,2,0)," ")</f>
        <v>Tubería PE80 025mm Rollo</v>
      </c>
      <c r="C868" s="12">
        <v>150</v>
      </c>
      <c r="D868" s="13">
        <v>114750</v>
      </c>
      <c r="E868" s="40">
        <v>874236</v>
      </c>
      <c r="F868" s="12">
        <v>3566565</v>
      </c>
      <c r="G868" s="77">
        <v>46021</v>
      </c>
      <c r="H868" s="12" t="s">
        <v>167</v>
      </c>
      <c r="I868" s="12"/>
      <c r="J868" s="9" t="s">
        <v>217</v>
      </c>
      <c r="K868" s="14">
        <v>45840</v>
      </c>
      <c r="L868" s="9" t="s">
        <v>240</v>
      </c>
      <c r="M868" s="9"/>
      <c r="N868" s="9" t="s">
        <v>201</v>
      </c>
      <c r="O868" s="9" t="s">
        <v>258</v>
      </c>
      <c r="P868" s="37">
        <v>1374854</v>
      </c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</row>
    <row r="869" spans="1:33" ht="14.25" customHeight="1" x14ac:dyDescent="0.35">
      <c r="A869" s="12">
        <v>302737</v>
      </c>
      <c r="B869" s="59" t="str">
        <f>IFERROR(VLOOKUP(Tabla2[[#This Row],[CODIGO]],INVENTARIO!A:B,2,0)," ")</f>
        <v>Válvula Bola 3/4" Hi Un Cuerpo Pn5 Arco</v>
      </c>
      <c r="C869" s="12">
        <v>2</v>
      </c>
      <c r="D869" s="13">
        <v>32890</v>
      </c>
      <c r="E869" s="40">
        <v>874241</v>
      </c>
      <c r="F869" s="12">
        <v>3566564</v>
      </c>
      <c r="G869" s="77">
        <v>46021</v>
      </c>
      <c r="H869" s="12" t="s">
        <v>167</v>
      </c>
      <c r="I869" s="12"/>
      <c r="J869" s="12"/>
      <c r="K869" s="12"/>
      <c r="L869" s="12"/>
      <c r="M869" s="12"/>
      <c r="N869" s="9" t="s">
        <v>203</v>
      </c>
      <c r="O869" s="9" t="s">
        <v>258</v>
      </c>
      <c r="P869" s="37">
        <v>1374853</v>
      </c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</row>
    <row r="870" spans="1:33" ht="14.25" customHeight="1" x14ac:dyDescent="0.35">
      <c r="A870" s="12">
        <v>302184</v>
      </c>
      <c r="B870" s="59" t="str">
        <f>IFERROR(VLOOKUP(Tabla2[[#This Row],[CODIGO]],INVENTARIO!A:B,2,0)," ")</f>
        <v>Tapa Tornillo Cambio de Codigo por: 2008481</v>
      </c>
      <c r="C870" s="12">
        <v>2</v>
      </c>
      <c r="D870" s="13">
        <v>1610</v>
      </c>
      <c r="E870" s="40">
        <v>874241</v>
      </c>
      <c r="F870" s="12">
        <v>3566564</v>
      </c>
      <c r="G870" s="77">
        <v>46021</v>
      </c>
      <c r="H870" s="12" t="s">
        <v>167</v>
      </c>
      <c r="I870" s="12"/>
      <c r="J870" s="12"/>
      <c r="K870" s="12"/>
      <c r="L870" s="12"/>
      <c r="M870" s="12"/>
      <c r="N870" s="9" t="s">
        <v>203</v>
      </c>
      <c r="O870" s="9" t="s">
        <v>258</v>
      </c>
      <c r="P870" s="37">
        <v>1374853</v>
      </c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</row>
    <row r="871" spans="1:33" ht="14.25" customHeight="1" x14ac:dyDescent="0.35">
      <c r="A871" s="12">
        <v>303510</v>
      </c>
      <c r="B871" s="59" t="str">
        <f>IFERROR(VLOOKUP(Tabla2[[#This Row],[CODIGO]],INVENTARIO!A:B,2,0)," ")</f>
        <v>Guardallave Hormigón 125 mm con Tapa</v>
      </c>
      <c r="C871" s="12">
        <v>2</v>
      </c>
      <c r="D871" s="13">
        <v>7800</v>
      </c>
      <c r="E871" s="40">
        <v>874241</v>
      </c>
      <c r="F871" s="12">
        <v>3566564</v>
      </c>
      <c r="G871" s="77">
        <v>46021</v>
      </c>
      <c r="H871" s="12" t="s">
        <v>167</v>
      </c>
      <c r="I871" s="12"/>
      <c r="J871" s="12"/>
      <c r="K871" s="12"/>
      <c r="L871" s="12"/>
      <c r="M871" s="12"/>
      <c r="N871" s="9" t="s">
        <v>203</v>
      </c>
      <c r="O871" s="9" t="s">
        <v>258</v>
      </c>
      <c r="P871" s="37">
        <v>1374853</v>
      </c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</row>
    <row r="872" spans="1:33" ht="14.25" customHeight="1" x14ac:dyDescent="0.35">
      <c r="A872" s="12">
        <v>300342</v>
      </c>
      <c r="B872" s="59" t="str">
        <f>IFERROR(VLOOKUP(Tabla2[[#This Row],[CODIGO]],INVENTARIO!A:B,2,0)," ")</f>
        <v>Codo So/So 1 1/2 IN Bronce</v>
      </c>
      <c r="C872" s="12">
        <v>6</v>
      </c>
      <c r="D872" s="13">
        <v>24912</v>
      </c>
      <c r="E872" s="40">
        <v>874241</v>
      </c>
      <c r="F872" s="12">
        <v>3566564</v>
      </c>
      <c r="G872" s="77">
        <v>46021</v>
      </c>
      <c r="H872" s="12" t="s">
        <v>167</v>
      </c>
      <c r="I872" s="12"/>
      <c r="J872" s="12"/>
      <c r="K872" s="12"/>
      <c r="L872" s="12"/>
      <c r="M872" s="12"/>
      <c r="N872" s="9" t="s">
        <v>203</v>
      </c>
      <c r="O872" s="9" t="s">
        <v>258</v>
      </c>
      <c r="P872" s="37">
        <v>1374853</v>
      </c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</row>
    <row r="873" spans="1:33" ht="14.25" customHeight="1" x14ac:dyDescent="0.35">
      <c r="A873" s="12">
        <v>2006391</v>
      </c>
      <c r="B873" s="59" t="str">
        <f>IFERROR(VLOOKUP(Tabla2[[#This Row],[CODIGO]],INVENTARIO!A:B,2,0)," ")</f>
        <v>Guardallave Fierro Fundido C/Tapa</v>
      </c>
      <c r="C873" s="12">
        <v>2</v>
      </c>
      <c r="D873" s="13">
        <v>53846</v>
      </c>
      <c r="E873" s="40">
        <v>874241</v>
      </c>
      <c r="F873" s="12">
        <v>3566564</v>
      </c>
      <c r="G873" s="77">
        <v>46021</v>
      </c>
      <c r="H873" s="12" t="s">
        <v>167</v>
      </c>
      <c r="I873" s="12"/>
      <c r="J873" s="12"/>
      <c r="K873" s="12"/>
      <c r="L873" s="12"/>
      <c r="M873" s="12"/>
      <c r="N873" s="9" t="s">
        <v>203</v>
      </c>
      <c r="O873" s="9" t="s">
        <v>258</v>
      </c>
      <c r="P873" s="37">
        <v>1374853</v>
      </c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</row>
    <row r="874" spans="1:33" ht="14.25" customHeight="1" x14ac:dyDescent="0.35">
      <c r="A874" s="12">
        <v>303511</v>
      </c>
      <c r="B874" s="59" t="str">
        <f>IFERROR(VLOOKUP(Tabla2[[#This Row],[CODIGO]],INVENTARIO!A:B,2,0)," ")</f>
        <v>Lata de Espuma Poliuretano Adimus / 500 ML</v>
      </c>
      <c r="C874" s="12">
        <v>1</v>
      </c>
      <c r="D874" s="13">
        <v>2345</v>
      </c>
      <c r="E874" s="40">
        <v>874240</v>
      </c>
      <c r="F874" s="12">
        <v>3566563</v>
      </c>
      <c r="G874" s="77">
        <v>46021</v>
      </c>
      <c r="H874" s="12" t="s">
        <v>167</v>
      </c>
      <c r="I874" s="12"/>
      <c r="J874" s="12"/>
      <c r="K874" s="12"/>
      <c r="L874" s="12"/>
      <c r="M874" s="12"/>
      <c r="N874" s="9" t="s">
        <v>206</v>
      </c>
      <c r="O874" s="9" t="s">
        <v>258</v>
      </c>
      <c r="P874" s="37">
        <v>1374852</v>
      </c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</row>
    <row r="875" spans="1:33" ht="14.25" customHeight="1" x14ac:dyDescent="0.35">
      <c r="A875" s="12">
        <v>200229</v>
      </c>
      <c r="B875" s="59" t="str">
        <f>IFERROR(VLOOKUP(Tabla2[[#This Row],[CODIGO]],INVENTARIO!A:B,2,0)," ")</f>
        <v>Disco Corte 115 x 22,2 x 2,5 mm A30Pbf</v>
      </c>
      <c r="C875" s="12">
        <v>1</v>
      </c>
      <c r="D875" s="13">
        <v>610</v>
      </c>
      <c r="E875" s="40">
        <v>874240</v>
      </c>
      <c r="F875" s="12">
        <v>3566563</v>
      </c>
      <c r="G875" s="77">
        <v>46021</v>
      </c>
      <c r="H875" s="12" t="s">
        <v>167</v>
      </c>
      <c r="I875" s="12"/>
      <c r="J875" s="12"/>
      <c r="K875" s="12"/>
      <c r="L875" s="12"/>
      <c r="M875" s="12"/>
      <c r="N875" s="9" t="s">
        <v>206</v>
      </c>
      <c r="O875" s="9" t="s">
        <v>258</v>
      </c>
      <c r="P875" s="37">
        <v>1374852</v>
      </c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</row>
    <row r="876" spans="1:33" ht="14.25" customHeight="1" x14ac:dyDescent="0.35">
      <c r="A876" s="12">
        <v>302184</v>
      </c>
      <c r="B876" s="59" t="str">
        <f>IFERROR(VLOOKUP(Tabla2[[#This Row],[CODIGO]],INVENTARIO!A:B,2,0)," ")</f>
        <v>Tapa Tornillo Cambio de Codigo por: 2008481</v>
      </c>
      <c r="C876" s="12">
        <v>1</v>
      </c>
      <c r="D876" s="13">
        <v>805</v>
      </c>
      <c r="E876" s="40">
        <v>874240</v>
      </c>
      <c r="F876" s="12">
        <v>3566563</v>
      </c>
      <c r="G876" s="77">
        <v>46021</v>
      </c>
      <c r="H876" s="12" t="s">
        <v>167</v>
      </c>
      <c r="I876" s="12"/>
      <c r="J876" s="12"/>
      <c r="K876" s="12"/>
      <c r="L876" s="12"/>
      <c r="M876" s="12"/>
      <c r="N876" s="9" t="s">
        <v>206</v>
      </c>
      <c r="O876" s="9" t="s">
        <v>258</v>
      </c>
      <c r="P876" s="37">
        <v>1374852</v>
      </c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</row>
    <row r="877" spans="1:33" ht="14.25" customHeight="1" x14ac:dyDescent="0.35">
      <c r="A877" s="12">
        <v>302737</v>
      </c>
      <c r="B877" s="59" t="str">
        <f>IFERROR(VLOOKUP(Tabla2[[#This Row],[CODIGO]],INVENTARIO!A:B,2,0)," ")</f>
        <v>Válvula Bola 3/4" Hi Un Cuerpo Pn5 Arco</v>
      </c>
      <c r="C877" s="12">
        <v>1</v>
      </c>
      <c r="D877" s="13">
        <v>16445</v>
      </c>
      <c r="E877" s="40">
        <v>874240</v>
      </c>
      <c r="F877" s="12">
        <v>3566563</v>
      </c>
      <c r="G877" s="77">
        <v>46021</v>
      </c>
      <c r="H877" s="12" t="s">
        <v>167</v>
      </c>
      <c r="I877" s="12"/>
      <c r="J877" s="12"/>
      <c r="K877" s="12"/>
      <c r="L877" s="12"/>
      <c r="M877" s="12"/>
      <c r="N877" s="9" t="s">
        <v>206</v>
      </c>
      <c r="O877" s="9" t="s">
        <v>258</v>
      </c>
      <c r="P877" s="37">
        <v>1374852</v>
      </c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</row>
    <row r="878" spans="1:33" ht="14.25" customHeight="1" x14ac:dyDescent="0.35">
      <c r="A878" s="12">
        <v>2006391</v>
      </c>
      <c r="B878" s="59" t="str">
        <f>IFERROR(VLOOKUP(Tabla2[[#This Row],[CODIGO]],INVENTARIO!A:B,2,0)," ")</f>
        <v>Guardallave Fierro Fundido C/Tapa</v>
      </c>
      <c r="C878" s="12">
        <v>1</v>
      </c>
      <c r="D878" s="13">
        <v>26923</v>
      </c>
      <c r="E878" s="40">
        <v>874240</v>
      </c>
      <c r="F878" s="12">
        <v>3566563</v>
      </c>
      <c r="G878" s="77">
        <v>46021</v>
      </c>
      <c r="H878" s="12" t="s">
        <v>167</v>
      </c>
      <c r="I878" s="12"/>
      <c r="J878" s="12"/>
      <c r="K878" s="12"/>
      <c r="L878" s="12"/>
      <c r="M878" s="12"/>
      <c r="N878" s="9" t="s">
        <v>206</v>
      </c>
      <c r="O878" s="9" t="s">
        <v>258</v>
      </c>
      <c r="P878" s="37">
        <v>1374852</v>
      </c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</row>
    <row r="879" spans="1:33" ht="14.25" customHeight="1" x14ac:dyDescent="0.35">
      <c r="A879" s="12">
        <v>301749</v>
      </c>
      <c r="B879" s="59" t="str">
        <f>IFERROR(VLOOKUP(Tabla2[[#This Row],[CODIGO]],INVENTARIO!A:B,2,0)," ")</f>
        <v>Tubería PE80 025mm Rollo</v>
      </c>
      <c r="C879" s="12">
        <v>50</v>
      </c>
      <c r="D879" s="13">
        <v>38250</v>
      </c>
      <c r="E879" s="40">
        <v>874240</v>
      </c>
      <c r="F879" s="12">
        <v>3566563</v>
      </c>
      <c r="G879" s="77">
        <v>46021</v>
      </c>
      <c r="H879" s="12" t="s">
        <v>167</v>
      </c>
      <c r="I879" s="12"/>
      <c r="J879" s="9" t="s">
        <v>217</v>
      </c>
      <c r="K879" s="14">
        <v>45840</v>
      </c>
      <c r="L879" s="9" t="s">
        <v>240</v>
      </c>
      <c r="M879" s="9"/>
      <c r="N879" s="9" t="s">
        <v>206</v>
      </c>
      <c r="O879" s="9" t="s">
        <v>258</v>
      </c>
      <c r="P879" s="37">
        <v>1374852</v>
      </c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</row>
    <row r="880" spans="1:33" ht="14.25" customHeight="1" x14ac:dyDescent="0.35">
      <c r="A880" s="12">
        <v>302737</v>
      </c>
      <c r="B880" s="59" t="str">
        <f>IFERROR(VLOOKUP(Tabla2[[#This Row],[CODIGO]],INVENTARIO!A:B,2,0)," ")</f>
        <v>Válvula Bola 3/4" Hi Un Cuerpo Pn5 Arco</v>
      </c>
      <c r="C880" s="12">
        <v>3</v>
      </c>
      <c r="D880" s="13">
        <v>49335</v>
      </c>
      <c r="E880" s="40">
        <v>874237</v>
      </c>
      <c r="F880" s="12">
        <v>3566562</v>
      </c>
      <c r="G880" s="77">
        <v>46021</v>
      </c>
      <c r="H880" s="12" t="s">
        <v>167</v>
      </c>
      <c r="I880" s="12"/>
      <c r="J880" s="12"/>
      <c r="K880" s="12"/>
      <c r="L880" s="12"/>
      <c r="M880" s="12"/>
      <c r="N880" s="9" t="s">
        <v>202</v>
      </c>
      <c r="O880" s="9" t="s">
        <v>258</v>
      </c>
      <c r="P880" s="37">
        <v>1374851</v>
      </c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</row>
    <row r="881" spans="1:33" ht="14.25" customHeight="1" x14ac:dyDescent="0.35">
      <c r="A881" s="12">
        <v>302184</v>
      </c>
      <c r="B881" s="59" t="str">
        <f>IFERROR(VLOOKUP(Tabla2[[#This Row],[CODIGO]],INVENTARIO!A:B,2,0)," ")</f>
        <v>Tapa Tornillo Cambio de Codigo por: 2008481</v>
      </c>
      <c r="C881" s="12">
        <v>3</v>
      </c>
      <c r="D881" s="13">
        <v>2415</v>
      </c>
      <c r="E881" s="40">
        <v>874237</v>
      </c>
      <c r="F881" s="12">
        <v>3566562</v>
      </c>
      <c r="G881" s="77">
        <v>46021</v>
      </c>
      <c r="H881" s="12" t="s">
        <v>167</v>
      </c>
      <c r="I881" s="12"/>
      <c r="J881" s="12"/>
      <c r="K881" s="12"/>
      <c r="L881" s="12"/>
      <c r="M881" s="12"/>
      <c r="N881" s="9" t="s">
        <v>202</v>
      </c>
      <c r="O881" s="9" t="s">
        <v>258</v>
      </c>
      <c r="P881" s="37">
        <v>1374851</v>
      </c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</row>
    <row r="882" spans="1:33" ht="14.25" customHeight="1" x14ac:dyDescent="0.35">
      <c r="A882" s="12">
        <v>303510</v>
      </c>
      <c r="B882" s="59" t="str">
        <f>IFERROR(VLOOKUP(Tabla2[[#This Row],[CODIGO]],INVENTARIO!A:B,2,0)," ")</f>
        <v>Guardallave Hormigón 125 mm con Tapa</v>
      </c>
      <c r="C882" s="12">
        <v>13</v>
      </c>
      <c r="D882" s="13">
        <v>50700</v>
      </c>
      <c r="E882" s="40">
        <v>874237</v>
      </c>
      <c r="F882" s="12">
        <v>3566562</v>
      </c>
      <c r="G882" s="77">
        <v>46021</v>
      </c>
      <c r="H882" s="12" t="s">
        <v>167</v>
      </c>
      <c r="I882" s="12"/>
      <c r="J882" s="12"/>
      <c r="K882" s="12"/>
      <c r="L882" s="12"/>
      <c r="M882" s="12"/>
      <c r="N882" s="9" t="s">
        <v>202</v>
      </c>
      <c r="O882" s="9" t="s">
        <v>258</v>
      </c>
      <c r="P882" s="37">
        <v>1374851</v>
      </c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</row>
    <row r="883" spans="1:33" ht="14.25" customHeight="1" x14ac:dyDescent="0.35">
      <c r="A883" s="12">
        <v>1002167</v>
      </c>
      <c r="B883" s="59" t="str">
        <f>IFERROR(VLOOKUP(Tabla2[[#This Row],[CODIGO]],INVENTARIO!A:B,2,0)," ")</f>
        <v>Cable Trazador Cu 14 AWG Aisl. THW Roj</v>
      </c>
      <c r="C883" s="12">
        <v>600</v>
      </c>
      <c r="D883" s="13">
        <v>176400</v>
      </c>
      <c r="E883" s="40">
        <v>874237</v>
      </c>
      <c r="F883" s="12">
        <v>3566562</v>
      </c>
      <c r="G883" s="77">
        <v>46021</v>
      </c>
      <c r="H883" s="12" t="s">
        <v>167</v>
      </c>
      <c r="I883" s="12"/>
      <c r="J883" s="12"/>
      <c r="K883" s="12"/>
      <c r="L883" s="12"/>
      <c r="M883" s="12"/>
      <c r="N883" s="9" t="s">
        <v>202</v>
      </c>
      <c r="O883" s="9" t="s">
        <v>258</v>
      </c>
      <c r="P883" s="37">
        <v>1374851</v>
      </c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</row>
    <row r="884" spans="1:33" ht="14.25" customHeight="1" x14ac:dyDescent="0.35">
      <c r="A884" s="12">
        <v>303368</v>
      </c>
      <c r="B884" s="59" t="str">
        <f>IFERROR(VLOOKUP(Tabla2[[#This Row],[CODIGO]],INVENTARIO!A:B,2,0)," ")</f>
        <v>Cinta Plástica "Línea GN", 30 x 0.1</v>
      </c>
      <c r="C884" s="12">
        <v>600</v>
      </c>
      <c r="D884" s="13">
        <v>72600</v>
      </c>
      <c r="E884" s="40">
        <v>874237</v>
      </c>
      <c r="F884" s="12">
        <v>3566562</v>
      </c>
      <c r="G884" s="77">
        <v>46021</v>
      </c>
      <c r="H884" s="12" t="s">
        <v>167</v>
      </c>
      <c r="I884" s="12"/>
      <c r="J884" s="12"/>
      <c r="K884" s="12"/>
      <c r="L884" s="12"/>
      <c r="M884" s="12"/>
      <c r="N884" s="9" t="s">
        <v>202</v>
      </c>
      <c r="O884" s="9" t="s">
        <v>258</v>
      </c>
      <c r="P884" s="37">
        <v>1374851</v>
      </c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</row>
    <row r="885" spans="1:33" ht="14.25" customHeight="1" x14ac:dyDescent="0.35">
      <c r="A885" s="12">
        <v>2006391</v>
      </c>
      <c r="B885" s="59" t="str">
        <f>IFERROR(VLOOKUP(Tabla2[[#This Row],[CODIGO]],INVENTARIO!A:B,2,0)," ")</f>
        <v>Guardallave Fierro Fundido C/Tapa</v>
      </c>
      <c r="C885" s="12">
        <v>4</v>
      </c>
      <c r="D885" s="13">
        <v>107692</v>
      </c>
      <c r="E885" s="40">
        <v>874237</v>
      </c>
      <c r="F885" s="12">
        <v>3566562</v>
      </c>
      <c r="G885" s="77">
        <v>46021</v>
      </c>
      <c r="H885" s="12" t="s">
        <v>167</v>
      </c>
      <c r="I885" s="12"/>
      <c r="J885" s="12"/>
      <c r="K885" s="12"/>
      <c r="L885" s="12"/>
      <c r="M885" s="12"/>
      <c r="N885" s="9" t="s">
        <v>202</v>
      </c>
      <c r="O885" s="9" t="s">
        <v>258</v>
      </c>
      <c r="P885" s="37">
        <v>1374851</v>
      </c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</row>
    <row r="886" spans="1:33" ht="14.25" customHeight="1" x14ac:dyDescent="0.35">
      <c r="A886" s="12">
        <v>302737</v>
      </c>
      <c r="B886" s="59" t="str">
        <f>IFERROR(VLOOKUP(Tabla2[[#This Row],[CODIGO]],INVENTARIO!A:B,2,0)," ")</f>
        <v>Válvula Bola 3/4" Hi Un Cuerpo Pn5 Arco</v>
      </c>
      <c r="C886" s="12">
        <v>17</v>
      </c>
      <c r="D886" s="13">
        <v>279565</v>
      </c>
      <c r="E886" s="40">
        <v>874235</v>
      </c>
      <c r="F886" s="12">
        <v>3566561</v>
      </c>
      <c r="G886" s="77">
        <v>46021</v>
      </c>
      <c r="H886" s="12" t="s">
        <v>167</v>
      </c>
      <c r="I886" s="12"/>
      <c r="J886" s="12"/>
      <c r="K886" s="12"/>
      <c r="L886" s="12"/>
      <c r="M886" s="12"/>
      <c r="N886" s="9" t="s">
        <v>200</v>
      </c>
      <c r="O886" s="9" t="s">
        <v>258</v>
      </c>
      <c r="P886" s="37">
        <v>1374850</v>
      </c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</row>
    <row r="887" spans="1:33" ht="14.25" customHeight="1" x14ac:dyDescent="0.35">
      <c r="A887" s="12">
        <v>302184</v>
      </c>
      <c r="B887" s="59" t="str">
        <f>IFERROR(VLOOKUP(Tabla2[[#This Row],[CODIGO]],INVENTARIO!A:B,2,0)," ")</f>
        <v>Tapa Tornillo Cambio de Codigo por: 2008481</v>
      </c>
      <c r="C887" s="12">
        <v>17</v>
      </c>
      <c r="D887" s="13">
        <v>13685</v>
      </c>
      <c r="E887" s="40">
        <v>874235</v>
      </c>
      <c r="F887" s="12">
        <v>3566561</v>
      </c>
      <c r="G887" s="77">
        <v>46021</v>
      </c>
      <c r="H887" s="12" t="s">
        <v>167</v>
      </c>
      <c r="I887" s="12"/>
      <c r="J887" s="12"/>
      <c r="K887" s="12"/>
      <c r="L887" s="12"/>
      <c r="M887" s="12"/>
      <c r="N887" s="9" t="s">
        <v>200</v>
      </c>
      <c r="O887" s="9" t="s">
        <v>258</v>
      </c>
      <c r="P887" s="37">
        <v>1374850</v>
      </c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</row>
    <row r="888" spans="1:33" ht="14.25" customHeight="1" x14ac:dyDescent="0.35">
      <c r="A888" s="12">
        <v>301749</v>
      </c>
      <c r="B888" s="59" t="str">
        <f>IFERROR(VLOOKUP(Tabla2[[#This Row],[CODIGO]],INVENTARIO!A:B,2,0)," ")</f>
        <v>Tubería PE80 025mm Rollo</v>
      </c>
      <c r="C888" s="12">
        <v>50</v>
      </c>
      <c r="D888" s="13">
        <v>38250</v>
      </c>
      <c r="E888" s="40">
        <v>874235</v>
      </c>
      <c r="F888" s="12">
        <v>3566561</v>
      </c>
      <c r="G888" s="77">
        <v>46021</v>
      </c>
      <c r="H888" s="12" t="s">
        <v>167</v>
      </c>
      <c r="I888" s="12"/>
      <c r="J888" s="9" t="s">
        <v>217</v>
      </c>
      <c r="K888" s="14">
        <v>45840</v>
      </c>
      <c r="L888" s="9" t="s">
        <v>240</v>
      </c>
      <c r="M888" s="9"/>
      <c r="N888" s="9" t="s">
        <v>200</v>
      </c>
      <c r="O888" s="9" t="s">
        <v>258</v>
      </c>
      <c r="P888" s="37">
        <v>1374850</v>
      </c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</row>
    <row r="889" spans="1:33" ht="14.25" customHeight="1" x14ac:dyDescent="0.35">
      <c r="A889" s="12">
        <v>1002167</v>
      </c>
      <c r="B889" s="59" t="str">
        <f>IFERROR(VLOOKUP(Tabla2[[#This Row],[CODIGO]],INVENTARIO!A:B,2,0)," ")</f>
        <v>Cable Trazador Cu 14 AWG Aisl. THW Roj</v>
      </c>
      <c r="C889" s="12">
        <v>300</v>
      </c>
      <c r="D889" s="13">
        <v>88200</v>
      </c>
      <c r="E889" s="40">
        <v>874235</v>
      </c>
      <c r="F889" s="12">
        <v>3566561</v>
      </c>
      <c r="G889" s="77">
        <v>46021</v>
      </c>
      <c r="H889" s="12" t="s">
        <v>167</v>
      </c>
      <c r="I889" s="12"/>
      <c r="J889" s="12"/>
      <c r="K889" s="12"/>
      <c r="L889" s="12"/>
      <c r="M889" s="12"/>
      <c r="N889" s="9" t="s">
        <v>200</v>
      </c>
      <c r="O889" s="9" t="s">
        <v>258</v>
      </c>
      <c r="P889" s="37">
        <v>1374850</v>
      </c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</row>
    <row r="890" spans="1:33" ht="14.25" customHeight="1" x14ac:dyDescent="0.35">
      <c r="A890" s="12">
        <v>303368</v>
      </c>
      <c r="B890" s="59" t="str">
        <f>IFERROR(VLOOKUP(Tabla2[[#This Row],[CODIGO]],INVENTARIO!A:B,2,0)," ")</f>
        <v>Cinta Plástica "Línea GN", 30 x 0.1</v>
      </c>
      <c r="C890" s="12">
        <v>300</v>
      </c>
      <c r="D890" s="13">
        <v>36300</v>
      </c>
      <c r="E890" s="40">
        <v>874235</v>
      </c>
      <c r="F890" s="12">
        <v>3566561</v>
      </c>
      <c r="G890" s="77">
        <v>46021</v>
      </c>
      <c r="H890" s="12" t="s">
        <v>167</v>
      </c>
      <c r="I890" s="12"/>
      <c r="J890" s="12"/>
      <c r="K890" s="12"/>
      <c r="L890" s="12"/>
      <c r="M890" s="12"/>
      <c r="N890" s="9" t="s">
        <v>200</v>
      </c>
      <c r="O890" s="9" t="s">
        <v>258</v>
      </c>
      <c r="P890" s="37">
        <v>1374850</v>
      </c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</row>
    <row r="891" spans="1:33" ht="14.25" customHeight="1" x14ac:dyDescent="0.35">
      <c r="A891" s="12">
        <v>303510</v>
      </c>
      <c r="B891" s="59" t="str">
        <f>IFERROR(VLOOKUP(Tabla2[[#This Row],[CODIGO]],INVENTARIO!A:B,2,0)," ")</f>
        <v>Guardallave Hormigón 125 mm con Tapa</v>
      </c>
      <c r="C891" s="12">
        <v>2</v>
      </c>
      <c r="D891" s="13">
        <v>7800</v>
      </c>
      <c r="E891" s="40">
        <v>874235</v>
      </c>
      <c r="F891" s="12">
        <v>3566561</v>
      </c>
      <c r="G891" s="77">
        <v>46021</v>
      </c>
      <c r="H891" s="12" t="s">
        <v>167</v>
      </c>
      <c r="I891" s="12"/>
      <c r="J891" s="12"/>
      <c r="K891" s="12"/>
      <c r="L891" s="12"/>
      <c r="M891" s="12"/>
      <c r="N891" s="9" t="s">
        <v>200</v>
      </c>
      <c r="O891" s="9" t="s">
        <v>258</v>
      </c>
      <c r="P891" s="37">
        <v>1374850</v>
      </c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</row>
    <row r="892" spans="1:33" ht="14.25" customHeight="1" x14ac:dyDescent="0.35">
      <c r="A892" s="12">
        <v>303510</v>
      </c>
      <c r="B892" s="59" t="str">
        <f>IFERROR(VLOOKUP(Tabla2[[#This Row],[CODIGO]],INVENTARIO!A:B,2,0)," ")</f>
        <v>Guardallave Hormigón 125 mm con Tapa</v>
      </c>
      <c r="C892" s="12">
        <v>1</v>
      </c>
      <c r="D892" s="13">
        <v>3900</v>
      </c>
      <c r="E892" s="40">
        <v>874186</v>
      </c>
      <c r="F892" s="12">
        <v>3566558</v>
      </c>
      <c r="G892" s="77">
        <v>46021</v>
      </c>
      <c r="H892" s="12" t="s">
        <v>167</v>
      </c>
      <c r="I892" s="12"/>
      <c r="J892" s="12"/>
      <c r="K892" s="12"/>
      <c r="L892" s="12"/>
      <c r="M892" s="9" t="s">
        <v>249</v>
      </c>
      <c r="N892" s="9" t="s">
        <v>193</v>
      </c>
      <c r="O892" s="9" t="s">
        <v>257</v>
      </c>
      <c r="P892" s="37">
        <v>1374848</v>
      </c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</row>
    <row r="893" spans="1:33" ht="14.25" customHeight="1" x14ac:dyDescent="0.35">
      <c r="A893" s="12">
        <v>301749</v>
      </c>
      <c r="B893" s="59" t="str">
        <f>IFERROR(VLOOKUP(Tabla2[[#This Row],[CODIGO]],INVENTARIO!A:B,2,0)," ")</f>
        <v>Tubería PE80 025mm Rollo</v>
      </c>
      <c r="C893" s="12">
        <v>50</v>
      </c>
      <c r="D893" s="13">
        <v>38250</v>
      </c>
      <c r="E893" s="40">
        <v>874186</v>
      </c>
      <c r="F893" s="12">
        <v>3566558</v>
      </c>
      <c r="G893" s="77">
        <v>46021</v>
      </c>
      <c r="H893" s="12" t="s">
        <v>167</v>
      </c>
      <c r="I893" s="12"/>
      <c r="J893" s="9" t="s">
        <v>217</v>
      </c>
      <c r="K893" s="14">
        <v>45839</v>
      </c>
      <c r="L893" s="9" t="s">
        <v>240</v>
      </c>
      <c r="M893" s="9" t="s">
        <v>249</v>
      </c>
      <c r="N893" s="9" t="s">
        <v>193</v>
      </c>
      <c r="O893" s="9" t="s">
        <v>257</v>
      </c>
      <c r="P893" s="37">
        <v>1374848</v>
      </c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</row>
    <row r="894" spans="1:33" ht="14.25" customHeight="1" x14ac:dyDescent="0.35">
      <c r="A894" s="12">
        <v>1002167</v>
      </c>
      <c r="B894" s="59" t="str">
        <f>IFERROR(VLOOKUP(Tabla2[[#This Row],[CODIGO]],INVENTARIO!A:B,2,0)," ")</f>
        <v>Cable Trazador Cu 14 AWG Aisl. THW Roj</v>
      </c>
      <c r="C894" s="12">
        <v>500</v>
      </c>
      <c r="D894" s="13">
        <v>147000</v>
      </c>
      <c r="E894" s="40">
        <v>874186</v>
      </c>
      <c r="F894" s="12">
        <v>3566558</v>
      </c>
      <c r="G894" s="77">
        <v>46021</v>
      </c>
      <c r="H894" s="12" t="s">
        <v>167</v>
      </c>
      <c r="I894" s="12"/>
      <c r="J894" s="12"/>
      <c r="K894" s="12"/>
      <c r="L894" s="12"/>
      <c r="M894" s="9" t="s">
        <v>249</v>
      </c>
      <c r="N894" s="9" t="s">
        <v>193</v>
      </c>
      <c r="O894" s="9" t="s">
        <v>257</v>
      </c>
      <c r="P894" s="37">
        <v>1374848</v>
      </c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</row>
    <row r="895" spans="1:33" ht="14.25" customHeight="1" x14ac:dyDescent="0.35">
      <c r="A895" s="12">
        <v>303368</v>
      </c>
      <c r="B895" s="59" t="str">
        <f>IFERROR(VLOOKUP(Tabla2[[#This Row],[CODIGO]],INVENTARIO!A:B,2,0)," ")</f>
        <v>Cinta Plástica "Línea GN", 30 x 0.1</v>
      </c>
      <c r="C895" s="12">
        <v>500</v>
      </c>
      <c r="D895" s="13">
        <v>60500</v>
      </c>
      <c r="E895" s="40">
        <v>874186</v>
      </c>
      <c r="F895" s="12">
        <v>3566558</v>
      </c>
      <c r="G895" s="77">
        <v>46021</v>
      </c>
      <c r="H895" s="12" t="s">
        <v>167</v>
      </c>
      <c r="I895" s="12"/>
      <c r="J895" s="12"/>
      <c r="K895" s="12"/>
      <c r="L895" s="12"/>
      <c r="M895" s="9" t="s">
        <v>249</v>
      </c>
      <c r="N895" s="9" t="s">
        <v>193</v>
      </c>
      <c r="O895" s="9" t="s">
        <v>257</v>
      </c>
      <c r="P895" s="37">
        <v>1374848</v>
      </c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</row>
    <row r="896" spans="1:33" ht="14.25" customHeight="1" x14ac:dyDescent="0.35">
      <c r="A896" s="12">
        <v>302737</v>
      </c>
      <c r="B896" s="59" t="str">
        <f>IFERROR(VLOOKUP(Tabla2[[#This Row],[CODIGO]],INVENTARIO!A:B,2,0)," ")</f>
        <v>Válvula Bola 3/4" Hi Un Cuerpo Pn5 Arco</v>
      </c>
      <c r="C896" s="12">
        <v>1</v>
      </c>
      <c r="D896" s="13">
        <v>16445</v>
      </c>
      <c r="E896" s="40">
        <v>874246</v>
      </c>
      <c r="F896" s="12">
        <v>3566557</v>
      </c>
      <c r="G896" s="77">
        <v>46021</v>
      </c>
      <c r="H896" s="12" t="s">
        <v>167</v>
      </c>
      <c r="I896" s="12"/>
      <c r="J896" s="12"/>
      <c r="K896" s="12"/>
      <c r="L896" s="12"/>
      <c r="M896" s="12"/>
      <c r="N896" s="9" t="s">
        <v>208</v>
      </c>
      <c r="O896" s="9" t="s">
        <v>258</v>
      </c>
      <c r="P896" s="37">
        <v>1374847</v>
      </c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</row>
    <row r="897" spans="1:33" ht="14.25" customHeight="1" x14ac:dyDescent="0.35">
      <c r="A897" s="12">
        <v>2006391</v>
      </c>
      <c r="B897" s="59" t="str">
        <f>IFERROR(VLOOKUP(Tabla2[[#This Row],[CODIGO]],INVENTARIO!A:B,2,0)," ")</f>
        <v>Guardallave Fierro Fundido C/Tapa</v>
      </c>
      <c r="C897" s="12">
        <v>1</v>
      </c>
      <c r="D897" s="13">
        <v>26923</v>
      </c>
      <c r="E897" s="40">
        <v>874246</v>
      </c>
      <c r="F897" s="12">
        <v>3566557</v>
      </c>
      <c r="G897" s="77">
        <v>46021</v>
      </c>
      <c r="H897" s="12" t="s">
        <v>167</v>
      </c>
      <c r="I897" s="12"/>
      <c r="J897" s="12"/>
      <c r="K897" s="12"/>
      <c r="L897" s="12"/>
      <c r="M897" s="12"/>
      <c r="N897" s="9" t="s">
        <v>208</v>
      </c>
      <c r="O897" s="9" t="s">
        <v>258</v>
      </c>
      <c r="P897" s="37">
        <v>1374847</v>
      </c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</row>
    <row r="898" spans="1:33" ht="14.25" customHeight="1" x14ac:dyDescent="0.35">
      <c r="A898" s="12">
        <v>302737</v>
      </c>
      <c r="B898" s="59" t="str">
        <f>IFERROR(VLOOKUP(Tabla2[[#This Row],[CODIGO]],INVENTARIO!A:B,2,0)," ")</f>
        <v>Válvula Bola 3/4" Hi Un Cuerpo Pn5 Arco</v>
      </c>
      <c r="C898" s="12">
        <v>1</v>
      </c>
      <c r="D898" s="13">
        <v>16445</v>
      </c>
      <c r="E898" s="40">
        <v>874239</v>
      </c>
      <c r="F898" s="12">
        <v>3566556</v>
      </c>
      <c r="G898" s="77">
        <v>46021</v>
      </c>
      <c r="H898" s="12" t="s">
        <v>167</v>
      </c>
      <c r="I898" s="12"/>
      <c r="J898" s="12"/>
      <c r="K898" s="12"/>
      <c r="L898" s="12"/>
      <c r="M898" s="12"/>
      <c r="N898" s="9" t="s">
        <v>205</v>
      </c>
      <c r="O898" s="9" t="s">
        <v>258</v>
      </c>
      <c r="P898" s="37">
        <v>1374846</v>
      </c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</row>
    <row r="899" spans="1:33" ht="14.25" customHeight="1" x14ac:dyDescent="0.35">
      <c r="A899" s="12">
        <v>2006391</v>
      </c>
      <c r="B899" s="59" t="str">
        <f>IFERROR(VLOOKUP(Tabla2[[#This Row],[CODIGO]],INVENTARIO!A:B,2,0)," ")</f>
        <v>Guardallave Fierro Fundido C/Tapa</v>
      </c>
      <c r="C899" s="12">
        <v>1</v>
      </c>
      <c r="D899" s="13">
        <v>26923</v>
      </c>
      <c r="E899" s="40">
        <v>874239</v>
      </c>
      <c r="F899" s="12">
        <v>3566556</v>
      </c>
      <c r="G899" s="77">
        <v>46021</v>
      </c>
      <c r="H899" s="12" t="s">
        <v>167</v>
      </c>
      <c r="I899" s="12"/>
      <c r="J899" s="12"/>
      <c r="K899" s="12"/>
      <c r="L899" s="12"/>
      <c r="M899" s="12"/>
      <c r="N899" s="9" t="s">
        <v>205</v>
      </c>
      <c r="O899" s="9" t="s">
        <v>258</v>
      </c>
      <c r="P899" s="37">
        <v>1374846</v>
      </c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</row>
    <row r="900" spans="1:33" ht="14.25" customHeight="1" x14ac:dyDescent="0.35">
      <c r="A900" s="12">
        <v>302184</v>
      </c>
      <c r="B900" s="59" t="str">
        <f>IFERROR(VLOOKUP(Tabla2[[#This Row],[CODIGO]],INVENTARIO!A:B,2,0)," ")</f>
        <v>Tapa Tornillo Cambio de Codigo por: 2008481</v>
      </c>
      <c r="C900" s="12">
        <v>1</v>
      </c>
      <c r="D900" s="13">
        <v>805</v>
      </c>
      <c r="E900" s="40">
        <v>874238</v>
      </c>
      <c r="F900" s="12">
        <v>3566555</v>
      </c>
      <c r="G900" s="77">
        <v>46021</v>
      </c>
      <c r="H900" s="12" t="s">
        <v>167</v>
      </c>
      <c r="I900" s="12"/>
      <c r="J900" s="12"/>
      <c r="K900" s="12"/>
      <c r="L900" s="12"/>
      <c r="M900" s="12"/>
      <c r="N900" s="9" t="s">
        <v>204</v>
      </c>
      <c r="O900" s="9" t="s">
        <v>258</v>
      </c>
      <c r="P900" s="37">
        <v>1374845</v>
      </c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</row>
    <row r="901" spans="1:33" ht="14.25" customHeight="1" x14ac:dyDescent="0.35">
      <c r="A901" s="12">
        <v>302737</v>
      </c>
      <c r="B901" s="59" t="str">
        <f>IFERROR(VLOOKUP(Tabla2[[#This Row],[CODIGO]],INVENTARIO!A:B,2,0)," ")</f>
        <v>Válvula Bola 3/4" Hi Un Cuerpo Pn5 Arco</v>
      </c>
      <c r="C901" s="12">
        <v>1</v>
      </c>
      <c r="D901" s="13">
        <v>16445</v>
      </c>
      <c r="E901" s="40">
        <v>874238</v>
      </c>
      <c r="F901" s="12">
        <v>3566555</v>
      </c>
      <c r="G901" s="77">
        <v>46021</v>
      </c>
      <c r="H901" s="12" t="s">
        <v>167</v>
      </c>
      <c r="I901" s="12"/>
      <c r="J901" s="12"/>
      <c r="K901" s="12"/>
      <c r="L901" s="12"/>
      <c r="M901" s="12"/>
      <c r="N901" s="9" t="s">
        <v>204</v>
      </c>
      <c r="O901" s="9" t="s">
        <v>258</v>
      </c>
      <c r="P901" s="37">
        <v>1374845</v>
      </c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</row>
    <row r="902" spans="1:33" ht="14.25" customHeight="1" x14ac:dyDescent="0.35">
      <c r="A902" s="12">
        <v>2006391</v>
      </c>
      <c r="B902" s="59" t="str">
        <f>IFERROR(VLOOKUP(Tabla2[[#This Row],[CODIGO]],INVENTARIO!A:B,2,0)," ")</f>
        <v>Guardallave Fierro Fundido C/Tapa</v>
      </c>
      <c r="C902" s="12">
        <v>1</v>
      </c>
      <c r="D902" s="13">
        <v>26923</v>
      </c>
      <c r="E902" s="40">
        <v>874238</v>
      </c>
      <c r="F902" s="12">
        <v>3566555</v>
      </c>
      <c r="G902" s="77">
        <v>46021</v>
      </c>
      <c r="H902" s="12" t="s">
        <v>167</v>
      </c>
      <c r="I902" s="12"/>
      <c r="J902" s="12"/>
      <c r="K902" s="12"/>
      <c r="L902" s="12"/>
      <c r="M902" s="12"/>
      <c r="N902" s="9" t="s">
        <v>204</v>
      </c>
      <c r="O902" s="9" t="s">
        <v>258</v>
      </c>
      <c r="P902" s="37">
        <v>1374845</v>
      </c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</row>
    <row r="903" spans="1:33" ht="14.25" customHeight="1" x14ac:dyDescent="0.35">
      <c r="A903" s="12">
        <v>2002262</v>
      </c>
      <c r="B903" s="59" t="str">
        <f>IFERROR(VLOOKUP(Tabla2[[#This Row],[CODIGO]],INVENTARIO!A:B,2,0)," ")</f>
        <v>Tubería PE80 050mm Rollo</v>
      </c>
      <c r="C903" s="12">
        <v>300</v>
      </c>
      <c r="D903" s="13">
        <v>774600</v>
      </c>
      <c r="E903" s="40">
        <v>874236</v>
      </c>
      <c r="F903" s="12">
        <v>3566587</v>
      </c>
      <c r="G903" s="77">
        <v>46022</v>
      </c>
      <c r="H903" s="12" t="s">
        <v>167</v>
      </c>
      <c r="I903" s="12"/>
      <c r="J903" s="9" t="s">
        <v>216</v>
      </c>
      <c r="K903" s="9"/>
      <c r="L903" s="9"/>
      <c r="M903" s="9"/>
      <c r="N903" s="9" t="s">
        <v>201</v>
      </c>
      <c r="O903" s="9" t="s">
        <v>258</v>
      </c>
      <c r="P903" s="37">
        <v>1374864</v>
      </c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</row>
    <row r="904" spans="1:33" ht="14.25" customHeight="1" x14ac:dyDescent="0.35">
      <c r="A904" s="12">
        <v>2002262</v>
      </c>
      <c r="B904" s="59" t="str">
        <f>IFERROR(VLOOKUP(Tabla2[[#This Row],[CODIGO]],INVENTARIO!A:B,2,0)," ")</f>
        <v>Tubería PE80 050mm Rollo</v>
      </c>
      <c r="C904" s="12">
        <v>50</v>
      </c>
      <c r="D904" s="13">
        <v>129100</v>
      </c>
      <c r="E904" s="40">
        <v>874237</v>
      </c>
      <c r="F904" s="12">
        <v>3566581</v>
      </c>
      <c r="G904" s="77">
        <v>46022</v>
      </c>
      <c r="H904" s="12" t="s">
        <v>167</v>
      </c>
      <c r="I904" s="12"/>
      <c r="J904" s="9" t="s">
        <v>216</v>
      </c>
      <c r="K904" s="9"/>
      <c r="L904" s="9"/>
      <c r="M904" s="9"/>
      <c r="N904" s="9" t="s">
        <v>202</v>
      </c>
      <c r="O904" s="9" t="s">
        <v>258</v>
      </c>
      <c r="P904" s="37">
        <v>1374861</v>
      </c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</row>
    <row r="905" spans="1:33" ht="14.25" customHeight="1" x14ac:dyDescent="0.35">
      <c r="A905" s="12">
        <v>2002262</v>
      </c>
      <c r="B905" s="59" t="str">
        <f>IFERROR(VLOOKUP(Tabla2[[#This Row],[CODIGO]],INVENTARIO!A:B,2,0)," ")</f>
        <v>Tubería PE80 050mm Rollo</v>
      </c>
      <c r="C905" s="12">
        <v>50</v>
      </c>
      <c r="D905" s="13">
        <v>129100</v>
      </c>
      <c r="E905" s="40">
        <v>874241</v>
      </c>
      <c r="F905" s="12">
        <v>3566583</v>
      </c>
      <c r="G905" s="77">
        <v>46022</v>
      </c>
      <c r="H905" s="12" t="s">
        <v>167</v>
      </c>
      <c r="I905" s="12"/>
      <c r="J905" s="9" t="s">
        <v>216</v>
      </c>
      <c r="K905" s="9"/>
      <c r="L905" s="9"/>
      <c r="M905" s="9"/>
      <c r="N905" s="9" t="s">
        <v>203</v>
      </c>
      <c r="O905" s="9" t="s">
        <v>258</v>
      </c>
      <c r="P905" s="37">
        <v>1374862</v>
      </c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</row>
    <row r="906" spans="1:33" ht="14.25" customHeight="1" x14ac:dyDescent="0.35">
      <c r="A906" s="12">
        <v>2002262</v>
      </c>
      <c r="B906" s="59" t="str">
        <f>IFERROR(VLOOKUP(Tabla2[[#This Row],[CODIGO]],INVENTARIO!A:B,2,0)," ")</f>
        <v>Tubería PE80 050mm Rollo</v>
      </c>
      <c r="C906" s="12">
        <v>200</v>
      </c>
      <c r="D906" s="13">
        <v>516400</v>
      </c>
      <c r="E906" s="40">
        <v>874236</v>
      </c>
      <c r="F906" s="12">
        <v>3566584</v>
      </c>
      <c r="G906" s="77">
        <v>46022</v>
      </c>
      <c r="H906" s="12" t="s">
        <v>167</v>
      </c>
      <c r="I906" s="12"/>
      <c r="J906" s="9" t="s">
        <v>216</v>
      </c>
      <c r="K906" s="9"/>
      <c r="L906" s="9"/>
      <c r="M906" s="9"/>
      <c r="N906" s="9" t="s">
        <v>201</v>
      </c>
      <c r="O906" s="9" t="s">
        <v>258</v>
      </c>
      <c r="P906" s="37">
        <v>1374863</v>
      </c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</row>
    <row r="907" spans="1:33" ht="14.25" customHeight="1" x14ac:dyDescent="0.35">
      <c r="A907" s="12">
        <v>2002262</v>
      </c>
      <c r="B907" s="59" t="str">
        <f>IFERROR(VLOOKUP(Tabla2[[#This Row],[CODIGO]],INVENTARIO!A:B,2,0)," ")</f>
        <v>Tubería PE80 050mm Rollo</v>
      </c>
      <c r="C907" s="12">
        <v>100</v>
      </c>
      <c r="D907" s="13">
        <v>258200</v>
      </c>
      <c r="E907" s="40">
        <v>874236</v>
      </c>
      <c r="F907" s="12">
        <v>3566596</v>
      </c>
      <c r="G907" s="77">
        <v>46022</v>
      </c>
      <c r="H907" s="12" t="s">
        <v>167</v>
      </c>
      <c r="I907" s="12"/>
      <c r="J907" s="9" t="s">
        <v>216</v>
      </c>
      <c r="K907" s="9"/>
      <c r="L907" s="9"/>
      <c r="M907" s="9"/>
      <c r="N907" s="9" t="s">
        <v>201</v>
      </c>
      <c r="O907" s="9" t="s">
        <v>258</v>
      </c>
      <c r="P907" s="37">
        <v>1374867</v>
      </c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</row>
    <row r="908" spans="1:33" ht="14.25" customHeight="1" x14ac:dyDescent="0.35">
      <c r="A908" s="12">
        <v>2002263</v>
      </c>
      <c r="B908" s="59" t="str">
        <f>IFERROR(VLOOKUP(Tabla2[[#This Row],[CODIGO]],INVENTARIO!A:B,2,0)," ")</f>
        <v>Tubería PE80 063mm Rollo</v>
      </c>
      <c r="C908" s="12">
        <v>150</v>
      </c>
      <c r="D908" s="13">
        <v>559950</v>
      </c>
      <c r="E908" s="40">
        <v>874236</v>
      </c>
      <c r="F908" s="12">
        <v>3566596</v>
      </c>
      <c r="G908" s="77">
        <v>46022</v>
      </c>
      <c r="H908" s="12" t="s">
        <v>167</v>
      </c>
      <c r="I908" s="12"/>
      <c r="J908" s="9" t="s">
        <v>218</v>
      </c>
      <c r="K908" s="9"/>
      <c r="L908" s="9"/>
      <c r="M908" s="9"/>
      <c r="N908" s="9" t="s">
        <v>201</v>
      </c>
      <c r="O908" s="9" t="s">
        <v>258</v>
      </c>
      <c r="P908" s="37">
        <v>1374867</v>
      </c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</row>
    <row r="909" spans="1:33" ht="14.25" customHeight="1" x14ac:dyDescent="0.35">
      <c r="A909" s="12">
        <v>2002262</v>
      </c>
      <c r="B909" s="59" t="str">
        <f>IFERROR(VLOOKUP(Tabla2[[#This Row],[CODIGO]],INVENTARIO!A:B,2,0)," ")</f>
        <v>Tubería PE80 050mm Rollo</v>
      </c>
      <c r="C909" s="12">
        <v>300</v>
      </c>
      <c r="D909" s="13">
        <v>774600</v>
      </c>
      <c r="E909" s="40">
        <v>874236</v>
      </c>
      <c r="F909" s="12">
        <v>3566591</v>
      </c>
      <c r="G909" s="77">
        <v>46022</v>
      </c>
      <c r="H909" s="12" t="s">
        <v>167</v>
      </c>
      <c r="I909" s="12"/>
      <c r="J909" s="9" t="s">
        <v>216</v>
      </c>
      <c r="K909" s="9"/>
      <c r="L909" s="9"/>
      <c r="M909" s="9"/>
      <c r="N909" s="9" t="s">
        <v>201</v>
      </c>
      <c r="O909" s="9" t="s">
        <v>258</v>
      </c>
      <c r="P909" s="37">
        <v>1374866</v>
      </c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</row>
    <row r="910" spans="1:33" ht="14.25" customHeight="1" x14ac:dyDescent="0.35">
      <c r="A910" s="12">
        <v>2002263</v>
      </c>
      <c r="B910" s="59" t="str">
        <f>IFERROR(VLOOKUP(Tabla2[[#This Row],[CODIGO]],INVENTARIO!A:B,2,0)," ")</f>
        <v>Tubería PE80 063mm Rollo</v>
      </c>
      <c r="C910" s="12">
        <v>200</v>
      </c>
      <c r="D910" s="13">
        <v>746600</v>
      </c>
      <c r="E910" s="40">
        <v>874235</v>
      </c>
      <c r="F910" s="12">
        <v>3566597</v>
      </c>
      <c r="G910" s="77">
        <v>46023</v>
      </c>
      <c r="H910" s="12" t="s">
        <v>167</v>
      </c>
      <c r="I910" s="12"/>
      <c r="J910" s="9" t="s">
        <v>218</v>
      </c>
      <c r="K910" s="9"/>
      <c r="L910" s="9"/>
      <c r="M910" s="9"/>
      <c r="N910" s="9" t="s">
        <v>200</v>
      </c>
      <c r="O910" s="9" t="s">
        <v>258</v>
      </c>
      <c r="P910" s="37">
        <v>1374857</v>
      </c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</row>
    <row r="911" spans="1:33" ht="14.25" customHeight="1" x14ac:dyDescent="0.35">
      <c r="A911" s="12">
        <v>2002263</v>
      </c>
      <c r="B911" s="59" t="str">
        <f>IFERROR(VLOOKUP(Tabla2[[#This Row],[CODIGO]],INVENTARIO!A:B,2,0)," ")</f>
        <v>Tubería PE80 063mm Rollo</v>
      </c>
      <c r="C911" s="12">
        <v>400</v>
      </c>
      <c r="D911" s="13">
        <v>1493200</v>
      </c>
      <c r="E911" s="40">
        <v>874242</v>
      </c>
      <c r="F911" s="12">
        <v>3566601</v>
      </c>
      <c r="G911" s="77">
        <v>46023</v>
      </c>
      <c r="H911" s="12" t="s">
        <v>167</v>
      </c>
      <c r="I911" s="12"/>
      <c r="J911" s="9" t="s">
        <v>218</v>
      </c>
      <c r="K911" s="9"/>
      <c r="L911" s="9"/>
      <c r="M911" s="9"/>
      <c r="N911" s="9" t="s">
        <v>194</v>
      </c>
      <c r="O911" s="9" t="s">
        <v>258</v>
      </c>
      <c r="P911" s="37">
        <v>1374859</v>
      </c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</row>
    <row r="912" spans="1:33" ht="14.25" customHeight="1" x14ac:dyDescent="0.35">
      <c r="A912" s="12">
        <v>2007948</v>
      </c>
      <c r="B912" s="59" t="str">
        <f>IFERROR(VLOOKUP(Tabla2[[#This Row],[CODIGO]],INVENTARIO!A:B,2,0)," ")</f>
        <v>Tubo PVC Hidraulico 110 mm Pn6 Celeste</v>
      </c>
      <c r="C912" s="12">
        <v>6</v>
      </c>
      <c r="D912" s="13">
        <v>14556</v>
      </c>
      <c r="E912" s="40">
        <v>874242</v>
      </c>
      <c r="F912" s="12">
        <v>3566601</v>
      </c>
      <c r="G912" s="77">
        <v>46022</v>
      </c>
      <c r="H912" s="12" t="s">
        <v>167</v>
      </c>
      <c r="I912" s="12"/>
      <c r="J912" s="12"/>
      <c r="K912" s="12"/>
      <c r="L912" s="12"/>
      <c r="M912" s="12"/>
      <c r="N912" s="9" t="s">
        <v>194</v>
      </c>
      <c r="O912" s="9" t="s">
        <v>258</v>
      </c>
      <c r="P912" s="37">
        <v>1374859</v>
      </c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</row>
    <row r="913" spans="1:33" ht="14.25" customHeight="1" x14ac:dyDescent="0.35">
      <c r="A913" s="12">
        <v>2007948</v>
      </c>
      <c r="B913" s="59" t="str">
        <f>IFERROR(VLOOKUP(Tabla2[[#This Row],[CODIGO]],INVENTARIO!A:B,2,0)," ")</f>
        <v>Tubo PVC Hidraulico 110 mm Pn6 Celeste</v>
      </c>
      <c r="C913" s="12">
        <v>6</v>
      </c>
      <c r="D913" s="13">
        <v>14556</v>
      </c>
      <c r="E913" s="40">
        <v>874240</v>
      </c>
      <c r="F913" s="12">
        <v>3566600</v>
      </c>
      <c r="G913" s="77">
        <v>46022</v>
      </c>
      <c r="H913" s="12" t="s">
        <v>167</v>
      </c>
      <c r="I913" s="12"/>
      <c r="J913" s="12"/>
      <c r="K913" s="12"/>
      <c r="L913" s="12"/>
      <c r="M913" s="12"/>
      <c r="N913" s="9" t="s">
        <v>206</v>
      </c>
      <c r="O913" s="9" t="s">
        <v>258</v>
      </c>
      <c r="P913" s="37">
        <v>1374869</v>
      </c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</row>
    <row r="914" spans="1:33" ht="14.25" customHeight="1" x14ac:dyDescent="0.35">
      <c r="A914" s="12">
        <v>2002263</v>
      </c>
      <c r="B914" s="59" t="str">
        <f>IFERROR(VLOOKUP(Tabla2[[#This Row],[CODIGO]],INVENTARIO!A:B,2,0)," ")</f>
        <v>Tubería PE80 063mm Rollo</v>
      </c>
      <c r="C914" s="12">
        <v>550</v>
      </c>
      <c r="D914" s="13">
        <v>2053150</v>
      </c>
      <c r="E914" s="40">
        <v>874237</v>
      </c>
      <c r="F914" s="12">
        <v>3566599</v>
      </c>
      <c r="G914" s="77">
        <v>46022</v>
      </c>
      <c r="H914" s="12" t="s">
        <v>167</v>
      </c>
      <c r="I914" s="12"/>
      <c r="J914" s="9" t="s">
        <v>218</v>
      </c>
      <c r="K914" s="9"/>
      <c r="L914" s="9"/>
      <c r="M914" s="9"/>
      <c r="N914" s="9" t="s">
        <v>202</v>
      </c>
      <c r="O914" s="9" t="s">
        <v>258</v>
      </c>
      <c r="P914" s="37">
        <v>1374858</v>
      </c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</row>
    <row r="915" spans="1:33" ht="14.25" customHeight="1" x14ac:dyDescent="0.35">
      <c r="A915" s="12">
        <v>2007948</v>
      </c>
      <c r="B915" s="59" t="str">
        <f>IFERROR(VLOOKUP(Tabla2[[#This Row],[CODIGO]],INVENTARIO!A:B,2,0)," ")</f>
        <v>Tubo PVC Hidraulico 110 mm Pn6 Celeste</v>
      </c>
      <c r="C915" s="12">
        <v>6</v>
      </c>
      <c r="D915" s="13">
        <v>14556</v>
      </c>
      <c r="E915" s="40">
        <v>874237</v>
      </c>
      <c r="F915" s="12">
        <v>3566599</v>
      </c>
      <c r="G915" s="77">
        <v>46022</v>
      </c>
      <c r="H915" s="12" t="s">
        <v>167</v>
      </c>
      <c r="I915" s="12"/>
      <c r="J915" s="12"/>
      <c r="K915" s="12"/>
      <c r="L915" s="12"/>
      <c r="M915" s="12"/>
      <c r="N915" s="9" t="s">
        <v>202</v>
      </c>
      <c r="O915" s="9" t="s">
        <v>258</v>
      </c>
      <c r="P915" s="37">
        <v>1374858</v>
      </c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</row>
    <row r="916" spans="1:33" ht="14.25" customHeight="1" x14ac:dyDescent="0.35">
      <c r="A916" s="12">
        <v>2007948</v>
      </c>
      <c r="B916" s="59" t="str">
        <f>IFERROR(VLOOKUP(Tabla2[[#This Row],[CODIGO]],INVENTARIO!A:B,2,0)," ")</f>
        <v>Tubo PVC Hidraulico 110 mm Pn6 Celeste</v>
      </c>
      <c r="C916" s="12">
        <v>108</v>
      </c>
      <c r="D916" s="13">
        <v>262008</v>
      </c>
      <c r="E916" s="40"/>
      <c r="F916" s="12">
        <v>3566598</v>
      </c>
      <c r="G916" s="77">
        <v>46022</v>
      </c>
      <c r="H916" s="12" t="s">
        <v>167</v>
      </c>
      <c r="I916" s="12"/>
      <c r="J916" s="12"/>
      <c r="K916" s="12"/>
      <c r="L916" s="12"/>
      <c r="M916" s="12"/>
      <c r="N916" s="9" t="s">
        <v>201</v>
      </c>
      <c r="O916" s="9" t="s">
        <v>258</v>
      </c>
      <c r="P916" s="37">
        <v>1374868</v>
      </c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</row>
    <row r="917" spans="1:33" ht="14.25" customHeight="1" x14ac:dyDescent="0.35">
      <c r="A917" s="12">
        <v>300108</v>
      </c>
      <c r="B917" s="59" t="str">
        <f>IFERROR(VLOOKUP(Tabla2[[#This Row],[CODIGO]],INVENTARIO!A:B,2,0)," ")</f>
        <v>Tapping Tee PE 63-25 mm</v>
      </c>
      <c r="C917" s="12">
        <v>1</v>
      </c>
      <c r="D917" s="13">
        <v>16107</v>
      </c>
      <c r="E917" s="40">
        <v>4500514835</v>
      </c>
      <c r="F917" s="12">
        <v>3566554</v>
      </c>
      <c r="G917" s="77">
        <v>46021</v>
      </c>
      <c r="H917" s="12" t="s">
        <v>166</v>
      </c>
      <c r="I917" s="12"/>
      <c r="J917" s="12"/>
      <c r="K917" s="12"/>
      <c r="L917" s="12"/>
      <c r="M917" s="12"/>
      <c r="N917" s="9" t="s">
        <v>206</v>
      </c>
      <c r="O917" s="9"/>
      <c r="P917" s="37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</row>
    <row r="918" spans="1:33" ht="14.25" customHeight="1" x14ac:dyDescent="0.35">
      <c r="A918" s="12">
        <v>300109</v>
      </c>
      <c r="B918" s="59" t="str">
        <f>IFERROR(VLOOKUP(Tabla2[[#This Row],[CODIGO]],INVENTARIO!A:B,2,0)," ")</f>
        <v>Risers de Acero 3/4" Bsp x 25 mm</v>
      </c>
      <c r="C918" s="12">
        <v>1</v>
      </c>
      <c r="D918" s="13">
        <v>30781</v>
      </c>
      <c r="E918" s="40">
        <v>4500514835</v>
      </c>
      <c r="F918" s="12">
        <v>3566554</v>
      </c>
      <c r="G918" s="77">
        <v>46021</v>
      </c>
      <c r="H918" s="12" t="s">
        <v>166</v>
      </c>
      <c r="I918" s="12"/>
      <c r="J918" s="12"/>
      <c r="K918" s="12"/>
      <c r="L918" s="12"/>
      <c r="M918" s="12"/>
      <c r="N918" s="9" t="s">
        <v>206</v>
      </c>
      <c r="O918" s="9"/>
      <c r="P918" s="37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</row>
    <row r="919" spans="1:33" ht="14.25" customHeight="1" x14ac:dyDescent="0.35">
      <c r="A919" s="12">
        <v>301099</v>
      </c>
      <c r="B919" s="59" t="str">
        <f>IFERROR(VLOOKUP(Tabla2[[#This Row],[CODIGO]],INVENTARIO!A:B,2,0)," ")</f>
        <v>Válvula PE100 Dn 25mm</v>
      </c>
      <c r="C919" s="12">
        <v>1</v>
      </c>
      <c r="D919" s="13">
        <v>64303</v>
      </c>
      <c r="E919" s="40">
        <v>4500514835</v>
      </c>
      <c r="F919" s="12">
        <v>3566554</v>
      </c>
      <c r="G919" s="77">
        <v>46021</v>
      </c>
      <c r="H919" s="12" t="s">
        <v>166</v>
      </c>
      <c r="I919" s="12"/>
      <c r="J919" s="12"/>
      <c r="K919" s="12"/>
      <c r="L919" s="12"/>
      <c r="M919" s="12"/>
      <c r="N919" s="9" t="s">
        <v>206</v>
      </c>
      <c r="O919" s="9"/>
      <c r="P919" s="37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</row>
    <row r="920" spans="1:33" ht="14.25" customHeight="1" x14ac:dyDescent="0.35">
      <c r="A920" s="12">
        <v>301329</v>
      </c>
      <c r="B920" s="59" t="str">
        <f>IFERROR(VLOOKUP(Tabla2[[#This Row],[CODIGO]],INVENTARIO!A:B,2,0)," ")</f>
        <v>Copla PE100 025mm EF</v>
      </c>
      <c r="C920" s="12">
        <v>4</v>
      </c>
      <c r="D920" s="13">
        <v>7796</v>
      </c>
      <c r="E920" s="40">
        <v>4500514835</v>
      </c>
      <c r="F920" s="12">
        <v>3566554</v>
      </c>
      <c r="G920" s="77">
        <v>46021</v>
      </c>
      <c r="H920" s="12" t="s">
        <v>166</v>
      </c>
      <c r="I920" s="12"/>
      <c r="J920" s="12"/>
      <c r="K920" s="12"/>
      <c r="L920" s="12"/>
      <c r="M920" s="12"/>
      <c r="N920" s="9" t="s">
        <v>206</v>
      </c>
      <c r="O920" s="9"/>
      <c r="P920" s="37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</row>
    <row r="921" spans="1:33" ht="14.25" customHeight="1" x14ac:dyDescent="0.35">
      <c r="A921" s="12">
        <v>2003911</v>
      </c>
      <c r="B921" s="59" t="str">
        <f>IFERROR(VLOOKUP(Tabla2[[#This Row],[CODIGO]],INVENTARIO!A:B,2,0)," ")</f>
        <v>Válvula EFv PE 25 mm Para Tap. Tee</v>
      </c>
      <c r="C921" s="12">
        <v>1</v>
      </c>
      <c r="D921" s="13">
        <v>6233</v>
      </c>
      <c r="E921" s="40">
        <v>4500514835</v>
      </c>
      <c r="F921" s="12">
        <v>3566554</v>
      </c>
      <c r="G921" s="77">
        <v>46021</v>
      </c>
      <c r="H921" s="12" t="s">
        <v>166</v>
      </c>
      <c r="I921" s="12"/>
      <c r="J921" s="12"/>
      <c r="K921" s="12"/>
      <c r="L921" s="12"/>
      <c r="M921" s="12"/>
      <c r="N921" s="9" t="s">
        <v>206</v>
      </c>
      <c r="O921" s="9"/>
      <c r="P921" s="37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</row>
    <row r="922" spans="1:33" ht="14.25" customHeight="1" x14ac:dyDescent="0.35">
      <c r="A922" s="12">
        <v>101618</v>
      </c>
      <c r="B922" s="59" t="str">
        <f>IFERROR(VLOOKUP(Tabla2[[#This Row],[CODIGO]],INVENTARIO!A:B,2,0)," ")</f>
        <v>Risers Ac,Recto 3/4 "x25 mm</v>
      </c>
      <c r="C922" s="12">
        <v>1</v>
      </c>
      <c r="D922" s="13">
        <v>31589</v>
      </c>
      <c r="E922" s="40">
        <v>4500514832</v>
      </c>
      <c r="F922" s="12">
        <v>3566553</v>
      </c>
      <c r="G922" s="77">
        <v>46021</v>
      </c>
      <c r="H922" s="12" t="s">
        <v>166</v>
      </c>
      <c r="I922" s="12"/>
      <c r="J922" s="12"/>
      <c r="K922" s="12"/>
      <c r="L922" s="12"/>
      <c r="M922" s="12"/>
      <c r="N922" s="9" t="s">
        <v>205</v>
      </c>
      <c r="O922" s="9"/>
      <c r="P922" s="37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</row>
    <row r="923" spans="1:33" ht="14.25" customHeight="1" x14ac:dyDescent="0.35">
      <c r="A923" s="12">
        <v>300108</v>
      </c>
      <c r="B923" s="59" t="str">
        <f>IFERROR(VLOOKUP(Tabla2[[#This Row],[CODIGO]],INVENTARIO!A:B,2,0)," ")</f>
        <v>Tapping Tee PE 63-25 mm</v>
      </c>
      <c r="C923" s="12">
        <v>1</v>
      </c>
      <c r="D923" s="13">
        <v>16107</v>
      </c>
      <c r="E923" s="40">
        <v>4500514832</v>
      </c>
      <c r="F923" s="12">
        <v>3566553</v>
      </c>
      <c r="G923" s="77">
        <v>46021</v>
      </c>
      <c r="H923" s="12" t="s">
        <v>166</v>
      </c>
      <c r="I923" s="12"/>
      <c r="J923" s="12"/>
      <c r="K923" s="12"/>
      <c r="L923" s="12"/>
      <c r="M923" s="12"/>
      <c r="N923" s="9" t="s">
        <v>205</v>
      </c>
      <c r="O923" s="9"/>
      <c r="P923" s="37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</row>
    <row r="924" spans="1:33" ht="14.25" customHeight="1" x14ac:dyDescent="0.35">
      <c r="A924" s="12">
        <v>301099</v>
      </c>
      <c r="B924" s="59" t="str">
        <f>IFERROR(VLOOKUP(Tabla2[[#This Row],[CODIGO]],INVENTARIO!A:B,2,0)," ")</f>
        <v>Válvula PE100 Dn 25mm</v>
      </c>
      <c r="C924" s="12">
        <v>1</v>
      </c>
      <c r="D924" s="13">
        <v>64303</v>
      </c>
      <c r="E924" s="40">
        <v>4500514832</v>
      </c>
      <c r="F924" s="12">
        <v>3566553</v>
      </c>
      <c r="G924" s="77">
        <v>46021</v>
      </c>
      <c r="H924" s="12" t="s">
        <v>166</v>
      </c>
      <c r="I924" s="12"/>
      <c r="J924" s="12"/>
      <c r="K924" s="12"/>
      <c r="L924" s="12"/>
      <c r="M924" s="12"/>
      <c r="N924" s="9" t="s">
        <v>205</v>
      </c>
      <c r="O924" s="9"/>
      <c r="P924" s="37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</row>
    <row r="925" spans="1:33" ht="14.25" customHeight="1" x14ac:dyDescent="0.35">
      <c r="A925" s="12">
        <v>301329</v>
      </c>
      <c r="B925" s="59" t="str">
        <f>IFERROR(VLOOKUP(Tabla2[[#This Row],[CODIGO]],INVENTARIO!A:B,2,0)," ")</f>
        <v>Copla PE100 025mm EF</v>
      </c>
      <c r="C925" s="12">
        <v>4</v>
      </c>
      <c r="D925" s="13">
        <v>7796</v>
      </c>
      <c r="E925" s="40">
        <v>4500514832</v>
      </c>
      <c r="F925" s="12">
        <v>3566553</v>
      </c>
      <c r="G925" s="77">
        <v>46021</v>
      </c>
      <c r="H925" s="12" t="s">
        <v>166</v>
      </c>
      <c r="I925" s="12"/>
      <c r="J925" s="12"/>
      <c r="K925" s="12"/>
      <c r="L925" s="12"/>
      <c r="M925" s="12"/>
      <c r="N925" s="9" t="s">
        <v>205</v>
      </c>
      <c r="O925" s="9"/>
      <c r="P925" s="37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</row>
    <row r="926" spans="1:33" ht="14.25" customHeight="1" x14ac:dyDescent="0.35">
      <c r="A926" s="12">
        <v>301738</v>
      </c>
      <c r="B926" s="59" t="str">
        <f>IFERROR(VLOOKUP(Tabla2[[#This Row],[CODIGO]],INVENTARIO!A:B,2,0)," ")</f>
        <v>Regulador Sum. Fe-25, 20 Mbar P.Fior</v>
      </c>
      <c r="C926" s="12">
        <v>1</v>
      </c>
      <c r="D926" s="13">
        <v>279076</v>
      </c>
      <c r="E926" s="40">
        <v>4500514832</v>
      </c>
      <c r="F926" s="12">
        <v>3566553</v>
      </c>
      <c r="G926" s="77">
        <v>46021</v>
      </c>
      <c r="H926" s="12" t="s">
        <v>166</v>
      </c>
      <c r="I926" s="12"/>
      <c r="J926" s="12"/>
      <c r="K926" s="12"/>
      <c r="L926" s="12"/>
      <c r="M926" s="12"/>
      <c r="N926" s="9" t="s">
        <v>205</v>
      </c>
      <c r="O926" s="9"/>
      <c r="P926" s="37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</row>
    <row r="927" spans="1:33" ht="14.25" customHeight="1" x14ac:dyDescent="0.35">
      <c r="A927" s="12">
        <v>2000350</v>
      </c>
      <c r="B927" s="59" t="str">
        <f>IFERROR(VLOOKUP(Tabla2[[#This Row],[CODIGO]],INVENTARIO!A:B,2,0)," ")</f>
        <v>Codo PE 90º  25 mm EF.</v>
      </c>
      <c r="C927" s="12">
        <v>2</v>
      </c>
      <c r="D927" s="13">
        <v>12264</v>
      </c>
      <c r="E927" s="40">
        <v>4500514832</v>
      </c>
      <c r="F927" s="12">
        <v>3566553</v>
      </c>
      <c r="G927" s="77">
        <v>46021</v>
      </c>
      <c r="H927" s="12" t="s">
        <v>166</v>
      </c>
      <c r="I927" s="12"/>
      <c r="J927" s="12"/>
      <c r="K927" s="12"/>
      <c r="L927" s="12"/>
      <c r="M927" s="12"/>
      <c r="N927" s="9" t="s">
        <v>205</v>
      </c>
      <c r="O927" s="9"/>
      <c r="P927" s="37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</row>
    <row r="928" spans="1:33" ht="14.25" customHeight="1" x14ac:dyDescent="0.35">
      <c r="A928" s="12">
        <v>101624</v>
      </c>
      <c r="B928" s="59" t="str">
        <f>IFERROR(VLOOKUP(Tabla2[[#This Row],[CODIGO]],INVENTARIO!A:B,2,0)," ")</f>
        <v>Tapping Tee PE 50-25 mm</v>
      </c>
      <c r="C928" s="12">
        <v>1</v>
      </c>
      <c r="D928" s="13">
        <v>15600</v>
      </c>
      <c r="E928" s="40">
        <v>4500514828</v>
      </c>
      <c r="F928" s="12">
        <v>3566552</v>
      </c>
      <c r="G928" s="77">
        <v>46021</v>
      </c>
      <c r="H928" s="12" t="s">
        <v>166</v>
      </c>
      <c r="I928" s="12"/>
      <c r="J928" s="12"/>
      <c r="K928" s="12"/>
      <c r="L928" s="12"/>
      <c r="M928" s="12"/>
      <c r="N928" s="9" t="s">
        <v>204</v>
      </c>
      <c r="O928" s="9"/>
      <c r="P928" s="37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</row>
    <row r="929" spans="1:33" ht="14.25" customHeight="1" x14ac:dyDescent="0.35">
      <c r="A929" s="12">
        <v>300109</v>
      </c>
      <c r="B929" s="59" t="str">
        <f>IFERROR(VLOOKUP(Tabla2[[#This Row],[CODIGO]],INVENTARIO!A:B,2,0)," ")</f>
        <v>Risers de Acero 3/4" Bsp x 25 mm</v>
      </c>
      <c r="C929" s="12">
        <v>1</v>
      </c>
      <c r="D929" s="13">
        <v>30781</v>
      </c>
      <c r="E929" s="40">
        <v>4500514828</v>
      </c>
      <c r="F929" s="12">
        <v>3566552</v>
      </c>
      <c r="G929" s="77">
        <v>46021</v>
      </c>
      <c r="H929" s="12" t="s">
        <v>166</v>
      </c>
      <c r="I929" s="12"/>
      <c r="J929" s="12"/>
      <c r="K929" s="12"/>
      <c r="L929" s="12"/>
      <c r="M929" s="12"/>
      <c r="N929" s="9" t="s">
        <v>204</v>
      </c>
      <c r="O929" s="9"/>
      <c r="P929" s="37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</row>
    <row r="930" spans="1:33" ht="14.25" customHeight="1" x14ac:dyDescent="0.35">
      <c r="A930" s="12">
        <v>301099</v>
      </c>
      <c r="B930" s="59" t="str">
        <f>IFERROR(VLOOKUP(Tabla2[[#This Row],[CODIGO]],INVENTARIO!A:B,2,0)," ")</f>
        <v>Válvula PE100 Dn 25mm</v>
      </c>
      <c r="C930" s="12">
        <v>1</v>
      </c>
      <c r="D930" s="13">
        <v>64303</v>
      </c>
      <c r="E930" s="40">
        <v>4500514828</v>
      </c>
      <c r="F930" s="12">
        <v>3566552</v>
      </c>
      <c r="G930" s="77">
        <v>46021</v>
      </c>
      <c r="H930" s="12" t="s">
        <v>166</v>
      </c>
      <c r="I930" s="12"/>
      <c r="J930" s="12"/>
      <c r="K930" s="12"/>
      <c r="L930" s="12"/>
      <c r="M930" s="12"/>
      <c r="N930" s="9" t="s">
        <v>204</v>
      </c>
      <c r="O930" s="9"/>
      <c r="P930" s="37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</row>
    <row r="931" spans="1:33" ht="14.25" customHeight="1" x14ac:dyDescent="0.35">
      <c r="A931" s="12">
        <v>301329</v>
      </c>
      <c r="B931" s="59" t="str">
        <f>IFERROR(VLOOKUP(Tabla2[[#This Row],[CODIGO]],INVENTARIO!A:B,2,0)," ")</f>
        <v>Copla PE100 025mm EF</v>
      </c>
      <c r="C931" s="12">
        <v>4</v>
      </c>
      <c r="D931" s="13">
        <v>7796</v>
      </c>
      <c r="E931" s="40">
        <v>4500514828</v>
      </c>
      <c r="F931" s="12">
        <v>3566552</v>
      </c>
      <c r="G931" s="77">
        <v>46021</v>
      </c>
      <c r="H931" s="12" t="s">
        <v>166</v>
      </c>
      <c r="I931" s="12"/>
      <c r="J931" s="12"/>
      <c r="K931" s="12"/>
      <c r="L931" s="12"/>
      <c r="M931" s="12"/>
      <c r="N931" s="9" t="s">
        <v>204</v>
      </c>
      <c r="O931" s="9"/>
      <c r="P931" s="37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</row>
    <row r="932" spans="1:33" ht="14.25" customHeight="1" x14ac:dyDescent="0.35">
      <c r="A932" s="12">
        <v>2003911</v>
      </c>
      <c r="B932" s="59" t="str">
        <f>IFERROR(VLOOKUP(Tabla2[[#This Row],[CODIGO]],INVENTARIO!A:B,2,0)," ")</f>
        <v>Válvula EFv PE 25 mm Para Tap. Tee</v>
      </c>
      <c r="C932" s="12">
        <v>1</v>
      </c>
      <c r="D932" s="13">
        <v>6223</v>
      </c>
      <c r="E932" s="40">
        <v>4500514828</v>
      </c>
      <c r="F932" s="12">
        <v>3566552</v>
      </c>
      <c r="G932" s="77">
        <v>46021</v>
      </c>
      <c r="H932" s="12" t="s">
        <v>166</v>
      </c>
      <c r="I932" s="12"/>
      <c r="J932" s="12"/>
      <c r="K932" s="12"/>
      <c r="L932" s="12"/>
      <c r="M932" s="12"/>
      <c r="N932" s="9" t="s">
        <v>204</v>
      </c>
      <c r="O932" s="9"/>
      <c r="P932" s="37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</row>
    <row r="933" spans="1:33" ht="14.25" customHeight="1" x14ac:dyDescent="0.35">
      <c r="A933" s="12">
        <v>2003965</v>
      </c>
      <c r="B933" s="59" t="str">
        <f>IFERROR(VLOOKUP(Tabla2[[#This Row],[CODIGO]],INVENTARIO!A:B,2,0)," ")</f>
        <v>Válvula PE100 Dn 63mm</v>
      </c>
      <c r="C933" s="12">
        <v>1</v>
      </c>
      <c r="D933" s="13">
        <v>78642</v>
      </c>
      <c r="E933" s="40">
        <v>4500514844</v>
      </c>
      <c r="F933" s="12">
        <v>3566550</v>
      </c>
      <c r="G933" s="77">
        <v>46021</v>
      </c>
      <c r="H933" s="12" t="s">
        <v>166</v>
      </c>
      <c r="I933" s="12"/>
      <c r="J933" s="12"/>
      <c r="K933" s="12"/>
      <c r="L933" s="12"/>
      <c r="M933" s="12"/>
      <c r="N933" s="9" t="s">
        <v>194</v>
      </c>
      <c r="O933" s="9"/>
      <c r="P933" s="37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</row>
    <row r="934" spans="1:33" ht="14.25" customHeight="1" x14ac:dyDescent="0.35">
      <c r="A934" s="12">
        <v>2003911</v>
      </c>
      <c r="B934" s="59" t="str">
        <f>IFERROR(VLOOKUP(Tabla2[[#This Row],[CODIGO]],INVENTARIO!A:B,2,0)," ")</f>
        <v>Válvula EFv PE 25 mm Para Tap. Tee</v>
      </c>
      <c r="C934" s="12">
        <v>37</v>
      </c>
      <c r="D934" s="13">
        <v>230621</v>
      </c>
      <c r="E934" s="40">
        <v>4500514844</v>
      </c>
      <c r="F934" s="12">
        <v>3566550</v>
      </c>
      <c r="G934" s="77">
        <v>46021</v>
      </c>
      <c r="H934" s="12" t="s">
        <v>166</v>
      </c>
      <c r="I934" s="12"/>
      <c r="J934" s="12"/>
      <c r="K934" s="12"/>
      <c r="L934" s="12"/>
      <c r="M934" s="12"/>
      <c r="N934" s="9" t="s">
        <v>194</v>
      </c>
      <c r="O934" s="9"/>
      <c r="P934" s="37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</row>
    <row r="935" spans="1:33" ht="14.25" customHeight="1" x14ac:dyDescent="0.35">
      <c r="A935" s="12">
        <v>2004822</v>
      </c>
      <c r="B935" s="59" t="str">
        <f>IFERROR(VLOOKUP(Tabla2[[#This Row],[CODIGO]],INVENTARIO!A:B,2,0)," ")</f>
        <v>Tapa PE100 025 mm Termo F.</v>
      </c>
      <c r="C935" s="12">
        <v>3</v>
      </c>
      <c r="D935" s="13">
        <v>3552</v>
      </c>
      <c r="E935" s="40">
        <v>4500514844</v>
      </c>
      <c r="F935" s="12">
        <v>3566550</v>
      </c>
      <c r="G935" s="77">
        <v>46021</v>
      </c>
      <c r="H935" s="12" t="s">
        <v>166</v>
      </c>
      <c r="I935" s="12"/>
      <c r="J935" s="12"/>
      <c r="K935" s="12"/>
      <c r="L935" s="12"/>
      <c r="M935" s="12"/>
      <c r="N935" s="9" t="s">
        <v>194</v>
      </c>
      <c r="O935" s="9"/>
      <c r="P935" s="37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</row>
    <row r="936" spans="1:33" ht="14.25" customHeight="1" x14ac:dyDescent="0.35">
      <c r="A936" s="12">
        <v>303345</v>
      </c>
      <c r="B936" s="59" t="str">
        <f>IFERROR(VLOOKUP(Tabla2[[#This Row],[CODIGO]],INVENTARIO!A:B,2,0)," ")</f>
        <v>Copla PE100 050mm EF</v>
      </c>
      <c r="C936" s="12">
        <v>13</v>
      </c>
      <c r="D936" s="13">
        <v>42926</v>
      </c>
      <c r="E936" s="40">
        <v>4500514844</v>
      </c>
      <c r="F936" s="12">
        <v>3566550</v>
      </c>
      <c r="G936" s="77">
        <v>46021</v>
      </c>
      <c r="H936" s="12" t="s">
        <v>166</v>
      </c>
      <c r="I936" s="12"/>
      <c r="J936" s="12"/>
      <c r="K936" s="12"/>
      <c r="L936" s="12"/>
      <c r="M936" s="12"/>
      <c r="N936" s="9" t="s">
        <v>194</v>
      </c>
      <c r="O936" s="9"/>
      <c r="P936" s="37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</row>
    <row r="937" spans="1:33" ht="14.25" customHeight="1" x14ac:dyDescent="0.35">
      <c r="A937" s="12">
        <v>302659</v>
      </c>
      <c r="B937" s="59" t="str">
        <f>IFERROR(VLOOKUP(Tabla2[[#This Row],[CODIGO]],INVENTARIO!A:B,2,0)," ")</f>
        <v>Copla PE100 063mm EF</v>
      </c>
      <c r="C937" s="12">
        <v>2</v>
      </c>
      <c r="D937" s="13">
        <v>9256</v>
      </c>
      <c r="E937" s="40">
        <v>4500514844</v>
      </c>
      <c r="F937" s="12">
        <v>3566550</v>
      </c>
      <c r="G937" s="77">
        <v>46021</v>
      </c>
      <c r="H937" s="12" t="s">
        <v>166</v>
      </c>
      <c r="I937" s="12"/>
      <c r="J937" s="12"/>
      <c r="K937" s="12"/>
      <c r="L937" s="12"/>
      <c r="M937" s="12"/>
      <c r="N937" s="9" t="s">
        <v>194</v>
      </c>
      <c r="O937" s="9"/>
      <c r="P937" s="37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</row>
    <row r="938" spans="1:33" ht="14.25" customHeight="1" x14ac:dyDescent="0.35">
      <c r="A938" s="12">
        <v>301987</v>
      </c>
      <c r="B938" s="59" t="str">
        <f>IFERROR(VLOOKUP(Tabla2[[#This Row],[CODIGO]],INVENTARIO!A:B,2,0)," ")</f>
        <v>Codo PE100 90° 063mm EF</v>
      </c>
      <c r="C938" s="12">
        <v>4</v>
      </c>
      <c r="D938" s="13">
        <v>47144</v>
      </c>
      <c r="E938" s="40">
        <v>4500514844</v>
      </c>
      <c r="F938" s="12">
        <v>3566550</v>
      </c>
      <c r="G938" s="77">
        <v>46021</v>
      </c>
      <c r="H938" s="12" t="s">
        <v>166</v>
      </c>
      <c r="I938" s="12"/>
      <c r="J938" s="12"/>
      <c r="K938" s="12"/>
      <c r="L938" s="12"/>
      <c r="M938" s="12"/>
      <c r="N938" s="9" t="s">
        <v>194</v>
      </c>
      <c r="O938" s="9"/>
      <c r="P938" s="37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</row>
    <row r="939" spans="1:33" ht="14.25" customHeight="1" x14ac:dyDescent="0.35">
      <c r="A939" s="12">
        <v>301329</v>
      </c>
      <c r="B939" s="59" t="str">
        <f>IFERROR(VLOOKUP(Tabla2[[#This Row],[CODIGO]],INVENTARIO!A:B,2,0)," ")</f>
        <v>Copla PE100 025mm EF</v>
      </c>
      <c r="C939" s="12">
        <v>88</v>
      </c>
      <c r="D939" s="13">
        <v>171512</v>
      </c>
      <c r="E939" s="40">
        <v>4500514844</v>
      </c>
      <c r="F939" s="12">
        <v>3566550</v>
      </c>
      <c r="G939" s="77">
        <v>46021</v>
      </c>
      <c r="H939" s="12" t="s">
        <v>166</v>
      </c>
      <c r="I939" s="12"/>
      <c r="J939" s="12"/>
      <c r="K939" s="12"/>
      <c r="L939" s="12"/>
      <c r="M939" s="12"/>
      <c r="N939" s="9" t="s">
        <v>194</v>
      </c>
      <c r="O939" s="9"/>
      <c r="P939" s="37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</row>
    <row r="940" spans="1:33" ht="14.25" customHeight="1" x14ac:dyDescent="0.35">
      <c r="A940" s="12">
        <v>301044</v>
      </c>
      <c r="B940" s="59" t="str">
        <f>IFERROR(VLOOKUP(Tabla2[[#This Row],[CODIGO]],INVENTARIO!A:B,2,0)," ")</f>
        <v>Codo PE100 45° 063mm EF</v>
      </c>
      <c r="C940" s="12">
        <v>4</v>
      </c>
      <c r="D940" s="13">
        <v>24300</v>
      </c>
      <c r="E940" s="40">
        <v>4500514844</v>
      </c>
      <c r="F940" s="12">
        <v>3566550</v>
      </c>
      <c r="G940" s="77">
        <v>46021</v>
      </c>
      <c r="H940" s="12" t="s">
        <v>166</v>
      </c>
      <c r="I940" s="12"/>
      <c r="J940" s="12"/>
      <c r="K940" s="12"/>
      <c r="L940" s="12"/>
      <c r="M940" s="12"/>
      <c r="N940" s="9" t="s">
        <v>194</v>
      </c>
      <c r="O940" s="9"/>
      <c r="P940" s="37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</row>
    <row r="941" spans="1:33" ht="14.25" customHeight="1" x14ac:dyDescent="0.35">
      <c r="A941" s="12">
        <v>300712</v>
      </c>
      <c r="B941" s="59" t="str">
        <f>IFERROR(VLOOKUP(Tabla2[[#This Row],[CODIGO]],INVENTARIO!A:B,2,0)," ")</f>
        <v>Tapa PE  025 mm Termo F.</v>
      </c>
      <c r="C941" s="12">
        <v>4</v>
      </c>
      <c r="D941" s="13">
        <v>5492</v>
      </c>
      <c r="E941" s="40">
        <v>4500514844</v>
      </c>
      <c r="F941" s="12">
        <v>3566550</v>
      </c>
      <c r="G941" s="77">
        <v>46021</v>
      </c>
      <c r="H941" s="12" t="s">
        <v>166</v>
      </c>
      <c r="I941" s="12"/>
      <c r="J941" s="12"/>
      <c r="K941" s="12"/>
      <c r="L941" s="12"/>
      <c r="M941" s="12"/>
      <c r="N941" s="9" t="s">
        <v>194</v>
      </c>
      <c r="O941" s="9"/>
      <c r="P941" s="37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</row>
    <row r="942" spans="1:33" ht="14.25" customHeight="1" x14ac:dyDescent="0.35">
      <c r="A942" s="12">
        <v>300431</v>
      </c>
      <c r="B942" s="59" t="str">
        <f>IFERROR(VLOOKUP(Tabla2[[#This Row],[CODIGO]],INVENTARIO!A:B,2,0)," ")</f>
        <v>Tapping Tee PE 200-63 mm</v>
      </c>
      <c r="C942" s="12">
        <v>1</v>
      </c>
      <c r="D942" s="13">
        <v>34696</v>
      </c>
      <c r="E942" s="40">
        <v>4500514844</v>
      </c>
      <c r="F942" s="12">
        <v>3566550</v>
      </c>
      <c r="G942" s="77">
        <v>46021</v>
      </c>
      <c r="H942" s="12" t="s">
        <v>166</v>
      </c>
      <c r="I942" s="12"/>
      <c r="J942" s="12"/>
      <c r="K942" s="12"/>
      <c r="L942" s="12"/>
      <c r="M942" s="12"/>
      <c r="N942" s="9" t="s">
        <v>194</v>
      </c>
      <c r="O942" s="9"/>
      <c r="P942" s="37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</row>
    <row r="943" spans="1:33" ht="14.25" customHeight="1" x14ac:dyDescent="0.35">
      <c r="A943" s="12">
        <v>300130</v>
      </c>
      <c r="B943" s="59" t="str">
        <f>IFERROR(VLOOKUP(Tabla2[[#This Row],[CODIGO]],INVENTARIO!A:B,2,0)," ")</f>
        <v>Tee PE  63 mm Electro F.</v>
      </c>
      <c r="C943" s="12">
        <v>1</v>
      </c>
      <c r="D943" s="13">
        <v>11570</v>
      </c>
      <c r="E943" s="40">
        <v>4500514844</v>
      </c>
      <c r="F943" s="12">
        <v>3566550</v>
      </c>
      <c r="G943" s="77">
        <v>46021</v>
      </c>
      <c r="H943" s="12" t="s">
        <v>166</v>
      </c>
      <c r="I943" s="12"/>
      <c r="J943" s="12"/>
      <c r="K943" s="12"/>
      <c r="L943" s="12"/>
      <c r="M943" s="12"/>
      <c r="N943" s="9" t="s">
        <v>194</v>
      </c>
      <c r="O943" s="9"/>
      <c r="P943" s="37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</row>
    <row r="944" spans="1:33" ht="14.25" customHeight="1" x14ac:dyDescent="0.35">
      <c r="A944" s="12">
        <v>300109</v>
      </c>
      <c r="B944" s="59" t="str">
        <f>IFERROR(VLOOKUP(Tabla2[[#This Row],[CODIGO]],INVENTARIO!A:B,2,0)," ")</f>
        <v>Risers de Acero 3/4" Bsp x 25 mm</v>
      </c>
      <c r="C944" s="12">
        <v>41</v>
      </c>
      <c r="D944" s="13">
        <v>1262021</v>
      </c>
      <c r="E944" s="40">
        <v>4500514844</v>
      </c>
      <c r="F944" s="12">
        <v>3566550</v>
      </c>
      <c r="G944" s="77">
        <v>46021</v>
      </c>
      <c r="H944" s="12" t="s">
        <v>166</v>
      </c>
      <c r="I944" s="12"/>
      <c r="J944" s="12"/>
      <c r="K944" s="12"/>
      <c r="L944" s="12"/>
      <c r="M944" s="12"/>
      <c r="N944" s="9" t="s">
        <v>194</v>
      </c>
      <c r="O944" s="9"/>
      <c r="P944" s="37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</row>
    <row r="945" spans="1:33" ht="14.25" customHeight="1" x14ac:dyDescent="0.35">
      <c r="A945" s="12">
        <v>300108</v>
      </c>
      <c r="B945" s="59" t="str">
        <f>IFERROR(VLOOKUP(Tabla2[[#This Row],[CODIGO]],INVENTARIO!A:B,2,0)," ")</f>
        <v>Tapping Tee PE 63-25 mm</v>
      </c>
      <c r="C945" s="12">
        <v>41</v>
      </c>
      <c r="D945" s="13">
        <v>660387</v>
      </c>
      <c r="E945" s="40">
        <v>4500514844</v>
      </c>
      <c r="F945" s="12">
        <v>3566550</v>
      </c>
      <c r="G945" s="77">
        <v>46021</v>
      </c>
      <c r="H945" s="12" t="s">
        <v>166</v>
      </c>
      <c r="I945" s="12"/>
      <c r="J945" s="12"/>
      <c r="K945" s="12"/>
      <c r="L945" s="12"/>
      <c r="M945" s="12"/>
      <c r="N945" s="9" t="s">
        <v>194</v>
      </c>
      <c r="O945" s="9"/>
      <c r="P945" s="37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</row>
    <row r="946" spans="1:33" ht="14.25" customHeight="1" x14ac:dyDescent="0.35">
      <c r="A946" s="12">
        <v>101624</v>
      </c>
      <c r="B946" s="59" t="str">
        <f>IFERROR(VLOOKUP(Tabla2[[#This Row],[CODIGO]],INVENTARIO!A:B,2,0)," ")</f>
        <v>Tapping Tee PE 50-25 mm</v>
      </c>
      <c r="C946" s="12">
        <v>2</v>
      </c>
      <c r="D946" s="13">
        <v>31200</v>
      </c>
      <c r="E946" s="40">
        <v>4500514839</v>
      </c>
      <c r="F946" s="12">
        <v>3566549</v>
      </c>
      <c r="G946" s="77">
        <v>46021</v>
      </c>
      <c r="H946" s="12" t="s">
        <v>166</v>
      </c>
      <c r="I946" s="12"/>
      <c r="J946" s="12"/>
      <c r="K946" s="12"/>
      <c r="L946" s="12"/>
      <c r="M946" s="12"/>
      <c r="N946" s="9" t="s">
        <v>203</v>
      </c>
      <c r="O946" s="9"/>
      <c r="P946" s="37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</row>
    <row r="947" spans="1:33" ht="14.25" customHeight="1" x14ac:dyDescent="0.35">
      <c r="A947" s="12">
        <v>400205</v>
      </c>
      <c r="B947" s="59" t="str">
        <f>IFERROR(VLOOKUP(Tabla2[[#This Row],[CODIGO]],INVENTARIO!A:B,2,0)," ")</f>
        <v>Tee PE  50 mm Electro F.</v>
      </c>
      <c r="C947" s="12">
        <v>1</v>
      </c>
      <c r="D947" s="13">
        <v>5913</v>
      </c>
      <c r="E947" s="40">
        <v>4500514839</v>
      </c>
      <c r="F947" s="12">
        <v>3566549</v>
      </c>
      <c r="G947" s="77">
        <v>46021</v>
      </c>
      <c r="H947" s="12" t="s">
        <v>166</v>
      </c>
      <c r="I947" s="12"/>
      <c r="J947" s="12"/>
      <c r="K947" s="12"/>
      <c r="L947" s="12"/>
      <c r="M947" s="12"/>
      <c r="N947" s="9" t="s">
        <v>203</v>
      </c>
      <c r="O947" s="9"/>
      <c r="P947" s="37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</row>
    <row r="948" spans="1:33" ht="14.25" customHeight="1" x14ac:dyDescent="0.35">
      <c r="A948" s="12">
        <v>300414</v>
      </c>
      <c r="B948" s="59" t="str">
        <f>IFERROR(VLOOKUP(Tabla2[[#This Row],[CODIGO]],INVENTARIO!A:B,2,0)," ")</f>
        <v>Válvula PE100 Dn 50mm</v>
      </c>
      <c r="C948" s="12">
        <v>2</v>
      </c>
      <c r="D948" s="13">
        <v>166218</v>
      </c>
      <c r="E948" s="40">
        <v>4500514839</v>
      </c>
      <c r="F948" s="12">
        <v>3566549</v>
      </c>
      <c r="G948" s="77">
        <v>46021</v>
      </c>
      <c r="H948" s="12" t="s">
        <v>166</v>
      </c>
      <c r="I948" s="12"/>
      <c r="J948" s="12"/>
      <c r="K948" s="12"/>
      <c r="L948" s="12"/>
      <c r="M948" s="12"/>
      <c r="N948" s="9" t="s">
        <v>203</v>
      </c>
      <c r="O948" s="9"/>
      <c r="P948" s="37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</row>
    <row r="949" spans="1:33" ht="14.25" customHeight="1" x14ac:dyDescent="0.35">
      <c r="A949" s="12">
        <v>300712</v>
      </c>
      <c r="B949" s="59" t="str">
        <f>IFERROR(VLOOKUP(Tabla2[[#This Row],[CODIGO]],INVENTARIO!A:B,2,0)," ")</f>
        <v>Tapa PE  025 mm Termo F.</v>
      </c>
      <c r="C949" s="12">
        <v>2</v>
      </c>
      <c r="D949" s="13">
        <v>2746</v>
      </c>
      <c r="E949" s="40">
        <v>4500514839</v>
      </c>
      <c r="F949" s="12">
        <v>3566549</v>
      </c>
      <c r="G949" s="77">
        <v>46021</v>
      </c>
      <c r="H949" s="12" t="s">
        <v>166</v>
      </c>
      <c r="I949" s="12"/>
      <c r="J949" s="12"/>
      <c r="K949" s="12"/>
      <c r="L949" s="12"/>
      <c r="M949" s="12"/>
      <c r="N949" s="9" t="s">
        <v>203</v>
      </c>
      <c r="O949" s="9"/>
      <c r="P949" s="37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</row>
    <row r="950" spans="1:33" ht="14.25" customHeight="1" x14ac:dyDescent="0.35">
      <c r="A950" s="12">
        <v>301327</v>
      </c>
      <c r="B950" s="59" t="str">
        <f>IFERROR(VLOOKUP(Tabla2[[#This Row],[CODIGO]],INVENTARIO!A:B,2,0)," ")</f>
        <v>Tapa PE  050 mm Termo F.</v>
      </c>
      <c r="C950" s="12">
        <v>3</v>
      </c>
      <c r="D950" s="13">
        <v>9189</v>
      </c>
      <c r="E950" s="40">
        <v>4500514839</v>
      </c>
      <c r="F950" s="12">
        <v>3566549</v>
      </c>
      <c r="G950" s="77">
        <v>46021</v>
      </c>
      <c r="H950" s="12" t="s">
        <v>166</v>
      </c>
      <c r="I950" s="12"/>
      <c r="J950" s="12"/>
      <c r="K950" s="12"/>
      <c r="L950" s="12"/>
      <c r="M950" s="12"/>
      <c r="N950" s="9" t="s">
        <v>203</v>
      </c>
      <c r="O950" s="9"/>
      <c r="P950" s="37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</row>
    <row r="951" spans="1:33" ht="14.25" customHeight="1" x14ac:dyDescent="0.35">
      <c r="A951" s="12">
        <v>302992</v>
      </c>
      <c r="B951" s="59" t="str">
        <f>IFERROR(VLOOKUP(Tabla2[[#This Row],[CODIGO]],INVENTARIO!A:B,2,0)," ")</f>
        <v>Codo PE100 90° 050mm EF</v>
      </c>
      <c r="C951" s="12">
        <v>4</v>
      </c>
      <c r="D951" s="13">
        <v>23372</v>
      </c>
      <c r="E951" s="40">
        <v>4500514839</v>
      </c>
      <c r="F951" s="12">
        <v>3566549</v>
      </c>
      <c r="G951" s="77">
        <v>46021</v>
      </c>
      <c r="H951" s="12" t="s">
        <v>166</v>
      </c>
      <c r="I951" s="12"/>
      <c r="J951" s="12"/>
      <c r="K951" s="12"/>
      <c r="L951" s="12"/>
      <c r="M951" s="12"/>
      <c r="N951" s="9" t="s">
        <v>203</v>
      </c>
      <c r="O951" s="9"/>
      <c r="P951" s="37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</row>
    <row r="952" spans="1:33" ht="14.25" customHeight="1" x14ac:dyDescent="0.35">
      <c r="A952" s="12">
        <v>303345</v>
      </c>
      <c r="B952" s="59" t="str">
        <f>IFERROR(VLOOKUP(Tabla2[[#This Row],[CODIGO]],INVENTARIO!A:B,2,0)," ")</f>
        <v>Copla PE100 050mm EF</v>
      </c>
      <c r="C952" s="12">
        <v>9</v>
      </c>
      <c r="D952" s="13">
        <v>29718</v>
      </c>
      <c r="E952" s="40">
        <v>4500514839</v>
      </c>
      <c r="F952" s="12">
        <v>3566549</v>
      </c>
      <c r="G952" s="77">
        <v>46021</v>
      </c>
      <c r="H952" s="12" t="s">
        <v>166</v>
      </c>
      <c r="I952" s="12"/>
      <c r="J952" s="12"/>
      <c r="K952" s="12"/>
      <c r="L952" s="12"/>
      <c r="M952" s="12"/>
      <c r="N952" s="9" t="s">
        <v>203</v>
      </c>
      <c r="O952" s="9"/>
      <c r="P952" s="37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</row>
    <row r="953" spans="1:33" ht="14.25" customHeight="1" x14ac:dyDescent="0.35">
      <c r="A953" s="12">
        <v>303362</v>
      </c>
      <c r="B953" s="59" t="str">
        <f>IFERROR(VLOOKUP(Tabla2[[#This Row],[CODIGO]],INVENTARIO!A:B,2,0)," ")</f>
        <v>Reductor PE  50-40 mm Electro F.</v>
      </c>
      <c r="C953" s="12">
        <v>2</v>
      </c>
      <c r="D953" s="13">
        <v>12592</v>
      </c>
      <c r="E953" s="40">
        <v>4500514839</v>
      </c>
      <c r="F953" s="12">
        <v>3566549</v>
      </c>
      <c r="G953" s="77">
        <v>46021</v>
      </c>
      <c r="H953" s="12" t="s">
        <v>166</v>
      </c>
      <c r="I953" s="12"/>
      <c r="J953" s="12"/>
      <c r="K953" s="12"/>
      <c r="L953" s="12"/>
      <c r="M953" s="12"/>
      <c r="N953" s="9" t="s">
        <v>203</v>
      </c>
      <c r="O953" s="9"/>
      <c r="P953" s="37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</row>
    <row r="954" spans="1:33" ht="14.25" customHeight="1" x14ac:dyDescent="0.35">
      <c r="A954" s="12">
        <v>2004602</v>
      </c>
      <c r="B954" s="59" t="str">
        <f>IFERROR(VLOOKUP(Tabla2[[#This Row],[CODIGO]],INVENTARIO!A:B,2,0)," ")</f>
        <v>MRPC-120-(4/1,2)-(S)-2</v>
      </c>
      <c r="C954" s="12">
        <v>1</v>
      </c>
      <c r="D954" s="13">
        <v>2855512</v>
      </c>
      <c r="E954" s="40"/>
      <c r="F954" s="12">
        <v>3567021</v>
      </c>
      <c r="G954" s="77">
        <v>46051</v>
      </c>
      <c r="H954" s="12" t="s">
        <v>166</v>
      </c>
      <c r="I954" s="53" t="s">
        <v>280</v>
      </c>
      <c r="J954" s="12"/>
      <c r="K954" s="12"/>
      <c r="L954" s="12"/>
      <c r="M954" s="12"/>
      <c r="N954" s="9" t="s">
        <v>203</v>
      </c>
      <c r="O954" s="9"/>
      <c r="P954" s="37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</row>
    <row r="955" spans="1:33" ht="14.25" customHeight="1" x14ac:dyDescent="0.35">
      <c r="A955" s="12">
        <v>2004602</v>
      </c>
      <c r="B955" s="59" t="str">
        <f>IFERROR(VLOOKUP(Tabla2[[#This Row],[CODIGO]],INVENTARIO!A:B,2,0)," ")</f>
        <v>MRPC-120-(4/1,2)-(S)-2</v>
      </c>
      <c r="C955" s="12">
        <v>1</v>
      </c>
      <c r="D955" s="13">
        <v>2855512</v>
      </c>
      <c r="E955" s="40"/>
      <c r="F955" s="12">
        <v>3567021</v>
      </c>
      <c r="G955" s="77">
        <v>46051</v>
      </c>
      <c r="H955" s="12" t="s">
        <v>166</v>
      </c>
      <c r="I955" s="53" t="s">
        <v>281</v>
      </c>
      <c r="J955" s="12"/>
      <c r="K955" s="12"/>
      <c r="L955" s="12"/>
      <c r="M955" s="12"/>
      <c r="N955" s="9" t="s">
        <v>203</v>
      </c>
      <c r="O955" s="9"/>
      <c r="P955" s="37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</row>
    <row r="956" spans="1:33" ht="14.25" customHeight="1" x14ac:dyDescent="0.35">
      <c r="A956" s="12">
        <v>301329</v>
      </c>
      <c r="B956" s="59" t="str">
        <f>IFERROR(VLOOKUP(Tabla2[[#This Row],[CODIGO]],INVENTARIO!A:B,2,0)," ")</f>
        <v>Copla PE100 025mm EF</v>
      </c>
      <c r="C956" s="12">
        <v>6</v>
      </c>
      <c r="D956" s="13">
        <v>11694</v>
      </c>
      <c r="E956" s="40">
        <v>4500514839</v>
      </c>
      <c r="F956" s="12">
        <v>3566549</v>
      </c>
      <c r="G956" s="77">
        <v>46021</v>
      </c>
      <c r="H956" s="12" t="s">
        <v>166</v>
      </c>
      <c r="I956" s="12"/>
      <c r="J956" s="12"/>
      <c r="K956" s="12"/>
      <c r="L956" s="12"/>
      <c r="M956" s="12"/>
      <c r="N956" s="9" t="s">
        <v>203</v>
      </c>
      <c r="O956" s="9"/>
      <c r="P956" s="37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</row>
    <row r="957" spans="1:33" ht="14.25" customHeight="1" x14ac:dyDescent="0.35">
      <c r="A957" s="12">
        <v>300109</v>
      </c>
      <c r="B957" s="59" t="str">
        <f>IFERROR(VLOOKUP(Tabla2[[#This Row],[CODIGO]],INVENTARIO!A:B,2,0)," ")</f>
        <v>Risers de Acero 3/4" Bsp x 25 mm</v>
      </c>
      <c r="C957" s="12">
        <v>2</v>
      </c>
      <c r="D957" s="13">
        <v>61562</v>
      </c>
      <c r="E957" s="40">
        <v>4500514839</v>
      </c>
      <c r="F957" s="12">
        <v>3566549</v>
      </c>
      <c r="G957" s="77">
        <v>46021</v>
      </c>
      <c r="H957" s="12" t="s">
        <v>166</v>
      </c>
      <c r="I957" s="12"/>
      <c r="J957" s="12"/>
      <c r="K957" s="12"/>
      <c r="L957" s="12"/>
      <c r="M957" s="12"/>
      <c r="N957" s="9" t="s">
        <v>203</v>
      </c>
      <c r="O957" s="9"/>
      <c r="P957" s="37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</row>
    <row r="958" spans="1:33" ht="14.25" customHeight="1" x14ac:dyDescent="0.35">
      <c r="A958" s="12">
        <v>2006393</v>
      </c>
      <c r="B958" s="59" t="str">
        <f>IFERROR(VLOOKUP(Tabla2[[#This Row],[CODIGO]],INVENTARIO!A:B,2,0)," ")</f>
        <v>Transición Latón 3/4"x25 MM PE100, SDR11</v>
      </c>
      <c r="C958" s="12">
        <v>2</v>
      </c>
      <c r="D958" s="13">
        <v>25410</v>
      </c>
      <c r="E958" s="40">
        <v>4500514825</v>
      </c>
      <c r="F958" s="12">
        <v>3566548</v>
      </c>
      <c r="G958" s="77">
        <v>46021</v>
      </c>
      <c r="H958" s="12" t="s">
        <v>166</v>
      </c>
      <c r="I958" s="12"/>
      <c r="J958" s="12"/>
      <c r="K958" s="12"/>
      <c r="L958" s="12"/>
      <c r="M958" s="12"/>
      <c r="N958" s="9" t="s">
        <v>202</v>
      </c>
      <c r="O958" s="9"/>
      <c r="P958" s="37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</row>
    <row r="959" spans="1:33" ht="14.25" customHeight="1" x14ac:dyDescent="0.35">
      <c r="A959" s="12">
        <v>2006392</v>
      </c>
      <c r="B959" s="59" t="str">
        <f>IFERROR(VLOOKUP(Tabla2[[#This Row],[CODIGO]],INVENTARIO!A:B,2,0)," ")</f>
        <v>Limitador Flujo P/Tapping Tee 25 MM</v>
      </c>
      <c r="C959" s="12">
        <v>2</v>
      </c>
      <c r="D959" s="13">
        <v>3772</v>
      </c>
      <c r="E959" s="40">
        <v>4500514825</v>
      </c>
      <c r="F959" s="12">
        <v>3566548</v>
      </c>
      <c r="G959" s="77">
        <v>46021</v>
      </c>
      <c r="H959" s="12" t="s">
        <v>166</v>
      </c>
      <c r="I959" s="12"/>
      <c r="J959" s="12"/>
      <c r="K959" s="12"/>
      <c r="L959" s="12"/>
      <c r="M959" s="12"/>
      <c r="N959" s="9" t="s">
        <v>202</v>
      </c>
      <c r="O959" s="9"/>
      <c r="P959" s="37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</row>
    <row r="960" spans="1:33" ht="14.25" customHeight="1" x14ac:dyDescent="0.35">
      <c r="A960" s="12">
        <v>2003965</v>
      </c>
      <c r="B960" s="59" t="str">
        <f>IFERROR(VLOOKUP(Tabla2[[#This Row],[CODIGO]],INVENTARIO!A:B,2,0)," ")</f>
        <v>Válvula PE100 Dn 63mm</v>
      </c>
      <c r="C960" s="12">
        <v>1</v>
      </c>
      <c r="D960" s="13">
        <v>78642</v>
      </c>
      <c r="E960" s="40">
        <v>4500514825</v>
      </c>
      <c r="F960" s="12">
        <v>3566548</v>
      </c>
      <c r="G960" s="77">
        <v>46021</v>
      </c>
      <c r="H960" s="12" t="s">
        <v>166</v>
      </c>
      <c r="I960" s="12"/>
      <c r="J960" s="12"/>
      <c r="K960" s="12"/>
      <c r="L960" s="12"/>
      <c r="M960" s="12"/>
      <c r="N960" s="9" t="s">
        <v>202</v>
      </c>
      <c r="O960" s="9"/>
      <c r="P960" s="37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</row>
    <row r="961" spans="1:33" ht="14.25" customHeight="1" x14ac:dyDescent="0.35">
      <c r="A961" s="12">
        <v>2000350</v>
      </c>
      <c r="B961" s="59" t="str">
        <f>IFERROR(VLOOKUP(Tabla2[[#This Row],[CODIGO]],INVENTARIO!A:B,2,0)," ")</f>
        <v>Codo PE 90º  25 mm EF.</v>
      </c>
      <c r="C961" s="12">
        <v>2</v>
      </c>
      <c r="D961" s="13">
        <v>12264</v>
      </c>
      <c r="E961" s="40">
        <v>4500514825</v>
      </c>
      <c r="F961" s="12">
        <v>3566548</v>
      </c>
      <c r="G961" s="77">
        <v>46021</v>
      </c>
      <c r="H961" s="12" t="s">
        <v>166</v>
      </c>
      <c r="I961" s="12"/>
      <c r="J961" s="12"/>
      <c r="K961" s="12"/>
      <c r="L961" s="12"/>
      <c r="M961" s="12"/>
      <c r="N961" s="9" t="s">
        <v>202</v>
      </c>
      <c r="O961" s="9"/>
      <c r="P961" s="37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</row>
    <row r="962" spans="1:33" ht="14.25" customHeight="1" x14ac:dyDescent="0.35">
      <c r="A962" s="12">
        <v>2004602</v>
      </c>
      <c r="B962" s="59" t="str">
        <f>IFERROR(VLOOKUP(Tabla2[[#This Row],[CODIGO]],INVENTARIO!A:B,2,0)," ")</f>
        <v>MRPC-120-(4/1,2)-(S)-2</v>
      </c>
      <c r="C962" s="12">
        <v>1</v>
      </c>
      <c r="D962" s="13">
        <v>2855512</v>
      </c>
      <c r="E962" s="40">
        <v>4500514825</v>
      </c>
      <c r="F962" s="12">
        <v>3566548</v>
      </c>
      <c r="G962" s="77">
        <v>46021</v>
      </c>
      <c r="H962" s="12" t="s">
        <v>166</v>
      </c>
      <c r="I962" s="53" t="s">
        <v>282</v>
      </c>
      <c r="J962" s="12"/>
      <c r="K962" s="12"/>
      <c r="L962" s="12"/>
      <c r="M962" s="12"/>
      <c r="N962" s="9" t="s">
        <v>202</v>
      </c>
      <c r="O962" s="9"/>
      <c r="P962" s="37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</row>
    <row r="963" spans="1:33" ht="14.25" customHeight="1" x14ac:dyDescent="0.35">
      <c r="A963" s="12">
        <v>303362</v>
      </c>
      <c r="B963" s="59" t="str">
        <f>IFERROR(VLOOKUP(Tabla2[[#This Row],[CODIGO]],INVENTARIO!A:B,2,0)," ")</f>
        <v>Reductor PE  50-40 mm Electro F.</v>
      </c>
      <c r="C963" s="12">
        <v>1</v>
      </c>
      <c r="D963" s="13">
        <v>6296</v>
      </c>
      <c r="E963" s="40">
        <v>4500514825</v>
      </c>
      <c r="F963" s="12">
        <v>3566548</v>
      </c>
      <c r="G963" s="77">
        <v>46021</v>
      </c>
      <c r="H963" s="12" t="s">
        <v>166</v>
      </c>
      <c r="I963" s="12"/>
      <c r="J963" s="12"/>
      <c r="K963" s="12"/>
      <c r="L963" s="12"/>
      <c r="M963" s="12"/>
      <c r="N963" s="9" t="s">
        <v>202</v>
      </c>
      <c r="O963" s="9"/>
      <c r="P963" s="37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</row>
    <row r="964" spans="1:33" ht="14.25" customHeight="1" x14ac:dyDescent="0.35">
      <c r="A964" s="12">
        <v>2008302</v>
      </c>
      <c r="B964" s="59" t="str">
        <f>IFERROR(VLOOKUP(Tabla2[[#This Row],[CODIGO]],INVENTARIO!A:B,2,0)," ")</f>
        <v>Tapa PE 063 mm Electro F.</v>
      </c>
      <c r="C964" s="12">
        <v>5</v>
      </c>
      <c r="D964" s="13">
        <v>68115</v>
      </c>
      <c r="E964" s="40">
        <v>4500514825</v>
      </c>
      <c r="F964" s="12">
        <v>3566548</v>
      </c>
      <c r="G964" s="77">
        <v>46021</v>
      </c>
      <c r="H964" s="12" t="s">
        <v>166</v>
      </c>
      <c r="I964" s="12"/>
      <c r="J964" s="12"/>
      <c r="K964" s="12"/>
      <c r="L964" s="12"/>
      <c r="M964" s="12"/>
      <c r="N964" s="9" t="s">
        <v>202</v>
      </c>
      <c r="O964" s="9"/>
      <c r="P964" s="37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</row>
    <row r="965" spans="1:33" ht="14.25" customHeight="1" x14ac:dyDescent="0.35">
      <c r="A965" s="12">
        <v>303345</v>
      </c>
      <c r="B965" s="59" t="str">
        <f>IFERROR(VLOOKUP(Tabla2[[#This Row],[CODIGO]],INVENTARIO!A:B,2,0)," ")</f>
        <v>Copla PE100 050mm EF</v>
      </c>
      <c r="C965" s="12">
        <v>4</v>
      </c>
      <c r="D965" s="13">
        <v>13208</v>
      </c>
      <c r="E965" s="40">
        <v>4500514825</v>
      </c>
      <c r="F965" s="12">
        <v>3566548</v>
      </c>
      <c r="G965" s="77">
        <v>46021</v>
      </c>
      <c r="H965" s="12" t="s">
        <v>166</v>
      </c>
      <c r="I965" s="12"/>
      <c r="J965" s="12"/>
      <c r="K965" s="12"/>
      <c r="L965" s="12"/>
      <c r="M965" s="12"/>
      <c r="N965" s="9" t="s">
        <v>202</v>
      </c>
      <c r="O965" s="9"/>
      <c r="P965" s="37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</row>
    <row r="966" spans="1:33" ht="14.25" customHeight="1" x14ac:dyDescent="0.35">
      <c r="A966" s="12">
        <v>303016</v>
      </c>
      <c r="B966" s="59" t="str">
        <f>IFERROR(VLOOKUP(Tabla2[[#This Row],[CODIGO]],INVENTARIO!A:B,2,0)," ")</f>
        <v>Tee PE Reducción  63-50 mm EF</v>
      </c>
      <c r="C966" s="12">
        <v>1</v>
      </c>
      <c r="D966" s="13">
        <v>21048</v>
      </c>
      <c r="E966" s="40">
        <v>4500514825</v>
      </c>
      <c r="F966" s="12">
        <v>3566548</v>
      </c>
      <c r="G966" s="77">
        <v>46021</v>
      </c>
      <c r="H966" s="12" t="s">
        <v>166</v>
      </c>
      <c r="I966" s="12"/>
      <c r="J966" s="12"/>
      <c r="K966" s="12"/>
      <c r="L966" s="12"/>
      <c r="M966" s="12"/>
      <c r="N966" s="9" t="s">
        <v>202</v>
      </c>
      <c r="O966" s="9"/>
      <c r="P966" s="37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</row>
    <row r="967" spans="1:33" ht="14.25" customHeight="1" x14ac:dyDescent="0.35">
      <c r="A967" s="12">
        <v>302992</v>
      </c>
      <c r="B967" s="59" t="str">
        <f>IFERROR(VLOOKUP(Tabla2[[#This Row],[CODIGO]],INVENTARIO!A:B,2,0)," ")</f>
        <v>Codo PE100 90° 050mm EF</v>
      </c>
      <c r="C967" s="12">
        <v>1</v>
      </c>
      <c r="D967" s="13">
        <v>5843</v>
      </c>
      <c r="E967" s="40">
        <v>4500514825</v>
      </c>
      <c r="F967" s="12">
        <v>3566548</v>
      </c>
      <c r="G967" s="77">
        <v>46021</v>
      </c>
      <c r="H967" s="12" t="s">
        <v>166</v>
      </c>
      <c r="I967" s="12"/>
      <c r="J967" s="12"/>
      <c r="K967" s="12"/>
      <c r="L967" s="12"/>
      <c r="M967" s="12"/>
      <c r="N967" s="9" t="s">
        <v>202</v>
      </c>
      <c r="O967" s="9"/>
      <c r="P967" s="37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</row>
    <row r="968" spans="1:33" ht="14.25" customHeight="1" x14ac:dyDescent="0.35">
      <c r="A968" s="12">
        <v>302659</v>
      </c>
      <c r="B968" s="59" t="str">
        <f>IFERROR(VLOOKUP(Tabla2[[#This Row],[CODIGO]],INVENTARIO!A:B,2,0)," ")</f>
        <v>Copla PE100 063mm EF</v>
      </c>
      <c r="C968" s="12">
        <v>23</v>
      </c>
      <c r="D968" s="13">
        <v>106444</v>
      </c>
      <c r="E968" s="40">
        <v>4500514825</v>
      </c>
      <c r="F968" s="12">
        <v>3566548</v>
      </c>
      <c r="G968" s="77">
        <v>46021</v>
      </c>
      <c r="H968" s="12" t="s">
        <v>166</v>
      </c>
      <c r="I968" s="12"/>
      <c r="J968" s="12"/>
      <c r="K968" s="12"/>
      <c r="L968" s="12"/>
      <c r="M968" s="12"/>
      <c r="N968" s="9" t="s">
        <v>202</v>
      </c>
      <c r="O968" s="9"/>
      <c r="P968" s="37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</row>
    <row r="969" spans="1:33" ht="14.25" customHeight="1" x14ac:dyDescent="0.35">
      <c r="A969" s="12">
        <v>301987</v>
      </c>
      <c r="B969" s="59" t="str">
        <f>IFERROR(VLOOKUP(Tabla2[[#This Row],[CODIGO]],INVENTARIO!A:B,2,0)," ")</f>
        <v>Codo PE100 90° 063mm EF</v>
      </c>
      <c r="C969" s="12">
        <v>8</v>
      </c>
      <c r="D969" s="13">
        <v>94288</v>
      </c>
      <c r="E969" s="40">
        <v>4500514825</v>
      </c>
      <c r="F969" s="12">
        <v>3566548</v>
      </c>
      <c r="G969" s="77">
        <v>46021</v>
      </c>
      <c r="H969" s="12" t="s">
        <v>166</v>
      </c>
      <c r="I969" s="12"/>
      <c r="J969" s="12"/>
      <c r="K969" s="12"/>
      <c r="L969" s="12"/>
      <c r="M969" s="12"/>
      <c r="N969" s="9" t="s">
        <v>202</v>
      </c>
      <c r="O969" s="9"/>
      <c r="P969" s="37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</row>
    <row r="970" spans="1:33" ht="14.25" customHeight="1" x14ac:dyDescent="0.35">
      <c r="A970" s="12">
        <v>301329</v>
      </c>
      <c r="B970" s="59" t="str">
        <f>IFERROR(VLOOKUP(Tabla2[[#This Row],[CODIGO]],INVENTARIO!A:B,2,0)," ")</f>
        <v>Copla PE100 025mm EF</v>
      </c>
      <c r="C970" s="12">
        <v>5</v>
      </c>
      <c r="D970" s="13">
        <v>9745</v>
      </c>
      <c r="E970" s="40">
        <v>4500514825</v>
      </c>
      <c r="F970" s="12">
        <v>3566548</v>
      </c>
      <c r="G970" s="77">
        <v>46021</v>
      </c>
      <c r="H970" s="12" t="s">
        <v>166</v>
      </c>
      <c r="I970" s="12"/>
      <c r="J970" s="12"/>
      <c r="K970" s="12"/>
      <c r="L970" s="12"/>
      <c r="M970" s="12"/>
      <c r="N970" s="9" t="s">
        <v>202</v>
      </c>
      <c r="O970" s="9"/>
      <c r="P970" s="37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</row>
    <row r="971" spans="1:33" ht="14.25" customHeight="1" x14ac:dyDescent="0.35">
      <c r="A971" s="12">
        <v>301327</v>
      </c>
      <c r="B971" s="59" t="str">
        <f>IFERROR(VLOOKUP(Tabla2[[#This Row],[CODIGO]],INVENTARIO!A:B,2,0)," ")</f>
        <v>Tapa PE  050 mm Termo F.</v>
      </c>
      <c r="C971" s="12">
        <v>1</v>
      </c>
      <c r="D971" s="13">
        <v>3063</v>
      </c>
      <c r="E971" s="40">
        <v>4500514825</v>
      </c>
      <c r="F971" s="12">
        <v>3566548</v>
      </c>
      <c r="G971" s="77">
        <v>46021</v>
      </c>
      <c r="H971" s="12" t="s">
        <v>166</v>
      </c>
      <c r="I971" s="12"/>
      <c r="J971" s="12"/>
      <c r="K971" s="12"/>
      <c r="L971" s="12"/>
      <c r="M971" s="12"/>
      <c r="N971" s="9" t="s">
        <v>202</v>
      </c>
      <c r="O971" s="9"/>
      <c r="P971" s="37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</row>
    <row r="972" spans="1:33" ht="14.25" customHeight="1" x14ac:dyDescent="0.35">
      <c r="A972" s="12">
        <v>301044</v>
      </c>
      <c r="B972" s="59" t="str">
        <f>IFERROR(VLOOKUP(Tabla2[[#This Row],[CODIGO]],INVENTARIO!A:B,2,0)," ")</f>
        <v>Codo PE100 45° 063mm EF</v>
      </c>
      <c r="C972" s="12">
        <v>5</v>
      </c>
      <c r="D972" s="13">
        <v>30375</v>
      </c>
      <c r="E972" s="40">
        <v>4500514825</v>
      </c>
      <c r="F972" s="12">
        <v>3566548</v>
      </c>
      <c r="G972" s="77">
        <v>46021</v>
      </c>
      <c r="H972" s="12" t="s">
        <v>166</v>
      </c>
      <c r="I972" s="12"/>
      <c r="J972" s="12"/>
      <c r="K972" s="12"/>
      <c r="L972" s="12"/>
      <c r="M972" s="12"/>
      <c r="N972" s="9" t="s">
        <v>202</v>
      </c>
      <c r="O972" s="9"/>
      <c r="P972" s="37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</row>
    <row r="973" spans="1:33" ht="14.25" customHeight="1" x14ac:dyDescent="0.35">
      <c r="A973" s="12">
        <v>300712</v>
      </c>
      <c r="B973" s="59" t="str">
        <f>IFERROR(VLOOKUP(Tabla2[[#This Row],[CODIGO]],INVENTARIO!A:B,2,0)," ")</f>
        <v>Tapa PE  025 mm Termo F.</v>
      </c>
      <c r="C973" s="12">
        <v>1</v>
      </c>
      <c r="D973" s="13">
        <v>1373</v>
      </c>
      <c r="E973" s="40">
        <v>4500514825</v>
      </c>
      <c r="F973" s="12">
        <v>3566548</v>
      </c>
      <c r="G973" s="77">
        <v>46021</v>
      </c>
      <c r="H973" s="12" t="s">
        <v>166</v>
      </c>
      <c r="I973" s="12"/>
      <c r="J973" s="12"/>
      <c r="K973" s="12"/>
      <c r="L973" s="12"/>
      <c r="M973" s="12"/>
      <c r="N973" s="9" t="s">
        <v>202</v>
      </c>
      <c r="O973" s="9"/>
      <c r="P973" s="37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</row>
    <row r="974" spans="1:33" ht="14.25" customHeight="1" x14ac:dyDescent="0.35">
      <c r="A974" s="12">
        <v>300414</v>
      </c>
      <c r="B974" s="59" t="str">
        <f>IFERROR(VLOOKUP(Tabla2[[#This Row],[CODIGO]],INVENTARIO!A:B,2,0)," ")</f>
        <v>Válvula PE100 Dn 50mm</v>
      </c>
      <c r="C974" s="12">
        <v>1</v>
      </c>
      <c r="D974" s="13">
        <v>83109</v>
      </c>
      <c r="E974" s="40">
        <v>4500514825</v>
      </c>
      <c r="F974" s="12">
        <v>3566548</v>
      </c>
      <c r="G974" s="77">
        <v>46021</v>
      </c>
      <c r="H974" s="12" t="s">
        <v>166</v>
      </c>
      <c r="I974" s="12"/>
      <c r="J974" s="12"/>
      <c r="K974" s="12"/>
      <c r="L974" s="12"/>
      <c r="M974" s="12"/>
      <c r="N974" s="9" t="s">
        <v>202</v>
      </c>
      <c r="O974" s="9"/>
      <c r="P974" s="37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</row>
    <row r="975" spans="1:33" ht="14.25" customHeight="1" x14ac:dyDescent="0.35">
      <c r="A975" s="12">
        <v>300130</v>
      </c>
      <c r="B975" s="59" t="str">
        <f>IFERROR(VLOOKUP(Tabla2[[#This Row],[CODIGO]],INVENTARIO!A:B,2,0)," ")</f>
        <v>Tee PE  63 mm Electro F.</v>
      </c>
      <c r="C975" s="12">
        <v>4</v>
      </c>
      <c r="D975" s="13">
        <v>46280</v>
      </c>
      <c r="E975" s="40">
        <v>4500514825</v>
      </c>
      <c r="F975" s="12">
        <v>3566548</v>
      </c>
      <c r="G975" s="77">
        <v>46021</v>
      </c>
      <c r="H975" s="12" t="s">
        <v>166</v>
      </c>
      <c r="I975" s="12"/>
      <c r="J975" s="12"/>
      <c r="K975" s="12"/>
      <c r="L975" s="12"/>
      <c r="M975" s="12"/>
      <c r="N975" s="9" t="s">
        <v>202</v>
      </c>
      <c r="O975" s="9"/>
      <c r="P975" s="37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</row>
    <row r="976" spans="1:33" ht="14.25" customHeight="1" x14ac:dyDescent="0.35">
      <c r="A976" s="12">
        <v>300109</v>
      </c>
      <c r="B976" s="59" t="str">
        <f>IFERROR(VLOOKUP(Tabla2[[#This Row],[CODIGO]],INVENTARIO!A:B,2,0)," ")</f>
        <v>Risers de Acero 3/4" Bsp x 25 mm</v>
      </c>
      <c r="C976" s="12">
        <v>1</v>
      </c>
      <c r="D976" s="13">
        <v>30781</v>
      </c>
      <c r="E976" s="40">
        <v>4500514825</v>
      </c>
      <c r="F976" s="12">
        <v>3566548</v>
      </c>
      <c r="G976" s="77">
        <v>46021</v>
      </c>
      <c r="H976" s="12" t="s">
        <v>166</v>
      </c>
      <c r="I976" s="12"/>
      <c r="J976" s="12"/>
      <c r="K976" s="12"/>
      <c r="L976" s="12"/>
      <c r="M976" s="12"/>
      <c r="N976" s="9" t="s">
        <v>202</v>
      </c>
      <c r="O976" s="9"/>
      <c r="P976" s="37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</row>
    <row r="977" spans="1:33" ht="14.25" customHeight="1" x14ac:dyDescent="0.35">
      <c r="A977" s="12">
        <v>300108</v>
      </c>
      <c r="B977" s="59" t="str">
        <f>IFERROR(VLOOKUP(Tabla2[[#This Row],[CODIGO]],INVENTARIO!A:B,2,0)," ")</f>
        <v>Tapping Tee PE 63-25 mm</v>
      </c>
      <c r="C977" s="12">
        <v>3</v>
      </c>
      <c r="D977" s="13">
        <v>48321</v>
      </c>
      <c r="E977" s="40">
        <v>4500514825</v>
      </c>
      <c r="F977" s="12">
        <v>3566548</v>
      </c>
      <c r="G977" s="77">
        <v>46021</v>
      </c>
      <c r="H977" s="12" t="s">
        <v>166</v>
      </c>
      <c r="I977" s="12"/>
      <c r="J977" s="12"/>
      <c r="K977" s="12"/>
      <c r="L977" s="12"/>
      <c r="M977" s="12"/>
      <c r="N977" s="9" t="s">
        <v>202</v>
      </c>
      <c r="O977" s="9"/>
      <c r="P977" s="37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</row>
    <row r="978" spans="1:33" ht="14.25" customHeight="1" x14ac:dyDescent="0.35">
      <c r="A978" s="12">
        <v>2008302</v>
      </c>
      <c r="B978" s="59" t="str">
        <f>IFERROR(VLOOKUP(Tabla2[[#This Row],[CODIGO]],INVENTARIO!A:B,2,0)," ")</f>
        <v>Tapa PE 063 mm Electro F.</v>
      </c>
      <c r="C978" s="12">
        <v>1</v>
      </c>
      <c r="D978" s="13">
        <v>13623</v>
      </c>
      <c r="E978" s="40">
        <v>4500514812</v>
      </c>
      <c r="F978" s="12">
        <v>3566547</v>
      </c>
      <c r="G978" s="77">
        <v>46021</v>
      </c>
      <c r="H978" s="12" t="s">
        <v>166</v>
      </c>
      <c r="I978" s="12"/>
      <c r="J978" s="12"/>
      <c r="K978" s="12"/>
      <c r="L978" s="12"/>
      <c r="M978" s="12"/>
      <c r="N978" s="9" t="s">
        <v>201</v>
      </c>
      <c r="O978" s="9"/>
      <c r="P978" s="37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</row>
    <row r="979" spans="1:33" ht="14.25" customHeight="1" x14ac:dyDescent="0.35">
      <c r="A979" s="12">
        <v>2006392</v>
      </c>
      <c r="B979" s="59" t="str">
        <f>IFERROR(VLOOKUP(Tabla2[[#This Row],[CODIGO]],INVENTARIO!A:B,2,0)," ")</f>
        <v>Limitador Flujo P/Tapping Tee 25 MM</v>
      </c>
      <c r="C979" s="12">
        <v>2</v>
      </c>
      <c r="D979" s="13">
        <v>3772</v>
      </c>
      <c r="E979" s="40">
        <v>4500514812</v>
      </c>
      <c r="F979" s="12">
        <v>3566547</v>
      </c>
      <c r="G979" s="77">
        <v>46021</v>
      </c>
      <c r="H979" s="12" t="s">
        <v>166</v>
      </c>
      <c r="I979" s="12"/>
      <c r="J979" s="12"/>
      <c r="K979" s="12"/>
      <c r="L979" s="12"/>
      <c r="M979" s="12"/>
      <c r="N979" s="9" t="s">
        <v>201</v>
      </c>
      <c r="O979" s="9"/>
      <c r="P979" s="37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</row>
    <row r="980" spans="1:33" ht="14.25" customHeight="1" x14ac:dyDescent="0.35">
      <c r="A980" s="12">
        <v>2003911</v>
      </c>
      <c r="B980" s="59" t="str">
        <f>IFERROR(VLOOKUP(Tabla2[[#This Row],[CODIGO]],INVENTARIO!A:B,2,0)," ")</f>
        <v>Válvula EFv PE 25 mm Para Tap. Tee</v>
      </c>
      <c r="C980" s="12">
        <v>51</v>
      </c>
      <c r="D980" s="13">
        <v>317883</v>
      </c>
      <c r="E980" s="40">
        <v>4500514812</v>
      </c>
      <c r="F980" s="12">
        <v>3566547</v>
      </c>
      <c r="G980" s="77">
        <v>46021</v>
      </c>
      <c r="H980" s="12" t="s">
        <v>166</v>
      </c>
      <c r="I980" s="12"/>
      <c r="J980" s="12"/>
      <c r="K980" s="12"/>
      <c r="L980" s="12"/>
      <c r="M980" s="12"/>
      <c r="N980" s="9" t="s">
        <v>201</v>
      </c>
      <c r="O980" s="9"/>
      <c r="P980" s="37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</row>
    <row r="981" spans="1:33" ht="14.25" customHeight="1" x14ac:dyDescent="0.35">
      <c r="A981" s="12">
        <v>2003736</v>
      </c>
      <c r="B981" s="59" t="str">
        <f>IFERROR(VLOOKUP(Tabla2[[#This Row],[CODIGO]],INVENTARIO!A:B,2,0)," ")</f>
        <v>Válvula PE100 Dn 110mm</v>
      </c>
      <c r="C981" s="12">
        <v>1</v>
      </c>
      <c r="D981" s="13">
        <v>174362</v>
      </c>
      <c r="E981" s="40">
        <v>4500514812</v>
      </c>
      <c r="F981" s="12">
        <v>3566547</v>
      </c>
      <c r="G981" s="77">
        <v>46021</v>
      </c>
      <c r="H981" s="12" t="s">
        <v>166</v>
      </c>
      <c r="I981" s="12"/>
      <c r="J981" s="12"/>
      <c r="K981" s="12"/>
      <c r="L981" s="12"/>
      <c r="M981" s="12"/>
      <c r="N981" s="9" t="s">
        <v>201</v>
      </c>
      <c r="O981" s="9"/>
      <c r="P981" s="37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</row>
    <row r="982" spans="1:33" ht="14.25" customHeight="1" x14ac:dyDescent="0.35">
      <c r="A982" s="12">
        <v>2000350</v>
      </c>
      <c r="B982" s="59" t="str">
        <f>IFERROR(VLOOKUP(Tabla2[[#This Row],[CODIGO]],INVENTARIO!A:B,2,0)," ")</f>
        <v>Codo PE 90º  25 mm EF.</v>
      </c>
      <c r="C982" s="12">
        <v>2</v>
      </c>
      <c r="D982" s="13">
        <v>12264</v>
      </c>
      <c r="E982" s="40">
        <v>4500514812</v>
      </c>
      <c r="F982" s="12">
        <v>3566547</v>
      </c>
      <c r="G982" s="77">
        <v>46021</v>
      </c>
      <c r="H982" s="12" t="s">
        <v>166</v>
      </c>
      <c r="I982" s="12"/>
      <c r="J982" s="12"/>
      <c r="K982" s="12"/>
      <c r="L982" s="12"/>
      <c r="M982" s="12"/>
      <c r="N982" s="9" t="s">
        <v>201</v>
      </c>
      <c r="O982" s="9"/>
      <c r="P982" s="37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</row>
    <row r="983" spans="1:33" ht="14.25" customHeight="1" x14ac:dyDescent="0.35">
      <c r="A983" s="12">
        <v>400205</v>
      </c>
      <c r="B983" s="59" t="str">
        <f>IFERROR(VLOOKUP(Tabla2[[#This Row],[CODIGO]],INVENTARIO!A:B,2,0)," ")</f>
        <v>Tee PE  50 mm Electro F.</v>
      </c>
      <c r="C983" s="12">
        <v>7</v>
      </c>
      <c r="D983" s="13">
        <v>41391</v>
      </c>
      <c r="E983" s="40">
        <v>4500514812</v>
      </c>
      <c r="F983" s="12">
        <v>3566547</v>
      </c>
      <c r="G983" s="77">
        <v>46021</v>
      </c>
      <c r="H983" s="12" t="s">
        <v>166</v>
      </c>
      <c r="I983" s="12"/>
      <c r="J983" s="12"/>
      <c r="K983" s="12"/>
      <c r="L983" s="12"/>
      <c r="M983" s="12"/>
      <c r="N983" s="9" t="s">
        <v>201</v>
      </c>
      <c r="O983" s="9"/>
      <c r="P983" s="37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</row>
    <row r="984" spans="1:33" ht="14.25" customHeight="1" x14ac:dyDescent="0.35">
      <c r="A984" s="12">
        <v>303439</v>
      </c>
      <c r="B984" s="59" t="str">
        <f>IFERROR(VLOOKUP(Tabla2[[#This Row],[CODIGO]],INVENTARIO!A:B,2,0)," ")</f>
        <v>Reductor PE 110-50 mm Termo F.</v>
      </c>
      <c r="C984" s="12">
        <v>2</v>
      </c>
      <c r="D984" s="13">
        <v>13856</v>
      </c>
      <c r="E984" s="40">
        <v>4500514812</v>
      </c>
      <c r="F984" s="12">
        <v>3566547</v>
      </c>
      <c r="G984" s="77">
        <v>46021</v>
      </c>
      <c r="H984" s="12" t="s">
        <v>166</v>
      </c>
      <c r="I984" s="12"/>
      <c r="J984" s="12"/>
      <c r="K984" s="12"/>
      <c r="L984" s="12"/>
      <c r="M984" s="12"/>
      <c r="N984" s="9" t="s">
        <v>201</v>
      </c>
      <c r="O984" s="9"/>
      <c r="P984" s="37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</row>
    <row r="985" spans="1:33" ht="14.25" customHeight="1" x14ac:dyDescent="0.35">
      <c r="A985" s="12">
        <v>303345</v>
      </c>
      <c r="B985" s="59" t="str">
        <f>IFERROR(VLOOKUP(Tabla2[[#This Row],[CODIGO]],INVENTARIO!A:B,2,0)," ")</f>
        <v>Copla PE100 050mm EF</v>
      </c>
      <c r="C985" s="12">
        <v>32</v>
      </c>
      <c r="D985" s="13">
        <v>105664</v>
      </c>
      <c r="E985" s="40">
        <v>4500514812</v>
      </c>
      <c r="F985" s="12">
        <v>3566547</v>
      </c>
      <c r="G985" s="77">
        <v>46021</v>
      </c>
      <c r="H985" s="12" t="s">
        <v>166</v>
      </c>
      <c r="I985" s="12"/>
      <c r="J985" s="12"/>
      <c r="K985" s="12"/>
      <c r="L985" s="12"/>
      <c r="M985" s="12"/>
      <c r="N985" s="9" t="s">
        <v>201</v>
      </c>
      <c r="O985" s="9"/>
      <c r="P985" s="37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</row>
    <row r="986" spans="1:33" ht="14.25" customHeight="1" x14ac:dyDescent="0.35">
      <c r="A986" s="12">
        <v>303015</v>
      </c>
      <c r="B986" s="59" t="str">
        <f>IFERROR(VLOOKUP(Tabla2[[#This Row],[CODIGO]],INVENTARIO!A:B,2,0)," ")</f>
        <v>Tee PE 110 mm Electro F.</v>
      </c>
      <c r="C986" s="12">
        <v>4</v>
      </c>
      <c r="D986" s="13">
        <v>88640</v>
      </c>
      <c r="E986" s="40">
        <v>4500514812</v>
      </c>
      <c r="F986" s="12">
        <v>3566547</v>
      </c>
      <c r="G986" s="77">
        <v>46021</v>
      </c>
      <c r="H986" s="12" t="s">
        <v>166</v>
      </c>
      <c r="I986" s="12"/>
      <c r="J986" s="12"/>
      <c r="K986" s="12"/>
      <c r="L986" s="12"/>
      <c r="M986" s="12"/>
      <c r="N986" s="9" t="s">
        <v>201</v>
      </c>
      <c r="O986" s="9"/>
      <c r="P986" s="37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</row>
    <row r="987" spans="1:33" ht="14.25" customHeight="1" x14ac:dyDescent="0.35">
      <c r="A987" s="12">
        <v>302992</v>
      </c>
      <c r="B987" s="59" t="str">
        <f>IFERROR(VLOOKUP(Tabla2[[#This Row],[CODIGO]],INVENTARIO!A:B,2,0)," ")</f>
        <v>Codo PE100 90° 050mm EF</v>
      </c>
      <c r="C987" s="12">
        <v>2</v>
      </c>
      <c r="D987" s="13">
        <v>11686</v>
      </c>
      <c r="E987" s="40">
        <v>4500514812</v>
      </c>
      <c r="F987" s="12">
        <v>3566547</v>
      </c>
      <c r="G987" s="77">
        <v>46021</v>
      </c>
      <c r="H987" s="12" t="s">
        <v>166</v>
      </c>
      <c r="I987" s="12"/>
      <c r="J987" s="12"/>
      <c r="K987" s="12"/>
      <c r="L987" s="12"/>
      <c r="M987" s="12"/>
      <c r="N987" s="9" t="s">
        <v>201</v>
      </c>
      <c r="O987" s="9"/>
      <c r="P987" s="37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</row>
    <row r="988" spans="1:33" ht="14.25" customHeight="1" x14ac:dyDescent="0.35">
      <c r="A988" s="12">
        <v>302991</v>
      </c>
      <c r="B988" s="59" t="str">
        <f>IFERROR(VLOOKUP(Tabla2[[#This Row],[CODIGO]],INVENTARIO!A:B,2,0)," ")</f>
        <v>Copla PE100 110mm EF</v>
      </c>
      <c r="C988" s="12">
        <v>21</v>
      </c>
      <c r="D988" s="13">
        <v>226611</v>
      </c>
      <c r="E988" s="40">
        <v>4500514812</v>
      </c>
      <c r="F988" s="12">
        <v>3566547</v>
      </c>
      <c r="G988" s="77">
        <v>46021</v>
      </c>
      <c r="H988" s="12" t="s">
        <v>166</v>
      </c>
      <c r="I988" s="12"/>
      <c r="J988" s="12"/>
      <c r="K988" s="12"/>
      <c r="L988" s="12"/>
      <c r="M988" s="12"/>
      <c r="N988" s="9" t="s">
        <v>201</v>
      </c>
      <c r="O988" s="9"/>
      <c r="P988" s="37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</row>
    <row r="989" spans="1:33" ht="14.25" customHeight="1" x14ac:dyDescent="0.35">
      <c r="A989" s="12">
        <v>302659</v>
      </c>
      <c r="B989" s="59" t="str">
        <f>IFERROR(VLOOKUP(Tabla2[[#This Row],[CODIGO]],INVENTARIO!A:B,2,0)," ")</f>
        <v>Copla PE100 063mm EF</v>
      </c>
      <c r="C989" s="12">
        <v>4</v>
      </c>
      <c r="D989" s="13">
        <v>18512</v>
      </c>
      <c r="E989" s="40">
        <v>4500514812</v>
      </c>
      <c r="F989" s="12">
        <v>3566547</v>
      </c>
      <c r="G989" s="77">
        <v>46021</v>
      </c>
      <c r="H989" s="12" t="s">
        <v>166</v>
      </c>
      <c r="I989" s="12"/>
      <c r="J989" s="12"/>
      <c r="K989" s="12"/>
      <c r="L989" s="12"/>
      <c r="M989" s="12"/>
      <c r="N989" s="9" t="s">
        <v>201</v>
      </c>
      <c r="O989" s="9"/>
      <c r="P989" s="37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</row>
    <row r="990" spans="1:33" ht="14.25" customHeight="1" x14ac:dyDescent="0.35">
      <c r="A990" s="12">
        <v>302338</v>
      </c>
      <c r="B990" s="59" t="str">
        <f>IFERROR(VLOOKUP(Tabla2[[#This Row],[CODIGO]],INVENTARIO!A:B,2,0)," ")</f>
        <v>Codo PE100 45° 110mm EF</v>
      </c>
      <c r="C990" s="12">
        <v>6</v>
      </c>
      <c r="D990" s="13">
        <v>62622</v>
      </c>
      <c r="E990" s="40">
        <v>4500514812</v>
      </c>
      <c r="F990" s="12">
        <v>3566547</v>
      </c>
      <c r="G990" s="77">
        <v>46021</v>
      </c>
      <c r="H990" s="12" t="s">
        <v>166</v>
      </c>
      <c r="I990" s="12"/>
      <c r="J990" s="12"/>
      <c r="K990" s="12"/>
      <c r="L990" s="12"/>
      <c r="M990" s="12"/>
      <c r="N990" s="9" t="s">
        <v>201</v>
      </c>
      <c r="O990" s="9"/>
      <c r="P990" s="37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</row>
    <row r="991" spans="1:33" ht="14.25" customHeight="1" x14ac:dyDescent="0.35">
      <c r="A991" s="12">
        <v>302317</v>
      </c>
      <c r="B991" s="59" t="str">
        <f>IFERROR(VLOOKUP(Tabla2[[#This Row],[CODIGO]],INVENTARIO!A:B,2,0)," ")</f>
        <v>Tapa PE 110 mm Termo F.</v>
      </c>
      <c r="C991" s="12">
        <v>2</v>
      </c>
      <c r="D991" s="13">
        <v>19504</v>
      </c>
      <c r="E991" s="40">
        <v>4500514812</v>
      </c>
      <c r="F991" s="12">
        <v>3566547</v>
      </c>
      <c r="G991" s="77">
        <v>46021</v>
      </c>
      <c r="H991" s="12" t="s">
        <v>166</v>
      </c>
      <c r="I991" s="12"/>
      <c r="J991" s="12"/>
      <c r="K991" s="12"/>
      <c r="L991" s="12"/>
      <c r="M991" s="12"/>
      <c r="N991" s="9" t="s">
        <v>201</v>
      </c>
      <c r="O991" s="9"/>
      <c r="P991" s="37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</row>
    <row r="992" spans="1:33" ht="14.25" customHeight="1" x14ac:dyDescent="0.35">
      <c r="A992" s="12">
        <v>301685</v>
      </c>
      <c r="B992" s="59" t="str">
        <f>IFERROR(VLOOKUP(Tabla2[[#This Row],[CODIGO]],INVENTARIO!A:B,2,0)," ")</f>
        <v>Reductor PE100 110-63 mm TF.</v>
      </c>
      <c r="C992" s="12">
        <v>1</v>
      </c>
      <c r="D992" s="13">
        <v>5263</v>
      </c>
      <c r="E992" s="40">
        <v>4500514812</v>
      </c>
      <c r="F992" s="12">
        <v>3566547</v>
      </c>
      <c r="G992" s="77">
        <v>46021</v>
      </c>
      <c r="H992" s="12" t="s">
        <v>166</v>
      </c>
      <c r="I992" s="12"/>
      <c r="J992" s="12"/>
      <c r="K992" s="12"/>
      <c r="L992" s="12"/>
      <c r="M992" s="12"/>
      <c r="N992" s="9" t="s">
        <v>201</v>
      </c>
      <c r="O992" s="9"/>
      <c r="P992" s="37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</row>
    <row r="993" spans="1:33" ht="14.25" customHeight="1" x14ac:dyDescent="0.35">
      <c r="A993" s="12">
        <v>301666</v>
      </c>
      <c r="B993" s="59" t="str">
        <f>IFERROR(VLOOKUP(Tabla2[[#This Row],[CODIGO]],INVENTARIO!A:B,2,0)," ")</f>
        <v>Tapping Tee PE 110-25 mm</v>
      </c>
      <c r="C993" s="12">
        <v>10</v>
      </c>
      <c r="D993" s="13">
        <v>120840</v>
      </c>
      <c r="E993" s="40">
        <v>4500514812</v>
      </c>
      <c r="F993" s="12">
        <v>3566547</v>
      </c>
      <c r="G993" s="77">
        <v>46021</v>
      </c>
      <c r="H993" s="12" t="s">
        <v>166</v>
      </c>
      <c r="I993" s="12"/>
      <c r="J993" s="12"/>
      <c r="K993" s="12"/>
      <c r="L993" s="12"/>
      <c r="M993" s="12"/>
      <c r="N993" s="9" t="s">
        <v>201</v>
      </c>
      <c r="O993" s="9"/>
      <c r="P993" s="37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</row>
    <row r="994" spans="1:33" ht="14.25" customHeight="1" x14ac:dyDescent="0.35">
      <c r="A994" s="12">
        <v>301329</v>
      </c>
      <c r="B994" s="59" t="str">
        <f>IFERROR(VLOOKUP(Tabla2[[#This Row],[CODIGO]],INVENTARIO!A:B,2,0)," ")</f>
        <v>Copla PE100 025mm EF</v>
      </c>
      <c r="C994" s="12">
        <v>224</v>
      </c>
      <c r="D994" s="13">
        <v>436576</v>
      </c>
      <c r="E994" s="40">
        <v>4500514812</v>
      </c>
      <c r="F994" s="12">
        <v>3566547</v>
      </c>
      <c r="G994" s="77">
        <v>46021</v>
      </c>
      <c r="H994" s="12" t="s">
        <v>166</v>
      </c>
      <c r="I994" s="12"/>
      <c r="J994" s="12"/>
      <c r="K994" s="12"/>
      <c r="L994" s="12"/>
      <c r="M994" s="12"/>
      <c r="N994" s="9" t="s">
        <v>201</v>
      </c>
      <c r="O994" s="9"/>
      <c r="P994" s="37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</row>
    <row r="995" spans="1:33" ht="14.25" customHeight="1" x14ac:dyDescent="0.35">
      <c r="A995" s="12">
        <v>301327</v>
      </c>
      <c r="B995" s="59" t="str">
        <f>IFERROR(VLOOKUP(Tabla2[[#This Row],[CODIGO]],INVENTARIO!A:B,2,0)," ")</f>
        <v>Tapa PE  050 mm Termo F.</v>
      </c>
      <c r="C995" s="12">
        <v>9</v>
      </c>
      <c r="D995" s="13">
        <v>27567</v>
      </c>
      <c r="E995" s="40">
        <v>4500514812</v>
      </c>
      <c r="F995" s="12">
        <v>3566547</v>
      </c>
      <c r="G995" s="77">
        <v>46021</v>
      </c>
      <c r="H995" s="12" t="s">
        <v>166</v>
      </c>
      <c r="I995" s="12"/>
      <c r="J995" s="12"/>
      <c r="K995" s="12"/>
      <c r="L995" s="12"/>
      <c r="M995" s="12"/>
      <c r="N995" s="9" t="s">
        <v>201</v>
      </c>
      <c r="O995" s="9"/>
      <c r="P995" s="37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</row>
    <row r="996" spans="1:33" ht="14.25" customHeight="1" x14ac:dyDescent="0.35">
      <c r="A996" s="12">
        <v>301099</v>
      </c>
      <c r="B996" s="59" t="str">
        <f>IFERROR(VLOOKUP(Tabla2[[#This Row],[CODIGO]],INVENTARIO!A:B,2,0)," ")</f>
        <v>Válvula PE100 Dn 25mm</v>
      </c>
      <c r="C996" s="12">
        <v>51</v>
      </c>
      <c r="D996" s="13">
        <v>3279453</v>
      </c>
      <c r="E996" s="40">
        <v>4500514812</v>
      </c>
      <c r="F996" s="12">
        <v>3566547</v>
      </c>
      <c r="G996" s="77">
        <v>46021</v>
      </c>
      <c r="H996" s="12" t="s">
        <v>166</v>
      </c>
      <c r="I996" s="12"/>
      <c r="J996" s="12"/>
      <c r="K996" s="12"/>
      <c r="L996" s="12"/>
      <c r="M996" s="12"/>
      <c r="N996" s="9" t="s">
        <v>201</v>
      </c>
      <c r="O996" s="9"/>
      <c r="P996" s="37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</row>
    <row r="997" spans="1:33" ht="14.25" customHeight="1" x14ac:dyDescent="0.35">
      <c r="A997" s="12">
        <v>300712</v>
      </c>
      <c r="B997" s="59" t="str">
        <f>IFERROR(VLOOKUP(Tabla2[[#This Row],[CODIGO]],INVENTARIO!A:B,2,0)," ")</f>
        <v>Tapa PE  025 mm Termo F.</v>
      </c>
      <c r="C997" s="12">
        <v>6</v>
      </c>
      <c r="D997" s="13">
        <v>8238</v>
      </c>
      <c r="E997" s="40">
        <v>4500514812</v>
      </c>
      <c r="F997" s="12">
        <v>3566547</v>
      </c>
      <c r="G997" s="77">
        <v>46021</v>
      </c>
      <c r="H997" s="12" t="s">
        <v>166</v>
      </c>
      <c r="I997" s="12"/>
      <c r="J997" s="12"/>
      <c r="K997" s="12"/>
      <c r="L997" s="12"/>
      <c r="M997" s="12"/>
      <c r="N997" s="9" t="s">
        <v>201</v>
      </c>
      <c r="O997" s="9"/>
      <c r="P997" s="37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</row>
    <row r="998" spans="1:33" ht="14.25" customHeight="1" x14ac:dyDescent="0.35">
      <c r="A998" s="12">
        <v>300109</v>
      </c>
      <c r="B998" s="59" t="str">
        <f>IFERROR(VLOOKUP(Tabla2[[#This Row],[CODIGO]],INVENTARIO!A:B,2,0)," ")</f>
        <v>Risers de Acero 3/4" Bsp x 25 mm</v>
      </c>
      <c r="C998" s="12">
        <v>57</v>
      </c>
      <c r="D998" s="13">
        <v>1754517</v>
      </c>
      <c r="E998" s="40">
        <v>4500514812</v>
      </c>
      <c r="F998" s="12">
        <v>3566547</v>
      </c>
      <c r="G998" s="77">
        <v>46021</v>
      </c>
      <c r="H998" s="12" t="s">
        <v>166</v>
      </c>
      <c r="I998" s="12"/>
      <c r="J998" s="12"/>
      <c r="K998" s="12"/>
      <c r="L998" s="12"/>
      <c r="M998" s="12"/>
      <c r="N998" s="9" t="s">
        <v>201</v>
      </c>
      <c r="O998" s="9"/>
      <c r="P998" s="37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</row>
    <row r="999" spans="1:33" ht="14.25" customHeight="1" x14ac:dyDescent="0.35">
      <c r="A999" s="12">
        <v>300108</v>
      </c>
      <c r="B999" s="59" t="str">
        <f>IFERROR(VLOOKUP(Tabla2[[#This Row],[CODIGO]],INVENTARIO!A:B,2,0)," ")</f>
        <v>Tapping Tee PE 63-25 mm</v>
      </c>
      <c r="C999" s="12">
        <v>2</v>
      </c>
      <c r="D999" s="13">
        <v>32214</v>
      </c>
      <c r="E999" s="40">
        <v>4500514812</v>
      </c>
      <c r="F999" s="12">
        <v>3566547</v>
      </c>
      <c r="G999" s="77">
        <v>46021</v>
      </c>
      <c r="H999" s="12" t="s">
        <v>166</v>
      </c>
      <c r="I999" s="12"/>
      <c r="J999" s="12"/>
      <c r="K999" s="12"/>
      <c r="L999" s="12"/>
      <c r="M999" s="12"/>
      <c r="N999" s="9" t="s">
        <v>201</v>
      </c>
      <c r="O999" s="9"/>
      <c r="P999" s="37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</row>
    <row r="1000" spans="1:33" ht="14.25" customHeight="1" x14ac:dyDescent="0.35">
      <c r="A1000" s="12">
        <v>101624</v>
      </c>
      <c r="B1000" s="59" t="str">
        <f>IFERROR(VLOOKUP(Tabla2[[#This Row],[CODIGO]],INVENTARIO!A:B,2,0)," ")</f>
        <v>Tapping Tee PE 50-25 mm</v>
      </c>
      <c r="C1000" s="12">
        <v>47</v>
      </c>
      <c r="D1000" s="13">
        <v>733200</v>
      </c>
      <c r="E1000" s="40">
        <v>4500514812</v>
      </c>
      <c r="F1000" s="12">
        <v>3566547</v>
      </c>
      <c r="G1000" s="77">
        <v>46021</v>
      </c>
      <c r="H1000" s="12" t="s">
        <v>166</v>
      </c>
      <c r="I1000" s="12"/>
      <c r="J1000" s="12"/>
      <c r="K1000" s="12"/>
      <c r="L1000" s="12"/>
      <c r="M1000" s="12"/>
      <c r="N1000" s="9" t="s">
        <v>201</v>
      </c>
      <c r="O1000" s="9"/>
      <c r="P1000" s="37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</row>
    <row r="1001" spans="1:33" ht="14.25" customHeight="1" x14ac:dyDescent="0.35">
      <c r="A1001" s="12">
        <v>2006393</v>
      </c>
      <c r="B1001" s="59" t="str">
        <f>IFERROR(VLOOKUP(Tabla2[[#This Row],[CODIGO]],INVENTARIO!A:B,2,0)," ")</f>
        <v>Transición Latón 3/4"x25 MM PE100, SDR11</v>
      </c>
      <c r="C1001" s="12">
        <v>2</v>
      </c>
      <c r="D1001" s="13">
        <v>25410</v>
      </c>
      <c r="E1001" s="40">
        <v>4500514812</v>
      </c>
      <c r="F1001" s="12">
        <v>3566547</v>
      </c>
      <c r="G1001" s="77">
        <v>46021</v>
      </c>
      <c r="H1001" s="12" t="s">
        <v>166</v>
      </c>
      <c r="I1001" s="12"/>
      <c r="J1001" s="12"/>
      <c r="K1001" s="12"/>
      <c r="L1001" s="12"/>
      <c r="M1001" s="12"/>
      <c r="N1001" s="9" t="s">
        <v>201</v>
      </c>
      <c r="O1001" s="9"/>
      <c r="P1001" s="37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</row>
    <row r="1002" spans="1:33" ht="14.25" customHeight="1" x14ac:dyDescent="0.35">
      <c r="A1002" s="12">
        <v>2003911</v>
      </c>
      <c r="B1002" s="59" t="str">
        <f>IFERROR(VLOOKUP(Tabla2[[#This Row],[CODIGO]],INVENTARIO!A:B,2,0)," ")</f>
        <v>Válvula EFv PE 25 mm Para Tap. Tee</v>
      </c>
      <c r="C1002" s="12">
        <v>16</v>
      </c>
      <c r="D1002" s="13">
        <v>99728</v>
      </c>
      <c r="E1002" s="40">
        <v>4500514807</v>
      </c>
      <c r="F1002" s="12">
        <v>3566546</v>
      </c>
      <c r="G1002" s="77">
        <v>46021</v>
      </c>
      <c r="H1002" s="12" t="s">
        <v>166</v>
      </c>
      <c r="I1002" s="12"/>
      <c r="J1002" s="12"/>
      <c r="K1002" s="12"/>
      <c r="L1002" s="12"/>
      <c r="M1002" s="12"/>
      <c r="N1002" s="9" t="s">
        <v>200</v>
      </c>
      <c r="O1002" s="9"/>
      <c r="P1002" s="37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</row>
    <row r="1003" spans="1:33" ht="14.25" customHeight="1" x14ac:dyDescent="0.35">
      <c r="A1003" s="12">
        <v>302659</v>
      </c>
      <c r="B1003" s="59" t="str">
        <f>IFERROR(VLOOKUP(Tabla2[[#This Row],[CODIGO]],INVENTARIO!A:B,2,0)," ")</f>
        <v>Copla PE100 063mm EF</v>
      </c>
      <c r="C1003" s="12">
        <v>5</v>
      </c>
      <c r="D1003" s="13">
        <v>23140</v>
      </c>
      <c r="E1003" s="40">
        <v>4500514807</v>
      </c>
      <c r="F1003" s="12">
        <v>3566546</v>
      </c>
      <c r="G1003" s="77">
        <v>46021</v>
      </c>
      <c r="H1003" s="12" t="s">
        <v>166</v>
      </c>
      <c r="I1003" s="12"/>
      <c r="J1003" s="12"/>
      <c r="K1003" s="12"/>
      <c r="L1003" s="12"/>
      <c r="M1003" s="12"/>
      <c r="N1003" s="9" t="s">
        <v>200</v>
      </c>
      <c r="O1003" s="9"/>
      <c r="P1003" s="37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</row>
    <row r="1004" spans="1:33" ht="14.25" customHeight="1" x14ac:dyDescent="0.35">
      <c r="A1004" s="12">
        <v>301987</v>
      </c>
      <c r="B1004" s="59" t="str">
        <f>IFERROR(VLOOKUP(Tabla2[[#This Row],[CODIGO]],INVENTARIO!A:B,2,0)," ")</f>
        <v>Codo PE100 90° 063mm EF</v>
      </c>
      <c r="C1004" s="12">
        <v>11</v>
      </c>
      <c r="D1004" s="13">
        <v>129646</v>
      </c>
      <c r="E1004" s="40">
        <v>4500514807</v>
      </c>
      <c r="F1004" s="12">
        <v>3566546</v>
      </c>
      <c r="G1004" s="77">
        <v>46021</v>
      </c>
      <c r="H1004" s="12" t="s">
        <v>166</v>
      </c>
      <c r="I1004" s="12"/>
      <c r="J1004" s="12"/>
      <c r="K1004" s="12"/>
      <c r="L1004" s="12"/>
      <c r="M1004" s="12"/>
      <c r="N1004" s="9" t="s">
        <v>200</v>
      </c>
      <c r="O1004" s="9"/>
      <c r="P1004" s="37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</row>
    <row r="1005" spans="1:33" ht="14.25" customHeight="1" x14ac:dyDescent="0.35">
      <c r="A1005" s="12">
        <v>301329</v>
      </c>
      <c r="B1005" s="59" t="str">
        <f>IFERROR(VLOOKUP(Tabla2[[#This Row],[CODIGO]],INVENTARIO!A:B,2,0)," ")</f>
        <v>Copla PE100 025mm EF</v>
      </c>
      <c r="C1005" s="12">
        <v>35</v>
      </c>
      <c r="D1005" s="13">
        <v>68215</v>
      </c>
      <c r="E1005" s="40">
        <v>4500514807</v>
      </c>
      <c r="F1005" s="12">
        <v>3566546</v>
      </c>
      <c r="G1005" s="77">
        <v>46021</v>
      </c>
      <c r="H1005" s="12" t="s">
        <v>166</v>
      </c>
      <c r="I1005" s="12"/>
      <c r="J1005" s="12"/>
      <c r="K1005" s="12"/>
      <c r="L1005" s="12"/>
      <c r="M1005" s="12"/>
      <c r="N1005" s="9" t="s">
        <v>200</v>
      </c>
      <c r="O1005" s="9"/>
      <c r="P1005" s="37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</row>
    <row r="1006" spans="1:33" ht="14.25" customHeight="1" x14ac:dyDescent="0.35">
      <c r="A1006" s="12">
        <v>300712</v>
      </c>
      <c r="B1006" s="59" t="str">
        <f>IFERROR(VLOOKUP(Tabla2[[#This Row],[CODIGO]],INVENTARIO!A:B,2,0)," ")</f>
        <v>Tapa PE  025 mm Termo F.</v>
      </c>
      <c r="C1006" s="12">
        <v>1</v>
      </c>
      <c r="D1006" s="13">
        <v>1373</v>
      </c>
      <c r="E1006" s="40">
        <v>4500514807</v>
      </c>
      <c r="F1006" s="12">
        <v>3566546</v>
      </c>
      <c r="G1006" s="77">
        <v>46021</v>
      </c>
      <c r="H1006" s="12" t="s">
        <v>166</v>
      </c>
      <c r="I1006" s="12"/>
      <c r="J1006" s="12"/>
      <c r="K1006" s="12"/>
      <c r="L1006" s="12"/>
      <c r="M1006" s="12"/>
      <c r="N1006" s="9" t="s">
        <v>200</v>
      </c>
      <c r="O1006" s="9"/>
      <c r="P1006" s="37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</row>
    <row r="1007" spans="1:33" ht="14.25" customHeight="1" x14ac:dyDescent="0.35">
      <c r="A1007" s="12">
        <v>300109</v>
      </c>
      <c r="B1007" s="59" t="str">
        <f>IFERROR(VLOOKUP(Tabla2[[#This Row],[CODIGO]],INVENTARIO!A:B,2,0)," ")</f>
        <v>Risers de Acero 3/4" Bsp x 25 mm</v>
      </c>
      <c r="C1007" s="12">
        <v>17</v>
      </c>
      <c r="D1007" s="13">
        <v>523277</v>
      </c>
      <c r="E1007" s="40">
        <v>4500514807</v>
      </c>
      <c r="F1007" s="12">
        <v>3566546</v>
      </c>
      <c r="G1007" s="77">
        <v>46021</v>
      </c>
      <c r="H1007" s="12" t="s">
        <v>166</v>
      </c>
      <c r="I1007" s="12"/>
      <c r="J1007" s="12"/>
      <c r="K1007" s="12"/>
      <c r="L1007" s="12"/>
      <c r="M1007" s="12"/>
      <c r="N1007" s="9" t="s">
        <v>200</v>
      </c>
      <c r="O1007" s="9"/>
      <c r="P1007" s="37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</row>
    <row r="1008" spans="1:33" ht="14.25" customHeight="1" x14ac:dyDescent="0.35">
      <c r="A1008" s="12">
        <v>300108</v>
      </c>
      <c r="B1008" s="59" t="str">
        <f>IFERROR(VLOOKUP(Tabla2[[#This Row],[CODIGO]],INVENTARIO!A:B,2,0)," ")</f>
        <v>Tapping Tee PE 63-25 mm</v>
      </c>
      <c r="C1008" s="12">
        <v>17</v>
      </c>
      <c r="D1008" s="13">
        <v>273819</v>
      </c>
      <c r="E1008" s="40">
        <v>4500514807</v>
      </c>
      <c r="F1008" s="12">
        <v>3566546</v>
      </c>
      <c r="G1008" s="77">
        <v>46021</v>
      </c>
      <c r="H1008" s="12" t="s">
        <v>166</v>
      </c>
      <c r="I1008" s="12"/>
      <c r="J1008" s="12"/>
      <c r="K1008" s="12"/>
      <c r="L1008" s="12"/>
      <c r="M1008" s="12"/>
      <c r="N1008" s="9" t="s">
        <v>200</v>
      </c>
      <c r="O1008" s="9"/>
      <c r="P1008" s="37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</row>
    <row r="1009" spans="1:33" ht="14.25" customHeight="1" x14ac:dyDescent="0.35">
      <c r="A1009" s="12">
        <v>2000350</v>
      </c>
      <c r="B1009" s="59" t="str">
        <f>IFERROR(VLOOKUP(Tabla2[[#This Row],[CODIGO]],INVENTARIO!A:B,2,0)," ")</f>
        <v>Codo PE 90º  25 mm EF.</v>
      </c>
      <c r="C1009" s="12">
        <v>2</v>
      </c>
      <c r="D1009" s="13">
        <v>12264</v>
      </c>
      <c r="E1009" s="40">
        <v>4500514561</v>
      </c>
      <c r="F1009" s="12">
        <v>3566545</v>
      </c>
      <c r="G1009" s="77">
        <v>46021</v>
      </c>
      <c r="H1009" s="12" t="s">
        <v>166</v>
      </c>
      <c r="I1009" s="12"/>
      <c r="J1009" s="12"/>
      <c r="K1009" s="12"/>
      <c r="L1009" s="12"/>
      <c r="M1009" s="12"/>
      <c r="N1009" s="9" t="s">
        <v>192</v>
      </c>
      <c r="O1009" s="9"/>
      <c r="P1009" s="37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</row>
    <row r="1010" spans="1:33" ht="14.25" customHeight="1" x14ac:dyDescent="0.35">
      <c r="A1010" s="12">
        <v>303017</v>
      </c>
      <c r="B1010" s="59" t="str">
        <f>IFERROR(VLOOKUP(Tabla2[[#This Row],[CODIGO]],INVENTARIO!A:B,2,0)," ")</f>
        <v>Codo PE100 90° 110mm EF</v>
      </c>
      <c r="C1010" s="12">
        <v>2</v>
      </c>
      <c r="D1010" s="13">
        <v>63384</v>
      </c>
      <c r="E1010" s="40">
        <v>4500514497</v>
      </c>
      <c r="F1010" s="12">
        <v>3566544</v>
      </c>
      <c r="G1010" s="77">
        <v>46021</v>
      </c>
      <c r="H1010" s="12" t="s">
        <v>166</v>
      </c>
      <c r="I1010" s="12"/>
      <c r="J1010" s="12"/>
      <c r="K1010" s="12"/>
      <c r="L1010" s="12"/>
      <c r="M1010" s="9" t="s">
        <v>249</v>
      </c>
      <c r="N1010" s="9" t="s">
        <v>193</v>
      </c>
      <c r="O1010" s="9"/>
      <c r="P1010" s="37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</row>
    <row r="1011" spans="1:33" ht="14.25" customHeight="1" x14ac:dyDescent="0.35">
      <c r="A1011" s="12">
        <v>302991</v>
      </c>
      <c r="B1011" s="59" t="str">
        <f>IFERROR(VLOOKUP(Tabla2[[#This Row],[CODIGO]],INVENTARIO!A:B,2,0)," ")</f>
        <v>Copla PE100 110mm EF</v>
      </c>
      <c r="C1011" s="12">
        <v>14</v>
      </c>
      <c r="D1011" s="13">
        <v>151074</v>
      </c>
      <c r="E1011" s="40">
        <v>4500514497</v>
      </c>
      <c r="F1011" s="12">
        <v>3566544</v>
      </c>
      <c r="G1011" s="77">
        <v>46021</v>
      </c>
      <c r="H1011" s="12" t="s">
        <v>166</v>
      </c>
      <c r="I1011" s="12"/>
      <c r="J1011" s="12"/>
      <c r="K1011" s="12"/>
      <c r="L1011" s="12"/>
      <c r="M1011" s="9" t="s">
        <v>249</v>
      </c>
      <c r="N1011" s="9" t="s">
        <v>193</v>
      </c>
      <c r="O1011" s="9"/>
      <c r="P1011" s="37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</row>
    <row r="1012" spans="1:33" ht="14.25" customHeight="1" x14ac:dyDescent="0.35">
      <c r="A1012" s="12">
        <v>302659</v>
      </c>
      <c r="B1012" s="59" t="str">
        <f>IFERROR(VLOOKUP(Tabla2[[#This Row],[CODIGO]],INVENTARIO!A:B,2,0)," ")</f>
        <v>Copla PE100 063mm EF</v>
      </c>
      <c r="C1012" s="12">
        <v>8</v>
      </c>
      <c r="D1012" s="13">
        <v>37024</v>
      </c>
      <c r="E1012" s="40">
        <v>4500514497</v>
      </c>
      <c r="F1012" s="12">
        <v>3566544</v>
      </c>
      <c r="G1012" s="77">
        <v>46021</v>
      </c>
      <c r="H1012" s="12" t="s">
        <v>166</v>
      </c>
      <c r="I1012" s="12"/>
      <c r="J1012" s="12"/>
      <c r="K1012" s="12"/>
      <c r="L1012" s="12"/>
      <c r="M1012" s="9" t="s">
        <v>249</v>
      </c>
      <c r="N1012" s="9" t="s">
        <v>193</v>
      </c>
      <c r="O1012" s="9"/>
      <c r="P1012" s="37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</row>
    <row r="1013" spans="1:33" ht="14.25" customHeight="1" x14ac:dyDescent="0.35">
      <c r="A1013" s="12">
        <v>302317</v>
      </c>
      <c r="B1013" s="59" t="str">
        <f>IFERROR(VLOOKUP(Tabla2[[#This Row],[CODIGO]],INVENTARIO!A:B,2,0)," ")</f>
        <v>Tapa PE 110 mm Termo F.</v>
      </c>
      <c r="C1013" s="12">
        <v>1</v>
      </c>
      <c r="D1013" s="13">
        <v>9752</v>
      </c>
      <c r="E1013" s="40">
        <v>4500514497</v>
      </c>
      <c r="F1013" s="12">
        <v>3566544</v>
      </c>
      <c r="G1013" s="77">
        <v>46021</v>
      </c>
      <c r="H1013" s="12" t="s">
        <v>166</v>
      </c>
      <c r="I1013" s="12"/>
      <c r="J1013" s="12"/>
      <c r="K1013" s="12"/>
      <c r="L1013" s="12"/>
      <c r="M1013" s="9" t="s">
        <v>249</v>
      </c>
      <c r="N1013" s="9" t="s">
        <v>193</v>
      </c>
      <c r="O1013" s="9"/>
      <c r="P1013" s="37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</row>
    <row r="1014" spans="1:33" ht="14.25" customHeight="1" x14ac:dyDescent="0.35">
      <c r="A1014" s="12">
        <v>301685</v>
      </c>
      <c r="B1014" s="59" t="str">
        <f>IFERROR(VLOOKUP(Tabla2[[#This Row],[CODIGO]],INVENTARIO!A:B,2,0)," ")</f>
        <v>Reductor PE100 110-63 mm TF.</v>
      </c>
      <c r="C1014" s="12">
        <v>8</v>
      </c>
      <c r="D1014" s="13">
        <v>42104</v>
      </c>
      <c r="E1014" s="40">
        <v>4500514497</v>
      </c>
      <c r="F1014" s="12">
        <v>3566544</v>
      </c>
      <c r="G1014" s="77">
        <v>46021</v>
      </c>
      <c r="H1014" s="12" t="s">
        <v>166</v>
      </c>
      <c r="I1014" s="12"/>
      <c r="J1014" s="12"/>
      <c r="K1014" s="12"/>
      <c r="L1014" s="12"/>
      <c r="M1014" s="9" t="s">
        <v>249</v>
      </c>
      <c r="N1014" s="9" t="s">
        <v>193</v>
      </c>
      <c r="O1014" s="9"/>
      <c r="P1014" s="37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</row>
    <row r="1015" spans="1:33" ht="14.25" customHeight="1" x14ac:dyDescent="0.35">
      <c r="A1015" s="12">
        <v>301666</v>
      </c>
      <c r="B1015" s="59" t="str">
        <f>IFERROR(VLOOKUP(Tabla2[[#This Row],[CODIGO]],INVENTARIO!A:B,2,0)," ")</f>
        <v>Tapping Tee PE 110-25 mm</v>
      </c>
      <c r="C1015" s="12">
        <v>1</v>
      </c>
      <c r="D1015" s="13">
        <v>12084</v>
      </c>
      <c r="E1015" s="40">
        <v>4500514497</v>
      </c>
      <c r="F1015" s="12">
        <v>3566544</v>
      </c>
      <c r="G1015" s="77">
        <v>46021</v>
      </c>
      <c r="H1015" s="12" t="s">
        <v>166</v>
      </c>
      <c r="I1015" s="12"/>
      <c r="J1015" s="12"/>
      <c r="K1015" s="12"/>
      <c r="L1015" s="12"/>
      <c r="M1015" s="9" t="s">
        <v>249</v>
      </c>
      <c r="N1015" s="9" t="s">
        <v>193</v>
      </c>
      <c r="O1015" s="9"/>
      <c r="P1015" s="37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</row>
    <row r="1016" spans="1:33" ht="14.25" customHeight="1" x14ac:dyDescent="0.35">
      <c r="A1016" s="12">
        <v>301329</v>
      </c>
      <c r="B1016" s="59" t="str">
        <f>IFERROR(VLOOKUP(Tabla2[[#This Row],[CODIGO]],INVENTARIO!A:B,2,0)," ")</f>
        <v>Copla PE100 025mm EF</v>
      </c>
      <c r="C1016" s="12">
        <v>3</v>
      </c>
      <c r="D1016" s="13">
        <v>5847</v>
      </c>
      <c r="E1016" s="40">
        <v>4500514497</v>
      </c>
      <c r="F1016" s="12">
        <v>3566544</v>
      </c>
      <c r="G1016" s="77">
        <v>46021</v>
      </c>
      <c r="H1016" s="12" t="s">
        <v>166</v>
      </c>
      <c r="I1016" s="12"/>
      <c r="J1016" s="12"/>
      <c r="K1016" s="12"/>
      <c r="L1016" s="12"/>
      <c r="M1016" s="9" t="s">
        <v>249</v>
      </c>
      <c r="N1016" s="9" t="s">
        <v>193</v>
      </c>
      <c r="O1016" s="9"/>
      <c r="P1016" s="37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</row>
    <row r="1017" spans="1:33" ht="14.25" customHeight="1" x14ac:dyDescent="0.35">
      <c r="A1017" s="12">
        <v>300527</v>
      </c>
      <c r="B1017" s="59" t="str">
        <f>IFERROR(VLOOKUP(Tabla2[[#This Row],[CODIGO]],INVENTARIO!A:B,2,0)," ")</f>
        <v>Tapping Tee PE 160-25 mm</v>
      </c>
      <c r="C1017" s="12">
        <v>4</v>
      </c>
      <c r="D1017" s="13">
        <v>65284</v>
      </c>
      <c r="E1017" s="40">
        <v>4500514497</v>
      </c>
      <c r="F1017" s="12">
        <v>3566544</v>
      </c>
      <c r="G1017" s="77">
        <v>46021</v>
      </c>
      <c r="H1017" s="12" t="s">
        <v>166</v>
      </c>
      <c r="I1017" s="12"/>
      <c r="J1017" s="12"/>
      <c r="K1017" s="12"/>
      <c r="L1017" s="12"/>
      <c r="M1017" s="9" t="s">
        <v>249</v>
      </c>
      <c r="N1017" s="9" t="s">
        <v>193</v>
      </c>
      <c r="O1017" s="9"/>
      <c r="P1017" s="37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</row>
    <row r="1018" spans="1:33" ht="14.25" customHeight="1" x14ac:dyDescent="0.35">
      <c r="A1018" s="12">
        <v>300117</v>
      </c>
      <c r="B1018" s="59" t="str">
        <f>IFERROR(VLOOKUP(Tabla2[[#This Row],[CODIGO]],INVENTARIO!A:B,2,0)," ")</f>
        <v>Copla PE100 160mm EF</v>
      </c>
      <c r="C1018" s="12">
        <v>4</v>
      </c>
      <c r="D1018" s="13">
        <v>33124</v>
      </c>
      <c r="E1018" s="40">
        <v>4500514497</v>
      </c>
      <c r="F1018" s="12">
        <v>3566544</v>
      </c>
      <c r="G1018" s="77">
        <v>46021</v>
      </c>
      <c r="H1018" s="12" t="s">
        <v>166</v>
      </c>
      <c r="I1018" s="12"/>
      <c r="J1018" s="12"/>
      <c r="K1018" s="12"/>
      <c r="L1018" s="12"/>
      <c r="M1018" s="9" t="s">
        <v>249</v>
      </c>
      <c r="N1018" s="9" t="s">
        <v>193</v>
      </c>
      <c r="O1018" s="9"/>
      <c r="P1018" s="37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</row>
    <row r="1019" spans="1:33" ht="14.25" customHeight="1" x14ac:dyDescent="0.35">
      <c r="A1019" s="12">
        <v>300109</v>
      </c>
      <c r="B1019" s="59" t="str">
        <f>IFERROR(VLOOKUP(Tabla2[[#This Row],[CODIGO]],INVENTARIO!A:B,2,0)," ")</f>
        <v>Risers de Acero 3/4" Bsp x 25 mm</v>
      </c>
      <c r="C1019" s="12">
        <v>1</v>
      </c>
      <c r="D1019" s="13">
        <v>30781</v>
      </c>
      <c r="E1019" s="40">
        <v>4500514497</v>
      </c>
      <c r="F1019" s="12">
        <v>3566544</v>
      </c>
      <c r="G1019" s="77">
        <v>46021</v>
      </c>
      <c r="H1019" s="12" t="s">
        <v>166</v>
      </c>
      <c r="I1019" s="12"/>
      <c r="J1019" s="12"/>
      <c r="K1019" s="12"/>
      <c r="L1019" s="12"/>
      <c r="M1019" s="9" t="s">
        <v>249</v>
      </c>
      <c r="N1019" s="9" t="s">
        <v>193</v>
      </c>
      <c r="O1019" s="9"/>
      <c r="P1019" s="37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</row>
    <row r="1020" spans="1:33" ht="14.25" customHeight="1" x14ac:dyDescent="0.35">
      <c r="A1020" s="12">
        <v>301327</v>
      </c>
      <c r="B1020" s="59" t="str">
        <f>IFERROR(VLOOKUP(Tabla2[[#This Row],[CODIGO]],INVENTARIO!A:B,2,0)," ")</f>
        <v>Tapa PE  050 mm Termo F.</v>
      </c>
      <c r="C1020" s="12">
        <v>1</v>
      </c>
      <c r="D1020" s="13"/>
      <c r="E1020" s="40"/>
      <c r="F1020" s="12">
        <v>838</v>
      </c>
      <c r="G1020" s="77">
        <v>46017</v>
      </c>
      <c r="H1020" s="9" t="s">
        <v>181</v>
      </c>
      <c r="I1020" s="9"/>
      <c r="J1020" s="9"/>
      <c r="K1020" s="9"/>
      <c r="L1020" s="9"/>
      <c r="M1020" s="9"/>
      <c r="N1020" s="35" t="s">
        <v>184</v>
      </c>
      <c r="O1020" s="35"/>
      <c r="P1020" s="37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</row>
    <row r="1021" spans="1:33" ht="14.25" customHeight="1" x14ac:dyDescent="0.35">
      <c r="A1021" s="12">
        <v>303345</v>
      </c>
      <c r="B1021" s="59" t="str">
        <f>IFERROR(VLOOKUP(Tabla2[[#This Row],[CODIGO]],INVENTARIO!A:B,2,0)," ")</f>
        <v>Copla PE100 050mm EF</v>
      </c>
      <c r="C1021" s="12">
        <v>2</v>
      </c>
      <c r="D1021" s="13"/>
      <c r="E1021" s="40"/>
      <c r="F1021" s="12">
        <v>838</v>
      </c>
      <c r="G1021" s="77">
        <v>46017</v>
      </c>
      <c r="H1021" s="9" t="s">
        <v>181</v>
      </c>
      <c r="I1021" s="9"/>
      <c r="J1021" s="9"/>
      <c r="K1021" s="9"/>
      <c r="L1021" s="9"/>
      <c r="M1021" s="9"/>
      <c r="N1021" s="35" t="s">
        <v>184</v>
      </c>
      <c r="O1021" s="35"/>
      <c r="P1021" s="37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</row>
    <row r="1022" spans="1:33" ht="14.25" customHeight="1" x14ac:dyDescent="0.35">
      <c r="A1022" s="12">
        <v>303362</v>
      </c>
      <c r="B1022" s="59" t="str">
        <f>IFERROR(VLOOKUP(Tabla2[[#This Row],[CODIGO]],INVENTARIO!A:B,2,0)," ")</f>
        <v>Reductor PE  50-40 mm Electro F.</v>
      </c>
      <c r="C1022" s="12">
        <v>1</v>
      </c>
      <c r="D1022" s="13"/>
      <c r="E1022" s="40"/>
      <c r="F1022" s="12">
        <v>838</v>
      </c>
      <c r="G1022" s="77">
        <v>46017</v>
      </c>
      <c r="H1022" s="9" t="s">
        <v>181</v>
      </c>
      <c r="I1022" s="9"/>
      <c r="J1022" s="9"/>
      <c r="K1022" s="9"/>
      <c r="L1022" s="9"/>
      <c r="M1022" s="9"/>
      <c r="N1022" s="35" t="s">
        <v>184</v>
      </c>
      <c r="O1022" s="35"/>
      <c r="P1022" s="37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</row>
    <row r="1023" spans="1:33" ht="14.25" customHeight="1" x14ac:dyDescent="0.35">
      <c r="A1023" s="12">
        <v>301329</v>
      </c>
      <c r="B1023" s="59" t="str">
        <f>IFERROR(VLOOKUP(Tabla2[[#This Row],[CODIGO]],INVENTARIO!A:B,2,0)," ")</f>
        <v>Copla PE100 025mm EF</v>
      </c>
      <c r="C1023" s="12">
        <v>2</v>
      </c>
      <c r="D1023" s="13"/>
      <c r="E1023" s="40"/>
      <c r="F1023" s="12">
        <v>837</v>
      </c>
      <c r="G1023" s="77">
        <v>46017</v>
      </c>
      <c r="H1023" s="9" t="s">
        <v>181</v>
      </c>
      <c r="I1023" s="9"/>
      <c r="J1023" s="9"/>
      <c r="K1023" s="9"/>
      <c r="L1023" s="9"/>
      <c r="M1023" s="9"/>
      <c r="N1023" s="35" t="s">
        <v>185</v>
      </c>
      <c r="O1023" s="35"/>
      <c r="P1023" s="37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</row>
    <row r="1024" spans="1:33" ht="14.25" customHeight="1" x14ac:dyDescent="0.35">
      <c r="A1024" s="12">
        <v>1002167</v>
      </c>
      <c r="B1024" s="59" t="str">
        <f>IFERROR(VLOOKUP(Tabla2[[#This Row],[CODIGO]],INVENTARIO!A:B,2,0)," ")</f>
        <v>Cable Trazador Cu 14 AWG Aisl. THW Roj</v>
      </c>
      <c r="C1024" s="12">
        <v>1</v>
      </c>
      <c r="D1024" s="13"/>
      <c r="E1024" s="40"/>
      <c r="F1024" s="12">
        <v>836</v>
      </c>
      <c r="G1024" s="77">
        <v>46017</v>
      </c>
      <c r="H1024" s="9" t="s">
        <v>181</v>
      </c>
      <c r="I1024" s="9"/>
      <c r="J1024" s="9"/>
      <c r="K1024" s="9"/>
      <c r="L1024" s="9"/>
      <c r="M1024" s="9"/>
      <c r="N1024" s="35" t="s">
        <v>186</v>
      </c>
      <c r="O1024" s="35"/>
      <c r="P1024" s="37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</row>
    <row r="1025" spans="1:33" ht="14.25" customHeight="1" x14ac:dyDescent="0.35">
      <c r="A1025" s="12">
        <v>301329</v>
      </c>
      <c r="B1025" s="59" t="str">
        <f>IFERROR(VLOOKUP(Tabla2[[#This Row],[CODIGO]],INVENTARIO!A:B,2,0)," ")</f>
        <v>Copla PE100 025mm EF</v>
      </c>
      <c r="C1025" s="12">
        <v>1</v>
      </c>
      <c r="D1025" s="13"/>
      <c r="E1025" s="40"/>
      <c r="F1025" s="12">
        <v>836</v>
      </c>
      <c r="G1025" s="77">
        <v>46017</v>
      </c>
      <c r="H1025" s="9" t="s">
        <v>181</v>
      </c>
      <c r="I1025" s="9"/>
      <c r="J1025" s="9"/>
      <c r="K1025" s="9"/>
      <c r="L1025" s="9"/>
      <c r="M1025" s="9"/>
      <c r="N1025" s="35" t="s">
        <v>186</v>
      </c>
      <c r="O1025" s="35"/>
      <c r="P1025" s="37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</row>
    <row r="1026" spans="1:33" ht="14.25" customHeight="1" x14ac:dyDescent="0.35">
      <c r="A1026" s="12">
        <v>300109</v>
      </c>
      <c r="B1026" s="59" t="str">
        <f>IFERROR(VLOOKUP(Tabla2[[#This Row],[CODIGO]],INVENTARIO!A:B,2,0)," ")</f>
        <v>Risers de Acero 3/4" Bsp x 25 mm</v>
      </c>
      <c r="C1026" s="12">
        <v>1</v>
      </c>
      <c r="D1026" s="13"/>
      <c r="E1026" s="40"/>
      <c r="F1026" s="12">
        <v>835</v>
      </c>
      <c r="G1026" s="77">
        <v>46017</v>
      </c>
      <c r="H1026" s="9" t="s">
        <v>181</v>
      </c>
      <c r="I1026" s="9"/>
      <c r="J1026" s="9"/>
      <c r="K1026" s="9"/>
      <c r="L1026" s="9"/>
      <c r="M1026" s="9"/>
      <c r="N1026" s="35" t="s">
        <v>187</v>
      </c>
      <c r="O1026" s="35"/>
      <c r="P1026" s="37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</row>
    <row r="1027" spans="1:33" ht="14.25" customHeight="1" x14ac:dyDescent="0.35">
      <c r="A1027" s="12">
        <v>2002262</v>
      </c>
      <c r="B1027" s="59" t="str">
        <f>IFERROR(VLOOKUP(Tabla2[[#This Row],[CODIGO]],INVENTARIO!A:B,2,0)," ")</f>
        <v>Tubería PE80 050mm Rollo</v>
      </c>
      <c r="C1027" s="12">
        <v>1</v>
      </c>
      <c r="D1027" s="13"/>
      <c r="E1027" s="40"/>
      <c r="F1027" s="12">
        <v>835</v>
      </c>
      <c r="G1027" s="77">
        <v>46017</v>
      </c>
      <c r="H1027" s="9" t="s">
        <v>181</v>
      </c>
      <c r="I1027" s="9"/>
      <c r="J1027" s="9"/>
      <c r="K1027" s="9"/>
      <c r="L1027" s="9"/>
      <c r="M1027" s="9"/>
      <c r="N1027" s="35" t="s">
        <v>187</v>
      </c>
      <c r="O1027" s="35"/>
      <c r="P1027" s="37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</row>
    <row r="1028" spans="1:33" ht="14.25" customHeight="1" x14ac:dyDescent="0.35">
      <c r="A1028" s="12">
        <v>1002167</v>
      </c>
      <c r="B1028" s="59" t="str">
        <f>IFERROR(VLOOKUP(Tabla2[[#This Row],[CODIGO]],INVENTARIO!A:B,2,0)," ")</f>
        <v>Cable Trazador Cu 14 AWG Aisl. THW Roj</v>
      </c>
      <c r="C1028" s="12">
        <v>3</v>
      </c>
      <c r="D1028" s="13"/>
      <c r="E1028" s="40"/>
      <c r="F1028" s="12">
        <v>835</v>
      </c>
      <c r="G1028" s="77">
        <v>46017</v>
      </c>
      <c r="H1028" s="9" t="s">
        <v>181</v>
      </c>
      <c r="I1028" s="9"/>
      <c r="J1028" s="9"/>
      <c r="K1028" s="9"/>
      <c r="L1028" s="9"/>
      <c r="M1028" s="9"/>
      <c r="N1028" s="35" t="s">
        <v>187</v>
      </c>
      <c r="O1028" s="35"/>
      <c r="P1028" s="37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</row>
    <row r="1029" spans="1:33" ht="14.25" customHeight="1" x14ac:dyDescent="0.35">
      <c r="A1029" s="12">
        <v>302184</v>
      </c>
      <c r="B1029" s="59" t="str">
        <f>IFERROR(VLOOKUP(Tabla2[[#This Row],[CODIGO]],INVENTARIO!A:B,2,0)," ")</f>
        <v>Tapa Tornillo Cambio de Codigo por: 2008481</v>
      </c>
      <c r="C1029" s="12">
        <v>1</v>
      </c>
      <c r="D1029" s="13"/>
      <c r="E1029" s="40"/>
      <c r="F1029" s="12">
        <v>835</v>
      </c>
      <c r="G1029" s="77">
        <v>46017</v>
      </c>
      <c r="H1029" s="9" t="s">
        <v>181</v>
      </c>
      <c r="I1029" s="9"/>
      <c r="J1029" s="9"/>
      <c r="K1029" s="9"/>
      <c r="L1029" s="9"/>
      <c r="M1029" s="9"/>
      <c r="N1029" s="35" t="s">
        <v>187</v>
      </c>
      <c r="O1029" s="35"/>
      <c r="P1029" s="37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</row>
    <row r="1030" spans="1:33" ht="14.25" customHeight="1" x14ac:dyDescent="0.35">
      <c r="A1030" s="12">
        <v>302737</v>
      </c>
      <c r="B1030" s="59" t="str">
        <f>IFERROR(VLOOKUP(Tabla2[[#This Row],[CODIGO]],INVENTARIO!A:B,2,0)," ")</f>
        <v>Válvula Bola 3/4" Hi Un Cuerpo Pn5 Arco</v>
      </c>
      <c r="C1030" s="12">
        <v>1</v>
      </c>
      <c r="D1030" s="13"/>
      <c r="E1030" s="40"/>
      <c r="F1030" s="12">
        <v>835</v>
      </c>
      <c r="G1030" s="77">
        <v>46017</v>
      </c>
      <c r="H1030" s="9" t="s">
        <v>181</v>
      </c>
      <c r="I1030" s="9"/>
      <c r="J1030" s="9"/>
      <c r="K1030" s="9"/>
      <c r="L1030" s="9"/>
      <c r="M1030" s="9"/>
      <c r="N1030" s="35" t="s">
        <v>187</v>
      </c>
      <c r="O1030" s="35"/>
      <c r="P1030" s="37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</row>
    <row r="1031" spans="1:33" ht="14.25" customHeight="1" x14ac:dyDescent="0.35">
      <c r="A1031" s="12">
        <v>300712</v>
      </c>
      <c r="B1031" s="59" t="str">
        <f>IFERROR(VLOOKUP(Tabla2[[#This Row],[CODIGO]],INVENTARIO!A:B,2,0)," ")</f>
        <v>Tapa PE  025 mm Termo F.</v>
      </c>
      <c r="C1031" s="12">
        <v>1</v>
      </c>
      <c r="D1031" s="13"/>
      <c r="E1031" s="40"/>
      <c r="F1031" s="12">
        <v>835</v>
      </c>
      <c r="G1031" s="77">
        <v>46017</v>
      </c>
      <c r="H1031" s="9" t="s">
        <v>181</v>
      </c>
      <c r="I1031" s="9"/>
      <c r="J1031" s="9"/>
      <c r="K1031" s="9"/>
      <c r="L1031" s="9"/>
      <c r="M1031" s="9"/>
      <c r="N1031" s="35" t="s">
        <v>187</v>
      </c>
      <c r="O1031" s="35"/>
      <c r="P1031" s="37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</row>
    <row r="1032" spans="1:33" ht="14.25" customHeight="1" x14ac:dyDescent="0.35">
      <c r="A1032" s="12">
        <v>303345</v>
      </c>
      <c r="B1032" s="59" t="str">
        <f>IFERROR(VLOOKUP(Tabla2[[#This Row],[CODIGO]],INVENTARIO!A:B,2,0)," ")</f>
        <v>Copla PE100 050mm EF</v>
      </c>
      <c r="C1032" s="12">
        <v>1</v>
      </c>
      <c r="D1032" s="13"/>
      <c r="E1032" s="40"/>
      <c r="F1032" s="12">
        <v>835</v>
      </c>
      <c r="G1032" s="77">
        <v>46017</v>
      </c>
      <c r="H1032" s="9" t="s">
        <v>181</v>
      </c>
      <c r="I1032" s="9"/>
      <c r="J1032" s="9"/>
      <c r="K1032" s="9"/>
      <c r="L1032" s="9"/>
      <c r="M1032" s="9"/>
      <c r="N1032" s="35" t="s">
        <v>187</v>
      </c>
      <c r="O1032" s="35"/>
      <c r="P1032" s="37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</row>
    <row r="1033" spans="1:33" ht="14.25" customHeight="1" x14ac:dyDescent="0.35">
      <c r="A1033" s="12">
        <v>302992</v>
      </c>
      <c r="B1033" s="59" t="str">
        <f>IFERROR(VLOOKUP(Tabla2[[#This Row],[CODIGO]],INVENTARIO!A:B,2,0)," ")</f>
        <v>Codo PE100 90° 050mm EF</v>
      </c>
      <c r="C1033" s="12">
        <v>1</v>
      </c>
      <c r="D1033" s="13"/>
      <c r="E1033" s="40"/>
      <c r="F1033" s="12">
        <v>835</v>
      </c>
      <c r="G1033" s="77">
        <v>46017</v>
      </c>
      <c r="H1033" s="9" t="s">
        <v>181</v>
      </c>
      <c r="I1033" s="9"/>
      <c r="J1033" s="9"/>
      <c r="K1033" s="9"/>
      <c r="L1033" s="9"/>
      <c r="M1033" s="9"/>
      <c r="N1033" s="35" t="s">
        <v>187</v>
      </c>
      <c r="O1033" s="35"/>
      <c r="P1033" s="37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</row>
    <row r="1034" spans="1:33" ht="14.25" customHeight="1" x14ac:dyDescent="0.35">
      <c r="A1034" s="12">
        <v>301329</v>
      </c>
      <c r="B1034" s="59" t="str">
        <f>IFERROR(VLOOKUP(Tabla2[[#This Row],[CODIGO]],INVENTARIO!A:B,2,0)," ")</f>
        <v>Copla PE100 025mm EF</v>
      </c>
      <c r="C1034" s="12">
        <v>4</v>
      </c>
      <c r="D1034" s="13"/>
      <c r="E1034" s="40"/>
      <c r="F1034" s="12">
        <v>835</v>
      </c>
      <c r="G1034" s="77">
        <v>46017</v>
      </c>
      <c r="H1034" s="9" t="s">
        <v>181</v>
      </c>
      <c r="I1034" s="9"/>
      <c r="J1034" s="9"/>
      <c r="K1034" s="9"/>
      <c r="L1034" s="9"/>
      <c r="M1034" s="9"/>
      <c r="N1034" s="35" t="s">
        <v>187</v>
      </c>
      <c r="O1034" s="35"/>
      <c r="P1034" s="37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</row>
    <row r="1035" spans="1:33" ht="14.25" customHeight="1" x14ac:dyDescent="0.35">
      <c r="A1035" s="12">
        <v>101624</v>
      </c>
      <c r="B1035" s="59" t="str">
        <f>IFERROR(VLOOKUP(Tabla2[[#This Row],[CODIGO]],INVENTARIO!A:B,2,0)," ")</f>
        <v>Tapping Tee PE 50-25 mm</v>
      </c>
      <c r="C1035" s="12">
        <v>1</v>
      </c>
      <c r="D1035" s="13"/>
      <c r="E1035" s="40"/>
      <c r="F1035" s="12">
        <v>835</v>
      </c>
      <c r="G1035" s="77">
        <v>46017</v>
      </c>
      <c r="H1035" s="9" t="s">
        <v>181</v>
      </c>
      <c r="I1035" s="9"/>
      <c r="J1035" s="9"/>
      <c r="K1035" s="9"/>
      <c r="L1035" s="9"/>
      <c r="M1035" s="9"/>
      <c r="N1035" s="35" t="s">
        <v>187</v>
      </c>
      <c r="O1035" s="35"/>
      <c r="P1035" s="37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</row>
    <row r="1036" spans="1:33" ht="14.25" customHeight="1" x14ac:dyDescent="0.35">
      <c r="A1036" s="12">
        <v>303368</v>
      </c>
      <c r="B1036" s="59" t="str">
        <f>IFERROR(VLOOKUP(Tabla2[[#This Row],[CODIGO]],INVENTARIO!A:B,2,0)," ")</f>
        <v>Cinta Plástica "Línea GN", 30 x 0.1</v>
      </c>
      <c r="C1036" s="12">
        <v>1</v>
      </c>
      <c r="D1036" s="13"/>
      <c r="E1036" s="40"/>
      <c r="F1036" s="12">
        <v>832</v>
      </c>
      <c r="G1036" s="77">
        <v>46017</v>
      </c>
      <c r="H1036" s="9" t="s">
        <v>181</v>
      </c>
      <c r="I1036" s="9"/>
      <c r="J1036" s="9"/>
      <c r="K1036" s="9"/>
      <c r="L1036" s="9"/>
      <c r="M1036" s="9"/>
      <c r="N1036" s="35" t="s">
        <v>188</v>
      </c>
      <c r="O1036" s="35"/>
      <c r="P1036" s="37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</row>
    <row r="1037" spans="1:33" ht="14.25" customHeight="1" x14ac:dyDescent="0.35">
      <c r="A1037" s="12">
        <v>1002167</v>
      </c>
      <c r="B1037" s="59" t="str">
        <f>IFERROR(VLOOKUP(Tabla2[[#This Row],[CODIGO]],INVENTARIO!A:B,2,0)," ")</f>
        <v>Cable Trazador Cu 14 AWG Aisl. THW Roj</v>
      </c>
      <c r="C1037" s="12">
        <v>1</v>
      </c>
      <c r="D1037" s="13"/>
      <c r="E1037" s="40"/>
      <c r="F1037" s="12">
        <v>831</v>
      </c>
      <c r="G1037" s="77">
        <v>46017</v>
      </c>
      <c r="H1037" s="9" t="s">
        <v>181</v>
      </c>
      <c r="I1037" s="9"/>
      <c r="J1037" s="9"/>
      <c r="K1037" s="9"/>
      <c r="L1037" s="9"/>
      <c r="M1037" s="9"/>
      <c r="N1037" s="35" t="s">
        <v>189</v>
      </c>
      <c r="O1037" s="35"/>
      <c r="P1037" s="37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</row>
    <row r="1038" spans="1:33" ht="14.25" customHeight="1" x14ac:dyDescent="0.35">
      <c r="A1038" s="12">
        <v>301329</v>
      </c>
      <c r="B1038" s="59" t="str">
        <f>IFERROR(VLOOKUP(Tabla2[[#This Row],[CODIGO]],INVENTARIO!A:B,2,0)," ")</f>
        <v>Copla PE100 025mm EF</v>
      </c>
      <c r="C1038" s="12">
        <v>3</v>
      </c>
      <c r="D1038" s="13"/>
      <c r="E1038" s="40"/>
      <c r="F1038" s="12">
        <v>831</v>
      </c>
      <c r="G1038" s="77">
        <v>46017</v>
      </c>
      <c r="H1038" s="9" t="s">
        <v>181</v>
      </c>
      <c r="I1038" s="9"/>
      <c r="J1038" s="9"/>
      <c r="K1038" s="9"/>
      <c r="L1038" s="9"/>
      <c r="M1038" s="9"/>
      <c r="N1038" s="35" t="s">
        <v>189</v>
      </c>
      <c r="O1038" s="35"/>
      <c r="P1038" s="37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</row>
    <row r="1039" spans="1:33" ht="14.25" customHeight="1" x14ac:dyDescent="0.35">
      <c r="A1039" s="12">
        <v>1002167</v>
      </c>
      <c r="B1039" s="59" t="str">
        <f>IFERROR(VLOOKUP(Tabla2[[#This Row],[CODIGO]],INVENTARIO!A:B,2,0)," ")</f>
        <v>Cable Trazador Cu 14 AWG Aisl. THW Roj</v>
      </c>
      <c r="C1039" s="12">
        <v>1</v>
      </c>
      <c r="D1039" s="13"/>
      <c r="E1039" s="40"/>
      <c r="F1039" s="12">
        <v>830</v>
      </c>
      <c r="G1039" s="77">
        <v>46017</v>
      </c>
      <c r="H1039" s="9" t="s">
        <v>181</v>
      </c>
      <c r="I1039" s="9"/>
      <c r="J1039" s="9"/>
      <c r="K1039" s="9"/>
      <c r="L1039" s="9"/>
      <c r="M1039" s="9"/>
      <c r="N1039" s="35" t="s">
        <v>190</v>
      </c>
      <c r="O1039" s="35"/>
      <c r="P1039" s="37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</row>
    <row r="1040" spans="1:33" ht="14.25" customHeight="1" x14ac:dyDescent="0.35">
      <c r="A1040" s="12">
        <v>301329</v>
      </c>
      <c r="B1040" s="59" t="str">
        <f>IFERROR(VLOOKUP(Tabla2[[#This Row],[CODIGO]],INVENTARIO!A:B,2,0)," ")</f>
        <v>Copla PE100 025mm EF</v>
      </c>
      <c r="C1040" s="12">
        <v>3</v>
      </c>
      <c r="D1040" s="13"/>
      <c r="E1040" s="40"/>
      <c r="F1040" s="12">
        <v>830</v>
      </c>
      <c r="G1040" s="77">
        <v>46017</v>
      </c>
      <c r="H1040" s="9" t="s">
        <v>181</v>
      </c>
      <c r="I1040" s="9"/>
      <c r="J1040" s="9"/>
      <c r="K1040" s="9"/>
      <c r="L1040" s="9"/>
      <c r="M1040" s="9"/>
      <c r="N1040" s="35" t="s">
        <v>190</v>
      </c>
      <c r="O1040" s="35"/>
      <c r="P1040" s="37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</row>
    <row r="1041" spans="1:33" ht="14.25" customHeight="1" x14ac:dyDescent="0.35">
      <c r="A1041" s="12">
        <v>301329</v>
      </c>
      <c r="B1041" s="59" t="str">
        <f>IFERROR(VLOOKUP(Tabla2[[#This Row],[CODIGO]],INVENTARIO!A:B,2,0)," ")</f>
        <v>Copla PE100 025mm EF</v>
      </c>
      <c r="C1041" s="12">
        <v>3</v>
      </c>
      <c r="D1041" s="13"/>
      <c r="E1041" s="40"/>
      <c r="F1041" s="12">
        <v>829</v>
      </c>
      <c r="G1041" s="77">
        <v>46017</v>
      </c>
      <c r="H1041" s="9" t="s">
        <v>181</v>
      </c>
      <c r="I1041" s="9"/>
      <c r="J1041" s="9"/>
      <c r="K1041" s="9"/>
      <c r="L1041" s="9"/>
      <c r="M1041" s="9"/>
      <c r="N1041" s="35" t="s">
        <v>188</v>
      </c>
      <c r="O1041" s="35"/>
      <c r="P1041" s="37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</row>
    <row r="1042" spans="1:33" ht="14.25" customHeight="1" x14ac:dyDescent="0.35">
      <c r="A1042" s="12">
        <v>1002167</v>
      </c>
      <c r="B1042" s="59" t="str">
        <f>IFERROR(VLOOKUP(Tabla2[[#This Row],[CODIGO]],INVENTARIO!A:B,2,0)," ")</f>
        <v>Cable Trazador Cu 14 AWG Aisl. THW Roj</v>
      </c>
      <c r="C1042" s="12">
        <v>1</v>
      </c>
      <c r="D1042" s="13"/>
      <c r="E1042" s="40"/>
      <c r="F1042" s="12">
        <v>829</v>
      </c>
      <c r="G1042" s="77">
        <v>46017</v>
      </c>
      <c r="H1042" s="9" t="s">
        <v>181</v>
      </c>
      <c r="I1042" s="9"/>
      <c r="J1042" s="9"/>
      <c r="K1042" s="9"/>
      <c r="L1042" s="9"/>
      <c r="M1042" s="9"/>
      <c r="N1042" s="35" t="s">
        <v>188</v>
      </c>
      <c r="O1042" s="35"/>
      <c r="P1042" s="37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</row>
    <row r="1043" spans="1:33" ht="14.25" customHeight="1" x14ac:dyDescent="0.35">
      <c r="A1043" s="12">
        <v>301329</v>
      </c>
      <c r="B1043" s="59" t="str">
        <f>IFERROR(VLOOKUP(Tabla2[[#This Row],[CODIGO]],INVENTARIO!A:B,2,0)," ")</f>
        <v>Copla PE100 025mm EF</v>
      </c>
      <c r="C1043" s="12">
        <v>1</v>
      </c>
      <c r="D1043" s="13"/>
      <c r="E1043" s="40"/>
      <c r="F1043" s="12">
        <v>827</v>
      </c>
      <c r="G1043" s="77">
        <v>46017</v>
      </c>
      <c r="H1043" s="9" t="s">
        <v>181</v>
      </c>
      <c r="I1043" s="9"/>
      <c r="J1043" s="9"/>
      <c r="K1043" s="9"/>
      <c r="L1043" s="9"/>
      <c r="M1043" s="9"/>
      <c r="N1043" s="35" t="s">
        <v>191</v>
      </c>
      <c r="O1043" s="35"/>
      <c r="P1043" s="37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</row>
    <row r="1044" spans="1:33" ht="14.25" customHeight="1" x14ac:dyDescent="0.35">
      <c r="A1044" s="12">
        <v>1002167</v>
      </c>
      <c r="B1044" s="59" t="str">
        <f>IFERROR(VLOOKUP(Tabla2[[#This Row],[CODIGO]],INVENTARIO!A:B,2,0)," ")</f>
        <v>Cable Trazador Cu 14 AWG Aisl. THW Roj</v>
      </c>
      <c r="C1044" s="12">
        <v>3</v>
      </c>
      <c r="D1044" s="13"/>
      <c r="E1044" s="40"/>
      <c r="F1044" s="12">
        <v>827</v>
      </c>
      <c r="G1044" s="77">
        <v>46017</v>
      </c>
      <c r="H1044" s="9" t="s">
        <v>181</v>
      </c>
      <c r="I1044" s="9"/>
      <c r="J1044" s="9"/>
      <c r="K1044" s="9"/>
      <c r="L1044" s="9"/>
      <c r="M1044" s="9"/>
      <c r="N1044" s="35" t="s">
        <v>191</v>
      </c>
      <c r="O1044" s="35"/>
      <c r="P1044" s="37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</row>
    <row r="1045" spans="1:33" ht="14.25" customHeight="1" x14ac:dyDescent="0.35">
      <c r="A1045" s="12">
        <v>300108</v>
      </c>
      <c r="B1045" s="59" t="str">
        <f>IFERROR(VLOOKUP(Tabla2[[#This Row],[CODIGO]],INVENTARIO!A:B,2,0)," ")</f>
        <v>Tapping Tee PE 63-25 mm</v>
      </c>
      <c r="C1045" s="12">
        <v>1</v>
      </c>
      <c r="D1045" s="13">
        <v>16107</v>
      </c>
      <c r="E1045" s="40">
        <v>4500513985</v>
      </c>
      <c r="F1045" s="12">
        <v>3566416</v>
      </c>
      <c r="G1045" s="77">
        <v>46009</v>
      </c>
      <c r="H1045" s="12" t="s">
        <v>166</v>
      </c>
      <c r="I1045" s="12"/>
      <c r="J1045" s="12"/>
      <c r="K1045" s="12"/>
      <c r="L1045" s="12"/>
      <c r="M1045" s="12"/>
      <c r="N1045" s="9" t="s">
        <v>196</v>
      </c>
      <c r="O1045" s="9"/>
      <c r="P1045" s="37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</row>
    <row r="1046" spans="1:33" ht="14.25" customHeight="1" x14ac:dyDescent="0.35">
      <c r="A1046" s="12">
        <v>300109</v>
      </c>
      <c r="B1046" s="59" t="str">
        <f>IFERROR(VLOOKUP(Tabla2[[#This Row],[CODIGO]],INVENTARIO!A:B,2,0)," ")</f>
        <v>Risers de Acero 3/4" Bsp x 25 mm</v>
      </c>
      <c r="C1046" s="12">
        <v>1</v>
      </c>
      <c r="D1046" s="13">
        <v>30781</v>
      </c>
      <c r="E1046" s="40">
        <v>4500513985</v>
      </c>
      <c r="F1046" s="12">
        <v>3566416</v>
      </c>
      <c r="G1046" s="77">
        <v>46009</v>
      </c>
      <c r="H1046" s="12" t="s">
        <v>166</v>
      </c>
      <c r="I1046" s="12"/>
      <c r="J1046" s="12"/>
      <c r="K1046" s="12"/>
      <c r="L1046" s="12"/>
      <c r="M1046" s="12"/>
      <c r="N1046" s="9" t="s">
        <v>196</v>
      </c>
      <c r="O1046" s="9"/>
      <c r="P1046" s="37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</row>
    <row r="1047" spans="1:33" ht="14.25" customHeight="1" x14ac:dyDescent="0.35">
      <c r="A1047" s="12">
        <v>301099</v>
      </c>
      <c r="B1047" s="59" t="str">
        <f>IFERROR(VLOOKUP(Tabla2[[#This Row],[CODIGO]],INVENTARIO!A:B,2,0)," ")</f>
        <v>Válvula PE100 Dn 25mm</v>
      </c>
      <c r="C1047" s="12">
        <v>1</v>
      </c>
      <c r="D1047" s="13">
        <v>60074</v>
      </c>
      <c r="E1047" s="40">
        <v>4500513985</v>
      </c>
      <c r="F1047" s="12">
        <v>3566416</v>
      </c>
      <c r="G1047" s="77">
        <v>46009</v>
      </c>
      <c r="H1047" s="12" t="s">
        <v>166</v>
      </c>
      <c r="I1047" s="12"/>
      <c r="J1047" s="12"/>
      <c r="K1047" s="12"/>
      <c r="L1047" s="12"/>
      <c r="M1047" s="12"/>
      <c r="N1047" s="9" t="s">
        <v>196</v>
      </c>
      <c r="O1047" s="9"/>
      <c r="P1047" s="37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</row>
    <row r="1048" spans="1:33" ht="14.25" customHeight="1" x14ac:dyDescent="0.35">
      <c r="A1048" s="12">
        <v>301329</v>
      </c>
      <c r="B1048" s="59" t="str">
        <f>IFERROR(VLOOKUP(Tabla2[[#This Row],[CODIGO]],INVENTARIO!A:B,2,0)," ")</f>
        <v>Copla PE100 025mm EF</v>
      </c>
      <c r="C1048" s="12">
        <v>4</v>
      </c>
      <c r="D1048" s="13">
        <v>7796</v>
      </c>
      <c r="E1048" s="40">
        <v>4500513985</v>
      </c>
      <c r="F1048" s="12">
        <v>3566416</v>
      </c>
      <c r="G1048" s="77">
        <v>46009</v>
      </c>
      <c r="H1048" s="12" t="s">
        <v>166</v>
      </c>
      <c r="I1048" s="12"/>
      <c r="J1048" s="12"/>
      <c r="K1048" s="12"/>
      <c r="L1048" s="12"/>
      <c r="M1048" s="12"/>
      <c r="N1048" s="9" t="s">
        <v>196</v>
      </c>
      <c r="O1048" s="9"/>
      <c r="P1048" s="37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</row>
    <row r="1049" spans="1:33" ht="14.25" customHeight="1" x14ac:dyDescent="0.35">
      <c r="A1049" s="12">
        <v>2000350</v>
      </c>
      <c r="B1049" s="59" t="str">
        <f>IFERROR(VLOOKUP(Tabla2[[#This Row],[CODIGO]],INVENTARIO!A:B,2,0)," ")</f>
        <v>Codo PE 90º  25 mm EF.</v>
      </c>
      <c r="C1049" s="12">
        <v>3</v>
      </c>
      <c r="D1049" s="13">
        <v>18396</v>
      </c>
      <c r="E1049" s="40">
        <v>4500513985</v>
      </c>
      <c r="F1049" s="12">
        <v>3566416</v>
      </c>
      <c r="G1049" s="77">
        <v>46009</v>
      </c>
      <c r="H1049" s="12" t="s">
        <v>166</v>
      </c>
      <c r="I1049" s="12"/>
      <c r="J1049" s="12"/>
      <c r="K1049" s="12"/>
      <c r="L1049" s="12"/>
      <c r="M1049" s="12"/>
      <c r="N1049" s="9" t="s">
        <v>196</v>
      </c>
      <c r="O1049" s="9"/>
      <c r="P1049" s="37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</row>
    <row r="1050" spans="1:33" ht="14.25" customHeight="1" x14ac:dyDescent="0.35">
      <c r="A1050" s="12">
        <v>2003911</v>
      </c>
      <c r="B1050" s="59" t="str">
        <f>IFERROR(VLOOKUP(Tabla2[[#This Row],[CODIGO]],INVENTARIO!A:B,2,0)," ")</f>
        <v>Válvula EFv PE 25 mm Para Tap. Tee</v>
      </c>
      <c r="C1050" s="12">
        <v>1</v>
      </c>
      <c r="D1050" s="13">
        <v>6233</v>
      </c>
      <c r="E1050" s="40">
        <v>4500513985</v>
      </c>
      <c r="F1050" s="12">
        <v>3566416</v>
      </c>
      <c r="G1050" s="77">
        <v>46009</v>
      </c>
      <c r="H1050" s="12" t="s">
        <v>166</v>
      </c>
      <c r="I1050" s="12"/>
      <c r="J1050" s="12"/>
      <c r="K1050" s="12"/>
      <c r="L1050" s="12"/>
      <c r="M1050" s="12"/>
      <c r="N1050" s="9" t="s">
        <v>196</v>
      </c>
      <c r="O1050" s="9"/>
      <c r="P1050" s="37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</row>
    <row r="1051" spans="1:33" ht="14.25" customHeight="1" x14ac:dyDescent="0.35">
      <c r="A1051" s="12">
        <v>303345</v>
      </c>
      <c r="B1051" s="59" t="str">
        <f>IFERROR(VLOOKUP(Tabla2[[#This Row],[CODIGO]],INVENTARIO!A:B,2,0)," ")</f>
        <v>Copla PE100 050mm EF</v>
      </c>
      <c r="C1051" s="12">
        <v>5</v>
      </c>
      <c r="D1051" s="13">
        <v>16510</v>
      </c>
      <c r="E1051" s="40">
        <v>4500513986</v>
      </c>
      <c r="F1051" s="12">
        <v>3566415</v>
      </c>
      <c r="G1051" s="77">
        <v>46009</v>
      </c>
      <c r="H1051" s="12" t="s">
        <v>166</v>
      </c>
      <c r="I1051" s="12"/>
      <c r="J1051" s="12"/>
      <c r="K1051" s="12"/>
      <c r="L1051" s="12"/>
      <c r="M1051" s="12"/>
      <c r="N1051" s="9" t="s">
        <v>183</v>
      </c>
      <c r="O1051" s="9"/>
      <c r="P1051" s="37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</row>
    <row r="1052" spans="1:33" ht="14.25" customHeight="1" x14ac:dyDescent="0.35">
      <c r="A1052" s="12">
        <v>301327</v>
      </c>
      <c r="B1052" s="59" t="str">
        <f>IFERROR(VLOOKUP(Tabla2[[#This Row],[CODIGO]],INVENTARIO!A:B,2,0)," ")</f>
        <v>Tapa PE  050 mm Termo F.</v>
      </c>
      <c r="C1052" s="12">
        <v>2</v>
      </c>
      <c r="D1052" s="13">
        <v>6126</v>
      </c>
      <c r="E1052" s="40">
        <v>4500513986</v>
      </c>
      <c r="F1052" s="12">
        <v>3566415</v>
      </c>
      <c r="G1052" s="77">
        <v>46009</v>
      </c>
      <c r="H1052" s="12" t="s">
        <v>166</v>
      </c>
      <c r="I1052" s="12"/>
      <c r="J1052" s="12"/>
      <c r="K1052" s="12"/>
      <c r="L1052" s="12"/>
      <c r="M1052" s="12"/>
      <c r="N1052" s="9" t="s">
        <v>183</v>
      </c>
      <c r="O1052" s="9"/>
      <c r="P1052" s="37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</row>
    <row r="1053" spans="1:33" ht="14.25" customHeight="1" x14ac:dyDescent="0.35">
      <c r="A1053" s="12">
        <v>2000350</v>
      </c>
      <c r="B1053" s="59" t="str">
        <f>IFERROR(VLOOKUP(Tabla2[[#This Row],[CODIGO]],INVENTARIO!A:B,2,0)," ")</f>
        <v>Codo PE 90º  25 mm EF.</v>
      </c>
      <c r="C1053" s="12">
        <v>34</v>
      </c>
      <c r="D1053" s="13">
        <v>208488</v>
      </c>
      <c r="E1053" s="40">
        <v>4500513986</v>
      </c>
      <c r="F1053" s="12">
        <v>3566415</v>
      </c>
      <c r="G1053" s="77">
        <v>46009</v>
      </c>
      <c r="H1053" s="12" t="s">
        <v>166</v>
      </c>
      <c r="I1053" s="12"/>
      <c r="J1053" s="12"/>
      <c r="K1053" s="12"/>
      <c r="L1053" s="12"/>
      <c r="M1053" s="12"/>
      <c r="N1053" s="9" t="s">
        <v>183</v>
      </c>
      <c r="O1053" s="9"/>
      <c r="P1053" s="37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</row>
    <row r="1054" spans="1:33" ht="14.25" customHeight="1" x14ac:dyDescent="0.35">
      <c r="A1054" s="12">
        <v>300712</v>
      </c>
      <c r="B1054" s="59" t="str">
        <f>IFERROR(VLOOKUP(Tabla2[[#This Row],[CODIGO]],INVENTARIO!A:B,2,0)," ")</f>
        <v>Tapa PE  025 mm Termo F.</v>
      </c>
      <c r="C1054" s="12">
        <v>17</v>
      </c>
      <c r="D1054" s="13">
        <v>23341</v>
      </c>
      <c r="E1054" s="40">
        <v>4500513986</v>
      </c>
      <c r="F1054" s="12">
        <v>3566415</v>
      </c>
      <c r="G1054" s="77">
        <v>46009</v>
      </c>
      <c r="H1054" s="12" t="s">
        <v>166</v>
      </c>
      <c r="I1054" s="12"/>
      <c r="J1054" s="12"/>
      <c r="K1054" s="12"/>
      <c r="L1054" s="12"/>
      <c r="M1054" s="12"/>
      <c r="N1054" s="9" t="s">
        <v>183</v>
      </c>
      <c r="O1054" s="9"/>
      <c r="P1054" s="37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</row>
    <row r="1055" spans="1:33" ht="14.25" customHeight="1" x14ac:dyDescent="0.35">
      <c r="A1055" s="12">
        <v>301329</v>
      </c>
      <c r="B1055" s="59" t="str">
        <f>IFERROR(VLOOKUP(Tabla2[[#This Row],[CODIGO]],INVENTARIO!A:B,2,0)," ")</f>
        <v>Copla PE100 025mm EF</v>
      </c>
      <c r="C1055" s="12">
        <v>17</v>
      </c>
      <c r="D1055" s="13">
        <v>33133</v>
      </c>
      <c r="E1055" s="40">
        <v>4500513986</v>
      </c>
      <c r="F1055" s="12">
        <v>3566415</v>
      </c>
      <c r="G1055" s="77">
        <v>46009</v>
      </c>
      <c r="H1055" s="12" t="s">
        <v>166</v>
      </c>
      <c r="I1055" s="12"/>
      <c r="J1055" s="12"/>
      <c r="K1055" s="12"/>
      <c r="L1055" s="12"/>
      <c r="M1055" s="12"/>
      <c r="N1055" s="9" t="s">
        <v>183</v>
      </c>
      <c r="O1055" s="9"/>
      <c r="P1055" s="37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</row>
    <row r="1056" spans="1:33" ht="14.25" customHeight="1" x14ac:dyDescent="0.35">
      <c r="A1056" s="12">
        <v>2003911</v>
      </c>
      <c r="B1056" s="59" t="str">
        <f>IFERROR(VLOOKUP(Tabla2[[#This Row],[CODIGO]],INVENTARIO!A:B,2,0)," ")</f>
        <v>Válvula EFv PE 25 mm Para Tap. Tee</v>
      </c>
      <c r="C1056" s="12">
        <v>1</v>
      </c>
      <c r="D1056" s="13">
        <v>6233</v>
      </c>
      <c r="E1056" s="40">
        <v>4500513987</v>
      </c>
      <c r="F1056" s="12">
        <v>3566418</v>
      </c>
      <c r="G1056" s="77">
        <v>46009</v>
      </c>
      <c r="H1056" s="12" t="s">
        <v>166</v>
      </c>
      <c r="I1056" s="12"/>
      <c r="J1056" s="12"/>
      <c r="K1056" s="12"/>
      <c r="L1056" s="12"/>
      <c r="M1056" s="9" t="s">
        <v>248</v>
      </c>
      <c r="N1056" s="9" t="s">
        <v>195</v>
      </c>
      <c r="O1056" s="9"/>
      <c r="P1056" s="37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</row>
    <row r="1057" spans="1:33" ht="14.25" customHeight="1" x14ac:dyDescent="0.35">
      <c r="A1057" s="12">
        <v>301329</v>
      </c>
      <c r="B1057" s="59" t="str">
        <f>IFERROR(VLOOKUP(Tabla2[[#This Row],[CODIGO]],INVENTARIO!A:B,2,0)," ")</f>
        <v>Copla PE100 025mm EF</v>
      </c>
      <c r="C1057" s="12">
        <v>4</v>
      </c>
      <c r="D1057" s="13">
        <v>7796</v>
      </c>
      <c r="E1057" s="40">
        <v>4500513987</v>
      </c>
      <c r="F1057" s="12">
        <v>3566418</v>
      </c>
      <c r="G1057" s="77">
        <v>46009</v>
      </c>
      <c r="H1057" s="12" t="s">
        <v>166</v>
      </c>
      <c r="I1057" s="12"/>
      <c r="J1057" s="12"/>
      <c r="K1057" s="12"/>
      <c r="L1057" s="12"/>
      <c r="M1057" s="9" t="s">
        <v>248</v>
      </c>
      <c r="N1057" s="9" t="s">
        <v>195</v>
      </c>
      <c r="O1057" s="9"/>
      <c r="P1057" s="37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</row>
    <row r="1058" spans="1:33" ht="14.25" customHeight="1" x14ac:dyDescent="0.35">
      <c r="A1058" s="12">
        <v>301099</v>
      </c>
      <c r="B1058" s="59" t="str">
        <f>IFERROR(VLOOKUP(Tabla2[[#This Row],[CODIGO]],INVENTARIO!A:B,2,0)," ")</f>
        <v>Válvula PE100 Dn 25mm</v>
      </c>
      <c r="C1058" s="12">
        <v>1</v>
      </c>
      <c r="D1058" s="13">
        <v>60074</v>
      </c>
      <c r="E1058" s="40">
        <v>4500513987</v>
      </c>
      <c r="F1058" s="12">
        <v>3566418</v>
      </c>
      <c r="G1058" s="77">
        <v>46009</v>
      </c>
      <c r="H1058" s="12" t="s">
        <v>166</v>
      </c>
      <c r="I1058" s="12"/>
      <c r="J1058" s="12"/>
      <c r="K1058" s="12"/>
      <c r="L1058" s="12"/>
      <c r="M1058" s="9" t="s">
        <v>248</v>
      </c>
      <c r="N1058" s="9" t="s">
        <v>195</v>
      </c>
      <c r="O1058" s="9"/>
      <c r="P1058" s="37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</row>
    <row r="1059" spans="1:33" ht="14.25" customHeight="1" x14ac:dyDescent="0.35">
      <c r="A1059" s="12">
        <v>300109</v>
      </c>
      <c r="B1059" s="59" t="str">
        <f>IFERROR(VLOOKUP(Tabla2[[#This Row],[CODIGO]],INVENTARIO!A:B,2,0)," ")</f>
        <v>Risers de Acero 3/4" Bsp x 25 mm</v>
      </c>
      <c r="C1059" s="12">
        <v>1</v>
      </c>
      <c r="D1059" s="13">
        <v>30781</v>
      </c>
      <c r="E1059" s="40">
        <v>4500513987</v>
      </c>
      <c r="F1059" s="12">
        <v>3566418</v>
      </c>
      <c r="G1059" s="77">
        <v>46009</v>
      </c>
      <c r="H1059" s="12" t="s">
        <v>166</v>
      </c>
      <c r="I1059" s="12"/>
      <c r="J1059" s="12"/>
      <c r="K1059" s="12"/>
      <c r="L1059" s="12"/>
      <c r="M1059" s="9" t="s">
        <v>248</v>
      </c>
      <c r="N1059" s="9" t="s">
        <v>195</v>
      </c>
      <c r="O1059" s="9"/>
      <c r="P1059" s="37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</row>
    <row r="1060" spans="1:33" ht="14.25" customHeight="1" x14ac:dyDescent="0.35">
      <c r="A1060" s="12">
        <v>101624</v>
      </c>
      <c r="B1060" s="59" t="str">
        <f>IFERROR(VLOOKUP(Tabla2[[#This Row],[CODIGO]],INVENTARIO!A:B,2,0)," ")</f>
        <v>Tapping Tee PE 50-25 mm</v>
      </c>
      <c r="C1060" s="12">
        <v>1</v>
      </c>
      <c r="D1060" s="13">
        <v>15600</v>
      </c>
      <c r="E1060" s="40">
        <v>4500513987</v>
      </c>
      <c r="F1060" s="12">
        <v>3566418</v>
      </c>
      <c r="G1060" s="77">
        <v>46009</v>
      </c>
      <c r="H1060" s="12" t="s">
        <v>166</v>
      </c>
      <c r="I1060" s="12"/>
      <c r="J1060" s="12"/>
      <c r="K1060" s="12"/>
      <c r="L1060" s="12"/>
      <c r="M1060" s="9" t="s">
        <v>248</v>
      </c>
      <c r="N1060" s="9" t="s">
        <v>195</v>
      </c>
      <c r="O1060" s="9"/>
      <c r="P1060" s="37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</row>
    <row r="1061" spans="1:33" ht="14.25" customHeight="1" x14ac:dyDescent="0.35">
      <c r="A1061" s="12">
        <v>302184</v>
      </c>
      <c r="B1061" s="59" t="str">
        <f>IFERROR(VLOOKUP(Tabla2[[#This Row],[CODIGO]],INVENTARIO!A:B,2,0)," ")</f>
        <v>Tapa Tornillo Cambio de Codigo por: 2008481</v>
      </c>
      <c r="C1061" s="12">
        <v>1</v>
      </c>
      <c r="D1061" s="13">
        <v>805</v>
      </c>
      <c r="E1061" s="40">
        <v>874127</v>
      </c>
      <c r="F1061" s="12">
        <v>3566422</v>
      </c>
      <c r="G1061" s="77">
        <v>46009</v>
      </c>
      <c r="H1061" s="12" t="s">
        <v>167</v>
      </c>
      <c r="I1061" s="12"/>
      <c r="J1061" s="12"/>
      <c r="K1061" s="12"/>
      <c r="L1061" s="12"/>
      <c r="M1061" s="12"/>
      <c r="N1061" s="9" t="s">
        <v>183</v>
      </c>
      <c r="O1061" s="9" t="s">
        <v>258</v>
      </c>
      <c r="P1061" s="37">
        <v>1374819</v>
      </c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</row>
    <row r="1062" spans="1:33" ht="14.25" customHeight="1" x14ac:dyDescent="0.35">
      <c r="A1062" s="12">
        <v>302737</v>
      </c>
      <c r="B1062" s="59" t="str">
        <f>IFERROR(VLOOKUP(Tabla2[[#This Row],[CODIGO]],INVENTARIO!A:B,2,0)," ")</f>
        <v>Válvula Bola 3/4" Hi Un Cuerpo Pn5 Arco</v>
      </c>
      <c r="C1062" s="12">
        <v>1</v>
      </c>
      <c r="D1062" s="13">
        <v>16445</v>
      </c>
      <c r="E1062" s="40">
        <v>874127</v>
      </c>
      <c r="F1062" s="12">
        <v>3566422</v>
      </c>
      <c r="G1062" s="77">
        <v>46009</v>
      </c>
      <c r="H1062" s="12" t="s">
        <v>167</v>
      </c>
      <c r="I1062" s="12"/>
      <c r="J1062" s="12"/>
      <c r="K1062" s="12"/>
      <c r="L1062" s="12"/>
      <c r="M1062" s="12"/>
      <c r="N1062" s="9" t="s">
        <v>183</v>
      </c>
      <c r="O1062" s="9" t="s">
        <v>258</v>
      </c>
      <c r="P1062" s="37">
        <v>1374819</v>
      </c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</row>
    <row r="1063" spans="1:33" ht="14.25" customHeight="1" x14ac:dyDescent="0.35">
      <c r="A1063" s="12">
        <v>2006391</v>
      </c>
      <c r="B1063" s="59" t="str">
        <f>IFERROR(VLOOKUP(Tabla2[[#This Row],[CODIGO]],INVENTARIO!A:B,2,0)," ")</f>
        <v>Guardallave Fierro Fundido C/Tapa</v>
      </c>
      <c r="C1063" s="12">
        <v>1</v>
      </c>
      <c r="D1063" s="13">
        <v>26923</v>
      </c>
      <c r="E1063" s="40">
        <v>874127</v>
      </c>
      <c r="F1063" s="12">
        <v>3566422</v>
      </c>
      <c r="G1063" s="77">
        <v>46009</v>
      </c>
      <c r="H1063" s="12" t="s">
        <v>167</v>
      </c>
      <c r="I1063" s="12"/>
      <c r="J1063" s="12"/>
      <c r="K1063" s="12"/>
      <c r="L1063" s="12"/>
      <c r="M1063" s="12"/>
      <c r="N1063" s="9" t="s">
        <v>183</v>
      </c>
      <c r="O1063" s="9" t="s">
        <v>258</v>
      </c>
      <c r="P1063" s="37">
        <v>1374819</v>
      </c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</row>
    <row r="1064" spans="1:33" ht="14.25" customHeight="1" x14ac:dyDescent="0.35">
      <c r="A1064" s="12">
        <v>302184</v>
      </c>
      <c r="B1064" s="59" t="str">
        <f>IFERROR(VLOOKUP(Tabla2[[#This Row],[CODIGO]],INVENTARIO!A:B,2,0)," ")</f>
        <v>Tapa Tornillo Cambio de Codigo por: 2008481</v>
      </c>
      <c r="C1064" s="12">
        <v>1</v>
      </c>
      <c r="D1064" s="13">
        <v>805</v>
      </c>
      <c r="E1064" s="40">
        <v>874128</v>
      </c>
      <c r="F1064" s="12">
        <v>3566423</v>
      </c>
      <c r="G1064" s="77">
        <v>46009</v>
      </c>
      <c r="H1064" s="12" t="s">
        <v>167</v>
      </c>
      <c r="I1064" s="12"/>
      <c r="J1064" s="12"/>
      <c r="K1064" s="12"/>
      <c r="L1064" s="12"/>
      <c r="M1064" s="9" t="s">
        <v>248</v>
      </c>
      <c r="N1064" s="9" t="s">
        <v>195</v>
      </c>
      <c r="O1064" s="9" t="s">
        <v>258</v>
      </c>
      <c r="P1064" s="37">
        <v>1374820</v>
      </c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</row>
    <row r="1065" spans="1:33" ht="14.25" customHeight="1" x14ac:dyDescent="0.35">
      <c r="A1065" s="12">
        <v>302737</v>
      </c>
      <c r="B1065" s="59" t="str">
        <f>IFERROR(VLOOKUP(Tabla2[[#This Row],[CODIGO]],INVENTARIO!A:B,2,0)," ")</f>
        <v>Válvula Bola 3/4" Hi Un Cuerpo Pn5 Arco</v>
      </c>
      <c r="C1065" s="12">
        <v>1</v>
      </c>
      <c r="D1065" s="13">
        <v>16445</v>
      </c>
      <c r="E1065" s="40">
        <v>874128</v>
      </c>
      <c r="F1065" s="12">
        <v>3566423</v>
      </c>
      <c r="G1065" s="77">
        <v>46009</v>
      </c>
      <c r="H1065" s="12" t="s">
        <v>167</v>
      </c>
      <c r="I1065" s="12"/>
      <c r="J1065" s="12"/>
      <c r="K1065" s="12"/>
      <c r="L1065" s="12"/>
      <c r="M1065" s="9" t="s">
        <v>248</v>
      </c>
      <c r="N1065" s="9" t="s">
        <v>195</v>
      </c>
      <c r="O1065" s="9" t="s">
        <v>258</v>
      </c>
      <c r="P1065" s="37">
        <v>1374821</v>
      </c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</row>
    <row r="1066" spans="1:33" ht="14.25" customHeight="1" x14ac:dyDescent="0.35">
      <c r="A1066" s="12">
        <v>2006391</v>
      </c>
      <c r="B1066" s="59" t="str">
        <f>IFERROR(VLOOKUP(Tabla2[[#This Row],[CODIGO]],INVENTARIO!A:B,2,0)," ")</f>
        <v>Guardallave Fierro Fundido C/Tapa</v>
      </c>
      <c r="C1066" s="12">
        <v>1</v>
      </c>
      <c r="D1066" s="13">
        <v>26923</v>
      </c>
      <c r="E1066" s="40">
        <v>874128</v>
      </c>
      <c r="F1066" s="12">
        <v>3566423</v>
      </c>
      <c r="G1066" s="77">
        <v>46009</v>
      </c>
      <c r="H1066" s="12" t="s">
        <v>167</v>
      </c>
      <c r="I1066" s="12"/>
      <c r="J1066" s="12"/>
      <c r="K1066" s="12"/>
      <c r="L1066" s="12"/>
      <c r="M1066" s="9" t="s">
        <v>248</v>
      </c>
      <c r="N1066" s="9" t="s">
        <v>195</v>
      </c>
      <c r="O1066" s="9" t="s">
        <v>258</v>
      </c>
      <c r="P1066" s="37">
        <v>1374821</v>
      </c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</row>
    <row r="1067" spans="1:33" ht="14.25" customHeight="1" x14ac:dyDescent="0.35">
      <c r="A1067" s="12">
        <v>302737</v>
      </c>
      <c r="B1067" s="59" t="str">
        <f>IFERROR(VLOOKUP(Tabla2[[#This Row],[CODIGO]],INVENTARIO!A:B,2,0)," ")</f>
        <v>Válvula Bola 3/4" Hi Un Cuerpo Pn5 Arco</v>
      </c>
      <c r="C1067" s="12">
        <v>1</v>
      </c>
      <c r="D1067" s="13">
        <v>16445</v>
      </c>
      <c r="E1067" s="40">
        <v>874129</v>
      </c>
      <c r="F1067" s="12">
        <v>3566424</v>
      </c>
      <c r="G1067" s="77">
        <v>46009</v>
      </c>
      <c r="H1067" s="12" t="s">
        <v>167</v>
      </c>
      <c r="I1067" s="12"/>
      <c r="J1067" s="12"/>
      <c r="K1067" s="12"/>
      <c r="L1067" s="12"/>
      <c r="M1067" s="12"/>
      <c r="N1067" s="9" t="s">
        <v>198</v>
      </c>
      <c r="O1067" s="9" t="s">
        <v>258</v>
      </c>
      <c r="P1067" s="37">
        <v>1374821</v>
      </c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</row>
    <row r="1068" spans="1:33" ht="14.25" customHeight="1" x14ac:dyDescent="0.35">
      <c r="A1068" s="12">
        <v>2006391</v>
      </c>
      <c r="B1068" s="59" t="str">
        <f>IFERROR(VLOOKUP(Tabla2[[#This Row],[CODIGO]],INVENTARIO!A:B,2,0)," ")</f>
        <v>Guardallave Fierro Fundido C/Tapa</v>
      </c>
      <c r="C1068" s="12">
        <v>1</v>
      </c>
      <c r="D1068" s="13">
        <v>26923</v>
      </c>
      <c r="E1068" s="40">
        <v>874129</v>
      </c>
      <c r="F1068" s="12">
        <v>3566424</v>
      </c>
      <c r="G1068" s="77">
        <v>46009</v>
      </c>
      <c r="H1068" s="12" t="s">
        <v>167</v>
      </c>
      <c r="I1068" s="12"/>
      <c r="J1068" s="12"/>
      <c r="K1068" s="12"/>
      <c r="L1068" s="12"/>
      <c r="M1068" s="12"/>
      <c r="N1068" s="9" t="s">
        <v>198</v>
      </c>
      <c r="O1068" s="9" t="s">
        <v>258</v>
      </c>
      <c r="P1068" s="37">
        <v>1374821</v>
      </c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</row>
    <row r="1069" spans="1:33" ht="14.25" customHeight="1" x14ac:dyDescent="0.35">
      <c r="A1069" s="12">
        <v>302737</v>
      </c>
      <c r="B1069" s="59" t="str">
        <f>IFERROR(VLOOKUP(Tabla2[[#This Row],[CODIGO]],INVENTARIO!A:B,2,0)," ")</f>
        <v>Válvula Bola 3/4" Hi Un Cuerpo Pn5 Arco</v>
      </c>
      <c r="C1069" s="12">
        <v>1</v>
      </c>
      <c r="D1069" s="13">
        <v>16445</v>
      </c>
      <c r="E1069" s="40">
        <v>874130</v>
      </c>
      <c r="F1069" s="12">
        <v>3566425</v>
      </c>
      <c r="G1069" s="77">
        <v>46009</v>
      </c>
      <c r="H1069" s="12" t="s">
        <v>167</v>
      </c>
      <c r="I1069" s="12"/>
      <c r="J1069" s="12"/>
      <c r="K1069" s="12"/>
      <c r="L1069" s="12"/>
      <c r="M1069" s="12"/>
      <c r="N1069" s="9" t="s">
        <v>199</v>
      </c>
      <c r="O1069" s="9" t="s">
        <v>258</v>
      </c>
      <c r="P1069" s="37">
        <v>1374822</v>
      </c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</row>
    <row r="1070" spans="1:33" ht="14.25" customHeight="1" x14ac:dyDescent="0.35">
      <c r="A1070" s="12">
        <v>2006391</v>
      </c>
      <c r="B1070" s="59" t="str">
        <f>IFERROR(VLOOKUP(Tabla2[[#This Row],[CODIGO]],INVENTARIO!A:B,2,0)," ")</f>
        <v>Guardallave Fierro Fundido C/Tapa</v>
      </c>
      <c r="C1070" s="12">
        <v>1</v>
      </c>
      <c r="D1070" s="13">
        <v>26923</v>
      </c>
      <c r="E1070" s="40">
        <v>874130</v>
      </c>
      <c r="F1070" s="12">
        <v>3566425</v>
      </c>
      <c r="G1070" s="77">
        <v>46009</v>
      </c>
      <c r="H1070" s="12" t="s">
        <v>167</v>
      </c>
      <c r="I1070" s="12"/>
      <c r="J1070" s="12"/>
      <c r="K1070" s="12"/>
      <c r="L1070" s="12"/>
      <c r="M1070" s="12"/>
      <c r="N1070" s="9" t="s">
        <v>199</v>
      </c>
      <c r="O1070" s="9" t="s">
        <v>258</v>
      </c>
      <c r="P1070" s="37">
        <v>1374822</v>
      </c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</row>
    <row r="1071" spans="1:33" ht="14.25" customHeight="1" x14ac:dyDescent="0.35">
      <c r="A1071" s="12">
        <v>302513</v>
      </c>
      <c r="B1071" s="59" t="str">
        <f>IFERROR(VLOOKUP(Tabla2[[#This Row],[CODIGO]],INVENTARIO!A:B,2,0)," ")</f>
        <v>Cartas Registradoras</v>
      </c>
      <c r="C1071" s="12">
        <v>2</v>
      </c>
      <c r="D1071" s="13">
        <v>412166</v>
      </c>
      <c r="E1071" s="40">
        <v>874134</v>
      </c>
      <c r="F1071" s="12">
        <v>3566426</v>
      </c>
      <c r="G1071" s="77">
        <v>46009</v>
      </c>
      <c r="H1071" s="12" t="s">
        <v>167</v>
      </c>
      <c r="I1071" s="12"/>
      <c r="J1071" s="12"/>
      <c r="K1071" s="12"/>
      <c r="L1071" s="12"/>
      <c r="M1071" s="12"/>
      <c r="N1071" s="35"/>
      <c r="O1071" s="9" t="s">
        <v>258</v>
      </c>
      <c r="P1071" s="37">
        <v>1374823</v>
      </c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</row>
    <row r="1072" spans="1:33" ht="14.25" customHeight="1" x14ac:dyDescent="0.35">
      <c r="A1072" s="12">
        <v>101618</v>
      </c>
      <c r="B1072" s="59" t="str">
        <f>IFERROR(VLOOKUP(Tabla2[[#This Row],[CODIGO]],INVENTARIO!A:B,2,0)," ")</f>
        <v>Risers Ac,Recto 3/4 "x25 mm</v>
      </c>
      <c r="C1072" s="12">
        <v>1</v>
      </c>
      <c r="D1072" s="13">
        <v>31589</v>
      </c>
      <c r="E1072" s="40">
        <v>4500513990</v>
      </c>
      <c r="F1072" s="12">
        <v>3566419</v>
      </c>
      <c r="G1072" s="77">
        <v>46009</v>
      </c>
      <c r="H1072" s="12" t="s">
        <v>166</v>
      </c>
      <c r="I1072" s="12"/>
      <c r="J1072" s="12"/>
      <c r="K1072" s="12"/>
      <c r="L1072" s="12"/>
      <c r="M1072" s="12"/>
      <c r="N1072" s="9" t="s">
        <v>198</v>
      </c>
      <c r="O1072" s="9"/>
      <c r="P1072" s="37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</row>
    <row r="1073" spans="1:33" ht="14.25" customHeight="1" x14ac:dyDescent="0.35">
      <c r="A1073" s="12">
        <v>300527</v>
      </c>
      <c r="B1073" s="59" t="str">
        <f>IFERROR(VLOOKUP(Tabla2[[#This Row],[CODIGO]],INVENTARIO!A:B,2,0)," ")</f>
        <v>Tapping Tee PE 160-25 mm</v>
      </c>
      <c r="C1073" s="12">
        <v>1</v>
      </c>
      <c r="D1073" s="13">
        <v>16321</v>
      </c>
      <c r="E1073" s="40">
        <v>4500513990</v>
      </c>
      <c r="F1073" s="12">
        <v>3566419</v>
      </c>
      <c r="G1073" s="77">
        <v>46009</v>
      </c>
      <c r="H1073" s="12" t="s">
        <v>166</v>
      </c>
      <c r="I1073" s="12"/>
      <c r="J1073" s="12"/>
      <c r="K1073" s="12"/>
      <c r="L1073" s="12"/>
      <c r="M1073" s="12"/>
      <c r="N1073" s="9" t="s">
        <v>198</v>
      </c>
      <c r="O1073" s="9"/>
      <c r="P1073" s="37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</row>
    <row r="1074" spans="1:33" ht="14.25" customHeight="1" x14ac:dyDescent="0.35">
      <c r="A1074" s="12">
        <v>301099</v>
      </c>
      <c r="B1074" s="59" t="str">
        <f>IFERROR(VLOOKUP(Tabla2[[#This Row],[CODIGO]],INVENTARIO!A:B,2,0)," ")</f>
        <v>Válvula PE100 Dn 25mm</v>
      </c>
      <c r="C1074" s="12">
        <v>1</v>
      </c>
      <c r="D1074" s="13">
        <v>60074</v>
      </c>
      <c r="E1074" s="40">
        <v>4500513990</v>
      </c>
      <c r="F1074" s="12">
        <v>3566419</v>
      </c>
      <c r="G1074" s="77">
        <v>46009</v>
      </c>
      <c r="H1074" s="12" t="s">
        <v>166</v>
      </c>
      <c r="I1074" s="12"/>
      <c r="J1074" s="12"/>
      <c r="K1074" s="12"/>
      <c r="L1074" s="12"/>
      <c r="M1074" s="12"/>
      <c r="N1074" s="9" t="s">
        <v>198</v>
      </c>
      <c r="O1074" s="9"/>
      <c r="P1074" s="37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</row>
    <row r="1075" spans="1:33" ht="14.25" customHeight="1" x14ac:dyDescent="0.35">
      <c r="A1075" s="12">
        <v>301329</v>
      </c>
      <c r="B1075" s="59" t="str">
        <f>IFERROR(VLOOKUP(Tabla2[[#This Row],[CODIGO]],INVENTARIO!A:B,2,0)," ")</f>
        <v>Copla PE100 025mm EF</v>
      </c>
      <c r="C1075" s="12">
        <v>4</v>
      </c>
      <c r="D1075" s="13">
        <v>7796</v>
      </c>
      <c r="E1075" s="40">
        <v>4500513990</v>
      </c>
      <c r="F1075" s="12">
        <v>3566419</v>
      </c>
      <c r="G1075" s="77">
        <v>46009</v>
      </c>
      <c r="H1075" s="12" t="s">
        <v>166</v>
      </c>
      <c r="I1075" s="12"/>
      <c r="J1075" s="12"/>
      <c r="K1075" s="12"/>
      <c r="L1075" s="12"/>
      <c r="M1075" s="12"/>
      <c r="N1075" s="9" t="s">
        <v>198</v>
      </c>
      <c r="O1075" s="9"/>
      <c r="P1075" s="37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</row>
    <row r="1076" spans="1:33" ht="14.25" customHeight="1" x14ac:dyDescent="0.35">
      <c r="A1076" s="12">
        <v>301738</v>
      </c>
      <c r="B1076" s="59" t="str">
        <f>IFERROR(VLOOKUP(Tabla2[[#This Row],[CODIGO]],INVENTARIO!A:B,2,0)," ")</f>
        <v>Regulador Sum. Fe-25, 20 Mbar P.Fior</v>
      </c>
      <c r="C1076" s="12">
        <v>1</v>
      </c>
      <c r="D1076" s="13">
        <v>279076</v>
      </c>
      <c r="E1076" s="40">
        <v>4500513990</v>
      </c>
      <c r="F1076" s="12">
        <v>3566419</v>
      </c>
      <c r="G1076" s="77">
        <v>46009</v>
      </c>
      <c r="H1076" s="12" t="s">
        <v>166</v>
      </c>
      <c r="I1076" s="12"/>
      <c r="J1076" s="12"/>
      <c r="K1076" s="12"/>
      <c r="L1076" s="12"/>
      <c r="M1076" s="12"/>
      <c r="N1076" s="9" t="s">
        <v>198</v>
      </c>
      <c r="O1076" s="9"/>
      <c r="P1076" s="37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</row>
    <row r="1077" spans="1:33" ht="14.25" customHeight="1" x14ac:dyDescent="0.35">
      <c r="A1077" s="12">
        <v>101618</v>
      </c>
      <c r="B1077" s="59" t="str">
        <f>IFERROR(VLOOKUP(Tabla2[[#This Row],[CODIGO]],INVENTARIO!A:B,2,0)," ")</f>
        <v>Risers Ac,Recto 3/4 "x25 mm</v>
      </c>
      <c r="C1077" s="12">
        <v>1</v>
      </c>
      <c r="D1077" s="13">
        <v>31589</v>
      </c>
      <c r="E1077" s="40">
        <v>4500513994</v>
      </c>
      <c r="F1077" s="12">
        <v>3566420</v>
      </c>
      <c r="G1077" s="77">
        <v>46009</v>
      </c>
      <c r="H1077" s="12" t="s">
        <v>166</v>
      </c>
      <c r="I1077" s="12"/>
      <c r="J1077" s="12"/>
      <c r="K1077" s="12"/>
      <c r="L1077" s="12"/>
      <c r="M1077" s="12"/>
      <c r="N1077" s="9" t="s">
        <v>199</v>
      </c>
      <c r="O1077" s="9"/>
      <c r="P1077" s="37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</row>
    <row r="1078" spans="1:33" ht="14.25" customHeight="1" x14ac:dyDescent="0.35">
      <c r="A1078" s="12">
        <v>300527</v>
      </c>
      <c r="B1078" s="59" t="str">
        <f>IFERROR(VLOOKUP(Tabla2[[#This Row],[CODIGO]],INVENTARIO!A:B,2,0)," ")</f>
        <v>Tapping Tee PE 160-25 mm</v>
      </c>
      <c r="C1078" s="12">
        <v>1</v>
      </c>
      <c r="D1078" s="13">
        <v>16321</v>
      </c>
      <c r="E1078" s="40">
        <v>4500513994</v>
      </c>
      <c r="F1078" s="12">
        <v>3566420</v>
      </c>
      <c r="G1078" s="77">
        <v>46009</v>
      </c>
      <c r="H1078" s="12" t="s">
        <v>166</v>
      </c>
      <c r="I1078" s="12"/>
      <c r="J1078" s="12"/>
      <c r="K1078" s="12"/>
      <c r="L1078" s="12"/>
      <c r="M1078" s="12"/>
      <c r="N1078" s="9" t="s">
        <v>199</v>
      </c>
      <c r="O1078" s="9"/>
      <c r="P1078" s="37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</row>
    <row r="1079" spans="1:33" ht="14.25" customHeight="1" x14ac:dyDescent="0.35">
      <c r="A1079" s="12">
        <v>301099</v>
      </c>
      <c r="B1079" s="59" t="str">
        <f>IFERROR(VLOOKUP(Tabla2[[#This Row],[CODIGO]],INVENTARIO!A:B,2,0)," ")</f>
        <v>Válvula PE100 Dn 25mm</v>
      </c>
      <c r="C1079" s="12">
        <v>1</v>
      </c>
      <c r="D1079" s="13">
        <v>60074</v>
      </c>
      <c r="E1079" s="40">
        <v>4500513994</v>
      </c>
      <c r="F1079" s="12">
        <v>3566420</v>
      </c>
      <c r="G1079" s="77">
        <v>46009</v>
      </c>
      <c r="H1079" s="12" t="s">
        <v>166</v>
      </c>
      <c r="I1079" s="12"/>
      <c r="J1079" s="12"/>
      <c r="K1079" s="12"/>
      <c r="L1079" s="12"/>
      <c r="M1079" s="12"/>
      <c r="N1079" s="9" t="s">
        <v>199</v>
      </c>
      <c r="O1079" s="9"/>
      <c r="P1079" s="37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</row>
    <row r="1080" spans="1:33" ht="14.25" customHeight="1" x14ac:dyDescent="0.35">
      <c r="A1080" s="12">
        <v>301329</v>
      </c>
      <c r="B1080" s="59" t="str">
        <f>IFERROR(VLOOKUP(Tabla2[[#This Row],[CODIGO]],INVENTARIO!A:B,2,0)," ")</f>
        <v>Copla PE100 025mm EF</v>
      </c>
      <c r="C1080" s="12">
        <v>4</v>
      </c>
      <c r="D1080" s="13">
        <v>7796</v>
      </c>
      <c r="E1080" s="40">
        <v>4500513994</v>
      </c>
      <c r="F1080" s="12">
        <v>3566420</v>
      </c>
      <c r="G1080" s="77">
        <v>46009</v>
      </c>
      <c r="H1080" s="12" t="s">
        <v>166</v>
      </c>
      <c r="I1080" s="12"/>
      <c r="J1080" s="12"/>
      <c r="K1080" s="12"/>
      <c r="L1080" s="12"/>
      <c r="M1080" s="12"/>
      <c r="N1080" s="9" t="s">
        <v>199</v>
      </c>
      <c r="O1080" s="9"/>
      <c r="P1080" s="37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</row>
    <row r="1081" spans="1:33" ht="14.25" customHeight="1" x14ac:dyDescent="0.35">
      <c r="A1081" s="12">
        <v>301415</v>
      </c>
      <c r="B1081" s="59" t="str">
        <f>IFERROR(VLOOKUP(Tabla2[[#This Row],[CODIGO]],INVENTARIO!A:B,2,0)," ")</f>
        <v>Regulador Sum. Fe-10, 20 Mbar P.Fior</v>
      </c>
      <c r="C1081" s="12">
        <v>1</v>
      </c>
      <c r="D1081" s="13">
        <v>165812</v>
      </c>
      <c r="E1081" s="40">
        <v>4500513994</v>
      </c>
      <c r="F1081" s="12">
        <v>3566420</v>
      </c>
      <c r="G1081" s="77">
        <v>46009</v>
      </c>
      <c r="H1081" s="12" t="s">
        <v>166</v>
      </c>
      <c r="I1081" s="12"/>
      <c r="J1081" s="12"/>
      <c r="K1081" s="12"/>
      <c r="L1081" s="12"/>
      <c r="M1081" s="12"/>
      <c r="N1081" s="9" t="s">
        <v>199</v>
      </c>
      <c r="O1081" s="9"/>
      <c r="P1081" s="37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</row>
    <row r="1082" spans="1:33" ht="14.25" customHeight="1" x14ac:dyDescent="0.35">
      <c r="A1082" s="12">
        <v>2000350</v>
      </c>
      <c r="B1082" s="59" t="str">
        <f>IFERROR(VLOOKUP(Tabla2[[#This Row],[CODIGO]],INVENTARIO!A:B,2,0)," ")</f>
        <v>Codo PE 90º  25 mm EF.</v>
      </c>
      <c r="C1082" s="12">
        <v>3</v>
      </c>
      <c r="D1082" s="13">
        <v>18396</v>
      </c>
      <c r="E1082" s="40">
        <v>4500513994</v>
      </c>
      <c r="F1082" s="12">
        <v>3566420</v>
      </c>
      <c r="G1082" s="77">
        <v>46009</v>
      </c>
      <c r="H1082" s="12" t="s">
        <v>166</v>
      </c>
      <c r="I1082" s="12"/>
      <c r="J1082" s="12"/>
      <c r="K1082" s="12"/>
      <c r="L1082" s="12"/>
      <c r="M1082" s="12"/>
      <c r="N1082" s="9" t="s">
        <v>199</v>
      </c>
      <c r="O1082" s="9"/>
      <c r="P1082" s="37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</row>
    <row r="1083" spans="1:33" ht="14.25" customHeight="1" x14ac:dyDescent="0.35">
      <c r="A1083" s="12">
        <v>2005135</v>
      </c>
      <c r="B1083" s="59" t="str">
        <f>IFERROR(VLOOKUP(Tabla2[[#This Row],[CODIGO]],INVENTARIO!A:B,2,0)," ")</f>
        <v>Tubo PVC 110 mm PN6 CG Amarillo Tira 6 m</v>
      </c>
      <c r="C1083" s="12">
        <v>12</v>
      </c>
      <c r="D1083" s="13">
        <v>335172</v>
      </c>
      <c r="E1083" s="40">
        <v>873923</v>
      </c>
      <c r="F1083" s="12">
        <v>3566394</v>
      </c>
      <c r="G1083" s="77">
        <v>46008</v>
      </c>
      <c r="H1083" s="12" t="s">
        <v>167</v>
      </c>
      <c r="I1083" s="12"/>
      <c r="J1083" s="12"/>
      <c r="K1083" s="12"/>
      <c r="L1083" s="12"/>
      <c r="M1083" s="12"/>
      <c r="N1083" s="9" t="s">
        <v>192</v>
      </c>
      <c r="O1083" s="9" t="s">
        <v>258</v>
      </c>
      <c r="P1083" s="37">
        <v>1374810</v>
      </c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</row>
    <row r="1084" spans="1:33" ht="14.25" customHeight="1" x14ac:dyDescent="0.35">
      <c r="A1084" s="12">
        <v>2003911</v>
      </c>
      <c r="B1084" s="59" t="str">
        <f>IFERROR(VLOOKUP(Tabla2[[#This Row],[CODIGO]],INVENTARIO!A:B,2,0)," ")</f>
        <v>Válvula EFv PE 25 mm Para Tap. Tee</v>
      </c>
      <c r="C1084" s="12">
        <v>1</v>
      </c>
      <c r="D1084" s="13"/>
      <c r="E1084" s="40">
        <v>4500512963</v>
      </c>
      <c r="F1084" s="12">
        <v>3566329</v>
      </c>
      <c r="G1084" s="77">
        <v>46003</v>
      </c>
      <c r="H1084" s="12" t="s">
        <v>166</v>
      </c>
      <c r="I1084" s="12"/>
      <c r="J1084" s="12"/>
      <c r="K1084" s="12"/>
      <c r="L1084" s="12"/>
      <c r="M1084" s="12"/>
      <c r="N1084" s="9" t="s">
        <v>192</v>
      </c>
      <c r="O1084" s="9"/>
      <c r="P1084" s="37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</row>
    <row r="1085" spans="1:33" ht="14.25" customHeight="1" x14ac:dyDescent="0.35">
      <c r="A1085" s="12">
        <v>301329</v>
      </c>
      <c r="B1085" s="59" t="str">
        <f>IFERROR(VLOOKUP(Tabla2[[#This Row],[CODIGO]],INVENTARIO!A:B,2,0)," ")</f>
        <v>Copla PE100 025mm EF</v>
      </c>
      <c r="C1085" s="12">
        <v>4</v>
      </c>
      <c r="D1085" s="13"/>
      <c r="E1085" s="40">
        <v>4500512963</v>
      </c>
      <c r="F1085" s="12">
        <v>3566329</v>
      </c>
      <c r="G1085" s="77">
        <v>46003</v>
      </c>
      <c r="H1085" s="12" t="s">
        <v>166</v>
      </c>
      <c r="I1085" s="12"/>
      <c r="J1085" s="12"/>
      <c r="K1085" s="12"/>
      <c r="L1085" s="12"/>
      <c r="M1085" s="12"/>
      <c r="N1085" s="9" t="s">
        <v>192</v>
      </c>
      <c r="O1085" s="9"/>
      <c r="P1085" s="37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</row>
    <row r="1086" spans="1:33" ht="14.25" customHeight="1" x14ac:dyDescent="0.35">
      <c r="A1086" s="12">
        <v>301099</v>
      </c>
      <c r="B1086" s="59" t="str">
        <f>IFERROR(VLOOKUP(Tabla2[[#This Row],[CODIGO]],INVENTARIO!A:B,2,0)," ")</f>
        <v>Válvula PE100 Dn 25mm</v>
      </c>
      <c r="C1086" s="12">
        <v>1</v>
      </c>
      <c r="D1086" s="13"/>
      <c r="E1086" s="40">
        <v>4500512963</v>
      </c>
      <c r="F1086" s="12">
        <v>3566329</v>
      </c>
      <c r="G1086" s="77">
        <v>46003</v>
      </c>
      <c r="H1086" s="12" t="s">
        <v>166</v>
      </c>
      <c r="I1086" s="12"/>
      <c r="J1086" s="12"/>
      <c r="K1086" s="12"/>
      <c r="L1086" s="12"/>
      <c r="M1086" s="12"/>
      <c r="N1086" s="9" t="s">
        <v>192</v>
      </c>
      <c r="O1086" s="9"/>
      <c r="P1086" s="37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</row>
    <row r="1087" spans="1:33" ht="14.25" customHeight="1" x14ac:dyDescent="0.35">
      <c r="A1087" s="12">
        <v>300109</v>
      </c>
      <c r="B1087" s="59" t="str">
        <f>IFERROR(VLOOKUP(Tabla2[[#This Row],[CODIGO]],INVENTARIO!A:B,2,0)," ")</f>
        <v>Risers de Acero 3/4" Bsp x 25 mm</v>
      </c>
      <c r="C1087" s="12">
        <v>1</v>
      </c>
      <c r="D1087" s="13"/>
      <c r="E1087" s="40">
        <v>4500512963</v>
      </c>
      <c r="F1087" s="12">
        <v>3566329</v>
      </c>
      <c r="G1087" s="77">
        <v>46003</v>
      </c>
      <c r="H1087" s="12" t="s">
        <v>166</v>
      </c>
      <c r="I1087" s="12"/>
      <c r="J1087" s="12"/>
      <c r="K1087" s="12"/>
      <c r="L1087" s="12"/>
      <c r="M1087" s="12"/>
      <c r="N1087" s="9" t="s">
        <v>192</v>
      </c>
      <c r="O1087" s="9"/>
      <c r="P1087" s="37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</row>
    <row r="1088" spans="1:33" ht="14.25" customHeight="1" x14ac:dyDescent="0.35">
      <c r="A1088" s="12">
        <v>101624</v>
      </c>
      <c r="B1088" s="59" t="str">
        <f>IFERROR(VLOOKUP(Tabla2[[#This Row],[CODIGO]],INVENTARIO!A:B,2,0)," ")</f>
        <v>Tapping Tee PE 50-25 mm</v>
      </c>
      <c r="C1088" s="12">
        <v>1</v>
      </c>
      <c r="D1088" s="13"/>
      <c r="E1088" s="40">
        <v>4500512963</v>
      </c>
      <c r="F1088" s="12">
        <v>3566329</v>
      </c>
      <c r="G1088" s="77">
        <v>46003</v>
      </c>
      <c r="H1088" s="12" t="s">
        <v>166</v>
      </c>
      <c r="I1088" s="12"/>
      <c r="J1088" s="12"/>
      <c r="K1088" s="12"/>
      <c r="L1088" s="12"/>
      <c r="M1088" s="12"/>
      <c r="N1088" s="9" t="s">
        <v>192</v>
      </c>
      <c r="O1088" s="9"/>
      <c r="P1088" s="37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</row>
    <row r="1089" spans="1:33" ht="14.25" customHeight="1" x14ac:dyDescent="0.35">
      <c r="A1089" s="12">
        <v>2007948</v>
      </c>
      <c r="B1089" s="59" t="str">
        <f>IFERROR(VLOOKUP(Tabla2[[#This Row],[CODIGO]],INVENTARIO!A:B,2,0)," ")</f>
        <v>Tubo PVC Hidraulico 110 mm Pn6 Celeste</v>
      </c>
      <c r="C1089" s="12">
        <v>18</v>
      </c>
      <c r="D1089" s="13"/>
      <c r="E1089" s="40">
        <v>873978</v>
      </c>
      <c r="F1089" s="12">
        <v>3566327</v>
      </c>
      <c r="G1089" s="77">
        <v>46003</v>
      </c>
      <c r="H1089" s="12" t="s">
        <v>167</v>
      </c>
      <c r="I1089" s="12"/>
      <c r="J1089" s="12"/>
      <c r="K1089" s="12"/>
      <c r="L1089" s="12"/>
      <c r="M1089" s="12"/>
      <c r="N1089" s="9" t="s">
        <v>196</v>
      </c>
      <c r="O1089" s="9"/>
      <c r="P1089" s="37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</row>
    <row r="1090" spans="1:33" ht="14.25" customHeight="1" x14ac:dyDescent="0.35">
      <c r="A1090" s="12">
        <v>2000350</v>
      </c>
      <c r="B1090" s="59" t="str">
        <f>IFERROR(VLOOKUP(Tabla2[[#This Row],[CODIGO]],INVENTARIO!A:B,2,0)," ")</f>
        <v>Codo PE 90º  25 mm EF.</v>
      </c>
      <c r="C1090" s="12">
        <v>2</v>
      </c>
      <c r="D1090" s="13"/>
      <c r="E1090" s="40">
        <v>4500513321</v>
      </c>
      <c r="F1090" s="12">
        <v>3566328</v>
      </c>
      <c r="G1090" s="77">
        <v>46003</v>
      </c>
      <c r="H1090" s="12" t="s">
        <v>166</v>
      </c>
      <c r="I1090" s="12"/>
      <c r="J1090" s="12"/>
      <c r="K1090" s="12"/>
      <c r="L1090" s="12"/>
      <c r="M1090" s="12"/>
      <c r="N1090" s="9" t="s">
        <v>189</v>
      </c>
      <c r="O1090" s="9"/>
      <c r="P1090" s="37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</row>
    <row r="1091" spans="1:33" ht="14.25" customHeight="1" x14ac:dyDescent="0.35">
      <c r="A1091" s="12">
        <v>2003911</v>
      </c>
      <c r="B1091" s="59" t="str">
        <f>IFERROR(VLOOKUP(Tabla2[[#This Row],[CODIGO]],INVENTARIO!A:B,2,0)," ")</f>
        <v>Válvula EFv PE 25 mm Para Tap. Tee</v>
      </c>
      <c r="C1091" s="12">
        <v>18</v>
      </c>
      <c r="D1091" s="13"/>
      <c r="E1091" s="40">
        <v>4500512975</v>
      </c>
      <c r="F1091" s="12">
        <v>3566300</v>
      </c>
      <c r="G1091" s="77">
        <v>45996</v>
      </c>
      <c r="H1091" s="12" t="s">
        <v>166</v>
      </c>
      <c r="I1091" s="12"/>
      <c r="J1091" s="12"/>
      <c r="K1091" s="12"/>
      <c r="L1091" s="12"/>
      <c r="M1091" s="12"/>
      <c r="N1091" s="9" t="s">
        <v>196</v>
      </c>
      <c r="O1091" s="9"/>
      <c r="P1091" s="37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</row>
    <row r="1092" spans="1:33" ht="14.25" customHeight="1" x14ac:dyDescent="0.35">
      <c r="A1092" s="12">
        <v>400205</v>
      </c>
      <c r="B1092" s="59" t="str">
        <f>IFERROR(VLOOKUP(Tabla2[[#This Row],[CODIGO]],INVENTARIO!A:B,2,0)," ")</f>
        <v>Tee PE  50 mm Electro F.</v>
      </c>
      <c r="C1092" s="12">
        <v>1</v>
      </c>
      <c r="D1092" s="13"/>
      <c r="E1092" s="40">
        <v>4500512975</v>
      </c>
      <c r="F1092" s="12">
        <v>3566300</v>
      </c>
      <c r="G1092" s="77">
        <v>45996</v>
      </c>
      <c r="H1092" s="12" t="s">
        <v>166</v>
      </c>
      <c r="I1092" s="12"/>
      <c r="J1092" s="12"/>
      <c r="K1092" s="12"/>
      <c r="L1092" s="12"/>
      <c r="M1092" s="12"/>
      <c r="N1092" s="9" t="s">
        <v>196</v>
      </c>
      <c r="O1092" s="9"/>
      <c r="P1092" s="37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</row>
    <row r="1093" spans="1:33" ht="14.25" customHeight="1" x14ac:dyDescent="0.35">
      <c r="A1093" s="12">
        <v>303345</v>
      </c>
      <c r="B1093" s="59" t="str">
        <f>IFERROR(VLOOKUP(Tabla2[[#This Row],[CODIGO]],INVENTARIO!A:B,2,0)," ")</f>
        <v>Copla PE100 050mm EF</v>
      </c>
      <c r="C1093" s="12">
        <v>6</v>
      </c>
      <c r="D1093" s="13"/>
      <c r="E1093" s="40">
        <v>4500512975</v>
      </c>
      <c r="F1093" s="12">
        <v>3566300</v>
      </c>
      <c r="G1093" s="77">
        <v>45996</v>
      </c>
      <c r="H1093" s="12" t="s">
        <v>166</v>
      </c>
      <c r="I1093" s="12"/>
      <c r="J1093" s="12"/>
      <c r="K1093" s="12"/>
      <c r="L1093" s="12"/>
      <c r="M1093" s="12"/>
      <c r="N1093" s="9" t="s">
        <v>196</v>
      </c>
      <c r="O1093" s="9"/>
      <c r="P1093" s="37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</row>
    <row r="1094" spans="1:33" ht="14.25" customHeight="1" x14ac:dyDescent="0.35">
      <c r="A1094" s="12">
        <v>302992</v>
      </c>
      <c r="B1094" s="59" t="str">
        <f>IFERROR(VLOOKUP(Tabla2[[#This Row],[CODIGO]],INVENTARIO!A:B,2,0)," ")</f>
        <v>Codo PE100 90° 050mm EF</v>
      </c>
      <c r="C1094" s="12">
        <v>1</v>
      </c>
      <c r="D1094" s="13"/>
      <c r="E1094" s="40">
        <v>4500512975</v>
      </c>
      <c r="F1094" s="12">
        <v>3566300</v>
      </c>
      <c r="G1094" s="77">
        <v>45996</v>
      </c>
      <c r="H1094" s="12" t="s">
        <v>166</v>
      </c>
      <c r="I1094" s="12"/>
      <c r="J1094" s="12"/>
      <c r="K1094" s="12"/>
      <c r="L1094" s="12"/>
      <c r="M1094" s="12"/>
      <c r="N1094" s="9" t="s">
        <v>196</v>
      </c>
      <c r="O1094" s="9"/>
      <c r="P1094" s="37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</row>
    <row r="1095" spans="1:33" ht="14.25" customHeight="1" x14ac:dyDescent="0.35">
      <c r="A1095" s="12">
        <v>301329</v>
      </c>
      <c r="B1095" s="59" t="str">
        <f>IFERROR(VLOOKUP(Tabla2[[#This Row],[CODIGO]],INVENTARIO!A:B,2,0)," ")</f>
        <v>Copla PE100 025mm EF</v>
      </c>
      <c r="C1095" s="12">
        <v>81</v>
      </c>
      <c r="D1095" s="13"/>
      <c r="E1095" s="40">
        <v>4500512975</v>
      </c>
      <c r="F1095" s="12">
        <v>3566300</v>
      </c>
      <c r="G1095" s="77">
        <v>45996</v>
      </c>
      <c r="H1095" s="12" t="s">
        <v>166</v>
      </c>
      <c r="I1095" s="12"/>
      <c r="J1095" s="12"/>
      <c r="K1095" s="12"/>
      <c r="L1095" s="12"/>
      <c r="M1095" s="12"/>
      <c r="N1095" s="9" t="s">
        <v>196</v>
      </c>
      <c r="O1095" s="9"/>
      <c r="P1095" s="37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</row>
    <row r="1096" spans="1:33" ht="14.25" customHeight="1" x14ac:dyDescent="0.35">
      <c r="A1096" s="12">
        <v>301327</v>
      </c>
      <c r="B1096" s="59" t="str">
        <f>IFERROR(VLOOKUP(Tabla2[[#This Row],[CODIGO]],INVENTARIO!A:B,2,0)," ")</f>
        <v>Tapa PE  050 mm Termo F.</v>
      </c>
      <c r="C1096" s="12">
        <v>3</v>
      </c>
      <c r="D1096" s="13"/>
      <c r="E1096" s="40">
        <v>4500512975</v>
      </c>
      <c r="F1096" s="12">
        <v>3566300</v>
      </c>
      <c r="G1096" s="77">
        <v>45996</v>
      </c>
      <c r="H1096" s="12" t="s">
        <v>166</v>
      </c>
      <c r="I1096" s="12"/>
      <c r="J1096" s="12"/>
      <c r="K1096" s="12"/>
      <c r="L1096" s="12"/>
      <c r="M1096" s="12"/>
      <c r="N1096" s="9" t="s">
        <v>196</v>
      </c>
      <c r="O1096" s="9"/>
      <c r="P1096" s="37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</row>
    <row r="1097" spans="1:33" ht="14.25" customHeight="1" x14ac:dyDescent="0.35">
      <c r="A1097" s="12">
        <v>301099</v>
      </c>
      <c r="B1097" s="59" t="str">
        <f>IFERROR(VLOOKUP(Tabla2[[#This Row],[CODIGO]],INVENTARIO!A:B,2,0)," ")</f>
        <v>Válvula PE100 Dn 25mm</v>
      </c>
      <c r="C1097" s="12">
        <v>18</v>
      </c>
      <c r="D1097" s="13"/>
      <c r="E1097" s="40">
        <v>4500512975</v>
      </c>
      <c r="F1097" s="12">
        <v>3566300</v>
      </c>
      <c r="G1097" s="77">
        <v>45996</v>
      </c>
      <c r="H1097" s="12" t="s">
        <v>166</v>
      </c>
      <c r="I1097" s="12"/>
      <c r="J1097" s="12"/>
      <c r="K1097" s="12"/>
      <c r="L1097" s="12"/>
      <c r="M1097" s="12"/>
      <c r="N1097" s="9" t="s">
        <v>196</v>
      </c>
      <c r="O1097" s="9"/>
      <c r="P1097" s="37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</row>
    <row r="1098" spans="1:33" ht="14.25" customHeight="1" x14ac:dyDescent="0.35">
      <c r="A1098" s="12">
        <v>300712</v>
      </c>
      <c r="B1098" s="59" t="str">
        <f>IFERROR(VLOOKUP(Tabla2[[#This Row],[CODIGO]],INVENTARIO!A:B,2,0)," ")</f>
        <v>Tapa PE  025 mm Termo F.</v>
      </c>
      <c r="C1098" s="12">
        <v>3</v>
      </c>
      <c r="D1098" s="13"/>
      <c r="E1098" s="40">
        <v>4500512975</v>
      </c>
      <c r="F1098" s="12">
        <v>3566300</v>
      </c>
      <c r="G1098" s="77">
        <v>45996</v>
      </c>
      <c r="H1098" s="12" t="s">
        <v>166</v>
      </c>
      <c r="I1098" s="12"/>
      <c r="J1098" s="12"/>
      <c r="K1098" s="12"/>
      <c r="L1098" s="12"/>
      <c r="M1098" s="12"/>
      <c r="N1098" s="9" t="s">
        <v>196</v>
      </c>
      <c r="O1098" s="9"/>
      <c r="P1098" s="37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</row>
    <row r="1099" spans="1:33" ht="14.25" customHeight="1" x14ac:dyDescent="0.35">
      <c r="A1099" s="12">
        <v>300527</v>
      </c>
      <c r="B1099" s="59" t="str">
        <f>IFERROR(VLOOKUP(Tabla2[[#This Row],[CODIGO]],INVENTARIO!A:B,2,0)," ")</f>
        <v>Tapping Tee PE 160-25 mm</v>
      </c>
      <c r="C1099" s="12">
        <v>1</v>
      </c>
      <c r="D1099" s="13"/>
      <c r="E1099" s="40">
        <v>4500512975</v>
      </c>
      <c r="F1099" s="12">
        <v>3566300</v>
      </c>
      <c r="G1099" s="77">
        <v>45996</v>
      </c>
      <c r="H1099" s="12" t="s">
        <v>166</v>
      </c>
      <c r="I1099" s="12"/>
      <c r="J1099" s="12"/>
      <c r="K1099" s="12"/>
      <c r="L1099" s="12"/>
      <c r="M1099" s="12"/>
      <c r="N1099" s="9" t="s">
        <v>196</v>
      </c>
      <c r="O1099" s="9"/>
      <c r="P1099" s="37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</row>
    <row r="1100" spans="1:33" ht="14.25" customHeight="1" x14ac:dyDescent="0.35">
      <c r="A1100" s="12">
        <v>300118</v>
      </c>
      <c r="B1100" s="59" t="str">
        <f>IFERROR(VLOOKUP(Tabla2[[#This Row],[CODIGO]],INVENTARIO!A:B,2,0)," ")</f>
        <v>Codo PE100 45° 050mm EF</v>
      </c>
      <c r="C1100" s="12">
        <v>2</v>
      </c>
      <c r="D1100" s="13"/>
      <c r="E1100" s="40">
        <v>4500512975</v>
      </c>
      <c r="F1100" s="12">
        <v>3566300</v>
      </c>
      <c r="G1100" s="77">
        <v>45996</v>
      </c>
      <c r="H1100" s="12" t="s">
        <v>166</v>
      </c>
      <c r="I1100" s="12"/>
      <c r="J1100" s="12"/>
      <c r="K1100" s="12"/>
      <c r="L1100" s="12"/>
      <c r="M1100" s="12"/>
      <c r="N1100" s="9" t="s">
        <v>196</v>
      </c>
      <c r="O1100" s="9"/>
      <c r="P1100" s="37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</row>
    <row r="1101" spans="1:33" ht="14.25" customHeight="1" x14ac:dyDescent="0.35">
      <c r="A1101" s="12">
        <v>300109</v>
      </c>
      <c r="B1101" s="59" t="str">
        <f>IFERROR(VLOOKUP(Tabla2[[#This Row],[CODIGO]],INVENTARIO!A:B,2,0)," ")</f>
        <v>Risers de Acero 3/4" Bsp x 25 mm</v>
      </c>
      <c r="C1101" s="12">
        <v>21</v>
      </c>
      <c r="D1101" s="13"/>
      <c r="E1101" s="40">
        <v>4500512975</v>
      </c>
      <c r="F1101" s="12">
        <v>3566300</v>
      </c>
      <c r="G1101" s="77">
        <v>45996</v>
      </c>
      <c r="H1101" s="12" t="s">
        <v>166</v>
      </c>
      <c r="I1101" s="12"/>
      <c r="J1101" s="12"/>
      <c r="K1101" s="12"/>
      <c r="L1101" s="12"/>
      <c r="M1101" s="12"/>
      <c r="N1101" s="9" t="s">
        <v>196</v>
      </c>
      <c r="O1101" s="9"/>
      <c r="P1101" s="37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</row>
    <row r="1102" spans="1:33" ht="14.25" customHeight="1" x14ac:dyDescent="0.35">
      <c r="A1102" s="12">
        <v>101624</v>
      </c>
      <c r="B1102" s="59" t="str">
        <f>IFERROR(VLOOKUP(Tabla2[[#This Row],[CODIGO]],INVENTARIO!A:B,2,0)," ")</f>
        <v>Tapping Tee PE 50-25 mm</v>
      </c>
      <c r="C1102" s="12">
        <v>20</v>
      </c>
      <c r="D1102" s="13"/>
      <c r="E1102" s="40">
        <v>4500512975</v>
      </c>
      <c r="F1102" s="12">
        <v>3566300</v>
      </c>
      <c r="G1102" s="77">
        <v>45996</v>
      </c>
      <c r="H1102" s="12" t="s">
        <v>166</v>
      </c>
      <c r="I1102" s="12"/>
      <c r="J1102" s="12"/>
      <c r="K1102" s="12"/>
      <c r="L1102" s="12"/>
      <c r="M1102" s="12"/>
      <c r="N1102" s="9" t="s">
        <v>196</v>
      </c>
      <c r="O1102" s="9"/>
      <c r="P1102" s="37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</row>
    <row r="1103" spans="1:33" ht="14.25" customHeight="1" x14ac:dyDescent="0.35">
      <c r="A1103" s="12">
        <v>300414</v>
      </c>
      <c r="B1103" s="59" t="str">
        <f>IFERROR(VLOOKUP(Tabla2[[#This Row],[CODIGO]],INVENTARIO!A:B,2,0)," ")</f>
        <v>Válvula PE100 Dn 50mm</v>
      </c>
      <c r="C1103" s="12">
        <v>1</v>
      </c>
      <c r="D1103" s="13"/>
      <c r="E1103" s="40">
        <v>4500512973</v>
      </c>
      <c r="F1103" s="12">
        <v>3566299</v>
      </c>
      <c r="G1103" s="77">
        <v>45996</v>
      </c>
      <c r="H1103" s="12" t="s">
        <v>166</v>
      </c>
      <c r="I1103" s="12"/>
      <c r="J1103" s="12"/>
      <c r="K1103" s="12"/>
      <c r="L1103" s="12"/>
      <c r="M1103" s="12"/>
      <c r="N1103" s="9" t="s">
        <v>184</v>
      </c>
      <c r="O1103" s="9"/>
      <c r="P1103" s="37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</row>
    <row r="1104" spans="1:33" ht="14.25" customHeight="1" x14ac:dyDescent="0.35">
      <c r="A1104" s="12">
        <v>301327</v>
      </c>
      <c r="B1104" s="59" t="str">
        <f>IFERROR(VLOOKUP(Tabla2[[#This Row],[CODIGO]],INVENTARIO!A:B,2,0)," ")</f>
        <v>Tapa PE  050 mm Termo F.</v>
      </c>
      <c r="C1104" s="12">
        <v>1</v>
      </c>
      <c r="D1104" s="13"/>
      <c r="E1104" s="40">
        <v>4500512973</v>
      </c>
      <c r="F1104" s="12">
        <v>3566299</v>
      </c>
      <c r="G1104" s="77">
        <v>45996</v>
      </c>
      <c r="H1104" s="12" t="s">
        <v>166</v>
      </c>
      <c r="I1104" s="12"/>
      <c r="J1104" s="12"/>
      <c r="K1104" s="12"/>
      <c r="L1104" s="12"/>
      <c r="M1104" s="12"/>
      <c r="N1104" s="9" t="s">
        <v>184</v>
      </c>
      <c r="O1104" s="9"/>
      <c r="P1104" s="37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</row>
    <row r="1105" spans="1:33" ht="14.25" customHeight="1" x14ac:dyDescent="0.35">
      <c r="A1105" s="12">
        <v>302325</v>
      </c>
      <c r="B1105" s="59" t="str">
        <f>IFERROR(VLOOKUP(Tabla2[[#This Row],[CODIGO]],INVENTARIO!A:B,2,0)," ")</f>
        <v>Tapping Tee PE 160-63 mm</v>
      </c>
      <c r="C1105" s="12">
        <v>1</v>
      </c>
      <c r="D1105" s="13"/>
      <c r="E1105" s="40">
        <v>4500512973</v>
      </c>
      <c r="F1105" s="12">
        <v>3566299</v>
      </c>
      <c r="G1105" s="77">
        <v>45996</v>
      </c>
      <c r="H1105" s="12" t="s">
        <v>166</v>
      </c>
      <c r="I1105" s="12"/>
      <c r="J1105" s="12"/>
      <c r="K1105" s="12"/>
      <c r="L1105" s="12"/>
      <c r="M1105" s="12"/>
      <c r="N1105" s="9" t="s">
        <v>184</v>
      </c>
      <c r="O1105" s="9"/>
      <c r="P1105" s="37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</row>
    <row r="1106" spans="1:33" ht="14.25" customHeight="1" x14ac:dyDescent="0.35">
      <c r="A1106" s="12">
        <v>302678</v>
      </c>
      <c r="B1106" s="59" t="str">
        <f>IFERROR(VLOOKUP(Tabla2[[#This Row],[CODIGO]],INVENTARIO!A:B,2,0)," ")</f>
        <v>Reductor PE  63-50 mm Electro F.</v>
      </c>
      <c r="C1106" s="12">
        <v>1</v>
      </c>
      <c r="D1106" s="13"/>
      <c r="E1106" s="40">
        <v>4500512973</v>
      </c>
      <c r="F1106" s="12">
        <v>3566299</v>
      </c>
      <c r="G1106" s="77">
        <v>45996</v>
      </c>
      <c r="H1106" s="12" t="s">
        <v>166</v>
      </c>
      <c r="I1106" s="12"/>
      <c r="J1106" s="12"/>
      <c r="K1106" s="12"/>
      <c r="L1106" s="12"/>
      <c r="M1106" s="12"/>
      <c r="N1106" s="9" t="s">
        <v>184</v>
      </c>
      <c r="O1106" s="9"/>
      <c r="P1106" s="37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</row>
    <row r="1107" spans="1:33" ht="14.25" customHeight="1" x14ac:dyDescent="0.35">
      <c r="A1107" s="12">
        <v>302992</v>
      </c>
      <c r="B1107" s="59" t="str">
        <f>IFERROR(VLOOKUP(Tabla2[[#This Row],[CODIGO]],INVENTARIO!A:B,2,0)," ")</f>
        <v>Codo PE100 90° 050mm EF</v>
      </c>
      <c r="C1107" s="12">
        <v>1</v>
      </c>
      <c r="D1107" s="13"/>
      <c r="E1107" s="40">
        <v>4500512973</v>
      </c>
      <c r="F1107" s="12">
        <v>3566299</v>
      </c>
      <c r="G1107" s="77">
        <v>45996</v>
      </c>
      <c r="H1107" s="12" t="s">
        <v>166</v>
      </c>
      <c r="I1107" s="12"/>
      <c r="J1107" s="12"/>
      <c r="K1107" s="12"/>
      <c r="L1107" s="12"/>
      <c r="M1107" s="12"/>
      <c r="N1107" s="9" t="s">
        <v>184</v>
      </c>
      <c r="O1107" s="9"/>
      <c r="P1107" s="37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</row>
    <row r="1108" spans="1:33" ht="14.25" customHeight="1" x14ac:dyDescent="0.35">
      <c r="A1108" s="12">
        <v>303345</v>
      </c>
      <c r="B1108" s="59" t="str">
        <f>IFERROR(VLOOKUP(Tabla2[[#This Row],[CODIGO]],INVENTARIO!A:B,2,0)," ")</f>
        <v>Copla PE100 050mm EF</v>
      </c>
      <c r="C1108" s="12">
        <v>4</v>
      </c>
      <c r="D1108" s="13"/>
      <c r="E1108" s="40">
        <v>4500512973</v>
      </c>
      <c r="F1108" s="12">
        <v>3566299</v>
      </c>
      <c r="G1108" s="77">
        <v>45996</v>
      </c>
      <c r="H1108" s="12" t="s">
        <v>166</v>
      </c>
      <c r="I1108" s="12"/>
      <c r="J1108" s="12"/>
      <c r="K1108" s="12"/>
      <c r="L1108" s="12"/>
      <c r="M1108" s="12"/>
      <c r="N1108" s="9" t="s">
        <v>184</v>
      </c>
      <c r="O1108" s="9"/>
      <c r="P1108" s="37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</row>
    <row r="1109" spans="1:33" ht="14.25" customHeight="1" x14ac:dyDescent="0.35">
      <c r="A1109" s="12">
        <v>303362</v>
      </c>
      <c r="B1109" s="59" t="str">
        <f>IFERROR(VLOOKUP(Tabla2[[#This Row],[CODIGO]],INVENTARIO!A:B,2,0)," ")</f>
        <v>Reductor PE  50-40 mm Electro F.</v>
      </c>
      <c r="C1109" s="12">
        <v>1</v>
      </c>
      <c r="D1109" s="13"/>
      <c r="E1109" s="40">
        <v>4500512973</v>
      </c>
      <c r="F1109" s="12">
        <v>3566299</v>
      </c>
      <c r="G1109" s="77">
        <v>45996</v>
      </c>
      <c r="H1109" s="12" t="s">
        <v>166</v>
      </c>
      <c r="I1109" s="12"/>
      <c r="J1109" s="12"/>
      <c r="K1109" s="12"/>
      <c r="L1109" s="12"/>
      <c r="M1109" s="12"/>
      <c r="N1109" s="9" t="s">
        <v>184</v>
      </c>
      <c r="O1109" s="9"/>
      <c r="P1109" s="37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</row>
    <row r="1110" spans="1:33" ht="14.25" customHeight="1" x14ac:dyDescent="0.35">
      <c r="A1110" s="12">
        <v>2002453</v>
      </c>
      <c r="B1110" s="59" t="str">
        <f>IFERROR(VLOOKUP(Tabla2[[#This Row],[CODIGO]],INVENTARIO!A:B,2,0)," ")</f>
        <v>MRP-120-(4/1,2)-(S)-2</v>
      </c>
      <c r="C1110" s="12">
        <v>1</v>
      </c>
      <c r="D1110" s="13"/>
      <c r="E1110" s="40">
        <v>4500512973</v>
      </c>
      <c r="F1110" s="12">
        <v>3566299</v>
      </c>
      <c r="G1110" s="77">
        <v>45996</v>
      </c>
      <c r="H1110" s="12" t="s">
        <v>166</v>
      </c>
      <c r="I1110" s="12"/>
      <c r="J1110" s="12"/>
      <c r="K1110" s="12"/>
      <c r="L1110" s="12"/>
      <c r="M1110" s="12"/>
      <c r="N1110" s="9" t="s">
        <v>184</v>
      </c>
      <c r="O1110" s="9"/>
      <c r="P1110" s="37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</row>
    <row r="1111" spans="1:33" ht="14.25" customHeight="1" x14ac:dyDescent="0.35">
      <c r="A1111" s="12">
        <v>2000350</v>
      </c>
      <c r="B1111" s="59" t="str">
        <f>IFERROR(VLOOKUP(Tabla2[[#This Row],[CODIGO]],INVENTARIO!A:B,2,0)," ")</f>
        <v>Codo PE 90º  25 mm EF.</v>
      </c>
      <c r="C1111" s="12">
        <v>4</v>
      </c>
      <c r="D1111" s="13"/>
      <c r="E1111" s="40">
        <v>4500512971</v>
      </c>
      <c r="F1111" s="12">
        <v>3566298</v>
      </c>
      <c r="G1111" s="77">
        <v>45996</v>
      </c>
      <c r="H1111" s="12" t="s">
        <v>166</v>
      </c>
      <c r="I1111" s="12"/>
      <c r="J1111" s="12"/>
      <c r="K1111" s="12"/>
      <c r="L1111" s="12"/>
      <c r="M1111" s="12"/>
      <c r="N1111" s="9" t="s">
        <v>190</v>
      </c>
      <c r="O1111" s="9"/>
      <c r="P1111" s="37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</row>
    <row r="1112" spans="1:33" ht="14.25" customHeight="1" x14ac:dyDescent="0.35">
      <c r="A1112" s="12">
        <v>2000350</v>
      </c>
      <c r="B1112" s="59" t="str">
        <f>IFERROR(VLOOKUP(Tabla2[[#This Row],[CODIGO]],INVENTARIO!A:B,2,0)," ")</f>
        <v>Codo PE 90º  25 mm EF.</v>
      </c>
      <c r="C1112" s="12">
        <v>2</v>
      </c>
      <c r="D1112" s="13"/>
      <c r="E1112" s="40">
        <v>4500512969</v>
      </c>
      <c r="F1112" s="12">
        <v>3566297</v>
      </c>
      <c r="G1112" s="77">
        <v>45996</v>
      </c>
      <c r="H1112" s="12" t="s">
        <v>166</v>
      </c>
      <c r="I1112" s="12"/>
      <c r="J1112" s="12"/>
      <c r="K1112" s="12"/>
      <c r="L1112" s="12"/>
      <c r="M1112" s="12"/>
      <c r="N1112" s="9" t="s">
        <v>188</v>
      </c>
      <c r="O1112" s="9"/>
      <c r="P1112" s="37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</row>
    <row r="1113" spans="1:33" ht="14.25" customHeight="1" x14ac:dyDescent="0.35">
      <c r="A1113" s="12">
        <v>2006391</v>
      </c>
      <c r="B1113" s="59" t="str">
        <f>IFERROR(VLOOKUP(Tabla2[[#This Row],[CODIGO]],INVENTARIO!A:B,2,0)," ")</f>
        <v>Guardallave Fierro Fundido C/Tapa</v>
      </c>
      <c r="C1113" s="12">
        <v>18</v>
      </c>
      <c r="D1113" s="13"/>
      <c r="E1113" s="40">
        <v>873923</v>
      </c>
      <c r="F1113" s="12">
        <v>3566296</v>
      </c>
      <c r="G1113" s="77">
        <v>45996</v>
      </c>
      <c r="H1113" s="12" t="s">
        <v>167</v>
      </c>
      <c r="I1113" s="12"/>
      <c r="J1113" s="12"/>
      <c r="K1113" s="12"/>
      <c r="L1113" s="12"/>
      <c r="M1113" s="12"/>
      <c r="N1113" s="9" t="s">
        <v>196</v>
      </c>
      <c r="O1113" s="9"/>
      <c r="P1113" s="37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</row>
    <row r="1114" spans="1:33" ht="14.25" customHeight="1" x14ac:dyDescent="0.35">
      <c r="A1114" s="12">
        <v>2002262</v>
      </c>
      <c r="B1114" s="59" t="str">
        <f>IFERROR(VLOOKUP(Tabla2[[#This Row],[CODIGO]],INVENTARIO!A:B,2,0)," ")</f>
        <v>Tubería PE80 050mm Rollo</v>
      </c>
      <c r="C1114" s="12">
        <v>150</v>
      </c>
      <c r="D1114" s="13"/>
      <c r="E1114" s="40">
        <v>873923</v>
      </c>
      <c r="F1114" s="12">
        <v>3566296</v>
      </c>
      <c r="G1114" s="77">
        <v>45996</v>
      </c>
      <c r="H1114" s="12" t="s">
        <v>167</v>
      </c>
      <c r="I1114" s="12"/>
      <c r="J1114" s="9" t="s">
        <v>216</v>
      </c>
      <c r="K1114" s="9"/>
      <c r="L1114" s="9"/>
      <c r="M1114" s="9"/>
      <c r="N1114" s="9" t="s">
        <v>196</v>
      </c>
      <c r="O1114" s="9"/>
      <c r="P1114" s="37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</row>
    <row r="1115" spans="1:33" ht="14.25" customHeight="1" x14ac:dyDescent="0.35">
      <c r="A1115" s="12">
        <v>1002167</v>
      </c>
      <c r="B1115" s="59" t="str">
        <f>IFERROR(VLOOKUP(Tabla2[[#This Row],[CODIGO]],INVENTARIO!A:B,2,0)," ")</f>
        <v>Cable Trazador Cu 14 AWG Aisl. THW Roj</v>
      </c>
      <c r="C1115" s="12">
        <v>200</v>
      </c>
      <c r="D1115" s="13"/>
      <c r="E1115" s="40">
        <v>873923</v>
      </c>
      <c r="F1115" s="12">
        <v>3566296</v>
      </c>
      <c r="G1115" s="77">
        <v>45996</v>
      </c>
      <c r="H1115" s="12" t="s">
        <v>167</v>
      </c>
      <c r="I1115" s="12"/>
      <c r="J1115" s="12"/>
      <c r="K1115" s="12"/>
      <c r="L1115" s="12"/>
      <c r="M1115" s="12"/>
      <c r="N1115" s="9" t="s">
        <v>196</v>
      </c>
      <c r="O1115" s="9"/>
      <c r="P1115" s="37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</row>
    <row r="1116" spans="1:33" ht="14.25" customHeight="1" x14ac:dyDescent="0.35">
      <c r="A1116" s="12">
        <v>303510</v>
      </c>
      <c r="B1116" s="59" t="str">
        <f>IFERROR(VLOOKUP(Tabla2[[#This Row],[CODIGO]],INVENTARIO!A:B,2,0)," ")</f>
        <v>Guardallave Hormigón 125 mm con Tapa</v>
      </c>
      <c r="C1116" s="12">
        <v>5</v>
      </c>
      <c r="D1116" s="13"/>
      <c r="E1116" s="40">
        <v>873923</v>
      </c>
      <c r="F1116" s="12">
        <v>3566296</v>
      </c>
      <c r="G1116" s="77">
        <v>45996</v>
      </c>
      <c r="H1116" s="12" t="s">
        <v>167</v>
      </c>
      <c r="I1116" s="12"/>
      <c r="J1116" s="12"/>
      <c r="K1116" s="12"/>
      <c r="L1116" s="12"/>
      <c r="M1116" s="12"/>
      <c r="N1116" s="9" t="s">
        <v>196</v>
      </c>
      <c r="O1116" s="9"/>
      <c r="P1116" s="37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</row>
    <row r="1117" spans="1:33" ht="14.25" customHeight="1" x14ac:dyDescent="0.35">
      <c r="A1117" s="12">
        <v>303368</v>
      </c>
      <c r="B1117" s="59" t="str">
        <f>IFERROR(VLOOKUP(Tabla2[[#This Row],[CODIGO]],INVENTARIO!A:B,2,0)," ")</f>
        <v>Cinta Plástica "Línea GN", 30 x 0.1</v>
      </c>
      <c r="C1117" s="12">
        <v>200</v>
      </c>
      <c r="D1117" s="13"/>
      <c r="E1117" s="40">
        <v>873923</v>
      </c>
      <c r="F1117" s="12">
        <v>3566296</v>
      </c>
      <c r="G1117" s="77">
        <v>45996</v>
      </c>
      <c r="H1117" s="12" t="s">
        <v>167</v>
      </c>
      <c r="I1117" s="12"/>
      <c r="J1117" s="12"/>
      <c r="K1117" s="12"/>
      <c r="L1117" s="12"/>
      <c r="M1117" s="12"/>
      <c r="N1117" s="9" t="s">
        <v>196</v>
      </c>
      <c r="O1117" s="9"/>
      <c r="P1117" s="37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</row>
    <row r="1118" spans="1:33" ht="14.25" customHeight="1" x14ac:dyDescent="0.35">
      <c r="A1118" s="12">
        <v>302737</v>
      </c>
      <c r="B1118" s="59" t="str">
        <f>IFERROR(VLOOKUP(Tabla2[[#This Row],[CODIGO]],INVENTARIO!A:B,2,0)," ")</f>
        <v>Válvula Bola 3/4" Hi Un Cuerpo Pn5 Arco</v>
      </c>
      <c r="C1118" s="12">
        <v>21</v>
      </c>
      <c r="D1118" s="13"/>
      <c r="E1118" s="40">
        <v>873923</v>
      </c>
      <c r="F1118" s="12">
        <v>3566296</v>
      </c>
      <c r="G1118" s="77">
        <v>45996</v>
      </c>
      <c r="H1118" s="12" t="s">
        <v>167</v>
      </c>
      <c r="I1118" s="12"/>
      <c r="J1118" s="12"/>
      <c r="K1118" s="12"/>
      <c r="L1118" s="12"/>
      <c r="M1118" s="12"/>
      <c r="N1118" s="9" t="s">
        <v>196</v>
      </c>
      <c r="O1118" s="9"/>
      <c r="P1118" s="37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</row>
    <row r="1119" spans="1:33" ht="14.25" customHeight="1" x14ac:dyDescent="0.35">
      <c r="A1119" s="12">
        <v>302184</v>
      </c>
      <c r="B1119" s="59" t="str">
        <f>IFERROR(VLOOKUP(Tabla2[[#This Row],[CODIGO]],INVENTARIO!A:B,2,0)," ")</f>
        <v>Tapa Tornillo Cambio de Codigo por: 2008481</v>
      </c>
      <c r="C1119" s="12">
        <v>21</v>
      </c>
      <c r="D1119" s="13"/>
      <c r="E1119" s="40">
        <v>873923</v>
      </c>
      <c r="F1119" s="12">
        <v>3566296</v>
      </c>
      <c r="G1119" s="77">
        <v>45996</v>
      </c>
      <c r="H1119" s="12" t="s">
        <v>167</v>
      </c>
      <c r="I1119" s="12"/>
      <c r="J1119" s="12"/>
      <c r="K1119" s="12"/>
      <c r="L1119" s="12"/>
      <c r="M1119" s="12"/>
      <c r="N1119" s="9" t="s">
        <v>196</v>
      </c>
      <c r="O1119" s="9"/>
      <c r="P1119" s="37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</row>
    <row r="1120" spans="1:33" ht="14.25" customHeight="1" x14ac:dyDescent="0.35">
      <c r="A1120" s="12">
        <v>2006391</v>
      </c>
      <c r="B1120" s="59" t="str">
        <f>IFERROR(VLOOKUP(Tabla2[[#This Row],[CODIGO]],INVENTARIO!A:B,2,0)," ")</f>
        <v>Guardallave Fierro Fundido C/Tapa</v>
      </c>
      <c r="C1120" s="12">
        <v>1</v>
      </c>
      <c r="D1120" s="13"/>
      <c r="E1120" s="40">
        <v>873923</v>
      </c>
      <c r="F1120" s="12">
        <v>3566296</v>
      </c>
      <c r="G1120" s="77">
        <v>45996</v>
      </c>
      <c r="H1120" s="12" t="s">
        <v>167</v>
      </c>
      <c r="I1120" s="12"/>
      <c r="J1120" s="12"/>
      <c r="K1120" s="12"/>
      <c r="L1120" s="12"/>
      <c r="M1120" s="12"/>
      <c r="N1120" s="9" t="s">
        <v>184</v>
      </c>
      <c r="O1120" s="9"/>
      <c r="P1120" s="37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</row>
    <row r="1121" spans="1:33" ht="14.25" customHeight="1" x14ac:dyDescent="0.35">
      <c r="A1121" s="12">
        <v>302737</v>
      </c>
      <c r="B1121" s="59" t="str">
        <f>IFERROR(VLOOKUP(Tabla2[[#This Row],[CODIGO]],INVENTARIO!A:B,2,0)," ")</f>
        <v>Válvula Bola 3/4" Hi Un Cuerpo Pn5 Arco</v>
      </c>
      <c r="C1121" s="12">
        <v>1</v>
      </c>
      <c r="D1121" s="13"/>
      <c r="E1121" s="40">
        <v>873923</v>
      </c>
      <c r="F1121" s="12">
        <v>3566296</v>
      </c>
      <c r="G1121" s="77">
        <v>45996</v>
      </c>
      <c r="H1121" s="12" t="s">
        <v>167</v>
      </c>
      <c r="I1121" s="12"/>
      <c r="J1121" s="12"/>
      <c r="K1121" s="12"/>
      <c r="L1121" s="12"/>
      <c r="M1121" s="12"/>
      <c r="N1121" s="9" t="s">
        <v>192</v>
      </c>
      <c r="O1121" s="9"/>
      <c r="P1121" s="37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</row>
    <row r="1122" spans="1:33" ht="14.25" customHeight="1" x14ac:dyDescent="0.35">
      <c r="A1122" s="12">
        <v>302184</v>
      </c>
      <c r="B1122" s="59" t="str">
        <f>IFERROR(VLOOKUP(Tabla2[[#This Row],[CODIGO]],INVENTARIO!A:B,2,0)," ")</f>
        <v>Tapa Tornillo Cambio de Codigo por: 2008481</v>
      </c>
      <c r="C1122" s="12">
        <v>1</v>
      </c>
      <c r="D1122" s="13"/>
      <c r="E1122" s="40">
        <v>873923</v>
      </c>
      <c r="F1122" s="12">
        <v>3566296</v>
      </c>
      <c r="G1122" s="77">
        <v>45996</v>
      </c>
      <c r="H1122" s="12" t="s">
        <v>167</v>
      </c>
      <c r="I1122" s="12"/>
      <c r="J1122" s="12"/>
      <c r="K1122" s="12"/>
      <c r="L1122" s="12"/>
      <c r="M1122" s="12"/>
      <c r="N1122" s="9" t="s">
        <v>192</v>
      </c>
      <c r="O1122" s="9"/>
      <c r="P1122" s="37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</row>
    <row r="1123" spans="1:33" ht="14.25" customHeight="1" x14ac:dyDescent="0.35">
      <c r="A1123" s="12">
        <v>2006391</v>
      </c>
      <c r="B1123" s="59" t="str">
        <f>IFERROR(VLOOKUP(Tabla2[[#This Row],[CODIGO]],INVENTARIO!A:B,2,0)," ")</f>
        <v>Guardallave Fierro Fundido C/Tapa</v>
      </c>
      <c r="C1123" s="12">
        <v>1</v>
      </c>
      <c r="D1123" s="13"/>
      <c r="E1123" s="40">
        <v>873923</v>
      </c>
      <c r="F1123" s="12">
        <v>3566296</v>
      </c>
      <c r="G1123" s="77">
        <v>45996</v>
      </c>
      <c r="H1123" s="12" t="s">
        <v>167</v>
      </c>
      <c r="I1123" s="12"/>
      <c r="J1123" s="12"/>
      <c r="K1123" s="12"/>
      <c r="L1123" s="12"/>
      <c r="M1123" s="12"/>
      <c r="N1123" s="9" t="s">
        <v>192</v>
      </c>
      <c r="O1123" s="9"/>
      <c r="P1123" s="37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</row>
    <row r="1124" spans="1:33" ht="14.25" customHeight="1" x14ac:dyDescent="0.35">
      <c r="A1124" s="12">
        <v>303511</v>
      </c>
      <c r="B1124" s="59" t="str">
        <f>IFERROR(VLOOKUP(Tabla2[[#This Row],[CODIGO]],INVENTARIO!A:B,2,0)," ")</f>
        <v>Lata de Espuma Poliuretano Adimus / 500 ML</v>
      </c>
      <c r="C1124" s="12">
        <v>1</v>
      </c>
      <c r="D1124" s="13">
        <v>2345</v>
      </c>
      <c r="E1124" s="40">
        <v>873692</v>
      </c>
      <c r="F1124" s="12">
        <v>3566214</v>
      </c>
      <c r="G1124" s="77">
        <v>45986</v>
      </c>
      <c r="H1124" s="12" t="s">
        <v>167</v>
      </c>
      <c r="I1124" s="12"/>
      <c r="J1124" s="12"/>
      <c r="K1124" s="12"/>
      <c r="L1124" s="12"/>
      <c r="M1124" s="12"/>
      <c r="N1124" s="9" t="s">
        <v>209</v>
      </c>
      <c r="O1124" s="9" t="s">
        <v>258</v>
      </c>
      <c r="P1124" s="37">
        <v>1374732</v>
      </c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</row>
    <row r="1125" spans="1:33" ht="14.25" customHeight="1" x14ac:dyDescent="0.35">
      <c r="A1125" s="12">
        <v>200229</v>
      </c>
      <c r="B1125" s="59" t="str">
        <f>IFERROR(VLOOKUP(Tabla2[[#This Row],[CODIGO]],INVENTARIO!A:B,2,0)," ")</f>
        <v>Disco Corte 115 x 22,2 x 2,5 mm A30Pbf</v>
      </c>
      <c r="C1125" s="12">
        <v>1</v>
      </c>
      <c r="D1125" s="13">
        <v>610</v>
      </c>
      <c r="E1125" s="40">
        <v>873692</v>
      </c>
      <c r="F1125" s="12">
        <v>3566214</v>
      </c>
      <c r="G1125" s="77">
        <v>45986</v>
      </c>
      <c r="H1125" s="12" t="s">
        <v>167</v>
      </c>
      <c r="I1125" s="12"/>
      <c r="J1125" s="12"/>
      <c r="K1125" s="12"/>
      <c r="L1125" s="12"/>
      <c r="M1125" s="12"/>
      <c r="N1125" s="9" t="s">
        <v>209</v>
      </c>
      <c r="O1125" s="9" t="s">
        <v>258</v>
      </c>
      <c r="P1125" s="37">
        <v>1374732</v>
      </c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</row>
    <row r="1126" spans="1:33" ht="14.25" customHeight="1" x14ac:dyDescent="0.35">
      <c r="A1126" s="12">
        <v>2006391</v>
      </c>
      <c r="B1126" s="59" t="str">
        <f>IFERROR(VLOOKUP(Tabla2[[#This Row],[CODIGO]],INVENTARIO!A:B,2,0)," ")</f>
        <v>Guardallave Fierro Fundido C/Tapa</v>
      </c>
      <c r="C1126" s="12">
        <v>1</v>
      </c>
      <c r="D1126" s="13">
        <v>26867</v>
      </c>
      <c r="E1126" s="40">
        <v>873692</v>
      </c>
      <c r="F1126" s="12">
        <v>3566214</v>
      </c>
      <c r="G1126" s="77">
        <v>45986</v>
      </c>
      <c r="H1126" s="12" t="s">
        <v>167</v>
      </c>
      <c r="I1126" s="12"/>
      <c r="J1126" s="12"/>
      <c r="K1126" s="12"/>
      <c r="L1126" s="12"/>
      <c r="M1126" s="12"/>
      <c r="N1126" s="9" t="s">
        <v>209</v>
      </c>
      <c r="O1126" s="9" t="s">
        <v>258</v>
      </c>
      <c r="P1126" s="37">
        <v>1374732</v>
      </c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</row>
    <row r="1127" spans="1:33" ht="14.25" customHeight="1" x14ac:dyDescent="0.35">
      <c r="A1127" s="12">
        <v>302184</v>
      </c>
      <c r="B1127" s="59" t="str">
        <f>IFERROR(VLOOKUP(Tabla2[[#This Row],[CODIGO]],INVENTARIO!A:B,2,0)," ")</f>
        <v>Tapa Tornillo Cambio de Codigo por: 2008481</v>
      </c>
      <c r="C1127" s="12">
        <v>1</v>
      </c>
      <c r="D1127" s="13">
        <v>805</v>
      </c>
      <c r="E1127" s="40">
        <v>873692</v>
      </c>
      <c r="F1127" s="12">
        <v>3566214</v>
      </c>
      <c r="G1127" s="77">
        <v>45986</v>
      </c>
      <c r="H1127" s="12" t="s">
        <v>167</v>
      </c>
      <c r="I1127" s="12"/>
      <c r="J1127" s="12"/>
      <c r="K1127" s="12"/>
      <c r="L1127" s="12"/>
      <c r="M1127" s="12"/>
      <c r="N1127" s="9" t="s">
        <v>209</v>
      </c>
      <c r="O1127" s="9" t="s">
        <v>258</v>
      </c>
      <c r="P1127" s="37">
        <v>1374732</v>
      </c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</row>
    <row r="1128" spans="1:33" ht="14.25" customHeight="1" x14ac:dyDescent="0.35">
      <c r="A1128" s="12">
        <v>302737</v>
      </c>
      <c r="B1128" s="59" t="str">
        <f>IFERROR(VLOOKUP(Tabla2[[#This Row],[CODIGO]],INVENTARIO!A:B,2,0)," ")</f>
        <v>Válvula Bola 3/4" Hi Un Cuerpo Pn5 Arco</v>
      </c>
      <c r="C1128" s="12">
        <v>1</v>
      </c>
      <c r="D1128" s="13">
        <v>16445</v>
      </c>
      <c r="E1128" s="40">
        <v>873692</v>
      </c>
      <c r="F1128" s="12">
        <v>3566214</v>
      </c>
      <c r="G1128" s="77">
        <v>45986</v>
      </c>
      <c r="H1128" s="12" t="s">
        <v>167</v>
      </c>
      <c r="I1128" s="12"/>
      <c r="J1128" s="12"/>
      <c r="K1128" s="12"/>
      <c r="L1128" s="12"/>
      <c r="M1128" s="12"/>
      <c r="N1128" s="9" t="s">
        <v>209</v>
      </c>
      <c r="O1128" s="9" t="s">
        <v>258</v>
      </c>
      <c r="P1128" s="37">
        <v>1374732</v>
      </c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</row>
    <row r="1129" spans="1:33" ht="14.25" customHeight="1" x14ac:dyDescent="0.35">
      <c r="A1129" s="12">
        <v>301749</v>
      </c>
      <c r="B1129" s="59" t="str">
        <f>IFERROR(VLOOKUP(Tabla2[[#This Row],[CODIGO]],INVENTARIO!A:B,2,0)," ")</f>
        <v>Tubería PE80 025mm Rollo</v>
      </c>
      <c r="C1129" s="12">
        <v>50</v>
      </c>
      <c r="D1129" s="13">
        <v>38250</v>
      </c>
      <c r="E1129" s="40">
        <v>873714</v>
      </c>
      <c r="F1129" s="12">
        <v>3566213</v>
      </c>
      <c r="G1129" s="77">
        <v>45986</v>
      </c>
      <c r="H1129" s="12" t="s">
        <v>167</v>
      </c>
      <c r="I1129" s="12"/>
      <c r="J1129" s="9" t="s">
        <v>216</v>
      </c>
      <c r="K1129" s="34">
        <v>45838</v>
      </c>
      <c r="L1129" s="9" t="s">
        <v>240</v>
      </c>
      <c r="M1129" s="9"/>
      <c r="N1129" s="9" t="s">
        <v>210</v>
      </c>
      <c r="O1129" s="9" t="s">
        <v>258</v>
      </c>
      <c r="P1129" s="37">
        <v>1374734</v>
      </c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</row>
    <row r="1130" spans="1:33" ht="14.25" customHeight="1" x14ac:dyDescent="0.35">
      <c r="A1130" s="12">
        <v>2007948</v>
      </c>
      <c r="B1130" s="59" t="str">
        <f>IFERROR(VLOOKUP(Tabla2[[#This Row],[CODIGO]],INVENTARIO!A:B,2,0)," ")</f>
        <v>Tubo PVC Hidraulico 110 mm Pn6 Celeste</v>
      </c>
      <c r="C1130" s="12">
        <v>12</v>
      </c>
      <c r="D1130" s="13">
        <v>29112</v>
      </c>
      <c r="E1130" s="40">
        <v>873714</v>
      </c>
      <c r="F1130" s="12">
        <v>3566213</v>
      </c>
      <c r="G1130" s="77">
        <v>45986</v>
      </c>
      <c r="H1130" s="12" t="s">
        <v>167</v>
      </c>
      <c r="I1130" s="12"/>
      <c r="J1130" s="12"/>
      <c r="K1130" s="12"/>
      <c r="L1130" s="12"/>
      <c r="M1130" s="12"/>
      <c r="N1130" s="35"/>
      <c r="O1130" s="9" t="s">
        <v>258</v>
      </c>
      <c r="P1130" s="37">
        <v>1374734</v>
      </c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</row>
    <row r="1131" spans="1:33" ht="14.25" customHeight="1" x14ac:dyDescent="0.35">
      <c r="A1131" s="12">
        <v>302184</v>
      </c>
      <c r="B1131" s="59" t="str">
        <f>IFERROR(VLOOKUP(Tabla2[[#This Row],[CODIGO]],INVENTARIO!A:B,2,0)," ")</f>
        <v>Tapa Tornillo Cambio de Codigo por: 2008481</v>
      </c>
      <c r="C1131" s="12">
        <v>1</v>
      </c>
      <c r="D1131" s="13">
        <v>805</v>
      </c>
      <c r="E1131" s="40">
        <v>873665</v>
      </c>
      <c r="F1131" s="12">
        <v>3566211</v>
      </c>
      <c r="G1131" s="77">
        <v>45986</v>
      </c>
      <c r="H1131" s="12" t="s">
        <v>167</v>
      </c>
      <c r="I1131" s="12"/>
      <c r="J1131" s="12"/>
      <c r="K1131" s="12"/>
      <c r="L1131" s="12"/>
      <c r="M1131" s="12"/>
      <c r="N1131" s="9" t="s">
        <v>210</v>
      </c>
      <c r="O1131" s="9" t="s">
        <v>258</v>
      </c>
      <c r="P1131" s="37">
        <v>1374733</v>
      </c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</row>
    <row r="1132" spans="1:33" ht="14.25" customHeight="1" x14ac:dyDescent="0.35">
      <c r="A1132" s="12">
        <v>302737</v>
      </c>
      <c r="B1132" s="59" t="str">
        <f>IFERROR(VLOOKUP(Tabla2[[#This Row],[CODIGO]],INVENTARIO!A:B,2,0)," ")</f>
        <v>Válvula Bola 3/4" Hi Un Cuerpo Pn5 Arco</v>
      </c>
      <c r="C1132" s="12">
        <v>1</v>
      </c>
      <c r="D1132" s="13">
        <v>16445</v>
      </c>
      <c r="E1132" s="40">
        <v>873665</v>
      </c>
      <c r="F1132" s="12">
        <v>3566211</v>
      </c>
      <c r="G1132" s="77">
        <v>45986</v>
      </c>
      <c r="H1132" s="12" t="s">
        <v>167</v>
      </c>
      <c r="I1132" s="12"/>
      <c r="J1132" s="12"/>
      <c r="K1132" s="12"/>
      <c r="L1132" s="12"/>
      <c r="M1132" s="12"/>
      <c r="N1132" s="9" t="s">
        <v>210</v>
      </c>
      <c r="O1132" s="9" t="s">
        <v>258</v>
      </c>
      <c r="P1132" s="37">
        <v>1374733</v>
      </c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</row>
    <row r="1133" spans="1:33" ht="14.25" customHeight="1" x14ac:dyDescent="0.35">
      <c r="A1133" s="12">
        <v>2006391</v>
      </c>
      <c r="B1133" s="59" t="str">
        <f>IFERROR(VLOOKUP(Tabla2[[#This Row],[CODIGO]],INVENTARIO!A:B,2,0)," ")</f>
        <v>Guardallave Fierro Fundido C/Tapa</v>
      </c>
      <c r="C1133" s="12">
        <v>1</v>
      </c>
      <c r="D1133" s="13">
        <v>26867</v>
      </c>
      <c r="E1133" s="40">
        <v>873665</v>
      </c>
      <c r="F1133" s="12">
        <v>3566211</v>
      </c>
      <c r="G1133" s="77">
        <v>45986</v>
      </c>
      <c r="H1133" s="12" t="s">
        <v>167</v>
      </c>
      <c r="I1133" s="12"/>
      <c r="J1133" s="12"/>
      <c r="K1133" s="12"/>
      <c r="L1133" s="12"/>
      <c r="M1133" s="12"/>
      <c r="N1133" s="9" t="s">
        <v>210</v>
      </c>
      <c r="O1133" s="9" t="s">
        <v>258</v>
      </c>
      <c r="P1133" s="37">
        <v>1374733</v>
      </c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</row>
    <row r="1134" spans="1:33" ht="14.25" customHeight="1" x14ac:dyDescent="0.35">
      <c r="A1134" s="12">
        <v>303510</v>
      </c>
      <c r="B1134" s="59" t="str">
        <f>IFERROR(VLOOKUP(Tabla2[[#This Row],[CODIGO]],INVENTARIO!A:B,2,0)," ")</f>
        <v>Guardallave Hormigón 125 mm con Tapa</v>
      </c>
      <c r="C1134" s="12">
        <v>2</v>
      </c>
      <c r="D1134" s="13">
        <v>7800</v>
      </c>
      <c r="E1134" s="40">
        <v>873690</v>
      </c>
      <c r="F1134" s="12">
        <v>3566199</v>
      </c>
      <c r="G1134" s="77">
        <v>45986</v>
      </c>
      <c r="H1134" s="12" t="s">
        <v>167</v>
      </c>
      <c r="I1134" s="12"/>
      <c r="J1134" s="12"/>
      <c r="K1134" s="12"/>
      <c r="L1134" s="12"/>
      <c r="M1134" s="12"/>
      <c r="N1134" s="9" t="s">
        <v>187</v>
      </c>
      <c r="O1134" s="9" t="s">
        <v>258</v>
      </c>
      <c r="P1134" s="37">
        <v>1374731</v>
      </c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</row>
    <row r="1135" spans="1:33" ht="14.25" customHeight="1" x14ac:dyDescent="0.35">
      <c r="A1135" s="12">
        <v>2002262</v>
      </c>
      <c r="B1135" s="59" t="str">
        <f>IFERROR(VLOOKUP(Tabla2[[#This Row],[CODIGO]],INVENTARIO!A:B,2,0)," ")</f>
        <v>Tubería PE80 050mm Rollo</v>
      </c>
      <c r="C1135" s="12">
        <v>50</v>
      </c>
      <c r="D1135" s="13">
        <v>129100</v>
      </c>
      <c r="E1135" s="40">
        <v>873690</v>
      </c>
      <c r="F1135" s="12">
        <v>3566199</v>
      </c>
      <c r="G1135" s="77">
        <v>45986</v>
      </c>
      <c r="H1135" s="12" t="s">
        <v>167</v>
      </c>
      <c r="I1135" s="12"/>
      <c r="J1135" s="12"/>
      <c r="K1135" s="12"/>
      <c r="L1135" s="12"/>
      <c r="M1135" s="12"/>
      <c r="N1135" s="9" t="s">
        <v>187</v>
      </c>
      <c r="O1135" s="9" t="s">
        <v>258</v>
      </c>
      <c r="P1135" s="37">
        <v>1374731</v>
      </c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</row>
    <row r="1136" spans="1:33" ht="14.25" customHeight="1" x14ac:dyDescent="0.35">
      <c r="A1136" s="12">
        <v>302184</v>
      </c>
      <c r="B1136" s="59" t="str">
        <f>IFERROR(VLOOKUP(Tabla2[[#This Row],[CODIGO]],INVENTARIO!A:B,2,0)," ")</f>
        <v>Tapa Tornillo Cambio de Codigo por: 2008481</v>
      </c>
      <c r="C1136" s="12">
        <v>2</v>
      </c>
      <c r="D1136" s="13">
        <v>1610</v>
      </c>
      <c r="E1136" s="40">
        <v>873690</v>
      </c>
      <c r="F1136" s="12">
        <v>3566199</v>
      </c>
      <c r="G1136" s="77">
        <v>45986</v>
      </c>
      <c r="H1136" s="12" t="s">
        <v>167</v>
      </c>
      <c r="I1136" s="12"/>
      <c r="J1136" s="12"/>
      <c r="K1136" s="12"/>
      <c r="L1136" s="12"/>
      <c r="M1136" s="12"/>
      <c r="N1136" s="9" t="s">
        <v>187</v>
      </c>
      <c r="O1136" s="9" t="s">
        <v>258</v>
      </c>
      <c r="P1136" s="37">
        <v>1374731</v>
      </c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</row>
    <row r="1137" spans="1:33" ht="14.25" customHeight="1" x14ac:dyDescent="0.35">
      <c r="A1137" s="12">
        <v>302737</v>
      </c>
      <c r="B1137" s="59" t="str">
        <f>IFERROR(VLOOKUP(Tabla2[[#This Row],[CODIGO]],INVENTARIO!A:B,2,0)," ")</f>
        <v>Válvula Bola 3/4" Hi Un Cuerpo Pn5 Arco</v>
      </c>
      <c r="C1137" s="12">
        <v>2</v>
      </c>
      <c r="D1137" s="13">
        <v>32890</v>
      </c>
      <c r="E1137" s="40">
        <v>873690</v>
      </c>
      <c r="F1137" s="12">
        <v>3566199</v>
      </c>
      <c r="G1137" s="77">
        <v>45986</v>
      </c>
      <c r="H1137" s="12" t="s">
        <v>167</v>
      </c>
      <c r="I1137" s="12"/>
      <c r="J1137" s="12"/>
      <c r="K1137" s="12"/>
      <c r="L1137" s="12"/>
      <c r="M1137" s="12"/>
      <c r="N1137" s="9" t="s">
        <v>187</v>
      </c>
      <c r="O1137" s="9" t="s">
        <v>258</v>
      </c>
      <c r="P1137" s="37">
        <v>1374731</v>
      </c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</row>
    <row r="1138" spans="1:33" ht="14.25" customHeight="1" x14ac:dyDescent="0.35">
      <c r="A1138" s="12">
        <v>2006391</v>
      </c>
      <c r="B1138" s="59" t="str">
        <f>IFERROR(VLOOKUP(Tabla2[[#This Row],[CODIGO]],INVENTARIO!A:B,2,0)," ")</f>
        <v>Guardallave Fierro Fundido C/Tapa</v>
      </c>
      <c r="C1138" s="12">
        <v>1</v>
      </c>
      <c r="D1138" s="13">
        <v>26867</v>
      </c>
      <c r="E1138" s="40">
        <v>873690</v>
      </c>
      <c r="F1138" s="12">
        <v>3566199</v>
      </c>
      <c r="G1138" s="77">
        <v>45986</v>
      </c>
      <c r="H1138" s="12" t="s">
        <v>167</v>
      </c>
      <c r="I1138" s="12"/>
      <c r="J1138" s="12"/>
      <c r="K1138" s="12"/>
      <c r="L1138" s="12"/>
      <c r="M1138" s="12"/>
      <c r="N1138" s="9" t="s">
        <v>187</v>
      </c>
      <c r="O1138" s="9" t="s">
        <v>258</v>
      </c>
      <c r="P1138" s="37">
        <v>1374731</v>
      </c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</row>
    <row r="1139" spans="1:33" ht="14.25" customHeight="1" x14ac:dyDescent="0.35">
      <c r="A1139" s="12">
        <v>302184</v>
      </c>
      <c r="B1139" s="59" t="str">
        <f>IFERROR(VLOOKUP(Tabla2[[#This Row],[CODIGO]],INVENTARIO!A:B,2,0)," ")</f>
        <v>Tapa Tornillo Cambio de Codigo por: 2008481</v>
      </c>
      <c r="C1139" s="12">
        <v>1</v>
      </c>
      <c r="D1139" s="13">
        <v>805</v>
      </c>
      <c r="E1139" s="40">
        <v>873688</v>
      </c>
      <c r="F1139" s="12">
        <v>3566198</v>
      </c>
      <c r="G1139" s="77">
        <v>45986</v>
      </c>
      <c r="H1139" s="12" t="s">
        <v>167</v>
      </c>
      <c r="I1139" s="12"/>
      <c r="J1139" s="12"/>
      <c r="K1139" s="12"/>
      <c r="L1139" s="12"/>
      <c r="M1139" s="12"/>
      <c r="N1139" s="9" t="s">
        <v>186</v>
      </c>
      <c r="O1139" s="9" t="s">
        <v>258</v>
      </c>
      <c r="P1139" s="37">
        <v>1374730</v>
      </c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</row>
    <row r="1140" spans="1:33" ht="14.25" customHeight="1" x14ac:dyDescent="0.35">
      <c r="A1140" s="12">
        <v>302737</v>
      </c>
      <c r="B1140" s="59" t="str">
        <f>IFERROR(VLOOKUP(Tabla2[[#This Row],[CODIGO]],INVENTARIO!A:B,2,0)," ")</f>
        <v>Válvula Bola 3/4" Hi Un Cuerpo Pn5 Arco</v>
      </c>
      <c r="C1140" s="12">
        <v>1</v>
      </c>
      <c r="D1140" s="13">
        <v>16445</v>
      </c>
      <c r="E1140" s="40">
        <v>873688</v>
      </c>
      <c r="F1140" s="12">
        <v>3566198</v>
      </c>
      <c r="G1140" s="77">
        <v>45986</v>
      </c>
      <c r="H1140" s="12" t="s">
        <v>167</v>
      </c>
      <c r="I1140" s="12"/>
      <c r="J1140" s="12"/>
      <c r="K1140" s="12"/>
      <c r="L1140" s="12"/>
      <c r="M1140" s="12"/>
      <c r="N1140" s="9" t="s">
        <v>186</v>
      </c>
      <c r="O1140" s="9" t="s">
        <v>258</v>
      </c>
      <c r="P1140" s="37">
        <v>1374730</v>
      </c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</row>
    <row r="1141" spans="1:33" ht="14.25" customHeight="1" x14ac:dyDescent="0.35">
      <c r="A1141" s="12">
        <v>2006391</v>
      </c>
      <c r="B1141" s="59" t="str">
        <f>IFERROR(VLOOKUP(Tabla2[[#This Row],[CODIGO]],INVENTARIO!A:B,2,0)," ")</f>
        <v>Guardallave Fierro Fundido C/Tapa</v>
      </c>
      <c r="C1141" s="12">
        <v>1</v>
      </c>
      <c r="D1141" s="13">
        <v>26867</v>
      </c>
      <c r="E1141" s="40">
        <v>873688</v>
      </c>
      <c r="F1141" s="12">
        <v>3566198</v>
      </c>
      <c r="G1141" s="77">
        <v>45986</v>
      </c>
      <c r="H1141" s="12" t="s">
        <v>167</v>
      </c>
      <c r="I1141" s="12"/>
      <c r="J1141" s="12"/>
      <c r="K1141" s="12"/>
      <c r="L1141" s="12"/>
      <c r="M1141" s="12"/>
      <c r="N1141" s="9" t="s">
        <v>186</v>
      </c>
      <c r="O1141" s="9" t="s">
        <v>258</v>
      </c>
      <c r="P1141" s="37">
        <v>1374730</v>
      </c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</row>
    <row r="1142" spans="1:33" ht="14.25" customHeight="1" x14ac:dyDescent="0.35">
      <c r="A1142" s="12">
        <v>302184</v>
      </c>
      <c r="B1142" s="59" t="str">
        <f>IFERROR(VLOOKUP(Tabla2[[#This Row],[CODIGO]],INVENTARIO!A:B,2,0)," ")</f>
        <v>Tapa Tornillo Cambio de Codigo por: 2008481</v>
      </c>
      <c r="C1142" s="12">
        <v>1</v>
      </c>
      <c r="D1142" s="13">
        <v>805</v>
      </c>
      <c r="E1142" s="40">
        <v>873686</v>
      </c>
      <c r="F1142" s="12">
        <v>3566197</v>
      </c>
      <c r="G1142" s="77">
        <v>45986</v>
      </c>
      <c r="H1142" s="12" t="s">
        <v>167</v>
      </c>
      <c r="I1142" s="12"/>
      <c r="J1142" s="12"/>
      <c r="K1142" s="12"/>
      <c r="L1142" s="12"/>
      <c r="M1142" s="12"/>
      <c r="N1142" s="9" t="s">
        <v>189</v>
      </c>
      <c r="O1142" s="9" t="s">
        <v>258</v>
      </c>
      <c r="P1142" s="37">
        <v>1374729</v>
      </c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</row>
    <row r="1143" spans="1:33" ht="14.25" customHeight="1" x14ac:dyDescent="0.35">
      <c r="A1143" s="12">
        <v>302737</v>
      </c>
      <c r="B1143" s="59" t="str">
        <f>IFERROR(VLOOKUP(Tabla2[[#This Row],[CODIGO]],INVENTARIO!A:B,2,0)," ")</f>
        <v>Válvula Bola 3/4" Hi Un Cuerpo Pn5 Arco</v>
      </c>
      <c r="C1143" s="12">
        <v>1</v>
      </c>
      <c r="D1143" s="13">
        <v>16445</v>
      </c>
      <c r="E1143" s="40">
        <v>873686</v>
      </c>
      <c r="F1143" s="12">
        <v>3566197</v>
      </c>
      <c r="G1143" s="77">
        <v>45986</v>
      </c>
      <c r="H1143" s="12" t="s">
        <v>167</v>
      </c>
      <c r="I1143" s="12"/>
      <c r="J1143" s="12"/>
      <c r="K1143" s="12"/>
      <c r="L1143" s="12"/>
      <c r="M1143" s="12"/>
      <c r="N1143" s="9" t="s">
        <v>189</v>
      </c>
      <c r="O1143" s="9" t="s">
        <v>258</v>
      </c>
      <c r="P1143" s="37">
        <v>1374729</v>
      </c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</row>
    <row r="1144" spans="1:33" ht="14.25" customHeight="1" x14ac:dyDescent="0.35">
      <c r="A1144" s="12">
        <v>2006391</v>
      </c>
      <c r="B1144" s="59" t="str">
        <f>IFERROR(VLOOKUP(Tabla2[[#This Row],[CODIGO]],INVENTARIO!A:B,2,0)," ")</f>
        <v>Guardallave Fierro Fundido C/Tapa</v>
      </c>
      <c r="C1144" s="12">
        <v>1</v>
      </c>
      <c r="D1144" s="13">
        <v>26867</v>
      </c>
      <c r="E1144" s="40">
        <v>873686</v>
      </c>
      <c r="F1144" s="12">
        <v>3566197</v>
      </c>
      <c r="G1144" s="77">
        <v>45986</v>
      </c>
      <c r="H1144" s="12" t="s">
        <v>167</v>
      </c>
      <c r="I1144" s="12"/>
      <c r="J1144" s="12"/>
      <c r="K1144" s="12"/>
      <c r="L1144" s="12"/>
      <c r="M1144" s="12"/>
      <c r="N1144" s="9" t="s">
        <v>189</v>
      </c>
      <c r="O1144" s="9" t="s">
        <v>258</v>
      </c>
      <c r="P1144" s="37">
        <v>1374729</v>
      </c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</row>
    <row r="1145" spans="1:33" ht="14.25" customHeight="1" x14ac:dyDescent="0.35">
      <c r="A1145" s="12">
        <v>302184</v>
      </c>
      <c r="B1145" s="59" t="str">
        <f>IFERROR(VLOOKUP(Tabla2[[#This Row],[CODIGO]],INVENTARIO!A:B,2,0)," ")</f>
        <v>Tapa Tornillo Cambio de Codigo por: 2008481</v>
      </c>
      <c r="C1145" s="12">
        <v>1</v>
      </c>
      <c r="D1145" s="13">
        <v>805</v>
      </c>
      <c r="E1145" s="40">
        <v>873684</v>
      </c>
      <c r="F1145" s="12">
        <v>3566196</v>
      </c>
      <c r="G1145" s="77">
        <v>45986</v>
      </c>
      <c r="H1145" s="12" t="s">
        <v>167</v>
      </c>
      <c r="I1145" s="12"/>
      <c r="J1145" s="12"/>
      <c r="K1145" s="12"/>
      <c r="L1145" s="12"/>
      <c r="M1145" s="12"/>
      <c r="N1145" s="9" t="s">
        <v>190</v>
      </c>
      <c r="O1145" s="9" t="s">
        <v>258</v>
      </c>
      <c r="P1145" s="37">
        <v>1374728</v>
      </c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</row>
    <row r="1146" spans="1:33" ht="14.25" customHeight="1" x14ac:dyDescent="0.35">
      <c r="A1146" s="12">
        <v>302737</v>
      </c>
      <c r="B1146" s="59" t="str">
        <f>IFERROR(VLOOKUP(Tabla2[[#This Row],[CODIGO]],INVENTARIO!A:B,2,0)," ")</f>
        <v>Válvula Bola 3/4" Hi Un Cuerpo Pn5 Arco</v>
      </c>
      <c r="C1146" s="12">
        <v>1</v>
      </c>
      <c r="D1146" s="13">
        <v>16445</v>
      </c>
      <c r="E1146" s="40">
        <v>873684</v>
      </c>
      <c r="F1146" s="12">
        <v>3566196</v>
      </c>
      <c r="G1146" s="77">
        <v>45986</v>
      </c>
      <c r="H1146" s="12" t="s">
        <v>167</v>
      </c>
      <c r="I1146" s="12"/>
      <c r="J1146" s="12"/>
      <c r="K1146" s="12"/>
      <c r="L1146" s="12"/>
      <c r="M1146" s="12"/>
      <c r="N1146" s="9" t="s">
        <v>190</v>
      </c>
      <c r="O1146" s="9" t="s">
        <v>258</v>
      </c>
      <c r="P1146" s="37">
        <v>1374728</v>
      </c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</row>
    <row r="1147" spans="1:33" ht="14.25" customHeight="1" x14ac:dyDescent="0.35">
      <c r="A1147" s="12">
        <v>2006391</v>
      </c>
      <c r="B1147" s="59" t="str">
        <f>IFERROR(VLOOKUP(Tabla2[[#This Row],[CODIGO]],INVENTARIO!A:B,2,0)," ")</f>
        <v>Guardallave Fierro Fundido C/Tapa</v>
      </c>
      <c r="C1147" s="12">
        <v>1</v>
      </c>
      <c r="D1147" s="13">
        <v>26867</v>
      </c>
      <c r="E1147" s="40">
        <v>873684</v>
      </c>
      <c r="F1147" s="12">
        <v>3566196</v>
      </c>
      <c r="G1147" s="77">
        <v>45986</v>
      </c>
      <c r="H1147" s="12" t="s">
        <v>167</v>
      </c>
      <c r="I1147" s="12"/>
      <c r="J1147" s="12"/>
      <c r="K1147" s="12"/>
      <c r="L1147" s="12"/>
      <c r="M1147" s="12"/>
      <c r="N1147" s="9" t="s">
        <v>190</v>
      </c>
      <c r="O1147" s="9" t="s">
        <v>258</v>
      </c>
      <c r="P1147" s="37">
        <v>1374728</v>
      </c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</row>
    <row r="1148" spans="1:33" ht="14.25" customHeight="1" x14ac:dyDescent="0.35">
      <c r="A1148" s="12">
        <v>302184</v>
      </c>
      <c r="B1148" s="59" t="str">
        <f>IFERROR(VLOOKUP(Tabla2[[#This Row],[CODIGO]],INVENTARIO!A:B,2,0)," ")</f>
        <v>Tapa Tornillo Cambio de Codigo por: 2008481</v>
      </c>
      <c r="C1148" s="12">
        <v>1</v>
      </c>
      <c r="D1148" s="13">
        <v>805</v>
      </c>
      <c r="E1148" s="40">
        <v>873683</v>
      </c>
      <c r="F1148" s="12">
        <v>3566195</v>
      </c>
      <c r="G1148" s="77">
        <v>45986</v>
      </c>
      <c r="H1148" s="12" t="s">
        <v>167</v>
      </c>
      <c r="I1148" s="12"/>
      <c r="J1148" s="12"/>
      <c r="K1148" s="12"/>
      <c r="L1148" s="12"/>
      <c r="M1148" s="12"/>
      <c r="N1148" s="9" t="s">
        <v>188</v>
      </c>
      <c r="O1148" s="9" t="s">
        <v>258</v>
      </c>
      <c r="P1148" s="37">
        <v>1374727</v>
      </c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</row>
    <row r="1149" spans="1:33" ht="14.25" customHeight="1" x14ac:dyDescent="0.35">
      <c r="A1149" s="12">
        <v>302737</v>
      </c>
      <c r="B1149" s="59" t="str">
        <f>IFERROR(VLOOKUP(Tabla2[[#This Row],[CODIGO]],INVENTARIO!A:B,2,0)," ")</f>
        <v>Válvula Bola 3/4" Hi Un Cuerpo Pn5 Arco</v>
      </c>
      <c r="C1149" s="12">
        <v>1</v>
      </c>
      <c r="D1149" s="13">
        <v>16445</v>
      </c>
      <c r="E1149" s="40">
        <v>873683</v>
      </c>
      <c r="F1149" s="12">
        <v>3566195</v>
      </c>
      <c r="G1149" s="77">
        <v>45986</v>
      </c>
      <c r="H1149" s="12" t="s">
        <v>167</v>
      </c>
      <c r="I1149" s="12"/>
      <c r="J1149" s="12"/>
      <c r="K1149" s="12"/>
      <c r="L1149" s="12"/>
      <c r="M1149" s="12"/>
      <c r="N1149" s="9" t="s">
        <v>188</v>
      </c>
      <c r="O1149" s="9" t="s">
        <v>258</v>
      </c>
      <c r="P1149" s="37">
        <v>1374727</v>
      </c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</row>
    <row r="1150" spans="1:33" ht="14.25" customHeight="1" x14ac:dyDescent="0.35">
      <c r="A1150" s="12">
        <v>2006391</v>
      </c>
      <c r="B1150" s="59" t="str">
        <f>IFERROR(VLOOKUP(Tabla2[[#This Row],[CODIGO]],INVENTARIO!A:B,2,0)," ")</f>
        <v>Guardallave Fierro Fundido C/Tapa</v>
      </c>
      <c r="C1150" s="12">
        <v>1</v>
      </c>
      <c r="D1150" s="13">
        <v>26867</v>
      </c>
      <c r="E1150" s="40">
        <v>873683</v>
      </c>
      <c r="F1150" s="12">
        <v>3566195</v>
      </c>
      <c r="G1150" s="77">
        <v>45986</v>
      </c>
      <c r="H1150" s="12" t="s">
        <v>167</v>
      </c>
      <c r="I1150" s="12"/>
      <c r="J1150" s="12"/>
      <c r="K1150" s="12"/>
      <c r="L1150" s="12"/>
      <c r="M1150" s="12"/>
      <c r="N1150" s="9" t="s">
        <v>188</v>
      </c>
      <c r="O1150" s="9" t="s">
        <v>258</v>
      </c>
      <c r="P1150" s="37">
        <v>1374727</v>
      </c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</row>
    <row r="1151" spans="1:33" ht="14.25" customHeight="1" x14ac:dyDescent="0.35">
      <c r="A1151" s="12">
        <v>2007948</v>
      </c>
      <c r="B1151" s="59" t="str">
        <f>IFERROR(VLOOKUP(Tabla2[[#This Row],[CODIGO]],INVENTARIO!A:B,2,0)," ")</f>
        <v>Tubo PVC Hidraulico 110 mm Pn6 Celeste</v>
      </c>
      <c r="C1151" s="12">
        <v>6</v>
      </c>
      <c r="D1151" s="13">
        <v>14556</v>
      </c>
      <c r="E1151" s="40">
        <v>873664</v>
      </c>
      <c r="F1151" s="12">
        <v>3566194</v>
      </c>
      <c r="G1151" s="77">
        <v>45986</v>
      </c>
      <c r="H1151" s="12" t="s">
        <v>167</v>
      </c>
      <c r="I1151" s="12"/>
      <c r="J1151" s="12"/>
      <c r="K1151" s="12"/>
      <c r="L1151" s="12"/>
      <c r="M1151" s="12"/>
      <c r="N1151" s="9" t="s">
        <v>191</v>
      </c>
      <c r="O1151" s="9" t="s">
        <v>258</v>
      </c>
      <c r="P1151" s="37">
        <v>1374726</v>
      </c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</row>
    <row r="1152" spans="1:33" ht="14.25" customHeight="1" x14ac:dyDescent="0.35">
      <c r="A1152" s="12">
        <v>1002167</v>
      </c>
      <c r="B1152" s="59" t="str">
        <f>IFERROR(VLOOKUP(Tabla2[[#This Row],[CODIGO]],INVENTARIO!A:B,2,0)," ")</f>
        <v>Cable Trazador Cu 14 AWG Aisl. THW Roj</v>
      </c>
      <c r="C1152" s="12">
        <v>100</v>
      </c>
      <c r="D1152" s="13">
        <v>29400</v>
      </c>
      <c r="E1152" s="40">
        <v>873664</v>
      </c>
      <c r="F1152" s="12">
        <v>3566194</v>
      </c>
      <c r="G1152" s="77">
        <v>45986</v>
      </c>
      <c r="H1152" s="12" t="s">
        <v>167</v>
      </c>
      <c r="I1152" s="12"/>
      <c r="J1152" s="12"/>
      <c r="K1152" s="12"/>
      <c r="L1152" s="12"/>
      <c r="M1152" s="12"/>
      <c r="N1152" s="9" t="s">
        <v>191</v>
      </c>
      <c r="O1152" s="9" t="s">
        <v>258</v>
      </c>
      <c r="P1152" s="37">
        <v>1374726</v>
      </c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</row>
    <row r="1153" spans="1:33" ht="14.25" customHeight="1" x14ac:dyDescent="0.35">
      <c r="A1153" s="12">
        <v>303368</v>
      </c>
      <c r="B1153" s="59" t="str">
        <f>IFERROR(VLOOKUP(Tabla2[[#This Row],[CODIGO]],INVENTARIO!A:B,2,0)," ")</f>
        <v>Cinta Plástica "Línea GN", 30 x 0.1</v>
      </c>
      <c r="C1153" s="12">
        <v>100</v>
      </c>
      <c r="D1153" s="13">
        <v>12100</v>
      </c>
      <c r="E1153" s="40">
        <v>873664</v>
      </c>
      <c r="F1153" s="12">
        <v>3566194</v>
      </c>
      <c r="G1153" s="77">
        <v>45986</v>
      </c>
      <c r="H1153" s="12" t="s">
        <v>167</v>
      </c>
      <c r="I1153" s="12"/>
      <c r="J1153" s="12"/>
      <c r="K1153" s="12"/>
      <c r="L1153" s="12"/>
      <c r="M1153" s="12"/>
      <c r="N1153" s="9" t="s">
        <v>191</v>
      </c>
      <c r="O1153" s="9" t="s">
        <v>258</v>
      </c>
      <c r="P1153" s="37">
        <v>1374726</v>
      </c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</row>
    <row r="1154" spans="1:33" ht="14.25" customHeight="1" x14ac:dyDescent="0.35">
      <c r="A1154" s="12">
        <v>302184</v>
      </c>
      <c r="B1154" s="59" t="str">
        <f>IFERROR(VLOOKUP(Tabla2[[#This Row],[CODIGO]],INVENTARIO!A:B,2,0)," ")</f>
        <v>Tapa Tornillo Cambio de Codigo por: 2008481</v>
      </c>
      <c r="C1154" s="12">
        <v>1</v>
      </c>
      <c r="D1154" s="13">
        <v>805</v>
      </c>
      <c r="E1154" s="40">
        <v>873664</v>
      </c>
      <c r="F1154" s="12">
        <v>3566194</v>
      </c>
      <c r="G1154" s="77">
        <v>45986</v>
      </c>
      <c r="H1154" s="12" t="s">
        <v>167</v>
      </c>
      <c r="I1154" s="12"/>
      <c r="J1154" s="12"/>
      <c r="K1154" s="12"/>
      <c r="L1154" s="12"/>
      <c r="M1154" s="12"/>
      <c r="N1154" s="9" t="s">
        <v>191</v>
      </c>
      <c r="O1154" s="9" t="s">
        <v>258</v>
      </c>
      <c r="P1154" s="37">
        <v>1374726</v>
      </c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</row>
    <row r="1155" spans="1:33" ht="14.25" customHeight="1" x14ac:dyDescent="0.35">
      <c r="A1155" s="12">
        <v>302737</v>
      </c>
      <c r="B1155" s="59" t="str">
        <f>IFERROR(VLOOKUP(Tabla2[[#This Row],[CODIGO]],INVENTARIO!A:B,2,0)," ")</f>
        <v>Válvula Bola 3/4" Hi Un Cuerpo Pn5 Arco</v>
      </c>
      <c r="C1155" s="12">
        <v>1</v>
      </c>
      <c r="D1155" s="13">
        <v>16445</v>
      </c>
      <c r="E1155" s="40">
        <v>873664</v>
      </c>
      <c r="F1155" s="12">
        <v>3566194</v>
      </c>
      <c r="G1155" s="77">
        <v>45986</v>
      </c>
      <c r="H1155" s="12" t="s">
        <v>167</v>
      </c>
      <c r="I1155" s="12"/>
      <c r="J1155" s="12"/>
      <c r="K1155" s="12"/>
      <c r="L1155" s="12"/>
      <c r="M1155" s="12"/>
      <c r="N1155" s="9" t="s">
        <v>191</v>
      </c>
      <c r="O1155" s="9" t="s">
        <v>258</v>
      </c>
      <c r="P1155" s="37">
        <v>1374727</v>
      </c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</row>
    <row r="1156" spans="1:33" ht="14.25" customHeight="1" x14ac:dyDescent="0.35">
      <c r="A1156" s="12">
        <v>2006391</v>
      </c>
      <c r="B1156" s="59" t="str">
        <f>IFERROR(VLOOKUP(Tabla2[[#This Row],[CODIGO]],INVENTARIO!A:B,2,0)," ")</f>
        <v>Guardallave Fierro Fundido C/Tapa</v>
      </c>
      <c r="C1156" s="12">
        <v>1</v>
      </c>
      <c r="D1156" s="13">
        <v>26867</v>
      </c>
      <c r="E1156" s="40">
        <v>873664</v>
      </c>
      <c r="F1156" s="12">
        <v>3566194</v>
      </c>
      <c r="G1156" s="77">
        <v>45986</v>
      </c>
      <c r="H1156" s="12" t="s">
        <v>167</v>
      </c>
      <c r="I1156" s="12"/>
      <c r="J1156" s="12"/>
      <c r="K1156" s="12"/>
      <c r="L1156" s="12"/>
      <c r="M1156" s="12"/>
      <c r="N1156" s="9" t="s">
        <v>191</v>
      </c>
      <c r="O1156" s="9" t="s">
        <v>258</v>
      </c>
      <c r="P1156" s="37">
        <v>1374726</v>
      </c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</row>
    <row r="1157" spans="1:33" ht="14.25" customHeight="1" x14ac:dyDescent="0.35">
      <c r="A1157" s="12">
        <v>301749</v>
      </c>
      <c r="B1157" s="59" t="str">
        <f>IFERROR(VLOOKUP(Tabla2[[#This Row],[CODIGO]],INVENTARIO!A:B,2,0)," ")</f>
        <v>Tubería PE80 025mm Rollo</v>
      </c>
      <c r="C1157" s="12">
        <v>50</v>
      </c>
      <c r="D1157" s="13">
        <v>38250</v>
      </c>
      <c r="E1157" s="40">
        <v>873664</v>
      </c>
      <c r="F1157" s="12">
        <v>3566194</v>
      </c>
      <c r="G1157" s="77">
        <v>45986</v>
      </c>
      <c r="H1157" s="12" t="s">
        <v>167</v>
      </c>
      <c r="I1157" s="12"/>
      <c r="J1157" s="9" t="s">
        <v>216</v>
      </c>
      <c r="K1157" s="34">
        <v>45838</v>
      </c>
      <c r="L1157" s="9" t="s">
        <v>240</v>
      </c>
      <c r="M1157" s="9"/>
      <c r="N1157" s="9" t="s">
        <v>191</v>
      </c>
      <c r="O1157" s="9" t="s">
        <v>258</v>
      </c>
      <c r="P1157" s="37">
        <v>1374726</v>
      </c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</row>
    <row r="1158" spans="1:33" ht="14.25" customHeight="1" x14ac:dyDescent="0.35">
      <c r="A1158" s="12">
        <v>2007948</v>
      </c>
      <c r="B1158" s="59" t="str">
        <f>IFERROR(VLOOKUP(Tabla2[[#This Row],[CODIGO]],INVENTARIO!A:B,2,0)," ")</f>
        <v>Tubo PVC Hidraulico 110 mm Pn6 Celeste</v>
      </c>
      <c r="C1158" s="12">
        <v>6</v>
      </c>
      <c r="D1158" s="13">
        <v>14556</v>
      </c>
      <c r="E1158" s="40">
        <v>4500512001</v>
      </c>
      <c r="F1158" s="12">
        <v>3566186</v>
      </c>
      <c r="G1158" s="77">
        <v>45986</v>
      </c>
      <c r="H1158" s="9" t="s">
        <v>166</v>
      </c>
      <c r="I1158" s="9"/>
      <c r="J1158" s="9"/>
      <c r="K1158" s="9"/>
      <c r="L1158" s="9"/>
      <c r="M1158" s="9"/>
      <c r="N1158" s="9" t="s">
        <v>210</v>
      </c>
      <c r="O1158" s="9"/>
      <c r="P1158" s="37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</row>
    <row r="1159" spans="1:33" ht="14.25" customHeight="1" x14ac:dyDescent="0.35">
      <c r="A1159" s="81">
        <v>2007948</v>
      </c>
      <c r="B1159" s="82" t="str">
        <f>IFERROR(VLOOKUP(Tabla2[[#This Row],[CODIGO]],INVENTARIO!A:B,2,0)," ")</f>
        <v>Tubo PVC Hidraulico 110 mm Pn6 Celeste</v>
      </c>
      <c r="C1159" s="83">
        <v>6</v>
      </c>
      <c r="D1159" s="84">
        <v>14556</v>
      </c>
      <c r="E1159" s="40">
        <v>873681</v>
      </c>
      <c r="F1159" s="12">
        <v>3566185</v>
      </c>
      <c r="G1159" s="77">
        <v>45986</v>
      </c>
      <c r="H1159" s="12" t="s">
        <v>167</v>
      </c>
      <c r="I1159" s="9"/>
      <c r="J1159" s="9"/>
      <c r="K1159" s="9"/>
      <c r="L1159" s="9"/>
      <c r="M1159" s="9"/>
      <c r="N1159" s="9" t="s">
        <v>211</v>
      </c>
      <c r="O1159" s="9" t="s">
        <v>258</v>
      </c>
      <c r="P1159" s="37">
        <v>1374725</v>
      </c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</row>
    <row r="1160" spans="1:33" ht="14.25" customHeight="1" x14ac:dyDescent="0.35">
      <c r="A1160" s="12">
        <v>302184</v>
      </c>
      <c r="B1160" s="59" t="str">
        <f>IFERROR(VLOOKUP(Tabla2[[#This Row],[CODIGO]],INVENTARIO!A:B,2,0)," ")</f>
        <v>Tapa Tornillo Cambio de Codigo por: 2008481</v>
      </c>
      <c r="C1160" s="12">
        <v>1</v>
      </c>
      <c r="D1160" s="13">
        <v>805</v>
      </c>
      <c r="E1160" s="40">
        <v>873681</v>
      </c>
      <c r="F1160" s="12">
        <v>3566185</v>
      </c>
      <c r="G1160" s="77">
        <v>45986</v>
      </c>
      <c r="H1160" s="12" t="s">
        <v>167</v>
      </c>
      <c r="I1160" s="12"/>
      <c r="J1160" s="12"/>
      <c r="K1160" s="12"/>
      <c r="L1160" s="12"/>
      <c r="M1160" s="12"/>
      <c r="N1160" s="9" t="s">
        <v>211</v>
      </c>
      <c r="O1160" s="9" t="s">
        <v>258</v>
      </c>
      <c r="P1160" s="37">
        <v>1374725</v>
      </c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</row>
    <row r="1161" spans="1:33" ht="14.25" customHeight="1" x14ac:dyDescent="0.35">
      <c r="A1161" s="12">
        <v>302737</v>
      </c>
      <c r="B1161" s="59" t="str">
        <f>IFERROR(VLOOKUP(Tabla2[[#This Row],[CODIGO]],INVENTARIO!A:B,2,0)," ")</f>
        <v>Válvula Bola 3/4" Hi Un Cuerpo Pn5 Arco</v>
      </c>
      <c r="C1161" s="12">
        <v>1</v>
      </c>
      <c r="D1161" s="13">
        <v>16445</v>
      </c>
      <c r="E1161" s="40">
        <v>873681</v>
      </c>
      <c r="F1161" s="12">
        <v>3566185</v>
      </c>
      <c r="G1161" s="77">
        <v>45986</v>
      </c>
      <c r="H1161" s="12" t="s">
        <v>167</v>
      </c>
      <c r="I1161" s="12"/>
      <c r="J1161" s="12"/>
      <c r="K1161" s="12"/>
      <c r="L1161" s="12"/>
      <c r="M1161" s="12"/>
      <c r="N1161" s="9" t="s">
        <v>211</v>
      </c>
      <c r="O1161" s="9" t="s">
        <v>258</v>
      </c>
      <c r="P1161" s="37">
        <v>1374725</v>
      </c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</row>
    <row r="1162" spans="1:33" ht="14.25" customHeight="1" x14ac:dyDescent="0.35">
      <c r="A1162" s="12">
        <v>2006391</v>
      </c>
      <c r="B1162" s="59" t="str">
        <f>IFERROR(VLOOKUP(Tabla2[[#This Row],[CODIGO]],INVENTARIO!A:B,2,0)," ")</f>
        <v>Guardallave Fierro Fundido C/Tapa</v>
      </c>
      <c r="C1162" s="12">
        <v>1</v>
      </c>
      <c r="D1162" s="13">
        <v>26867</v>
      </c>
      <c r="E1162" s="40">
        <v>873681</v>
      </c>
      <c r="F1162" s="12">
        <v>3566185</v>
      </c>
      <c r="G1162" s="77">
        <v>45986</v>
      </c>
      <c r="H1162" s="12" t="s">
        <v>167</v>
      </c>
      <c r="I1162" s="12"/>
      <c r="J1162" s="12"/>
      <c r="K1162" s="12"/>
      <c r="L1162" s="12"/>
      <c r="M1162" s="12"/>
      <c r="N1162" s="9" t="s">
        <v>211</v>
      </c>
      <c r="O1162" s="9" t="s">
        <v>258</v>
      </c>
      <c r="P1162" s="37">
        <v>1374725</v>
      </c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</row>
    <row r="1163" spans="1:33" ht="14.25" customHeight="1" x14ac:dyDescent="0.35">
      <c r="A1163" s="12">
        <v>301329</v>
      </c>
      <c r="B1163" s="59" t="str">
        <f>IFERROR(VLOOKUP(Tabla2[[#This Row],[CODIGO]],INVENTARIO!A:B,2,0)," ")</f>
        <v>Copla PE100 025mm EF</v>
      </c>
      <c r="C1163" s="12">
        <v>4</v>
      </c>
      <c r="D1163" s="13">
        <v>7816</v>
      </c>
      <c r="E1163" s="40">
        <v>4500512221</v>
      </c>
      <c r="F1163" s="12">
        <v>3566193</v>
      </c>
      <c r="G1163" s="77">
        <v>45986</v>
      </c>
      <c r="H1163" s="12" t="s">
        <v>166</v>
      </c>
      <c r="I1163" s="12"/>
      <c r="J1163" s="12"/>
      <c r="K1163" s="12"/>
      <c r="L1163" s="12"/>
      <c r="M1163" s="12"/>
      <c r="N1163" s="9" t="s">
        <v>209</v>
      </c>
      <c r="O1163" s="9"/>
      <c r="P1163" s="37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</row>
    <row r="1164" spans="1:33" ht="14.25" customHeight="1" x14ac:dyDescent="0.35">
      <c r="A1164" s="12">
        <v>301099</v>
      </c>
      <c r="B1164" s="59" t="str">
        <f>IFERROR(VLOOKUP(Tabla2[[#This Row],[CODIGO]],INVENTARIO!A:B,2,0)," ")</f>
        <v>Válvula PE100 Dn 25mm</v>
      </c>
      <c r="C1164" s="12">
        <v>1</v>
      </c>
      <c r="D1164" s="13">
        <v>60074</v>
      </c>
      <c r="E1164" s="40">
        <v>4500512221</v>
      </c>
      <c r="F1164" s="12">
        <v>3566193</v>
      </c>
      <c r="G1164" s="77">
        <v>45986</v>
      </c>
      <c r="H1164" s="12" t="s">
        <v>166</v>
      </c>
      <c r="I1164" s="12"/>
      <c r="J1164" s="12"/>
      <c r="K1164" s="12"/>
      <c r="L1164" s="12"/>
      <c r="M1164" s="12"/>
      <c r="N1164" s="9" t="s">
        <v>209</v>
      </c>
      <c r="O1164" s="9"/>
      <c r="P1164" s="37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</row>
    <row r="1165" spans="1:33" ht="14.25" customHeight="1" x14ac:dyDescent="0.35">
      <c r="A1165" s="12">
        <v>300109</v>
      </c>
      <c r="B1165" s="59" t="str">
        <f>IFERROR(VLOOKUP(Tabla2[[#This Row],[CODIGO]],INVENTARIO!A:B,2,0)," ")</f>
        <v>Risers de Acero 3/4" Bsp x 25 mm</v>
      </c>
      <c r="C1165" s="12">
        <v>1</v>
      </c>
      <c r="D1165" s="13">
        <v>24246</v>
      </c>
      <c r="E1165" s="40">
        <v>4500512221</v>
      </c>
      <c r="F1165" s="12">
        <v>3566193</v>
      </c>
      <c r="G1165" s="77">
        <v>45986</v>
      </c>
      <c r="H1165" s="12" t="s">
        <v>166</v>
      </c>
      <c r="I1165" s="12"/>
      <c r="J1165" s="12"/>
      <c r="K1165" s="12"/>
      <c r="L1165" s="12"/>
      <c r="M1165" s="12"/>
      <c r="N1165" s="9" t="s">
        <v>209</v>
      </c>
      <c r="O1165" s="9"/>
      <c r="P1165" s="37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</row>
    <row r="1166" spans="1:33" ht="14.25" customHeight="1" x14ac:dyDescent="0.35">
      <c r="A1166" s="12">
        <v>300108</v>
      </c>
      <c r="B1166" s="59" t="str">
        <f>IFERROR(VLOOKUP(Tabla2[[#This Row],[CODIGO]],INVENTARIO!A:B,2,0)," ")</f>
        <v>Tapping Tee PE 63-25 mm</v>
      </c>
      <c r="C1166" s="12">
        <v>1</v>
      </c>
      <c r="D1166" s="13">
        <v>16107</v>
      </c>
      <c r="E1166" s="40">
        <v>4500512221</v>
      </c>
      <c r="F1166" s="12">
        <v>3566193</v>
      </c>
      <c r="G1166" s="77">
        <v>45986</v>
      </c>
      <c r="H1166" s="12" t="s">
        <v>166</v>
      </c>
      <c r="I1166" s="12"/>
      <c r="J1166" s="12"/>
      <c r="K1166" s="12"/>
      <c r="L1166" s="12"/>
      <c r="M1166" s="12"/>
      <c r="N1166" s="9" t="s">
        <v>209</v>
      </c>
      <c r="O1166" s="9"/>
      <c r="P1166" s="37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</row>
    <row r="1167" spans="1:33" ht="14.25" customHeight="1" x14ac:dyDescent="0.35">
      <c r="A1167" s="12">
        <v>101624</v>
      </c>
      <c r="B1167" s="59" t="str">
        <f>IFERROR(VLOOKUP(Tabla2[[#This Row],[CODIGO]],INVENTARIO!A:B,2,0)," ")</f>
        <v>Tapping Tee PE 50-25 mm</v>
      </c>
      <c r="C1167" s="12">
        <v>1</v>
      </c>
      <c r="D1167" s="13">
        <v>15600</v>
      </c>
      <c r="E1167" s="40">
        <v>4500512216</v>
      </c>
      <c r="F1167" s="12">
        <v>3566192</v>
      </c>
      <c r="G1167" s="77">
        <v>45986</v>
      </c>
      <c r="H1167" s="12" t="s">
        <v>166</v>
      </c>
      <c r="I1167" s="12"/>
      <c r="J1167" s="12"/>
      <c r="K1167" s="12"/>
      <c r="L1167" s="12"/>
      <c r="M1167" s="12"/>
      <c r="N1167" s="9" t="s">
        <v>186</v>
      </c>
      <c r="O1167" s="9"/>
      <c r="P1167" s="37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</row>
    <row r="1168" spans="1:33" ht="14.25" customHeight="1" x14ac:dyDescent="0.35">
      <c r="A1168" s="12">
        <v>300109</v>
      </c>
      <c r="B1168" s="59" t="str">
        <f>IFERROR(VLOOKUP(Tabla2[[#This Row],[CODIGO]],INVENTARIO!A:B,2,0)," ")</f>
        <v>Risers de Acero 3/4" Bsp x 25 mm</v>
      </c>
      <c r="C1168" s="12">
        <v>1</v>
      </c>
      <c r="D1168" s="13">
        <v>24246</v>
      </c>
      <c r="E1168" s="40">
        <v>4500512216</v>
      </c>
      <c r="F1168" s="12">
        <v>3566192</v>
      </c>
      <c r="G1168" s="77">
        <v>45986</v>
      </c>
      <c r="H1168" s="12" t="s">
        <v>166</v>
      </c>
      <c r="I1168" s="12"/>
      <c r="J1168" s="12"/>
      <c r="K1168" s="12"/>
      <c r="L1168" s="12"/>
      <c r="M1168" s="12"/>
      <c r="N1168" s="9" t="s">
        <v>186</v>
      </c>
      <c r="O1168" s="9"/>
      <c r="P1168" s="37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</row>
    <row r="1169" spans="1:33" ht="14.25" customHeight="1" x14ac:dyDescent="0.35">
      <c r="A1169" s="12">
        <v>301099</v>
      </c>
      <c r="B1169" s="59" t="str">
        <f>IFERROR(VLOOKUP(Tabla2[[#This Row],[CODIGO]],INVENTARIO!A:B,2,0)," ")</f>
        <v>Válvula PE100 Dn 25mm</v>
      </c>
      <c r="C1169" s="12">
        <v>1</v>
      </c>
      <c r="D1169" s="13">
        <v>60074</v>
      </c>
      <c r="E1169" s="40">
        <v>4500512216</v>
      </c>
      <c r="F1169" s="12">
        <v>3566192</v>
      </c>
      <c r="G1169" s="77">
        <v>45986</v>
      </c>
      <c r="H1169" s="12" t="s">
        <v>166</v>
      </c>
      <c r="I1169" s="12"/>
      <c r="J1169" s="12"/>
      <c r="K1169" s="12"/>
      <c r="L1169" s="12"/>
      <c r="M1169" s="12"/>
      <c r="N1169" s="9" t="s">
        <v>186</v>
      </c>
      <c r="O1169" s="9"/>
      <c r="P1169" s="37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</row>
    <row r="1170" spans="1:33" ht="14.25" customHeight="1" x14ac:dyDescent="0.35">
      <c r="A1170" s="12">
        <v>301329</v>
      </c>
      <c r="B1170" s="59" t="str">
        <f>IFERROR(VLOOKUP(Tabla2[[#This Row],[CODIGO]],INVENTARIO!A:B,2,0)," ")</f>
        <v>Copla PE100 025mm EF</v>
      </c>
      <c r="C1170" s="12">
        <v>4</v>
      </c>
      <c r="D1170" s="13">
        <v>7816</v>
      </c>
      <c r="E1170" s="40">
        <v>4500512216</v>
      </c>
      <c r="F1170" s="12">
        <v>3566192</v>
      </c>
      <c r="G1170" s="77">
        <v>45986</v>
      </c>
      <c r="H1170" s="12" t="s">
        <v>166</v>
      </c>
      <c r="I1170" s="12"/>
      <c r="J1170" s="12"/>
      <c r="K1170" s="12"/>
      <c r="L1170" s="12"/>
      <c r="M1170" s="12"/>
      <c r="N1170" s="9" t="s">
        <v>186</v>
      </c>
      <c r="O1170" s="9"/>
      <c r="P1170" s="37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</row>
    <row r="1171" spans="1:33" ht="14.25" customHeight="1" x14ac:dyDescent="0.35">
      <c r="A1171" s="12">
        <v>2003911</v>
      </c>
      <c r="B1171" s="59" t="str">
        <f>IFERROR(VLOOKUP(Tabla2[[#This Row],[CODIGO]],INVENTARIO!A:B,2,0)," ")</f>
        <v>Válvula EFv PE 25 mm Para Tap. Tee</v>
      </c>
      <c r="C1171" s="12">
        <v>1</v>
      </c>
      <c r="D1171" s="13">
        <v>6233</v>
      </c>
      <c r="E1171" s="40">
        <v>4500512216</v>
      </c>
      <c r="F1171" s="12">
        <v>3566192</v>
      </c>
      <c r="G1171" s="77">
        <v>45986</v>
      </c>
      <c r="H1171" s="12" t="s">
        <v>166</v>
      </c>
      <c r="I1171" s="12"/>
      <c r="J1171" s="12"/>
      <c r="K1171" s="12"/>
      <c r="L1171" s="12"/>
      <c r="M1171" s="12"/>
      <c r="N1171" s="9" t="s">
        <v>186</v>
      </c>
      <c r="O1171" s="9"/>
      <c r="P1171" s="37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</row>
    <row r="1172" spans="1:33" ht="14.25" customHeight="1" x14ac:dyDescent="0.35">
      <c r="A1172" s="12">
        <v>300109</v>
      </c>
      <c r="B1172" s="59" t="str">
        <f>IFERROR(VLOOKUP(Tabla2[[#This Row],[CODIGO]],INVENTARIO!A:B,2,0)," ")</f>
        <v>Risers de Acero 3/4" Bsp x 25 mm</v>
      </c>
      <c r="C1172" s="12">
        <v>1</v>
      </c>
      <c r="D1172" s="13">
        <v>24246</v>
      </c>
      <c r="E1172" s="40">
        <v>4500512199</v>
      </c>
      <c r="F1172" s="12">
        <v>3566191</v>
      </c>
      <c r="G1172" s="77">
        <v>45986</v>
      </c>
      <c r="H1172" s="12" t="s">
        <v>166</v>
      </c>
      <c r="I1172" s="12"/>
      <c r="J1172" s="12"/>
      <c r="K1172" s="12"/>
      <c r="L1172" s="12"/>
      <c r="M1172" s="12"/>
      <c r="N1172" s="9" t="s">
        <v>190</v>
      </c>
      <c r="O1172" s="9"/>
      <c r="P1172" s="37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</row>
    <row r="1173" spans="1:33" ht="14.25" customHeight="1" x14ac:dyDescent="0.35">
      <c r="A1173" s="12">
        <v>301099</v>
      </c>
      <c r="B1173" s="59" t="str">
        <f>IFERROR(VLOOKUP(Tabla2[[#This Row],[CODIGO]],INVENTARIO!A:B,2,0)," ")</f>
        <v>Válvula PE100 Dn 25mm</v>
      </c>
      <c r="C1173" s="12">
        <v>1</v>
      </c>
      <c r="D1173" s="13">
        <v>60074</v>
      </c>
      <c r="E1173" s="40">
        <v>4500512199</v>
      </c>
      <c r="F1173" s="12">
        <v>3566191</v>
      </c>
      <c r="G1173" s="77">
        <v>45986</v>
      </c>
      <c r="H1173" s="12" t="s">
        <v>166</v>
      </c>
      <c r="I1173" s="12"/>
      <c r="J1173" s="12"/>
      <c r="K1173" s="12"/>
      <c r="L1173" s="12"/>
      <c r="M1173" s="12"/>
      <c r="N1173" s="9" t="s">
        <v>190</v>
      </c>
      <c r="O1173" s="9"/>
      <c r="P1173" s="37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</row>
    <row r="1174" spans="1:33" ht="14.25" customHeight="1" x14ac:dyDescent="0.35">
      <c r="A1174" s="12">
        <v>301329</v>
      </c>
      <c r="B1174" s="59" t="str">
        <f>IFERROR(VLOOKUP(Tabla2[[#This Row],[CODIGO]],INVENTARIO!A:B,2,0)," ")</f>
        <v>Copla PE100 025mm EF</v>
      </c>
      <c r="C1174" s="12">
        <v>4</v>
      </c>
      <c r="D1174" s="13">
        <v>7816</v>
      </c>
      <c r="E1174" s="40">
        <v>4500512199</v>
      </c>
      <c r="F1174" s="12">
        <v>3566191</v>
      </c>
      <c r="G1174" s="77">
        <v>45986</v>
      </c>
      <c r="H1174" s="12" t="s">
        <v>166</v>
      </c>
      <c r="I1174" s="12"/>
      <c r="J1174" s="12"/>
      <c r="K1174" s="12"/>
      <c r="L1174" s="12"/>
      <c r="M1174" s="12"/>
      <c r="N1174" s="9" t="s">
        <v>190</v>
      </c>
      <c r="O1174" s="9"/>
      <c r="P1174" s="37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</row>
    <row r="1175" spans="1:33" ht="14.25" customHeight="1" x14ac:dyDescent="0.35">
      <c r="A1175" s="12">
        <v>301666</v>
      </c>
      <c r="B1175" s="59" t="str">
        <f>IFERROR(VLOOKUP(Tabla2[[#This Row],[CODIGO]],INVENTARIO!A:B,2,0)," ")</f>
        <v>Tapping Tee PE 110-25 mm</v>
      </c>
      <c r="C1175" s="12">
        <v>1</v>
      </c>
      <c r="D1175" s="13">
        <v>12084</v>
      </c>
      <c r="E1175" s="40">
        <v>4500512199</v>
      </c>
      <c r="F1175" s="12">
        <v>3566191</v>
      </c>
      <c r="G1175" s="77">
        <v>45986</v>
      </c>
      <c r="H1175" s="12" t="s">
        <v>166</v>
      </c>
      <c r="I1175" s="12"/>
      <c r="J1175" s="12"/>
      <c r="K1175" s="12"/>
      <c r="L1175" s="12"/>
      <c r="M1175" s="12"/>
      <c r="N1175" s="9" t="s">
        <v>190</v>
      </c>
      <c r="O1175" s="9"/>
      <c r="P1175" s="37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</row>
    <row r="1176" spans="1:33" ht="14.25" customHeight="1" x14ac:dyDescent="0.35">
      <c r="A1176" s="12">
        <v>2003911</v>
      </c>
      <c r="B1176" s="59" t="str">
        <f>IFERROR(VLOOKUP(Tabla2[[#This Row],[CODIGO]],INVENTARIO!A:B,2,0)," ")</f>
        <v>Válvula EFv PE 25 mm Para Tap. Tee</v>
      </c>
      <c r="C1176" s="12">
        <v>1</v>
      </c>
      <c r="D1176" s="13">
        <v>6233</v>
      </c>
      <c r="E1176" s="40">
        <v>4500512199</v>
      </c>
      <c r="F1176" s="12">
        <v>3566191</v>
      </c>
      <c r="G1176" s="77">
        <v>45986</v>
      </c>
      <c r="H1176" s="12" t="s">
        <v>166</v>
      </c>
      <c r="I1176" s="12"/>
      <c r="J1176" s="12"/>
      <c r="K1176" s="12"/>
      <c r="L1176" s="12"/>
      <c r="M1176" s="12"/>
      <c r="N1176" s="9" t="s">
        <v>190</v>
      </c>
      <c r="O1176" s="9"/>
      <c r="P1176" s="37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</row>
    <row r="1177" spans="1:33" ht="14.25" customHeight="1" x14ac:dyDescent="0.35">
      <c r="A1177" s="12">
        <v>301099</v>
      </c>
      <c r="B1177" s="59" t="str">
        <f>IFERROR(VLOOKUP(Tabla2[[#This Row],[CODIGO]],INVENTARIO!A:B,2,0)," ")</f>
        <v>Válvula PE100 Dn 25mm</v>
      </c>
      <c r="C1177" s="12">
        <v>1</v>
      </c>
      <c r="D1177" s="13">
        <v>60074</v>
      </c>
      <c r="E1177" s="40">
        <v>4500512194</v>
      </c>
      <c r="F1177" s="12">
        <v>3566189</v>
      </c>
      <c r="G1177" s="77">
        <v>45986</v>
      </c>
      <c r="H1177" s="12" t="s">
        <v>166</v>
      </c>
      <c r="I1177" s="12"/>
      <c r="J1177" s="12"/>
      <c r="K1177" s="12"/>
      <c r="L1177" s="12"/>
      <c r="M1177" s="12"/>
      <c r="N1177" s="9" t="s">
        <v>211</v>
      </c>
      <c r="O1177" s="9"/>
      <c r="P1177" s="37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</row>
    <row r="1178" spans="1:33" ht="14.25" customHeight="1" x14ac:dyDescent="0.35">
      <c r="A1178" s="12">
        <v>301666</v>
      </c>
      <c r="B1178" s="59" t="str">
        <f>IFERROR(VLOOKUP(Tabla2[[#This Row],[CODIGO]],INVENTARIO!A:B,2,0)," ")</f>
        <v>Tapping Tee PE 110-25 mm</v>
      </c>
      <c r="C1178" s="12">
        <v>1</v>
      </c>
      <c r="D1178" s="13">
        <v>12084</v>
      </c>
      <c r="E1178" s="40">
        <v>4500512194</v>
      </c>
      <c r="F1178" s="12">
        <v>3566189</v>
      </c>
      <c r="G1178" s="77">
        <v>45986</v>
      </c>
      <c r="H1178" s="12" t="s">
        <v>166</v>
      </c>
      <c r="I1178" s="12"/>
      <c r="J1178" s="12"/>
      <c r="K1178" s="12"/>
      <c r="L1178" s="12"/>
      <c r="M1178" s="12"/>
      <c r="N1178" s="9" t="s">
        <v>211</v>
      </c>
      <c r="O1178" s="9"/>
      <c r="P1178" s="37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</row>
    <row r="1179" spans="1:33" ht="14.25" customHeight="1" x14ac:dyDescent="0.35">
      <c r="A1179" s="12">
        <v>2003911</v>
      </c>
      <c r="B1179" s="59" t="str">
        <f>IFERROR(VLOOKUP(Tabla2[[#This Row],[CODIGO]],INVENTARIO!A:B,2,0)," ")</f>
        <v>Válvula EFv PE 25 mm Para Tap. Tee</v>
      </c>
      <c r="C1179" s="12">
        <v>1</v>
      </c>
      <c r="D1179" s="13">
        <v>6233</v>
      </c>
      <c r="E1179" s="40"/>
      <c r="F1179" s="12">
        <v>2566189</v>
      </c>
      <c r="G1179" s="77">
        <v>45986</v>
      </c>
      <c r="H1179" s="12" t="s">
        <v>166</v>
      </c>
      <c r="I1179" s="12"/>
      <c r="J1179" s="12"/>
      <c r="K1179" s="12"/>
      <c r="L1179" s="12"/>
      <c r="M1179" s="12"/>
      <c r="N1179" s="9" t="s">
        <v>211</v>
      </c>
      <c r="O1179" s="9"/>
      <c r="P1179" s="37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</row>
    <row r="1180" spans="1:33" ht="14.25" customHeight="1" x14ac:dyDescent="0.35">
      <c r="A1180" s="12">
        <v>300109</v>
      </c>
      <c r="B1180" s="59" t="str">
        <f>IFERROR(VLOOKUP(Tabla2[[#This Row],[CODIGO]],INVENTARIO!A:B,2,0)," ")</f>
        <v>Risers de Acero 3/4" Bsp x 25 mm</v>
      </c>
      <c r="C1180" s="12">
        <v>1</v>
      </c>
      <c r="D1180" s="13">
        <v>24246</v>
      </c>
      <c r="E1180" s="40">
        <v>4500512194</v>
      </c>
      <c r="F1180" s="12">
        <v>3566189</v>
      </c>
      <c r="G1180" s="77">
        <v>45986</v>
      </c>
      <c r="H1180" s="12" t="s">
        <v>166</v>
      </c>
      <c r="I1180" s="12"/>
      <c r="J1180" s="12"/>
      <c r="K1180" s="12"/>
      <c r="L1180" s="12"/>
      <c r="M1180" s="12"/>
      <c r="N1180" s="9" t="s">
        <v>211</v>
      </c>
      <c r="O1180" s="9"/>
      <c r="P1180" s="37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</row>
    <row r="1181" spans="1:33" ht="14.25" customHeight="1" x14ac:dyDescent="0.35">
      <c r="A1181" s="12">
        <v>301329</v>
      </c>
      <c r="B1181" s="59" t="str">
        <f>IFERROR(VLOOKUP(Tabla2[[#This Row],[CODIGO]],INVENTARIO!A:B,2,0)," ")</f>
        <v>Copla PE100 025mm EF</v>
      </c>
      <c r="C1181" s="12">
        <v>4</v>
      </c>
      <c r="D1181" s="13">
        <v>7816</v>
      </c>
      <c r="E1181" s="40">
        <v>4500511997</v>
      </c>
      <c r="F1181" s="12">
        <v>3566188</v>
      </c>
      <c r="G1181" s="77">
        <v>45986</v>
      </c>
      <c r="H1181" s="12" t="s">
        <v>166</v>
      </c>
      <c r="I1181" s="12"/>
      <c r="J1181" s="12"/>
      <c r="K1181" s="12"/>
      <c r="L1181" s="12"/>
      <c r="M1181" s="12"/>
      <c r="N1181" s="9" t="s">
        <v>191</v>
      </c>
      <c r="O1181" s="9"/>
      <c r="P1181" s="37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</row>
    <row r="1182" spans="1:33" ht="14.25" customHeight="1" x14ac:dyDescent="0.35">
      <c r="A1182" s="12">
        <v>101624</v>
      </c>
      <c r="B1182" s="59" t="str">
        <f>IFERROR(VLOOKUP(Tabla2[[#This Row],[CODIGO]],INVENTARIO!A:B,2,0)," ")</f>
        <v>Tapping Tee PE 50-25 mm</v>
      </c>
      <c r="C1182" s="12">
        <v>1</v>
      </c>
      <c r="D1182" s="13">
        <v>15600</v>
      </c>
      <c r="E1182" s="40">
        <v>4500511997</v>
      </c>
      <c r="F1182" s="12">
        <v>3566188</v>
      </c>
      <c r="G1182" s="77">
        <v>45986</v>
      </c>
      <c r="H1182" s="12" t="s">
        <v>166</v>
      </c>
      <c r="I1182" s="12"/>
      <c r="J1182" s="12"/>
      <c r="K1182" s="12"/>
      <c r="L1182" s="12"/>
      <c r="M1182" s="12"/>
      <c r="N1182" s="9" t="s">
        <v>191</v>
      </c>
      <c r="O1182" s="9"/>
      <c r="P1182" s="37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</row>
    <row r="1183" spans="1:33" ht="14.25" customHeight="1" x14ac:dyDescent="0.35">
      <c r="A1183" s="12">
        <v>300109</v>
      </c>
      <c r="B1183" s="59" t="str">
        <f>IFERROR(VLOOKUP(Tabla2[[#This Row],[CODIGO]],INVENTARIO!A:B,2,0)," ")</f>
        <v>Risers de Acero 3/4" Bsp x 25 mm</v>
      </c>
      <c r="C1183" s="12">
        <v>1</v>
      </c>
      <c r="D1183" s="13">
        <v>24246</v>
      </c>
      <c r="E1183" s="40">
        <v>4500511997</v>
      </c>
      <c r="F1183" s="12">
        <v>3566188</v>
      </c>
      <c r="G1183" s="77">
        <v>45986</v>
      </c>
      <c r="H1183" s="12" t="s">
        <v>166</v>
      </c>
      <c r="I1183" s="12"/>
      <c r="J1183" s="12"/>
      <c r="K1183" s="12"/>
      <c r="L1183" s="12"/>
      <c r="M1183" s="12"/>
      <c r="N1183" s="9" t="s">
        <v>191</v>
      </c>
      <c r="O1183" s="9"/>
      <c r="P1183" s="37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</row>
    <row r="1184" spans="1:33" ht="14.25" customHeight="1" x14ac:dyDescent="0.35">
      <c r="A1184" s="12">
        <v>301099</v>
      </c>
      <c r="B1184" s="59" t="str">
        <f>IFERROR(VLOOKUP(Tabla2[[#This Row],[CODIGO]],INVENTARIO!A:B,2,0)," ")</f>
        <v>Válvula PE100 Dn 25mm</v>
      </c>
      <c r="C1184" s="12">
        <v>1</v>
      </c>
      <c r="D1184" s="13">
        <v>60074</v>
      </c>
      <c r="E1184" s="40">
        <v>4500511997</v>
      </c>
      <c r="F1184" s="12">
        <v>3566188</v>
      </c>
      <c r="G1184" s="77">
        <v>45986</v>
      </c>
      <c r="H1184" s="12" t="s">
        <v>166</v>
      </c>
      <c r="I1184" s="12"/>
      <c r="J1184" s="12"/>
      <c r="K1184" s="12"/>
      <c r="L1184" s="12"/>
      <c r="M1184" s="12"/>
      <c r="N1184" s="9" t="s">
        <v>191</v>
      </c>
      <c r="O1184" s="9"/>
      <c r="P1184" s="37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</row>
    <row r="1185" spans="1:33" ht="14.25" customHeight="1" x14ac:dyDescent="0.35">
      <c r="A1185" s="12">
        <v>2003911</v>
      </c>
      <c r="B1185" s="59" t="str">
        <f>IFERROR(VLOOKUP(Tabla2[[#This Row],[CODIGO]],INVENTARIO!A:B,2,0)," ")</f>
        <v>Válvula EFv PE 25 mm Para Tap. Tee</v>
      </c>
      <c r="C1185" s="12">
        <v>1</v>
      </c>
      <c r="D1185" s="13">
        <v>6233</v>
      </c>
      <c r="E1185" s="40">
        <v>4500511997</v>
      </c>
      <c r="F1185" s="12">
        <v>3566188</v>
      </c>
      <c r="G1185" s="77">
        <v>45986</v>
      </c>
      <c r="H1185" s="12" t="s">
        <v>166</v>
      </c>
      <c r="I1185" s="12"/>
      <c r="J1185" s="12"/>
      <c r="K1185" s="12"/>
      <c r="L1185" s="12"/>
      <c r="M1185" s="12"/>
      <c r="N1185" s="9" t="s">
        <v>191</v>
      </c>
      <c r="O1185" s="9"/>
      <c r="P1185" s="37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</row>
    <row r="1186" spans="1:33" ht="14.25" customHeight="1" x14ac:dyDescent="0.35">
      <c r="A1186" s="12">
        <v>2003911</v>
      </c>
      <c r="B1186" s="59" t="str">
        <f>IFERROR(VLOOKUP(Tabla2[[#This Row],[CODIGO]],INVENTARIO!A:B,2,0)," ")</f>
        <v>Válvula EFv PE 25 mm Para Tap. Tee</v>
      </c>
      <c r="C1186" s="12">
        <v>1</v>
      </c>
      <c r="D1186" s="13">
        <v>6233</v>
      </c>
      <c r="E1186" s="40">
        <v>4500512218</v>
      </c>
      <c r="F1186" s="12">
        <v>3566187</v>
      </c>
      <c r="G1186" s="77">
        <v>45986</v>
      </c>
      <c r="H1186" s="12" t="s">
        <v>166</v>
      </c>
      <c r="I1186" s="12"/>
      <c r="J1186" s="12"/>
      <c r="K1186" s="12"/>
      <c r="L1186" s="12"/>
      <c r="M1186" s="12"/>
      <c r="N1186" s="9" t="s">
        <v>187</v>
      </c>
      <c r="O1186" s="9"/>
      <c r="P1186" s="37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</row>
    <row r="1187" spans="1:33" ht="14.25" customHeight="1" x14ac:dyDescent="0.35">
      <c r="A1187" s="12">
        <v>2003131</v>
      </c>
      <c r="B1187" s="59" t="str">
        <f>IFERROR(VLOOKUP(Tabla2[[#This Row],[CODIGO]],INVENTARIO!A:B,2,0)," ")</f>
        <v>Tapping Tee PE 50-40 mm</v>
      </c>
      <c r="C1187" s="12">
        <v>1</v>
      </c>
      <c r="D1187" s="13">
        <v>25463</v>
      </c>
      <c r="E1187" s="40">
        <v>4500512218</v>
      </c>
      <c r="F1187" s="12">
        <v>3566187</v>
      </c>
      <c r="G1187" s="77">
        <v>45986</v>
      </c>
      <c r="H1187" s="12" t="s">
        <v>166</v>
      </c>
      <c r="I1187" s="12"/>
      <c r="J1187" s="12"/>
      <c r="K1187" s="12"/>
      <c r="L1187" s="12"/>
      <c r="M1187" s="12"/>
      <c r="N1187" s="9" t="s">
        <v>187</v>
      </c>
      <c r="O1187" s="9"/>
      <c r="P1187" s="37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</row>
    <row r="1188" spans="1:33" ht="14.25" customHeight="1" x14ac:dyDescent="0.35">
      <c r="A1188" s="12">
        <v>303362</v>
      </c>
      <c r="B1188" s="59" t="str">
        <f>IFERROR(VLOOKUP(Tabla2[[#This Row],[CODIGO]],INVENTARIO!A:B,2,0)," ")</f>
        <v>Reductor PE  50-40 mm Electro F.</v>
      </c>
      <c r="C1188" s="12">
        <v>1</v>
      </c>
      <c r="D1188" s="13">
        <v>6296</v>
      </c>
      <c r="E1188" s="40">
        <v>4500512218</v>
      </c>
      <c r="F1188" s="12">
        <v>3566187</v>
      </c>
      <c r="G1188" s="77">
        <v>45986</v>
      </c>
      <c r="H1188" s="12" t="s">
        <v>166</v>
      </c>
      <c r="I1188" s="12"/>
      <c r="J1188" s="12"/>
      <c r="K1188" s="12"/>
      <c r="L1188" s="12"/>
      <c r="M1188" s="12"/>
      <c r="N1188" s="9" t="s">
        <v>187</v>
      </c>
      <c r="O1188" s="9"/>
      <c r="P1188" s="37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</row>
    <row r="1189" spans="1:33" ht="14.25" customHeight="1" x14ac:dyDescent="0.35">
      <c r="A1189" s="12">
        <v>303345</v>
      </c>
      <c r="B1189" s="59" t="str">
        <f>IFERROR(VLOOKUP(Tabla2[[#This Row],[CODIGO]],INVENTARIO!A:B,2,0)," ")</f>
        <v>Copla PE100 050mm EF</v>
      </c>
      <c r="C1189" s="12">
        <v>2</v>
      </c>
      <c r="D1189" s="13">
        <v>6604</v>
      </c>
      <c r="E1189" s="40">
        <v>4500512218</v>
      </c>
      <c r="F1189" s="12">
        <v>3566187</v>
      </c>
      <c r="G1189" s="77">
        <v>45986</v>
      </c>
      <c r="H1189" s="12" t="s">
        <v>166</v>
      </c>
      <c r="I1189" s="12"/>
      <c r="J1189" s="12"/>
      <c r="K1189" s="12"/>
      <c r="L1189" s="12"/>
      <c r="M1189" s="12"/>
      <c r="N1189" s="9" t="s">
        <v>187</v>
      </c>
      <c r="O1189" s="9"/>
      <c r="P1189" s="37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</row>
    <row r="1190" spans="1:33" ht="14.25" customHeight="1" x14ac:dyDescent="0.35">
      <c r="A1190" s="12">
        <v>302992</v>
      </c>
      <c r="B1190" s="59" t="str">
        <f>IFERROR(VLOOKUP(Tabla2[[#This Row],[CODIGO]],INVENTARIO!A:B,2,0)," ")</f>
        <v>Codo PE100 90° 050mm EF</v>
      </c>
      <c r="C1190" s="12">
        <v>2</v>
      </c>
      <c r="D1190" s="13">
        <v>11686</v>
      </c>
      <c r="E1190" s="40">
        <v>4500512218</v>
      </c>
      <c r="F1190" s="12">
        <v>3566187</v>
      </c>
      <c r="G1190" s="77">
        <v>45986</v>
      </c>
      <c r="H1190" s="12" t="s">
        <v>166</v>
      </c>
      <c r="I1190" s="12"/>
      <c r="J1190" s="12"/>
      <c r="K1190" s="12"/>
      <c r="L1190" s="12"/>
      <c r="M1190" s="12"/>
      <c r="N1190" s="9" t="s">
        <v>187</v>
      </c>
      <c r="O1190" s="9"/>
      <c r="P1190" s="37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</row>
    <row r="1191" spans="1:33" ht="14.25" customHeight="1" x14ac:dyDescent="0.35">
      <c r="A1191" s="12">
        <v>301329</v>
      </c>
      <c r="B1191" s="59" t="str">
        <f>IFERROR(VLOOKUP(Tabla2[[#This Row],[CODIGO]],INVENTARIO!A:B,2,0)," ")</f>
        <v>Copla PE100 025mm EF</v>
      </c>
      <c r="C1191" s="12">
        <v>7</v>
      </c>
      <c r="D1191" s="13">
        <v>13678</v>
      </c>
      <c r="E1191" s="40">
        <v>4500512218</v>
      </c>
      <c r="F1191" s="12">
        <v>3566187</v>
      </c>
      <c r="G1191" s="77">
        <v>45986</v>
      </c>
      <c r="H1191" s="12" t="s">
        <v>166</v>
      </c>
      <c r="I1191" s="12"/>
      <c r="J1191" s="12"/>
      <c r="K1191" s="12"/>
      <c r="L1191" s="12"/>
      <c r="M1191" s="12"/>
      <c r="N1191" s="9" t="s">
        <v>187</v>
      </c>
      <c r="O1191" s="9"/>
      <c r="P1191" s="37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</row>
    <row r="1192" spans="1:33" ht="14.25" customHeight="1" x14ac:dyDescent="0.35">
      <c r="A1192" s="12">
        <v>301327</v>
      </c>
      <c r="B1192" s="59" t="str">
        <f>IFERROR(VLOOKUP(Tabla2[[#This Row],[CODIGO]],INVENTARIO!A:B,2,0)," ")</f>
        <v>Tapa PE  050 mm Termo F.</v>
      </c>
      <c r="C1192" s="12">
        <v>1</v>
      </c>
      <c r="D1192" s="13">
        <v>3063</v>
      </c>
      <c r="E1192" s="40">
        <v>4500512218</v>
      </c>
      <c r="F1192" s="12">
        <v>3566187</v>
      </c>
      <c r="G1192" s="77">
        <v>45986</v>
      </c>
      <c r="H1192" s="12" t="s">
        <v>166</v>
      </c>
      <c r="I1192" s="12"/>
      <c r="J1192" s="12"/>
      <c r="K1192" s="12"/>
      <c r="L1192" s="12"/>
      <c r="M1192" s="12"/>
      <c r="N1192" s="9" t="s">
        <v>187</v>
      </c>
      <c r="O1192" s="9"/>
      <c r="P1192" s="37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</row>
    <row r="1193" spans="1:33" ht="14.25" customHeight="1" x14ac:dyDescent="0.35">
      <c r="A1193" s="12">
        <v>301099</v>
      </c>
      <c r="B1193" s="59" t="str">
        <f>IFERROR(VLOOKUP(Tabla2[[#This Row],[CODIGO]],INVENTARIO!A:B,2,0)," ")</f>
        <v>Válvula PE100 Dn 25mm</v>
      </c>
      <c r="C1193" s="12">
        <v>1</v>
      </c>
      <c r="D1193" s="13">
        <v>60074</v>
      </c>
      <c r="E1193" s="40">
        <v>4500512218</v>
      </c>
      <c r="F1193" s="12">
        <v>3566187</v>
      </c>
      <c r="G1193" s="77">
        <v>45986</v>
      </c>
      <c r="H1193" s="12" t="s">
        <v>166</v>
      </c>
      <c r="I1193" s="12"/>
      <c r="J1193" s="12"/>
      <c r="K1193" s="12"/>
      <c r="L1193" s="12"/>
      <c r="M1193" s="12"/>
      <c r="N1193" s="9" t="s">
        <v>187</v>
      </c>
      <c r="O1193" s="9"/>
      <c r="P1193" s="37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</row>
    <row r="1194" spans="1:33" ht="14.25" customHeight="1" x14ac:dyDescent="0.35">
      <c r="A1194" s="12">
        <v>300712</v>
      </c>
      <c r="B1194" s="59" t="str">
        <f>IFERROR(VLOOKUP(Tabla2[[#This Row],[CODIGO]],INVENTARIO!A:B,2,0)," ")</f>
        <v>Tapa PE  025 mm Termo F.</v>
      </c>
      <c r="C1194" s="12">
        <v>1</v>
      </c>
      <c r="D1194" s="13">
        <v>1373</v>
      </c>
      <c r="E1194" s="40">
        <v>4500512218</v>
      </c>
      <c r="F1194" s="12">
        <v>3566187</v>
      </c>
      <c r="G1194" s="77">
        <v>45986</v>
      </c>
      <c r="H1194" s="12" t="s">
        <v>166</v>
      </c>
      <c r="I1194" s="12"/>
      <c r="J1194" s="12"/>
      <c r="K1194" s="12"/>
      <c r="L1194" s="12"/>
      <c r="M1194" s="12"/>
      <c r="N1194" s="9" t="s">
        <v>187</v>
      </c>
      <c r="O1194" s="9"/>
      <c r="P1194" s="37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</row>
    <row r="1195" spans="1:33" ht="14.25" customHeight="1" x14ac:dyDescent="0.35">
      <c r="A1195" s="12">
        <v>300109</v>
      </c>
      <c r="B1195" s="59" t="str">
        <f>IFERROR(VLOOKUP(Tabla2[[#This Row],[CODIGO]],INVENTARIO!A:B,2,0)," ")</f>
        <v>Risers de Acero 3/4" Bsp x 25 mm</v>
      </c>
      <c r="C1195" s="12">
        <v>2</v>
      </c>
      <c r="D1195" s="13">
        <v>48492</v>
      </c>
      <c r="E1195" s="40">
        <v>4500512218</v>
      </c>
      <c r="F1195" s="12">
        <v>3566187</v>
      </c>
      <c r="G1195" s="77">
        <v>45986</v>
      </c>
      <c r="H1195" s="12" t="s">
        <v>166</v>
      </c>
      <c r="I1195" s="12"/>
      <c r="J1195" s="12"/>
      <c r="K1195" s="12"/>
      <c r="L1195" s="12"/>
      <c r="M1195" s="12"/>
      <c r="N1195" s="9" t="s">
        <v>187</v>
      </c>
      <c r="O1195" s="9"/>
      <c r="P1195" s="37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</row>
    <row r="1196" spans="1:33" ht="14.25" customHeight="1" x14ac:dyDescent="0.35">
      <c r="A1196" s="12">
        <v>101624</v>
      </c>
      <c r="B1196" s="59" t="str">
        <f>IFERROR(VLOOKUP(Tabla2[[#This Row],[CODIGO]],INVENTARIO!A:B,2,0)," ")</f>
        <v>Tapping Tee PE 50-25 mm</v>
      </c>
      <c r="C1196" s="12">
        <v>2</v>
      </c>
      <c r="D1196" s="13">
        <v>31200</v>
      </c>
      <c r="E1196" s="40">
        <v>4500512218</v>
      </c>
      <c r="F1196" s="12">
        <v>3566187</v>
      </c>
      <c r="G1196" s="77">
        <v>45986</v>
      </c>
      <c r="H1196" s="12" t="s">
        <v>166</v>
      </c>
      <c r="I1196" s="12"/>
      <c r="J1196" s="12"/>
      <c r="K1196" s="12"/>
      <c r="L1196" s="12"/>
      <c r="M1196" s="12"/>
      <c r="N1196" s="9" t="s">
        <v>187</v>
      </c>
      <c r="O1196" s="9"/>
      <c r="P1196" s="37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</row>
    <row r="1197" spans="1:33" ht="14.25" customHeight="1" x14ac:dyDescent="0.35">
      <c r="A1197" s="12">
        <v>301329</v>
      </c>
      <c r="B1197" s="59" t="str">
        <f>IFERROR(VLOOKUP(Tabla2[[#This Row],[CODIGO]],INVENTARIO!A:B,2,0)," ")</f>
        <v>Copla PE100 025mm EF</v>
      </c>
      <c r="C1197" s="12">
        <v>4</v>
      </c>
      <c r="D1197" s="13">
        <v>7816</v>
      </c>
      <c r="E1197" s="40">
        <v>4500512001</v>
      </c>
      <c r="F1197" s="12">
        <v>3566186</v>
      </c>
      <c r="G1197" s="77">
        <v>45986</v>
      </c>
      <c r="H1197" s="12" t="s">
        <v>166</v>
      </c>
      <c r="I1197" s="12"/>
      <c r="J1197" s="12"/>
      <c r="K1197" s="12"/>
      <c r="L1197" s="12"/>
      <c r="M1197" s="12"/>
      <c r="N1197" s="9" t="s">
        <v>210</v>
      </c>
      <c r="O1197" s="9"/>
      <c r="P1197" s="37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</row>
    <row r="1198" spans="1:33" ht="14.25" customHeight="1" x14ac:dyDescent="0.35">
      <c r="A1198" s="12">
        <v>300109</v>
      </c>
      <c r="B1198" s="59" t="str">
        <f>IFERROR(VLOOKUP(Tabla2[[#This Row],[CODIGO]],INVENTARIO!A:B,2,0)," ")</f>
        <v>Risers de Acero 3/4" Bsp x 25 mm</v>
      </c>
      <c r="C1198" s="12">
        <v>1</v>
      </c>
      <c r="D1198" s="13">
        <v>24246</v>
      </c>
      <c r="E1198" s="40">
        <v>4500512001</v>
      </c>
      <c r="F1198" s="12">
        <v>3566186</v>
      </c>
      <c r="G1198" s="77">
        <v>45986</v>
      </c>
      <c r="H1198" s="12" t="s">
        <v>166</v>
      </c>
      <c r="I1198" s="12"/>
      <c r="J1198" s="12"/>
      <c r="K1198" s="12"/>
      <c r="L1198" s="12"/>
      <c r="M1198" s="12"/>
      <c r="N1198" s="9" t="s">
        <v>210</v>
      </c>
      <c r="O1198" s="9"/>
      <c r="P1198" s="37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</row>
    <row r="1199" spans="1:33" ht="14.25" customHeight="1" x14ac:dyDescent="0.35">
      <c r="A1199" s="12">
        <v>301099</v>
      </c>
      <c r="B1199" s="59" t="str">
        <f>IFERROR(VLOOKUP(Tabla2[[#This Row],[CODIGO]],INVENTARIO!A:B,2,0)," ")</f>
        <v>Válvula PE100 Dn 25mm</v>
      </c>
      <c r="C1199" s="12">
        <v>1</v>
      </c>
      <c r="D1199" s="13">
        <v>60074</v>
      </c>
      <c r="E1199" s="40">
        <v>4500512001</v>
      </c>
      <c r="F1199" s="12">
        <v>3566186</v>
      </c>
      <c r="G1199" s="77">
        <v>45986</v>
      </c>
      <c r="H1199" s="12" t="s">
        <v>166</v>
      </c>
      <c r="I1199" s="12"/>
      <c r="J1199" s="12"/>
      <c r="K1199" s="12"/>
      <c r="L1199" s="12"/>
      <c r="M1199" s="12"/>
      <c r="N1199" s="9" t="s">
        <v>210</v>
      </c>
      <c r="O1199" s="9"/>
      <c r="P1199" s="37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</row>
    <row r="1200" spans="1:33" ht="14.25" customHeight="1" x14ac:dyDescent="0.35">
      <c r="A1200" s="12">
        <v>301666</v>
      </c>
      <c r="B1200" s="59" t="str">
        <f>IFERROR(VLOOKUP(Tabla2[[#This Row],[CODIGO]],INVENTARIO!A:B,2,0)," ")</f>
        <v>Tapping Tee PE 110-25 mm</v>
      </c>
      <c r="C1200" s="12">
        <v>1</v>
      </c>
      <c r="D1200" s="13">
        <v>12084</v>
      </c>
      <c r="E1200" s="40">
        <v>4500512001</v>
      </c>
      <c r="F1200" s="12">
        <v>3566186</v>
      </c>
      <c r="G1200" s="77">
        <v>45986</v>
      </c>
      <c r="H1200" s="12" t="s">
        <v>166</v>
      </c>
      <c r="I1200" s="12"/>
      <c r="J1200" s="12"/>
      <c r="K1200" s="12"/>
      <c r="L1200" s="12"/>
      <c r="M1200" s="12"/>
      <c r="N1200" s="9" t="s">
        <v>210</v>
      </c>
      <c r="O1200" s="9"/>
      <c r="P1200" s="37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</row>
    <row r="1201" spans="1:33" ht="14.25" customHeight="1" x14ac:dyDescent="0.35">
      <c r="A1201" s="12">
        <v>2003911</v>
      </c>
      <c r="B1201" s="59" t="str">
        <f>IFERROR(VLOOKUP(Tabla2[[#This Row],[CODIGO]],INVENTARIO!A:B,2,0)," ")</f>
        <v>Válvula EFv PE 25 mm Para Tap. Tee</v>
      </c>
      <c r="C1201" s="12">
        <v>1</v>
      </c>
      <c r="D1201" s="13">
        <v>6233</v>
      </c>
      <c r="E1201" s="40">
        <v>4500512001</v>
      </c>
      <c r="F1201" s="12">
        <v>3566186</v>
      </c>
      <c r="G1201" s="77">
        <v>45986</v>
      </c>
      <c r="H1201" s="12" t="s">
        <v>166</v>
      </c>
      <c r="I1201" s="12"/>
      <c r="J1201" s="12"/>
      <c r="K1201" s="12"/>
      <c r="L1201" s="12"/>
      <c r="M1201" s="12"/>
      <c r="N1201" s="9" t="s">
        <v>210</v>
      </c>
      <c r="O1201" s="9"/>
      <c r="P1201" s="37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</row>
    <row r="1202" spans="1:33" ht="14.25" customHeight="1" x14ac:dyDescent="0.35">
      <c r="A1202" s="12">
        <v>300109</v>
      </c>
      <c r="B1202" s="59" t="str">
        <f>IFERROR(VLOOKUP(Tabla2[[#This Row],[CODIGO]],INVENTARIO!A:B,2,0)," ")</f>
        <v>Risers de Acero 3/4" Bsp x 25 mm</v>
      </c>
      <c r="C1202" s="12">
        <v>1</v>
      </c>
      <c r="D1202" s="13">
        <v>24246</v>
      </c>
      <c r="E1202" s="40">
        <v>4500512195</v>
      </c>
      <c r="F1202" s="12">
        <v>3566184</v>
      </c>
      <c r="G1202" s="77">
        <v>45986</v>
      </c>
      <c r="H1202" s="12" t="s">
        <v>166</v>
      </c>
      <c r="I1202" s="12"/>
      <c r="J1202" s="12"/>
      <c r="K1202" s="12"/>
      <c r="L1202" s="12"/>
      <c r="M1202" s="12"/>
      <c r="N1202" s="9" t="s">
        <v>188</v>
      </c>
      <c r="O1202" s="9"/>
      <c r="P1202" s="37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</row>
    <row r="1203" spans="1:33" ht="14.25" customHeight="1" x14ac:dyDescent="0.35">
      <c r="A1203" s="12">
        <v>301099</v>
      </c>
      <c r="B1203" s="59" t="str">
        <f>IFERROR(VLOOKUP(Tabla2[[#This Row],[CODIGO]],INVENTARIO!A:B,2,0)," ")</f>
        <v>Válvula PE100 Dn 25mm</v>
      </c>
      <c r="C1203" s="12">
        <v>1</v>
      </c>
      <c r="D1203" s="13">
        <v>60074</v>
      </c>
      <c r="E1203" s="40">
        <v>4500512195</v>
      </c>
      <c r="F1203" s="12">
        <v>3566184</v>
      </c>
      <c r="G1203" s="77">
        <v>45986</v>
      </c>
      <c r="H1203" s="12" t="s">
        <v>166</v>
      </c>
      <c r="I1203" s="12"/>
      <c r="J1203" s="12"/>
      <c r="K1203" s="12"/>
      <c r="L1203" s="12"/>
      <c r="M1203" s="12"/>
      <c r="N1203" s="9" t="s">
        <v>188</v>
      </c>
      <c r="O1203" s="9"/>
      <c r="P1203" s="37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</row>
    <row r="1204" spans="1:33" ht="14.25" customHeight="1" x14ac:dyDescent="0.35">
      <c r="A1204" s="12">
        <v>301329</v>
      </c>
      <c r="B1204" s="59" t="str">
        <f>IFERROR(VLOOKUP(Tabla2[[#This Row],[CODIGO]],INVENTARIO!A:B,2,0)," ")</f>
        <v>Copla PE100 025mm EF</v>
      </c>
      <c r="C1204" s="12">
        <v>4</v>
      </c>
      <c r="D1204" s="13">
        <v>7816</v>
      </c>
      <c r="E1204" s="40">
        <v>4500512195</v>
      </c>
      <c r="F1204" s="12">
        <v>3566184</v>
      </c>
      <c r="G1204" s="77">
        <v>45987</v>
      </c>
      <c r="H1204" s="12" t="s">
        <v>166</v>
      </c>
      <c r="I1204" s="12"/>
      <c r="J1204" s="12"/>
      <c r="K1204" s="12"/>
      <c r="L1204" s="12"/>
      <c r="M1204" s="12"/>
      <c r="N1204" s="9" t="s">
        <v>188</v>
      </c>
      <c r="O1204" s="9"/>
      <c r="P1204" s="37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</row>
    <row r="1205" spans="1:33" ht="14.25" customHeight="1" x14ac:dyDescent="0.35">
      <c r="A1205" s="12">
        <v>301666</v>
      </c>
      <c r="B1205" s="59" t="str">
        <f>IFERROR(VLOOKUP(Tabla2[[#This Row],[CODIGO]],INVENTARIO!A:B,2,0)," ")</f>
        <v>Tapping Tee PE 110-25 mm</v>
      </c>
      <c r="C1205" s="12">
        <v>1</v>
      </c>
      <c r="D1205" s="13">
        <v>12084</v>
      </c>
      <c r="E1205" s="40">
        <v>4500512195</v>
      </c>
      <c r="F1205" s="12">
        <v>3566184</v>
      </c>
      <c r="G1205" s="77">
        <v>45986</v>
      </c>
      <c r="H1205" s="12" t="s">
        <v>166</v>
      </c>
      <c r="I1205" s="12"/>
      <c r="J1205" s="12"/>
      <c r="K1205" s="12"/>
      <c r="L1205" s="12"/>
      <c r="M1205" s="12"/>
      <c r="N1205" s="9" t="s">
        <v>188</v>
      </c>
      <c r="O1205" s="9"/>
      <c r="P1205" s="37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</row>
    <row r="1206" spans="1:33" ht="14.25" customHeight="1" x14ac:dyDescent="0.35">
      <c r="A1206" s="12">
        <v>2003911</v>
      </c>
      <c r="B1206" s="59" t="str">
        <f>IFERROR(VLOOKUP(Tabla2[[#This Row],[CODIGO]],INVENTARIO!A:B,2,0)," ")</f>
        <v>Válvula EFv PE 25 mm Para Tap. Tee</v>
      </c>
      <c r="C1206" s="12">
        <v>1</v>
      </c>
      <c r="D1206" s="13">
        <v>6233</v>
      </c>
      <c r="E1206" s="40">
        <v>4500512195</v>
      </c>
      <c r="F1206" s="12">
        <v>3566184</v>
      </c>
      <c r="G1206" s="77">
        <v>45986</v>
      </c>
      <c r="H1206" s="12" t="s">
        <v>166</v>
      </c>
      <c r="I1206" s="12"/>
      <c r="J1206" s="12"/>
      <c r="K1206" s="12"/>
      <c r="L1206" s="12"/>
      <c r="M1206" s="12"/>
      <c r="N1206" s="9" t="s">
        <v>188</v>
      </c>
      <c r="O1206" s="9"/>
      <c r="P1206" s="37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</row>
    <row r="1207" spans="1:33" ht="14.25" customHeight="1" x14ac:dyDescent="0.35">
      <c r="A1207" s="12">
        <v>101624</v>
      </c>
      <c r="B1207" s="59" t="str">
        <f>IFERROR(VLOOKUP(Tabla2[[#This Row],[CODIGO]],INVENTARIO!A:B,2,0)," ")</f>
        <v>Tapping Tee PE 50-25 mm</v>
      </c>
      <c r="C1207" s="12">
        <v>1</v>
      </c>
      <c r="D1207" s="13">
        <v>15600</v>
      </c>
      <c r="E1207" s="40">
        <v>4500512202</v>
      </c>
      <c r="F1207" s="12">
        <v>3566177</v>
      </c>
      <c r="G1207" s="77">
        <v>45986</v>
      </c>
      <c r="H1207" s="12" t="s">
        <v>166</v>
      </c>
      <c r="I1207" s="12"/>
      <c r="J1207" s="12"/>
      <c r="K1207" s="12"/>
      <c r="L1207" s="12"/>
      <c r="M1207" s="12"/>
      <c r="N1207" s="9" t="s">
        <v>189</v>
      </c>
      <c r="O1207" s="9"/>
      <c r="P1207" s="37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</row>
    <row r="1208" spans="1:33" ht="14.25" customHeight="1" x14ac:dyDescent="0.35">
      <c r="A1208" s="12">
        <v>300109</v>
      </c>
      <c r="B1208" s="59" t="str">
        <f>IFERROR(VLOOKUP(Tabla2[[#This Row],[CODIGO]],INVENTARIO!A:B,2,0)," ")</f>
        <v>Risers de Acero 3/4" Bsp x 25 mm</v>
      </c>
      <c r="C1208" s="12">
        <v>1</v>
      </c>
      <c r="D1208" s="13">
        <v>24246</v>
      </c>
      <c r="E1208" s="40">
        <v>4500512202</v>
      </c>
      <c r="F1208" s="12">
        <v>3566177</v>
      </c>
      <c r="G1208" s="77">
        <v>45986</v>
      </c>
      <c r="H1208" s="12" t="s">
        <v>166</v>
      </c>
      <c r="I1208" s="12"/>
      <c r="J1208" s="12"/>
      <c r="K1208" s="12"/>
      <c r="L1208" s="12"/>
      <c r="M1208" s="12"/>
      <c r="N1208" s="9" t="s">
        <v>189</v>
      </c>
      <c r="O1208" s="9"/>
      <c r="P1208" s="37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</row>
    <row r="1209" spans="1:33" ht="14.25" customHeight="1" x14ac:dyDescent="0.35">
      <c r="A1209" s="12">
        <v>301099</v>
      </c>
      <c r="B1209" s="59" t="str">
        <f>IFERROR(VLOOKUP(Tabla2[[#This Row],[CODIGO]],INVENTARIO!A:B,2,0)," ")</f>
        <v>Válvula PE100 Dn 25mm</v>
      </c>
      <c r="C1209" s="12">
        <v>1</v>
      </c>
      <c r="D1209" s="13">
        <v>60074</v>
      </c>
      <c r="E1209" s="40">
        <v>4500512202</v>
      </c>
      <c r="F1209" s="12">
        <v>3566177</v>
      </c>
      <c r="G1209" s="77">
        <v>45986</v>
      </c>
      <c r="H1209" s="12" t="s">
        <v>166</v>
      </c>
      <c r="I1209" s="12"/>
      <c r="J1209" s="12"/>
      <c r="K1209" s="12"/>
      <c r="L1209" s="12"/>
      <c r="M1209" s="12"/>
      <c r="N1209" s="9" t="s">
        <v>189</v>
      </c>
      <c r="O1209" s="9"/>
      <c r="P1209" s="37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</row>
    <row r="1210" spans="1:33" ht="14.25" customHeight="1" x14ac:dyDescent="0.35">
      <c r="A1210" s="12">
        <v>301329</v>
      </c>
      <c r="B1210" s="59" t="str">
        <f>IFERROR(VLOOKUP(Tabla2[[#This Row],[CODIGO]],INVENTARIO!A:B,2,0)," ")</f>
        <v>Copla PE100 025mm EF</v>
      </c>
      <c r="C1210" s="12">
        <v>4</v>
      </c>
      <c r="D1210" s="13">
        <v>7816</v>
      </c>
      <c r="E1210" s="40">
        <v>4500512202</v>
      </c>
      <c r="F1210" s="12">
        <v>3566177</v>
      </c>
      <c r="G1210" s="77">
        <v>45986</v>
      </c>
      <c r="H1210" s="12" t="s">
        <v>166</v>
      </c>
      <c r="I1210" s="12"/>
      <c r="J1210" s="12"/>
      <c r="K1210" s="12"/>
      <c r="L1210" s="12"/>
      <c r="M1210" s="12"/>
      <c r="N1210" s="9" t="s">
        <v>189</v>
      </c>
      <c r="O1210" s="9"/>
      <c r="P1210" s="37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</row>
    <row r="1211" spans="1:33" ht="14.25" customHeight="1" x14ac:dyDescent="0.35">
      <c r="A1211" s="12">
        <v>2003911</v>
      </c>
      <c r="B1211" s="59" t="str">
        <f>IFERROR(VLOOKUP(Tabla2[[#This Row],[CODIGO]],INVENTARIO!A:B,2,0)," ")</f>
        <v>Válvula EFv PE 25 mm Para Tap. Tee</v>
      </c>
      <c r="C1211" s="12">
        <v>1</v>
      </c>
      <c r="D1211" s="13">
        <v>6233</v>
      </c>
      <c r="E1211" s="40">
        <v>4500512202</v>
      </c>
      <c r="F1211" s="12">
        <v>3566177</v>
      </c>
      <c r="G1211" s="77">
        <v>45986</v>
      </c>
      <c r="H1211" s="12" t="s">
        <v>166</v>
      </c>
      <c r="I1211" s="12"/>
      <c r="J1211" s="12"/>
      <c r="K1211" s="12"/>
      <c r="L1211" s="12"/>
      <c r="M1211" s="12"/>
      <c r="N1211" s="9" t="s">
        <v>189</v>
      </c>
      <c r="O1211" s="9"/>
      <c r="P1211" s="37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</row>
    <row r="1212" spans="1:33" ht="14.25" customHeight="1" x14ac:dyDescent="0.35">
      <c r="A1212" s="18"/>
      <c r="B1212" s="64"/>
      <c r="C1212" s="18"/>
      <c r="D1212" s="19"/>
      <c r="E1212" s="40"/>
      <c r="F1212" s="13"/>
      <c r="G1212" s="78"/>
      <c r="H1212" s="16"/>
      <c r="I1212" s="10"/>
      <c r="J1212" s="10"/>
      <c r="K1212" s="10"/>
      <c r="L1212" s="10"/>
      <c r="M1212" s="10"/>
      <c r="N1212" s="10"/>
      <c r="O1212" s="10"/>
      <c r="P1212" s="38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</row>
    <row r="1213" spans="1:33" ht="14.25" customHeight="1" x14ac:dyDescent="0.35">
      <c r="A1213" s="18"/>
      <c r="B1213" s="64"/>
      <c r="C1213" s="18"/>
      <c r="D1213" s="19"/>
      <c r="E1213" s="40"/>
      <c r="F1213" s="13"/>
      <c r="G1213" s="78"/>
      <c r="H1213" s="16"/>
      <c r="I1213" s="10"/>
      <c r="J1213" s="10"/>
      <c r="K1213" s="10"/>
      <c r="L1213" s="10"/>
      <c r="M1213" s="10"/>
      <c r="N1213" s="10"/>
      <c r="O1213" s="10"/>
      <c r="P1213" s="38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</row>
    <row r="1214" spans="1:33" ht="14.25" customHeight="1" x14ac:dyDescent="0.35">
      <c r="A1214" s="18"/>
      <c r="B1214" s="93"/>
      <c r="C1214" s="94"/>
      <c r="D1214" s="19"/>
      <c r="E1214" s="40"/>
      <c r="F1214" s="13"/>
      <c r="G1214" s="78"/>
      <c r="H1214" s="16"/>
      <c r="I1214" s="10"/>
      <c r="J1214" s="10"/>
      <c r="K1214" s="10"/>
      <c r="L1214" s="10"/>
      <c r="M1214" s="10"/>
      <c r="N1214" s="10"/>
      <c r="O1214" s="10"/>
      <c r="P1214" s="38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</row>
    <row r="1215" spans="1:33" ht="14.25" customHeight="1" x14ac:dyDescent="0.35">
      <c r="A1215" s="18"/>
      <c r="B1215" s="64"/>
      <c r="C1215" s="18"/>
      <c r="D1215" s="19"/>
      <c r="E1215" s="40"/>
      <c r="F1215" s="13"/>
      <c r="G1215" s="78"/>
      <c r="H1215" s="16"/>
      <c r="I1215" s="10"/>
      <c r="J1215" s="10"/>
      <c r="K1215" s="10"/>
      <c r="L1215" s="10"/>
      <c r="M1215" s="10"/>
      <c r="N1215" s="10"/>
      <c r="O1215" s="10"/>
      <c r="P1215" s="38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</row>
    <row r="1216" spans="1:33" ht="14.25" customHeight="1" x14ac:dyDescent="0.35">
      <c r="A1216" s="18"/>
      <c r="B1216" s="64"/>
      <c r="C1216" s="18"/>
      <c r="D1216" s="19"/>
      <c r="E1216" s="40"/>
      <c r="F1216" s="13"/>
      <c r="G1216" s="78"/>
      <c r="H1216" s="16"/>
      <c r="I1216" s="10"/>
      <c r="J1216" s="10"/>
      <c r="K1216" s="10"/>
      <c r="L1216" s="10"/>
      <c r="M1216" s="10"/>
      <c r="N1216" s="10"/>
      <c r="O1216" s="10"/>
      <c r="P1216" s="38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</row>
    <row r="1217" spans="1:33" ht="14.25" customHeight="1" x14ac:dyDescent="0.35">
      <c r="A1217" s="18"/>
      <c r="B1217" s="64"/>
      <c r="C1217" s="18"/>
      <c r="D1217" s="19"/>
      <c r="E1217" s="40"/>
      <c r="F1217" s="13"/>
      <c r="G1217" s="78"/>
      <c r="H1217" s="16"/>
      <c r="I1217" s="10"/>
      <c r="J1217" s="10"/>
      <c r="K1217" s="10"/>
      <c r="L1217" s="10"/>
      <c r="M1217" s="10"/>
      <c r="N1217" s="10"/>
      <c r="O1217" s="10"/>
      <c r="P1217" s="38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</row>
    <row r="1218" spans="1:33" ht="14.25" customHeight="1" x14ac:dyDescent="0.35">
      <c r="A1218" s="18"/>
      <c r="B1218" s="64"/>
      <c r="C1218" s="18"/>
      <c r="D1218" s="19"/>
      <c r="E1218" s="40"/>
      <c r="F1218" s="13"/>
      <c r="G1218" s="78"/>
      <c r="H1218" s="16"/>
      <c r="I1218" s="10"/>
      <c r="J1218" s="10"/>
      <c r="K1218" s="10"/>
      <c r="L1218" s="10"/>
      <c r="M1218" s="10"/>
      <c r="N1218" s="10"/>
      <c r="O1218" s="10"/>
      <c r="P1218" s="38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</row>
    <row r="1219" spans="1:33" ht="14.25" customHeight="1" x14ac:dyDescent="0.35">
      <c r="A1219" s="18"/>
      <c r="B1219" s="64"/>
      <c r="C1219" s="18"/>
      <c r="D1219" s="19"/>
      <c r="E1219" s="40"/>
      <c r="F1219" s="13"/>
      <c r="G1219" s="78"/>
      <c r="H1219" s="16"/>
      <c r="I1219" s="10"/>
      <c r="J1219" s="10"/>
      <c r="K1219" s="10"/>
      <c r="L1219" s="10"/>
      <c r="M1219" s="10"/>
      <c r="N1219" s="10"/>
      <c r="O1219" s="10"/>
      <c r="P1219" s="38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</row>
    <row r="1220" spans="1:33" ht="14.25" customHeight="1" x14ac:dyDescent="0.35">
      <c r="A1220" s="18"/>
      <c r="B1220" s="64"/>
      <c r="C1220" s="18"/>
      <c r="D1220" s="19"/>
      <c r="E1220" s="40"/>
      <c r="F1220" s="13"/>
      <c r="G1220" s="78"/>
      <c r="H1220" s="16"/>
      <c r="I1220" s="10"/>
      <c r="J1220" s="10"/>
      <c r="K1220" s="10"/>
      <c r="L1220" s="10"/>
      <c r="M1220" s="10"/>
      <c r="N1220" s="10"/>
      <c r="O1220" s="10"/>
      <c r="P1220" s="38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</row>
    <row r="1221" spans="1:33" ht="14.25" customHeight="1" x14ac:dyDescent="0.35">
      <c r="A1221" s="18"/>
      <c r="B1221" s="64"/>
      <c r="C1221" s="18"/>
      <c r="D1221" s="19"/>
      <c r="E1221" s="40"/>
      <c r="F1221" s="13"/>
      <c r="G1221" s="78"/>
      <c r="H1221" s="16"/>
      <c r="I1221" s="10"/>
      <c r="J1221" s="10"/>
      <c r="K1221" s="10"/>
      <c r="L1221" s="10"/>
      <c r="M1221" s="10"/>
      <c r="N1221" s="10"/>
      <c r="O1221" s="10"/>
      <c r="P1221" s="38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</row>
    <row r="1222" spans="1:33" ht="14.25" customHeight="1" x14ac:dyDescent="0.35">
      <c r="A1222" s="18"/>
      <c r="B1222" s="64"/>
      <c r="C1222" s="18"/>
      <c r="D1222" s="19"/>
      <c r="E1222" s="40"/>
      <c r="F1222" s="13"/>
      <c r="G1222" s="78"/>
      <c r="H1222" s="16"/>
      <c r="I1222" s="10"/>
      <c r="J1222" s="10"/>
      <c r="K1222" s="10"/>
      <c r="L1222" s="10"/>
      <c r="M1222" s="10"/>
      <c r="N1222" s="10"/>
      <c r="O1222" s="10"/>
      <c r="P1222" s="38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</row>
    <row r="1223" spans="1:33" ht="14.25" customHeight="1" x14ac:dyDescent="0.35">
      <c r="A1223" s="18"/>
      <c r="B1223" s="64"/>
      <c r="C1223" s="18"/>
      <c r="D1223" s="19"/>
      <c r="E1223" s="40"/>
      <c r="F1223" s="13"/>
      <c r="G1223" s="78"/>
      <c r="H1223" s="16"/>
      <c r="I1223" s="10"/>
      <c r="J1223" s="10"/>
      <c r="K1223" s="10"/>
      <c r="L1223" s="10"/>
      <c r="M1223" s="10"/>
      <c r="N1223" s="10"/>
      <c r="O1223" s="10"/>
      <c r="P1223" s="38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</row>
    <row r="1224" spans="1:33" ht="14.25" customHeight="1" x14ac:dyDescent="0.35">
      <c r="A1224" s="18"/>
      <c r="B1224" s="64"/>
      <c r="C1224" s="18"/>
      <c r="D1224" s="19"/>
      <c r="E1224" s="40"/>
      <c r="F1224" s="13"/>
      <c r="G1224" s="78"/>
      <c r="H1224" s="16"/>
      <c r="I1224" s="10"/>
      <c r="J1224" s="10"/>
      <c r="K1224" s="10"/>
      <c r="L1224" s="10"/>
      <c r="M1224" s="10"/>
      <c r="N1224" s="10"/>
      <c r="O1224" s="10"/>
      <c r="P1224" s="38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</row>
    <row r="1225" spans="1:33" ht="14.25" customHeight="1" x14ac:dyDescent="0.35">
      <c r="A1225" s="18"/>
      <c r="B1225" s="64"/>
      <c r="C1225" s="18"/>
      <c r="D1225" s="19"/>
      <c r="E1225" s="40"/>
      <c r="F1225" s="13"/>
      <c r="G1225" s="78"/>
      <c r="H1225" s="16"/>
      <c r="I1225" s="10"/>
      <c r="J1225" s="10"/>
      <c r="K1225" s="10"/>
      <c r="L1225" s="10"/>
      <c r="M1225" s="10"/>
      <c r="N1225" s="10"/>
      <c r="O1225" s="10"/>
      <c r="P1225" s="38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</row>
    <row r="1226" spans="1:33" ht="14.25" customHeight="1" x14ac:dyDescent="0.35">
      <c r="A1226" s="18"/>
      <c r="B1226" s="64"/>
      <c r="C1226" s="18"/>
      <c r="D1226" s="19"/>
      <c r="E1226" s="40"/>
      <c r="F1226" s="13"/>
      <c r="G1226" s="78"/>
      <c r="H1226" s="16"/>
      <c r="I1226" s="10"/>
      <c r="J1226" s="10"/>
      <c r="K1226" s="10"/>
      <c r="L1226" s="10"/>
      <c r="M1226" s="10"/>
      <c r="N1226" s="10"/>
      <c r="O1226" s="10"/>
      <c r="P1226" s="38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</row>
    <row r="1227" spans="1:33" ht="14.25" customHeight="1" x14ac:dyDescent="0.35">
      <c r="A1227" s="18"/>
      <c r="B1227" s="64"/>
      <c r="C1227" s="18"/>
      <c r="D1227" s="19"/>
      <c r="E1227" s="40"/>
      <c r="F1227" s="13"/>
      <c r="G1227" s="78"/>
      <c r="H1227" s="16"/>
      <c r="I1227" s="10"/>
      <c r="J1227" s="10"/>
      <c r="K1227" s="10"/>
      <c r="L1227" s="10"/>
      <c r="M1227" s="10"/>
      <c r="N1227" s="10"/>
      <c r="O1227" s="10"/>
      <c r="P1227" s="38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</row>
    <row r="1228" spans="1:33" ht="14.25" customHeight="1" x14ac:dyDescent="0.35">
      <c r="A1228" s="18"/>
      <c r="B1228" s="64"/>
      <c r="C1228" s="18"/>
      <c r="D1228" s="19"/>
      <c r="E1228" s="40"/>
      <c r="F1228" s="13"/>
      <c r="G1228" s="78"/>
      <c r="H1228" s="16"/>
      <c r="I1228" s="10"/>
      <c r="J1228" s="10"/>
      <c r="K1228" s="10"/>
      <c r="L1228" s="10"/>
      <c r="M1228" s="10"/>
      <c r="N1228" s="10"/>
      <c r="O1228" s="10"/>
      <c r="P1228" s="38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</row>
    <row r="1229" spans="1:33" ht="14.25" customHeight="1" x14ac:dyDescent="0.35">
      <c r="A1229" s="18"/>
      <c r="B1229" s="64"/>
      <c r="C1229" s="18"/>
      <c r="D1229" s="19"/>
      <c r="E1229" s="40"/>
      <c r="F1229" s="13"/>
      <c r="G1229" s="78"/>
      <c r="H1229" s="16"/>
      <c r="I1229" s="10"/>
      <c r="J1229" s="10"/>
      <c r="K1229" s="10"/>
      <c r="L1229" s="10"/>
      <c r="M1229" s="10"/>
      <c r="N1229" s="10"/>
      <c r="O1229" s="10"/>
      <c r="P1229" s="38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</row>
    <row r="1230" spans="1:33" ht="14.25" customHeight="1" x14ac:dyDescent="0.35">
      <c r="A1230" s="18"/>
      <c r="B1230" s="64"/>
      <c r="C1230" s="18"/>
      <c r="D1230" s="19"/>
      <c r="E1230" s="40"/>
      <c r="F1230" s="13"/>
      <c r="G1230" s="78"/>
      <c r="H1230" s="16"/>
      <c r="I1230" s="10"/>
      <c r="J1230" s="10"/>
      <c r="K1230" s="10"/>
      <c r="L1230" s="10"/>
      <c r="M1230" s="10"/>
      <c r="N1230" s="10"/>
      <c r="O1230" s="10"/>
      <c r="P1230" s="38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</row>
    <row r="1231" spans="1:33" ht="14.25" customHeight="1" x14ac:dyDescent="0.35">
      <c r="A1231" s="18"/>
      <c r="B1231" s="64"/>
      <c r="C1231" s="18"/>
      <c r="D1231" s="19"/>
      <c r="E1231" s="40"/>
      <c r="F1231" s="13"/>
      <c r="G1231" s="78"/>
      <c r="H1231" s="16"/>
      <c r="I1231" s="10"/>
      <c r="J1231" s="10"/>
      <c r="K1231" s="10"/>
      <c r="L1231" s="10"/>
      <c r="M1231" s="10"/>
      <c r="N1231" s="10"/>
      <c r="O1231" s="10"/>
      <c r="P1231" s="38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</row>
    <row r="1232" spans="1:33" ht="14.25" customHeight="1" x14ac:dyDescent="0.35">
      <c r="A1232" s="18"/>
      <c r="B1232" s="64"/>
      <c r="C1232" s="18"/>
      <c r="D1232" s="19"/>
      <c r="E1232" s="40"/>
      <c r="F1232" s="13"/>
      <c r="G1232" s="78"/>
      <c r="H1232" s="16"/>
      <c r="I1232" s="10"/>
      <c r="J1232" s="10"/>
      <c r="K1232" s="10"/>
      <c r="L1232" s="10"/>
      <c r="M1232" s="10"/>
      <c r="N1232" s="10"/>
      <c r="O1232" s="10"/>
      <c r="P1232" s="38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</row>
    <row r="1233" spans="1:33" ht="14.25" customHeight="1" x14ac:dyDescent="0.35">
      <c r="A1233" s="18"/>
      <c r="B1233" s="64"/>
      <c r="C1233" s="18"/>
      <c r="D1233" s="19"/>
      <c r="E1233" s="40"/>
      <c r="F1233" s="13"/>
      <c r="G1233" s="78"/>
      <c r="H1233" s="16"/>
      <c r="I1233" s="10"/>
      <c r="J1233" s="10"/>
      <c r="K1233" s="10"/>
      <c r="L1233" s="10"/>
      <c r="M1233" s="10"/>
      <c r="N1233" s="10"/>
      <c r="O1233" s="10"/>
      <c r="P1233" s="38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</row>
    <row r="1234" spans="1:33" ht="14.25" customHeight="1" x14ac:dyDescent="0.35">
      <c r="A1234" s="18"/>
      <c r="B1234" s="64"/>
      <c r="C1234" s="18"/>
      <c r="D1234" s="19"/>
      <c r="E1234" s="40"/>
      <c r="F1234" s="13"/>
      <c r="G1234" s="78"/>
      <c r="H1234" s="16"/>
      <c r="I1234" s="10"/>
      <c r="J1234" s="10"/>
      <c r="K1234" s="10"/>
      <c r="L1234" s="10"/>
      <c r="M1234" s="10"/>
      <c r="N1234" s="10"/>
      <c r="O1234" s="10"/>
      <c r="P1234" s="38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</row>
    <row r="1235" spans="1:33" ht="14.25" customHeight="1" x14ac:dyDescent="0.35">
      <c r="A1235" s="18"/>
      <c r="B1235" s="64"/>
      <c r="C1235" s="18"/>
      <c r="D1235" s="19"/>
      <c r="E1235" s="40"/>
      <c r="F1235" s="13"/>
      <c r="G1235" s="78"/>
      <c r="H1235" s="16"/>
      <c r="I1235" s="10"/>
      <c r="J1235" s="10"/>
      <c r="K1235" s="10"/>
      <c r="L1235" s="10"/>
      <c r="M1235" s="10"/>
      <c r="N1235" s="10"/>
      <c r="O1235" s="10"/>
      <c r="P1235" s="38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</row>
    <row r="1236" spans="1:33" ht="14.25" customHeight="1" x14ac:dyDescent="0.35">
      <c r="A1236" s="18"/>
      <c r="B1236" s="64"/>
      <c r="C1236" s="18"/>
      <c r="D1236" s="19"/>
      <c r="E1236" s="40"/>
      <c r="F1236" s="13"/>
      <c r="G1236" s="78"/>
      <c r="H1236" s="16"/>
      <c r="I1236" s="10"/>
      <c r="J1236" s="10"/>
      <c r="K1236" s="10"/>
      <c r="L1236" s="10"/>
      <c r="M1236" s="10"/>
      <c r="N1236" s="10"/>
      <c r="O1236" s="10"/>
      <c r="P1236" s="38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</row>
    <row r="1237" spans="1:33" ht="14.25" customHeight="1" x14ac:dyDescent="0.35">
      <c r="A1237" s="18"/>
      <c r="B1237" s="64"/>
      <c r="C1237" s="18"/>
      <c r="D1237" s="19"/>
      <c r="E1237" s="40"/>
      <c r="F1237" s="13"/>
      <c r="G1237" s="78"/>
      <c r="H1237" s="16"/>
      <c r="I1237" s="10"/>
      <c r="J1237" s="10"/>
      <c r="K1237" s="10"/>
      <c r="L1237" s="10"/>
      <c r="M1237" s="10"/>
      <c r="N1237" s="10"/>
      <c r="O1237" s="10"/>
      <c r="P1237" s="38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</row>
    <row r="1238" spans="1:33" ht="14.25" customHeight="1" x14ac:dyDescent="0.35">
      <c r="A1238" s="18"/>
      <c r="B1238" s="64"/>
      <c r="C1238" s="18"/>
      <c r="D1238" s="19"/>
      <c r="E1238" s="40"/>
      <c r="F1238" s="13"/>
      <c r="G1238" s="78"/>
      <c r="H1238" s="16"/>
      <c r="I1238" s="10"/>
      <c r="J1238" s="10"/>
      <c r="K1238" s="10"/>
      <c r="L1238" s="10"/>
      <c r="M1238" s="10"/>
      <c r="N1238" s="10"/>
      <c r="O1238" s="10"/>
      <c r="P1238" s="38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</row>
    <row r="1239" spans="1:33" ht="14.25" customHeight="1" x14ac:dyDescent="0.35">
      <c r="A1239" s="18"/>
      <c r="B1239" s="64"/>
      <c r="C1239" s="18"/>
      <c r="D1239" s="19"/>
      <c r="E1239" s="40"/>
      <c r="F1239" s="13"/>
      <c r="G1239" s="78"/>
      <c r="H1239" s="16"/>
      <c r="I1239" s="10"/>
      <c r="J1239" s="10"/>
      <c r="K1239" s="10"/>
      <c r="L1239" s="10"/>
      <c r="M1239" s="10"/>
      <c r="N1239" s="10"/>
      <c r="O1239" s="10"/>
      <c r="P1239" s="38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</row>
    <row r="1240" spans="1:33" ht="14.25" customHeight="1" x14ac:dyDescent="0.35">
      <c r="A1240" s="18"/>
      <c r="B1240" s="64"/>
      <c r="C1240" s="18"/>
      <c r="D1240" s="19"/>
      <c r="E1240" s="40"/>
      <c r="F1240" s="13"/>
      <c r="G1240" s="78"/>
      <c r="H1240" s="16"/>
      <c r="I1240" s="10"/>
      <c r="J1240" s="10"/>
      <c r="K1240" s="10"/>
      <c r="L1240" s="10"/>
      <c r="M1240" s="10"/>
      <c r="N1240" s="10"/>
      <c r="O1240" s="10"/>
      <c r="P1240" s="38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</row>
    <row r="1241" spans="1:33" ht="14.25" customHeight="1" x14ac:dyDescent="0.35">
      <c r="A1241" s="18"/>
      <c r="B1241" s="64"/>
      <c r="C1241" s="18"/>
      <c r="D1241" s="19"/>
      <c r="E1241" s="40"/>
      <c r="F1241" s="13"/>
      <c r="G1241" s="78"/>
      <c r="H1241" s="16"/>
      <c r="I1241" s="10"/>
      <c r="J1241" s="10"/>
      <c r="K1241" s="10"/>
      <c r="L1241" s="10"/>
      <c r="M1241" s="10"/>
      <c r="N1241" s="10"/>
      <c r="O1241" s="10"/>
      <c r="P1241" s="38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</row>
    <row r="1242" spans="1:33" ht="14.25" customHeight="1" x14ac:dyDescent="0.35">
      <c r="A1242" s="18"/>
      <c r="B1242" s="64"/>
      <c r="C1242" s="18"/>
      <c r="D1242" s="19"/>
      <c r="E1242" s="40"/>
      <c r="F1242" s="13"/>
      <c r="G1242" s="78"/>
      <c r="H1242" s="16"/>
      <c r="I1242" s="10"/>
      <c r="J1242" s="10"/>
      <c r="K1242" s="10"/>
      <c r="L1242" s="10"/>
      <c r="M1242" s="10"/>
      <c r="N1242" s="10"/>
      <c r="O1242" s="10"/>
      <c r="P1242" s="38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</row>
    <row r="1243" spans="1:33" ht="14.25" customHeight="1" x14ac:dyDescent="0.35">
      <c r="A1243" s="18"/>
      <c r="B1243" s="64"/>
      <c r="C1243" s="18"/>
      <c r="D1243" s="19"/>
      <c r="E1243" s="40"/>
      <c r="F1243" s="13"/>
      <c r="G1243" s="78"/>
      <c r="H1243" s="16"/>
      <c r="I1243" s="10"/>
      <c r="J1243" s="10"/>
      <c r="K1243" s="10"/>
      <c r="L1243" s="10"/>
      <c r="M1243" s="10"/>
      <c r="N1243" s="10"/>
      <c r="O1243" s="10"/>
      <c r="P1243" s="38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</row>
    <row r="1244" spans="1:33" ht="14.25" customHeight="1" x14ac:dyDescent="0.35">
      <c r="A1244" s="18"/>
      <c r="B1244" s="64"/>
      <c r="C1244" s="18"/>
      <c r="D1244" s="19"/>
      <c r="E1244" s="40"/>
      <c r="F1244" s="13"/>
      <c r="G1244" s="78"/>
      <c r="H1244" s="16"/>
      <c r="I1244" s="10"/>
      <c r="J1244" s="10"/>
      <c r="K1244" s="10"/>
      <c r="L1244" s="10"/>
      <c r="M1244" s="10"/>
      <c r="N1244" s="10"/>
      <c r="O1244" s="10"/>
      <c r="P1244" s="38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</row>
    <row r="1245" spans="1:33" ht="14.25" customHeight="1" x14ac:dyDescent="0.35">
      <c r="A1245" s="18"/>
      <c r="B1245" s="64"/>
      <c r="C1245" s="18"/>
      <c r="D1245" s="19"/>
      <c r="E1245" s="40"/>
      <c r="F1245" s="13"/>
      <c r="G1245" s="78"/>
      <c r="H1245" s="16"/>
      <c r="I1245" s="10"/>
      <c r="J1245" s="10"/>
      <c r="K1245" s="10"/>
      <c r="L1245" s="10"/>
      <c r="M1245" s="10"/>
      <c r="N1245" s="10"/>
      <c r="O1245" s="10"/>
      <c r="P1245" s="38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</row>
    <row r="1246" spans="1:33" ht="14.25" customHeight="1" x14ac:dyDescent="0.35">
      <c r="A1246" s="18"/>
      <c r="B1246" s="64"/>
      <c r="C1246" s="18"/>
      <c r="D1246" s="19"/>
      <c r="E1246" s="40"/>
      <c r="F1246" s="13"/>
      <c r="G1246" s="78"/>
      <c r="H1246" s="16"/>
      <c r="I1246" s="10"/>
      <c r="J1246" s="10"/>
      <c r="K1246" s="10"/>
      <c r="L1246" s="10"/>
      <c r="M1246" s="10"/>
      <c r="N1246" s="10"/>
      <c r="O1246" s="10"/>
      <c r="P1246" s="38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</row>
    <row r="1247" spans="1:33" ht="14.25" customHeight="1" x14ac:dyDescent="0.35">
      <c r="A1247" s="18"/>
      <c r="B1247" s="64"/>
      <c r="C1247" s="18"/>
      <c r="D1247" s="19"/>
      <c r="E1247" s="40"/>
      <c r="F1247" s="13"/>
      <c r="G1247" s="78"/>
      <c r="H1247" s="16"/>
      <c r="I1247" s="10"/>
      <c r="J1247" s="10"/>
      <c r="K1247" s="10"/>
      <c r="L1247" s="10"/>
      <c r="M1247" s="10"/>
      <c r="N1247" s="10"/>
      <c r="O1247" s="10"/>
      <c r="P1247" s="38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</row>
    <row r="1248" spans="1:33" ht="14.25" customHeight="1" x14ac:dyDescent="0.35">
      <c r="A1248" s="18"/>
      <c r="B1248" s="64"/>
      <c r="C1248" s="18"/>
      <c r="D1248" s="19"/>
      <c r="E1248" s="40"/>
      <c r="F1248" s="13"/>
      <c r="G1248" s="78"/>
      <c r="H1248" s="16"/>
      <c r="I1248" s="10"/>
      <c r="J1248" s="10"/>
      <c r="K1248" s="10"/>
      <c r="L1248" s="10"/>
      <c r="M1248" s="10"/>
      <c r="N1248" s="10"/>
      <c r="O1248" s="10"/>
      <c r="P1248" s="38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</row>
    <row r="1249" spans="1:33" ht="14.25" customHeight="1" x14ac:dyDescent="0.35">
      <c r="A1249" s="18"/>
      <c r="B1249" s="64"/>
      <c r="C1249" s="18"/>
      <c r="D1249" s="19"/>
      <c r="E1249" s="40"/>
      <c r="F1249" s="13"/>
      <c r="G1249" s="78"/>
      <c r="H1249" s="16"/>
      <c r="I1249" s="10"/>
      <c r="J1249" s="10"/>
      <c r="K1249" s="10"/>
      <c r="L1249" s="10"/>
      <c r="M1249" s="10"/>
      <c r="N1249" s="10"/>
      <c r="O1249" s="10"/>
      <c r="P1249" s="38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</row>
    <row r="1250" spans="1:33" ht="14.25" customHeight="1" x14ac:dyDescent="0.35">
      <c r="A1250" s="18"/>
      <c r="B1250" s="64"/>
      <c r="C1250" s="18"/>
      <c r="D1250" s="19"/>
      <c r="E1250" s="40"/>
      <c r="F1250" s="13"/>
      <c r="G1250" s="78"/>
      <c r="H1250" s="16"/>
      <c r="I1250" s="10"/>
      <c r="J1250" s="10"/>
      <c r="K1250" s="10"/>
      <c r="L1250" s="10"/>
      <c r="M1250" s="10"/>
      <c r="N1250" s="10"/>
      <c r="O1250" s="10"/>
      <c r="P1250" s="38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</row>
    <row r="1251" spans="1:33" ht="14.25" customHeight="1" x14ac:dyDescent="0.35">
      <c r="A1251" s="18"/>
      <c r="B1251" s="64"/>
      <c r="C1251" s="18"/>
      <c r="D1251" s="19"/>
      <c r="E1251" s="40"/>
      <c r="F1251" s="13"/>
      <c r="G1251" s="78"/>
      <c r="H1251" s="16"/>
      <c r="I1251" s="10"/>
      <c r="J1251" s="10"/>
      <c r="K1251" s="10"/>
      <c r="L1251" s="10"/>
      <c r="M1251" s="10"/>
      <c r="N1251" s="10"/>
      <c r="O1251" s="10"/>
      <c r="P1251" s="38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</row>
    <row r="1252" spans="1:33" ht="14.25" customHeight="1" x14ac:dyDescent="0.35">
      <c r="A1252" s="18"/>
      <c r="B1252" s="64"/>
      <c r="C1252" s="18"/>
      <c r="D1252" s="19"/>
      <c r="E1252" s="40"/>
      <c r="F1252" s="13"/>
      <c r="G1252" s="78"/>
      <c r="H1252" s="16"/>
      <c r="I1252" s="10"/>
      <c r="J1252" s="10"/>
      <c r="K1252" s="10"/>
      <c r="L1252" s="10"/>
      <c r="M1252" s="10"/>
      <c r="N1252" s="10"/>
      <c r="O1252" s="10"/>
      <c r="P1252" s="38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</row>
    <row r="1253" spans="1:33" ht="14.25" customHeight="1" x14ac:dyDescent="0.35">
      <c r="A1253" s="18"/>
      <c r="B1253" s="64"/>
      <c r="C1253" s="18"/>
      <c r="D1253" s="19"/>
      <c r="E1253" s="40"/>
      <c r="F1253" s="13"/>
      <c r="G1253" s="78"/>
      <c r="H1253" s="16"/>
      <c r="I1253" s="10"/>
      <c r="J1253" s="10"/>
      <c r="K1253" s="10"/>
      <c r="L1253" s="10"/>
      <c r="M1253" s="10"/>
      <c r="N1253" s="10"/>
      <c r="O1253" s="10"/>
      <c r="P1253" s="38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</row>
    <row r="1254" spans="1:33" ht="14.25" customHeight="1" x14ac:dyDescent="0.35">
      <c r="A1254" s="18"/>
      <c r="B1254" s="64"/>
      <c r="C1254" s="18"/>
      <c r="D1254" s="19"/>
      <c r="E1254" s="40"/>
      <c r="F1254" s="13"/>
      <c r="G1254" s="78"/>
      <c r="H1254" s="16"/>
      <c r="I1254" s="10"/>
      <c r="J1254" s="10"/>
      <c r="K1254" s="10"/>
      <c r="L1254" s="10"/>
      <c r="M1254" s="10"/>
      <c r="N1254" s="10"/>
      <c r="O1254" s="10"/>
      <c r="P1254" s="38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</row>
    <row r="1255" spans="1:33" ht="14.25" customHeight="1" x14ac:dyDescent="0.35">
      <c r="A1255" s="18"/>
      <c r="B1255" s="64"/>
      <c r="C1255" s="18"/>
      <c r="D1255" s="19"/>
      <c r="E1255" s="40"/>
      <c r="F1255" s="13"/>
      <c r="G1255" s="78"/>
      <c r="H1255" s="16"/>
      <c r="I1255" s="10"/>
      <c r="J1255" s="10"/>
      <c r="K1255" s="10"/>
      <c r="L1255" s="10"/>
      <c r="M1255" s="10"/>
      <c r="N1255" s="10"/>
      <c r="O1255" s="10"/>
      <c r="P1255" s="38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</row>
    <row r="1256" spans="1:33" ht="14.25" customHeight="1" x14ac:dyDescent="0.35">
      <c r="A1256" s="18"/>
      <c r="B1256" s="64"/>
      <c r="C1256" s="18"/>
      <c r="D1256" s="19"/>
      <c r="E1256" s="40"/>
      <c r="F1256" s="13"/>
      <c r="G1256" s="78"/>
      <c r="H1256" s="16"/>
      <c r="I1256" s="10"/>
      <c r="J1256" s="10"/>
      <c r="K1256" s="10"/>
      <c r="L1256" s="10"/>
      <c r="M1256" s="10"/>
      <c r="N1256" s="10"/>
      <c r="O1256" s="10"/>
      <c r="P1256" s="38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</row>
    <row r="1257" spans="1:33" ht="14.25" customHeight="1" x14ac:dyDescent="0.35">
      <c r="A1257" s="18"/>
      <c r="B1257" s="64"/>
      <c r="C1257" s="18"/>
      <c r="D1257" s="19"/>
      <c r="E1257" s="40"/>
      <c r="F1257" s="13"/>
      <c r="G1257" s="78"/>
      <c r="H1257" s="16"/>
      <c r="I1257" s="10"/>
      <c r="J1257" s="10"/>
      <c r="K1257" s="10"/>
      <c r="L1257" s="10"/>
      <c r="M1257" s="10"/>
      <c r="N1257" s="10"/>
      <c r="O1257" s="10"/>
      <c r="P1257" s="38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</row>
    <row r="1258" spans="1:33" ht="14.25" customHeight="1" x14ac:dyDescent="0.35">
      <c r="A1258" s="18"/>
      <c r="B1258" s="64"/>
      <c r="C1258" s="18"/>
      <c r="D1258" s="19"/>
      <c r="E1258" s="40"/>
      <c r="F1258" s="13"/>
      <c r="G1258" s="78"/>
      <c r="H1258" s="16"/>
      <c r="I1258" s="10"/>
      <c r="J1258" s="10"/>
      <c r="K1258" s="10"/>
      <c r="L1258" s="10"/>
      <c r="M1258" s="10"/>
      <c r="N1258" s="10"/>
      <c r="O1258" s="10"/>
      <c r="P1258" s="38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</row>
    <row r="1259" spans="1:33" ht="14.25" customHeight="1" x14ac:dyDescent="0.35">
      <c r="A1259" s="18"/>
      <c r="B1259" s="64"/>
      <c r="C1259" s="18"/>
      <c r="D1259" s="19"/>
      <c r="E1259" s="40"/>
      <c r="F1259" s="13"/>
      <c r="G1259" s="78"/>
      <c r="H1259" s="16"/>
      <c r="I1259" s="10"/>
      <c r="J1259" s="10"/>
      <c r="K1259" s="10"/>
      <c r="L1259" s="10"/>
      <c r="M1259" s="10"/>
      <c r="N1259" s="10"/>
      <c r="O1259" s="10"/>
      <c r="P1259" s="38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</row>
    <row r="1260" spans="1:33" ht="14.25" customHeight="1" x14ac:dyDescent="0.35">
      <c r="A1260" s="18"/>
      <c r="B1260" s="64"/>
      <c r="C1260" s="18"/>
      <c r="D1260" s="19"/>
      <c r="E1260" s="40"/>
      <c r="F1260" s="13"/>
      <c r="G1260" s="78"/>
      <c r="H1260" s="16"/>
      <c r="I1260" s="10"/>
      <c r="J1260" s="10"/>
      <c r="K1260" s="10"/>
      <c r="L1260" s="10"/>
      <c r="M1260" s="10"/>
      <c r="N1260" s="10"/>
      <c r="O1260" s="10"/>
      <c r="P1260" s="38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</row>
    <row r="1261" spans="1:33" ht="14.25" customHeight="1" x14ac:dyDescent="0.35">
      <c r="A1261" s="18"/>
      <c r="B1261" s="64"/>
      <c r="C1261" s="18"/>
      <c r="D1261" s="19"/>
      <c r="E1261" s="40"/>
      <c r="F1261" s="13"/>
      <c r="G1261" s="78"/>
      <c r="H1261" s="16"/>
      <c r="I1261" s="10"/>
      <c r="J1261" s="10"/>
      <c r="K1261" s="10"/>
      <c r="L1261" s="10"/>
      <c r="M1261" s="10"/>
      <c r="N1261" s="10"/>
      <c r="O1261" s="10"/>
      <c r="P1261" s="38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</row>
    <row r="1262" spans="1:33" ht="14.25" customHeight="1" x14ac:dyDescent="0.35">
      <c r="A1262" s="18"/>
      <c r="B1262" s="64"/>
      <c r="C1262" s="18"/>
      <c r="D1262" s="19"/>
      <c r="E1262" s="40"/>
      <c r="F1262" s="13"/>
      <c r="G1262" s="78"/>
      <c r="H1262" s="16"/>
      <c r="I1262" s="10"/>
      <c r="J1262" s="10"/>
      <c r="K1262" s="10"/>
      <c r="L1262" s="10"/>
      <c r="M1262" s="10"/>
      <c r="N1262" s="10"/>
      <c r="O1262" s="10"/>
      <c r="P1262" s="38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</row>
    <row r="1263" spans="1:33" ht="14.25" customHeight="1" x14ac:dyDescent="0.35">
      <c r="A1263" s="18"/>
      <c r="B1263" s="64"/>
      <c r="C1263" s="18"/>
      <c r="D1263" s="19"/>
      <c r="E1263" s="40"/>
      <c r="F1263" s="13"/>
      <c r="G1263" s="78"/>
      <c r="H1263" s="16"/>
      <c r="I1263" s="10"/>
      <c r="J1263" s="10"/>
      <c r="K1263" s="10"/>
      <c r="L1263" s="10"/>
      <c r="M1263" s="10"/>
      <c r="N1263" s="10"/>
      <c r="O1263" s="10"/>
      <c r="P1263" s="38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</row>
    <row r="1264" spans="1:33" ht="14.25" customHeight="1" x14ac:dyDescent="0.35">
      <c r="A1264" s="18"/>
      <c r="B1264" s="64"/>
      <c r="C1264" s="18"/>
      <c r="D1264" s="19"/>
      <c r="E1264" s="40"/>
      <c r="F1264" s="13"/>
      <c r="G1264" s="78"/>
      <c r="H1264" s="16"/>
      <c r="I1264" s="10"/>
      <c r="J1264" s="10"/>
      <c r="K1264" s="10"/>
      <c r="L1264" s="10"/>
      <c r="M1264" s="10"/>
      <c r="N1264" s="10"/>
      <c r="O1264" s="10"/>
      <c r="P1264" s="38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</row>
    <row r="1265" spans="1:33" ht="14.25" customHeight="1" x14ac:dyDescent="0.35">
      <c r="A1265" s="18"/>
      <c r="B1265" s="64"/>
      <c r="C1265" s="18"/>
      <c r="D1265" s="19"/>
      <c r="E1265" s="40"/>
      <c r="F1265" s="13"/>
      <c r="G1265" s="78"/>
      <c r="H1265" s="16"/>
      <c r="I1265" s="10"/>
      <c r="J1265" s="10"/>
      <c r="K1265" s="10"/>
      <c r="L1265" s="10"/>
      <c r="M1265" s="10"/>
      <c r="N1265" s="10"/>
      <c r="O1265" s="10"/>
      <c r="P1265" s="38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</row>
    <row r="1266" spans="1:33" ht="14.25" customHeight="1" x14ac:dyDescent="0.35">
      <c r="A1266" s="18"/>
      <c r="B1266" s="64"/>
      <c r="C1266" s="18"/>
      <c r="D1266" s="19"/>
      <c r="E1266" s="40"/>
      <c r="F1266" s="13"/>
      <c r="G1266" s="78"/>
      <c r="H1266" s="16"/>
      <c r="I1266" s="10"/>
      <c r="J1266" s="10"/>
      <c r="K1266" s="10"/>
      <c r="L1266" s="10"/>
      <c r="M1266" s="10"/>
      <c r="N1266" s="10"/>
      <c r="O1266" s="10"/>
      <c r="P1266" s="38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</row>
    <row r="1267" spans="1:33" ht="14.25" customHeight="1" x14ac:dyDescent="0.35">
      <c r="A1267" s="18"/>
      <c r="B1267" s="64"/>
      <c r="C1267" s="18"/>
      <c r="D1267" s="19"/>
      <c r="E1267" s="40"/>
      <c r="F1267" s="13"/>
      <c r="G1267" s="78"/>
      <c r="H1267" s="16"/>
      <c r="I1267" s="10"/>
      <c r="J1267" s="10"/>
      <c r="K1267" s="10"/>
      <c r="L1267" s="10"/>
      <c r="M1267" s="10"/>
      <c r="N1267" s="10"/>
      <c r="O1267" s="10"/>
      <c r="P1267" s="38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</row>
    <row r="1268" spans="1:33" ht="14.25" customHeight="1" x14ac:dyDescent="0.35">
      <c r="A1268" s="18"/>
      <c r="B1268" s="64"/>
      <c r="C1268" s="18"/>
      <c r="D1268" s="19"/>
      <c r="E1268" s="40"/>
      <c r="F1268" s="13"/>
      <c r="G1268" s="78"/>
      <c r="H1268" s="16"/>
      <c r="I1268" s="10"/>
      <c r="J1268" s="10"/>
      <c r="K1268" s="10"/>
      <c r="L1268" s="10"/>
      <c r="M1268" s="10"/>
      <c r="N1268" s="10"/>
      <c r="O1268" s="10"/>
      <c r="P1268" s="38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</row>
    <row r="1269" spans="1:33" ht="14.25" customHeight="1" x14ac:dyDescent="0.35">
      <c r="A1269" s="18"/>
      <c r="B1269" s="64"/>
      <c r="C1269" s="18"/>
      <c r="D1269" s="19"/>
      <c r="E1269" s="40"/>
      <c r="F1269" s="13"/>
      <c r="G1269" s="78"/>
      <c r="H1269" s="16"/>
      <c r="I1269" s="10"/>
      <c r="J1269" s="10"/>
      <c r="K1269" s="10"/>
      <c r="L1269" s="10"/>
      <c r="M1269" s="10"/>
      <c r="N1269" s="10"/>
      <c r="O1269" s="10"/>
      <c r="P1269" s="38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</row>
    <row r="1270" spans="1:33" ht="14.25" customHeight="1" x14ac:dyDescent="0.35">
      <c r="A1270" s="18"/>
      <c r="B1270" s="64"/>
      <c r="C1270" s="18"/>
      <c r="D1270" s="19"/>
      <c r="E1270" s="40"/>
      <c r="F1270" s="13"/>
      <c r="G1270" s="78"/>
      <c r="H1270" s="16"/>
      <c r="I1270" s="10"/>
      <c r="J1270" s="10"/>
      <c r="K1270" s="10"/>
      <c r="L1270" s="10"/>
      <c r="M1270" s="10"/>
      <c r="N1270" s="10"/>
      <c r="O1270" s="10"/>
      <c r="P1270" s="38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</row>
    <row r="1271" spans="1:33" ht="14.25" customHeight="1" x14ac:dyDescent="0.35">
      <c r="A1271" s="18"/>
      <c r="B1271" s="64"/>
      <c r="C1271" s="18"/>
      <c r="D1271" s="19"/>
      <c r="E1271" s="40"/>
      <c r="F1271" s="13"/>
      <c r="G1271" s="78"/>
      <c r="H1271" s="16"/>
      <c r="I1271" s="10"/>
      <c r="J1271" s="10"/>
      <c r="K1271" s="10"/>
      <c r="L1271" s="10"/>
      <c r="M1271" s="10"/>
      <c r="N1271" s="10"/>
      <c r="O1271" s="10"/>
      <c r="P1271" s="38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</row>
    <row r="1272" spans="1:33" ht="14.25" customHeight="1" x14ac:dyDescent="0.35">
      <c r="A1272" s="18"/>
      <c r="B1272" s="64"/>
      <c r="C1272" s="18"/>
      <c r="D1272" s="19"/>
      <c r="E1272" s="40"/>
      <c r="F1272" s="13"/>
      <c r="G1272" s="78"/>
      <c r="H1272" s="16"/>
      <c r="I1272" s="10"/>
      <c r="J1272" s="10"/>
      <c r="K1272" s="10"/>
      <c r="L1272" s="10"/>
      <c r="M1272" s="10"/>
      <c r="N1272" s="10"/>
      <c r="O1272" s="10"/>
      <c r="P1272" s="38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</row>
    <row r="1273" spans="1:33" ht="14.25" customHeight="1" x14ac:dyDescent="0.35">
      <c r="A1273" s="18"/>
      <c r="B1273" s="64"/>
      <c r="C1273" s="18"/>
      <c r="D1273" s="19"/>
      <c r="E1273" s="40"/>
      <c r="F1273" s="13"/>
      <c r="G1273" s="78"/>
      <c r="H1273" s="16"/>
      <c r="I1273" s="10"/>
      <c r="J1273" s="10"/>
      <c r="K1273" s="10"/>
      <c r="L1273" s="10"/>
      <c r="M1273" s="10"/>
      <c r="N1273" s="10"/>
      <c r="O1273" s="10"/>
      <c r="P1273" s="38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</row>
    <row r="1274" spans="1:33" ht="14.25" customHeight="1" x14ac:dyDescent="0.35">
      <c r="A1274" s="18"/>
      <c r="B1274" s="64"/>
      <c r="C1274" s="18"/>
      <c r="D1274" s="19"/>
      <c r="E1274" s="40"/>
      <c r="F1274" s="13"/>
      <c r="G1274" s="78"/>
      <c r="H1274" s="16"/>
      <c r="I1274" s="10"/>
      <c r="J1274" s="10"/>
      <c r="K1274" s="10"/>
      <c r="L1274" s="10"/>
      <c r="M1274" s="10"/>
      <c r="N1274" s="10"/>
      <c r="O1274" s="10"/>
      <c r="P1274" s="38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</row>
    <row r="1275" spans="1:33" ht="14.25" customHeight="1" x14ac:dyDescent="0.35">
      <c r="A1275" s="18"/>
      <c r="B1275" s="64"/>
      <c r="C1275" s="18"/>
      <c r="D1275" s="19"/>
      <c r="E1275" s="40"/>
      <c r="F1275" s="13"/>
      <c r="G1275" s="78"/>
      <c r="H1275" s="16"/>
      <c r="I1275" s="10"/>
      <c r="J1275" s="10"/>
      <c r="K1275" s="10"/>
      <c r="L1275" s="10"/>
      <c r="M1275" s="10"/>
      <c r="N1275" s="10"/>
      <c r="O1275" s="10"/>
      <c r="P1275" s="38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  <c r="AA1275" s="16"/>
      <c r="AB1275" s="16"/>
      <c r="AC1275" s="16"/>
      <c r="AD1275" s="16"/>
      <c r="AE1275" s="16"/>
      <c r="AF1275" s="16"/>
      <c r="AG1275" s="16"/>
    </row>
    <row r="1276" spans="1:33" ht="14.25" customHeight="1" x14ac:dyDescent="0.35">
      <c r="A1276" s="18"/>
      <c r="B1276" s="64"/>
      <c r="C1276" s="18"/>
      <c r="D1276" s="19"/>
      <c r="E1276" s="40"/>
      <c r="F1276" s="13"/>
      <c r="G1276" s="78"/>
      <c r="H1276" s="16"/>
      <c r="I1276" s="10"/>
      <c r="J1276" s="10"/>
      <c r="K1276" s="10"/>
      <c r="L1276" s="10"/>
      <c r="M1276" s="10"/>
      <c r="N1276" s="10"/>
      <c r="O1276" s="10"/>
      <c r="P1276" s="38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  <c r="AA1276" s="16"/>
      <c r="AB1276" s="16"/>
      <c r="AC1276" s="16"/>
      <c r="AD1276" s="16"/>
      <c r="AE1276" s="16"/>
      <c r="AF1276" s="16"/>
      <c r="AG1276" s="16"/>
    </row>
    <row r="1277" spans="1:33" ht="14.25" customHeight="1" x14ac:dyDescent="0.35">
      <c r="A1277" s="18"/>
      <c r="B1277" s="64"/>
      <c r="C1277" s="18"/>
      <c r="D1277" s="19"/>
      <c r="E1277" s="40"/>
      <c r="F1277" s="13"/>
      <c r="G1277" s="78"/>
      <c r="H1277" s="16"/>
      <c r="I1277" s="10"/>
      <c r="J1277" s="10"/>
      <c r="K1277" s="10"/>
      <c r="L1277" s="10"/>
      <c r="M1277" s="10"/>
      <c r="N1277" s="10"/>
      <c r="O1277" s="10"/>
      <c r="P1277" s="38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  <c r="AA1277" s="16"/>
      <c r="AB1277" s="16"/>
      <c r="AC1277" s="16"/>
      <c r="AD1277" s="16"/>
      <c r="AE1277" s="16"/>
      <c r="AF1277" s="16"/>
      <c r="AG1277" s="16"/>
    </row>
    <row r="1278" spans="1:33" ht="14.25" customHeight="1" x14ac:dyDescent="0.35">
      <c r="A1278" s="18"/>
      <c r="B1278" s="64"/>
      <c r="C1278" s="18"/>
      <c r="D1278" s="19"/>
      <c r="E1278" s="40"/>
      <c r="F1278" s="13"/>
      <c r="G1278" s="78"/>
      <c r="H1278" s="16"/>
      <c r="I1278" s="10"/>
      <c r="J1278" s="10"/>
      <c r="K1278" s="10"/>
      <c r="L1278" s="10"/>
      <c r="M1278" s="10"/>
      <c r="N1278" s="10"/>
      <c r="O1278" s="10"/>
      <c r="P1278" s="38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  <c r="AA1278" s="16"/>
      <c r="AB1278" s="16"/>
      <c r="AC1278" s="16"/>
      <c r="AD1278" s="16"/>
      <c r="AE1278" s="16"/>
      <c r="AF1278" s="16"/>
      <c r="AG1278" s="16"/>
    </row>
    <row r="1279" spans="1:33" ht="14.25" customHeight="1" x14ac:dyDescent="0.35">
      <c r="A1279" s="18"/>
      <c r="B1279" s="64"/>
      <c r="C1279" s="18"/>
      <c r="D1279" s="19"/>
      <c r="E1279" s="40"/>
      <c r="F1279" s="13"/>
      <c r="G1279" s="78"/>
      <c r="H1279" s="16"/>
      <c r="I1279" s="10"/>
      <c r="J1279" s="10"/>
      <c r="K1279" s="10"/>
      <c r="L1279" s="10"/>
      <c r="M1279" s="10"/>
      <c r="N1279" s="10"/>
      <c r="O1279" s="10"/>
      <c r="P1279" s="38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  <c r="AA1279" s="16"/>
      <c r="AB1279" s="16"/>
      <c r="AC1279" s="16"/>
      <c r="AD1279" s="16"/>
      <c r="AE1279" s="16"/>
      <c r="AF1279" s="16"/>
      <c r="AG1279" s="16"/>
    </row>
    <row r="1280" spans="1:33" ht="14.25" customHeight="1" x14ac:dyDescent="0.35">
      <c r="A1280" s="18"/>
      <c r="B1280" s="64"/>
      <c r="C1280" s="18"/>
      <c r="D1280" s="19"/>
      <c r="E1280" s="40"/>
      <c r="F1280" s="13"/>
      <c r="G1280" s="78"/>
      <c r="H1280" s="16"/>
      <c r="I1280" s="10"/>
      <c r="J1280" s="10"/>
      <c r="K1280" s="10"/>
      <c r="L1280" s="10"/>
      <c r="M1280" s="10"/>
      <c r="N1280" s="10"/>
      <c r="O1280" s="10"/>
      <c r="P1280" s="38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  <c r="AA1280" s="16"/>
      <c r="AB1280" s="16"/>
      <c r="AC1280" s="16"/>
      <c r="AD1280" s="16"/>
      <c r="AE1280" s="16"/>
      <c r="AF1280" s="16"/>
      <c r="AG1280" s="16"/>
    </row>
    <row r="1281" spans="1:33" ht="14.25" customHeight="1" x14ac:dyDescent="0.35">
      <c r="A1281" s="18"/>
      <c r="B1281" s="64"/>
      <c r="C1281" s="18"/>
      <c r="D1281" s="19"/>
      <c r="E1281" s="40"/>
      <c r="F1281" s="13"/>
      <c r="G1281" s="78"/>
      <c r="H1281" s="16"/>
      <c r="I1281" s="10"/>
      <c r="J1281" s="10"/>
      <c r="K1281" s="10"/>
      <c r="L1281" s="10"/>
      <c r="M1281" s="10"/>
      <c r="N1281" s="10"/>
      <c r="O1281" s="10"/>
      <c r="P1281" s="38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  <c r="AA1281" s="16"/>
      <c r="AB1281" s="16"/>
      <c r="AC1281" s="16"/>
      <c r="AD1281" s="16"/>
      <c r="AE1281" s="16"/>
      <c r="AF1281" s="16"/>
      <c r="AG1281" s="16"/>
    </row>
    <row r="1282" spans="1:33" ht="14.25" customHeight="1" x14ac:dyDescent="0.35">
      <c r="A1282" s="18"/>
      <c r="B1282" s="64"/>
      <c r="C1282" s="18"/>
      <c r="D1282" s="19"/>
      <c r="E1282" s="40"/>
      <c r="F1282" s="13"/>
      <c r="G1282" s="78"/>
      <c r="H1282" s="16"/>
      <c r="I1282" s="10"/>
      <c r="J1282" s="10"/>
      <c r="K1282" s="10"/>
      <c r="L1282" s="10"/>
      <c r="M1282" s="10"/>
      <c r="N1282" s="10"/>
      <c r="O1282" s="10"/>
      <c r="P1282" s="38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  <c r="AA1282" s="16"/>
      <c r="AB1282" s="16"/>
      <c r="AC1282" s="16"/>
      <c r="AD1282" s="16"/>
      <c r="AE1282" s="16"/>
      <c r="AF1282" s="16"/>
      <c r="AG1282" s="16"/>
    </row>
    <row r="1283" spans="1:33" ht="14.25" customHeight="1" x14ac:dyDescent="0.35">
      <c r="A1283" s="18"/>
      <c r="B1283" s="64"/>
      <c r="C1283" s="18"/>
      <c r="D1283" s="19"/>
      <c r="E1283" s="40"/>
      <c r="F1283" s="13"/>
      <c r="G1283" s="78"/>
      <c r="H1283" s="16"/>
      <c r="I1283" s="10"/>
      <c r="J1283" s="10"/>
      <c r="K1283" s="10"/>
      <c r="L1283" s="10"/>
      <c r="M1283" s="10"/>
      <c r="N1283" s="10"/>
      <c r="O1283" s="10"/>
      <c r="P1283" s="38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  <c r="AA1283" s="16"/>
      <c r="AB1283" s="16"/>
      <c r="AC1283" s="16"/>
      <c r="AD1283" s="16"/>
      <c r="AE1283" s="16"/>
      <c r="AF1283" s="16"/>
      <c r="AG1283" s="16"/>
    </row>
    <row r="1284" spans="1:33" ht="14.25" customHeight="1" x14ac:dyDescent="0.35">
      <c r="A1284" s="18"/>
      <c r="B1284" s="64"/>
      <c r="C1284" s="18"/>
      <c r="D1284" s="19"/>
      <c r="E1284" s="40"/>
      <c r="F1284" s="13"/>
      <c r="G1284" s="78"/>
      <c r="H1284" s="16"/>
      <c r="I1284" s="10"/>
      <c r="J1284" s="10"/>
      <c r="K1284" s="10"/>
      <c r="L1284" s="10"/>
      <c r="M1284" s="10"/>
      <c r="N1284" s="10"/>
      <c r="O1284" s="10"/>
      <c r="P1284" s="38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  <c r="AA1284" s="16"/>
      <c r="AB1284" s="16"/>
      <c r="AC1284" s="16"/>
      <c r="AD1284" s="16"/>
      <c r="AE1284" s="16"/>
      <c r="AF1284" s="16"/>
      <c r="AG1284" s="16"/>
    </row>
    <row r="1285" spans="1:33" ht="14.25" customHeight="1" x14ac:dyDescent="0.35">
      <c r="A1285" s="18"/>
      <c r="B1285" s="64"/>
      <c r="C1285" s="18"/>
      <c r="D1285" s="19"/>
      <c r="E1285" s="40"/>
      <c r="F1285" s="13"/>
      <c r="G1285" s="78"/>
      <c r="H1285" s="16"/>
      <c r="I1285" s="10"/>
      <c r="J1285" s="10"/>
      <c r="K1285" s="10"/>
      <c r="L1285" s="10"/>
      <c r="M1285" s="10"/>
      <c r="N1285" s="10"/>
      <c r="O1285" s="10"/>
      <c r="P1285" s="38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  <c r="AA1285" s="16"/>
      <c r="AB1285" s="16"/>
      <c r="AC1285" s="16"/>
      <c r="AD1285" s="16"/>
      <c r="AE1285" s="16"/>
      <c r="AF1285" s="16"/>
      <c r="AG1285" s="16"/>
    </row>
    <row r="1286" spans="1:33" ht="14.25" customHeight="1" x14ac:dyDescent="0.35">
      <c r="A1286" s="18"/>
      <c r="B1286" s="64"/>
      <c r="C1286" s="18"/>
      <c r="D1286" s="19"/>
      <c r="E1286" s="40"/>
      <c r="F1286" s="13"/>
      <c r="G1286" s="78"/>
      <c r="H1286" s="16"/>
      <c r="I1286" s="10"/>
      <c r="J1286" s="10"/>
      <c r="K1286" s="10"/>
      <c r="L1286" s="10"/>
      <c r="M1286" s="10"/>
      <c r="N1286" s="10"/>
      <c r="O1286" s="10"/>
      <c r="P1286" s="38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  <c r="AA1286" s="16"/>
      <c r="AB1286" s="16"/>
      <c r="AC1286" s="16"/>
      <c r="AD1286" s="16"/>
      <c r="AE1286" s="16"/>
      <c r="AF1286" s="16"/>
      <c r="AG1286" s="16"/>
    </row>
    <row r="1287" spans="1:33" ht="14.25" customHeight="1" x14ac:dyDescent="0.35">
      <c r="A1287" s="18"/>
      <c r="B1287" s="64"/>
      <c r="C1287" s="18"/>
      <c r="D1287" s="19"/>
      <c r="E1287" s="40"/>
      <c r="F1287" s="13"/>
      <c r="G1287" s="78"/>
      <c r="H1287" s="16"/>
      <c r="I1287" s="10"/>
      <c r="J1287" s="10"/>
      <c r="K1287" s="10"/>
      <c r="L1287" s="10"/>
      <c r="M1287" s="10"/>
      <c r="N1287" s="10"/>
      <c r="O1287" s="10"/>
      <c r="P1287" s="38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  <c r="AA1287" s="16"/>
      <c r="AB1287" s="16"/>
      <c r="AC1287" s="16"/>
      <c r="AD1287" s="16"/>
      <c r="AE1287" s="16"/>
      <c r="AF1287" s="16"/>
      <c r="AG1287" s="16"/>
    </row>
    <row r="1288" spans="1:33" ht="14.25" customHeight="1" x14ac:dyDescent="0.35">
      <c r="A1288" s="18"/>
      <c r="B1288" s="64"/>
      <c r="C1288" s="18"/>
      <c r="D1288" s="19"/>
      <c r="E1288" s="40"/>
      <c r="F1288" s="13"/>
      <c r="G1288" s="78"/>
      <c r="H1288" s="16"/>
      <c r="I1288" s="10"/>
      <c r="J1288" s="10"/>
      <c r="K1288" s="10"/>
      <c r="L1288" s="10"/>
      <c r="M1288" s="10"/>
      <c r="N1288" s="10"/>
      <c r="O1288" s="10"/>
      <c r="P1288" s="38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  <c r="AA1288" s="16"/>
      <c r="AB1288" s="16"/>
      <c r="AC1288" s="16"/>
      <c r="AD1288" s="16"/>
      <c r="AE1288" s="16"/>
      <c r="AF1288" s="16"/>
      <c r="AG1288" s="16"/>
    </row>
    <row r="1289" spans="1:33" ht="14.25" customHeight="1" x14ac:dyDescent="0.35">
      <c r="A1289" s="18"/>
      <c r="B1289" s="64"/>
      <c r="C1289" s="18"/>
      <c r="D1289" s="19"/>
      <c r="E1289" s="40"/>
      <c r="F1289" s="13"/>
      <c r="G1289" s="78"/>
      <c r="H1289" s="16"/>
      <c r="I1289" s="10"/>
      <c r="J1289" s="10"/>
      <c r="K1289" s="10"/>
      <c r="L1289" s="10"/>
      <c r="M1289" s="10"/>
      <c r="N1289" s="10"/>
      <c r="O1289" s="10"/>
      <c r="P1289" s="38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  <c r="AA1289" s="16"/>
      <c r="AB1289" s="16"/>
      <c r="AC1289" s="16"/>
      <c r="AD1289" s="16"/>
      <c r="AE1289" s="16"/>
      <c r="AF1289" s="16"/>
      <c r="AG1289" s="16"/>
    </row>
    <row r="1290" spans="1:33" ht="14.25" customHeight="1" x14ac:dyDescent="0.35">
      <c r="A1290" s="18"/>
      <c r="B1290" s="64"/>
      <c r="C1290" s="18"/>
      <c r="D1290" s="19"/>
      <c r="E1290" s="40"/>
      <c r="F1290" s="13"/>
      <c r="G1290" s="78"/>
      <c r="H1290" s="16"/>
      <c r="I1290" s="10"/>
      <c r="J1290" s="10"/>
      <c r="K1290" s="10"/>
      <c r="L1290" s="10"/>
      <c r="M1290" s="10"/>
      <c r="N1290" s="10"/>
      <c r="O1290" s="10"/>
      <c r="P1290" s="38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  <c r="AA1290" s="16"/>
      <c r="AB1290" s="16"/>
      <c r="AC1290" s="16"/>
      <c r="AD1290" s="16"/>
      <c r="AE1290" s="16"/>
      <c r="AF1290" s="16"/>
      <c r="AG1290" s="16"/>
    </row>
    <row r="1291" spans="1:33" ht="14.25" customHeight="1" x14ac:dyDescent="0.35">
      <c r="A1291" s="18"/>
      <c r="B1291" s="64"/>
      <c r="C1291" s="18"/>
      <c r="D1291" s="19"/>
      <c r="E1291" s="40"/>
      <c r="F1291" s="13"/>
      <c r="G1291" s="78"/>
      <c r="H1291" s="16"/>
      <c r="I1291" s="10"/>
      <c r="J1291" s="10"/>
      <c r="K1291" s="10"/>
      <c r="L1291" s="10"/>
      <c r="M1291" s="10"/>
      <c r="N1291" s="10"/>
      <c r="O1291" s="10"/>
      <c r="P1291" s="38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  <c r="AA1291" s="16"/>
      <c r="AB1291" s="16"/>
      <c r="AC1291" s="16"/>
      <c r="AD1291" s="16"/>
      <c r="AE1291" s="16"/>
      <c r="AF1291" s="16"/>
      <c r="AG1291" s="16"/>
    </row>
    <row r="1292" spans="1:33" ht="14.25" customHeight="1" x14ac:dyDescent="0.35">
      <c r="A1292" s="18"/>
      <c r="B1292" s="64"/>
      <c r="C1292" s="18"/>
      <c r="D1292" s="19"/>
      <c r="E1292" s="40"/>
      <c r="F1292" s="13"/>
      <c r="G1292" s="78"/>
      <c r="H1292" s="16"/>
      <c r="I1292" s="10"/>
      <c r="J1292" s="10"/>
      <c r="K1292" s="10"/>
      <c r="L1292" s="10"/>
      <c r="M1292" s="10"/>
      <c r="N1292" s="10"/>
      <c r="O1292" s="10"/>
      <c r="P1292" s="38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  <c r="AA1292" s="16"/>
      <c r="AB1292" s="16"/>
      <c r="AC1292" s="16"/>
      <c r="AD1292" s="16"/>
      <c r="AE1292" s="16"/>
      <c r="AF1292" s="16"/>
      <c r="AG1292" s="16"/>
    </row>
    <row r="1293" spans="1:33" ht="14.25" customHeight="1" x14ac:dyDescent="0.35">
      <c r="A1293" s="18"/>
      <c r="B1293" s="64"/>
      <c r="C1293" s="18"/>
      <c r="D1293" s="19"/>
      <c r="E1293" s="40"/>
      <c r="F1293" s="13"/>
      <c r="G1293" s="78"/>
      <c r="H1293" s="16"/>
      <c r="I1293" s="10"/>
      <c r="J1293" s="10"/>
      <c r="K1293" s="10"/>
      <c r="L1293" s="10"/>
      <c r="M1293" s="10"/>
      <c r="N1293" s="10"/>
      <c r="O1293" s="10"/>
      <c r="P1293" s="38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  <c r="AA1293" s="16"/>
      <c r="AB1293" s="16"/>
      <c r="AC1293" s="16"/>
      <c r="AD1293" s="16"/>
      <c r="AE1293" s="16"/>
      <c r="AF1293" s="16"/>
      <c r="AG1293" s="16"/>
    </row>
    <row r="1294" spans="1:33" ht="14.25" customHeight="1" x14ac:dyDescent="0.35">
      <c r="A1294" s="18"/>
      <c r="B1294" s="64"/>
      <c r="C1294" s="18"/>
      <c r="D1294" s="19"/>
      <c r="E1294" s="40"/>
      <c r="F1294" s="13"/>
      <c r="G1294" s="78"/>
      <c r="H1294" s="16"/>
      <c r="I1294" s="10"/>
      <c r="J1294" s="10"/>
      <c r="K1294" s="10"/>
      <c r="L1294" s="10"/>
      <c r="M1294" s="10"/>
      <c r="N1294" s="10"/>
      <c r="O1294" s="10"/>
      <c r="P1294" s="38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  <c r="AA1294" s="16"/>
      <c r="AB1294" s="16"/>
      <c r="AC1294" s="16"/>
      <c r="AD1294" s="16"/>
      <c r="AE1294" s="16"/>
      <c r="AF1294" s="16"/>
      <c r="AG1294" s="16"/>
    </row>
    <row r="1295" spans="1:33" ht="14.25" customHeight="1" x14ac:dyDescent="0.35">
      <c r="A1295" s="18"/>
      <c r="B1295" s="64"/>
      <c r="C1295" s="18"/>
      <c r="D1295" s="19"/>
      <c r="E1295" s="40"/>
      <c r="F1295" s="13"/>
      <c r="G1295" s="78"/>
      <c r="H1295" s="16"/>
      <c r="I1295" s="10"/>
      <c r="J1295" s="10"/>
      <c r="K1295" s="10"/>
      <c r="L1295" s="10"/>
      <c r="M1295" s="10"/>
      <c r="N1295" s="10"/>
      <c r="O1295" s="10"/>
      <c r="P1295" s="38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  <c r="AA1295" s="16"/>
      <c r="AB1295" s="16"/>
      <c r="AC1295" s="16"/>
      <c r="AD1295" s="16"/>
      <c r="AE1295" s="16"/>
      <c r="AF1295" s="16"/>
      <c r="AG1295" s="16"/>
    </row>
    <row r="1296" spans="1:33" ht="14.25" customHeight="1" x14ac:dyDescent="0.35">
      <c r="A1296" s="18"/>
      <c r="B1296" s="64"/>
      <c r="C1296" s="18"/>
      <c r="D1296" s="19"/>
      <c r="E1296" s="40"/>
      <c r="F1296" s="13"/>
      <c r="G1296" s="78"/>
      <c r="H1296" s="16"/>
      <c r="I1296" s="10"/>
      <c r="J1296" s="10"/>
      <c r="K1296" s="10"/>
      <c r="L1296" s="10"/>
      <c r="M1296" s="10"/>
      <c r="N1296" s="10"/>
      <c r="O1296" s="10"/>
      <c r="P1296" s="38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  <c r="AA1296" s="16"/>
      <c r="AB1296" s="16"/>
      <c r="AC1296" s="16"/>
      <c r="AD1296" s="16"/>
      <c r="AE1296" s="16"/>
      <c r="AF1296" s="16"/>
      <c r="AG1296" s="16"/>
    </row>
    <row r="1297" spans="1:33" ht="14.25" customHeight="1" x14ac:dyDescent="0.35">
      <c r="A1297" s="18"/>
      <c r="B1297" s="64"/>
      <c r="C1297" s="18"/>
      <c r="D1297" s="19"/>
      <c r="E1297" s="40"/>
      <c r="F1297" s="13"/>
      <c r="G1297" s="78"/>
      <c r="H1297" s="16"/>
      <c r="I1297" s="10"/>
      <c r="J1297" s="10"/>
      <c r="K1297" s="10"/>
      <c r="L1297" s="10"/>
      <c r="M1297" s="10"/>
      <c r="N1297" s="10"/>
      <c r="O1297" s="10"/>
      <c r="P1297" s="38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  <c r="AA1297" s="16"/>
      <c r="AB1297" s="16"/>
      <c r="AC1297" s="16"/>
      <c r="AD1297" s="16"/>
      <c r="AE1297" s="16"/>
      <c r="AF1297" s="16"/>
      <c r="AG1297" s="16"/>
    </row>
    <row r="1298" spans="1:33" ht="14.25" customHeight="1" x14ac:dyDescent="0.35">
      <c r="A1298" s="18"/>
      <c r="B1298" s="64"/>
      <c r="C1298" s="18"/>
      <c r="D1298" s="19"/>
      <c r="E1298" s="40"/>
      <c r="F1298" s="13"/>
      <c r="G1298" s="78"/>
      <c r="H1298" s="16"/>
      <c r="I1298" s="10"/>
      <c r="J1298" s="10"/>
      <c r="K1298" s="10"/>
      <c r="L1298" s="10"/>
      <c r="M1298" s="10"/>
      <c r="N1298" s="10"/>
      <c r="O1298" s="10"/>
      <c r="P1298" s="38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  <c r="AA1298" s="16"/>
      <c r="AB1298" s="16"/>
      <c r="AC1298" s="16"/>
      <c r="AD1298" s="16"/>
      <c r="AE1298" s="16"/>
      <c r="AF1298" s="16"/>
      <c r="AG1298" s="16"/>
    </row>
    <row r="1299" spans="1:33" ht="14.25" customHeight="1" x14ac:dyDescent="0.35">
      <c r="A1299" s="18"/>
      <c r="B1299" s="64"/>
      <c r="C1299" s="18"/>
      <c r="D1299" s="19"/>
      <c r="E1299" s="40"/>
      <c r="F1299" s="13"/>
      <c r="G1299" s="78"/>
      <c r="H1299" s="16"/>
      <c r="I1299" s="10"/>
      <c r="J1299" s="10"/>
      <c r="K1299" s="10"/>
      <c r="L1299" s="10"/>
      <c r="M1299" s="10"/>
      <c r="N1299" s="10"/>
      <c r="O1299" s="10"/>
      <c r="P1299" s="38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  <c r="AA1299" s="16"/>
      <c r="AB1299" s="16"/>
      <c r="AC1299" s="16"/>
      <c r="AD1299" s="16"/>
      <c r="AE1299" s="16"/>
      <c r="AF1299" s="16"/>
      <c r="AG1299" s="16"/>
    </row>
    <row r="1300" spans="1:33" ht="14.25" customHeight="1" x14ac:dyDescent="0.35">
      <c r="A1300" s="18"/>
      <c r="B1300" s="64"/>
      <c r="C1300" s="18"/>
      <c r="D1300" s="19"/>
      <c r="E1300" s="40"/>
      <c r="F1300" s="13"/>
      <c r="G1300" s="78"/>
      <c r="H1300" s="16"/>
      <c r="I1300" s="10"/>
      <c r="J1300" s="10"/>
      <c r="K1300" s="10"/>
      <c r="L1300" s="10"/>
      <c r="M1300" s="10"/>
      <c r="N1300" s="10"/>
      <c r="O1300" s="10"/>
      <c r="P1300" s="38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  <c r="AA1300" s="16"/>
      <c r="AB1300" s="16"/>
      <c r="AC1300" s="16"/>
      <c r="AD1300" s="16"/>
      <c r="AE1300" s="16"/>
      <c r="AF1300" s="16"/>
      <c r="AG1300" s="16"/>
    </row>
    <row r="1301" spans="1:33" ht="14.25" customHeight="1" x14ac:dyDescent="0.35">
      <c r="A1301" s="18"/>
      <c r="B1301" s="64"/>
      <c r="C1301" s="18"/>
      <c r="D1301" s="19"/>
      <c r="E1301" s="40"/>
      <c r="F1301" s="13"/>
      <c r="G1301" s="78"/>
      <c r="H1301" s="16"/>
      <c r="I1301" s="10"/>
      <c r="J1301" s="10"/>
      <c r="K1301" s="10"/>
      <c r="L1301" s="10"/>
      <c r="M1301" s="10"/>
      <c r="N1301" s="10"/>
      <c r="O1301" s="10"/>
      <c r="P1301" s="38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  <c r="AA1301" s="16"/>
      <c r="AB1301" s="16"/>
      <c r="AC1301" s="16"/>
      <c r="AD1301" s="16"/>
      <c r="AE1301" s="16"/>
      <c r="AF1301" s="16"/>
      <c r="AG1301" s="16"/>
    </row>
    <row r="1302" spans="1:33" ht="14.25" customHeight="1" x14ac:dyDescent="0.35">
      <c r="A1302" s="18"/>
      <c r="B1302" s="64"/>
      <c r="C1302" s="18"/>
      <c r="D1302" s="19"/>
      <c r="E1302" s="40"/>
      <c r="F1302" s="13"/>
      <c r="G1302" s="78"/>
      <c r="H1302" s="16"/>
      <c r="I1302" s="10"/>
      <c r="J1302" s="10"/>
      <c r="K1302" s="10"/>
      <c r="L1302" s="10"/>
      <c r="M1302" s="10"/>
      <c r="N1302" s="10"/>
      <c r="O1302" s="10"/>
      <c r="P1302" s="38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  <c r="AA1302" s="16"/>
      <c r="AB1302" s="16"/>
      <c r="AC1302" s="16"/>
      <c r="AD1302" s="16"/>
      <c r="AE1302" s="16"/>
      <c r="AF1302" s="16"/>
      <c r="AG1302" s="16"/>
    </row>
    <row r="1303" spans="1:33" ht="14.25" customHeight="1" x14ac:dyDescent="0.35">
      <c r="A1303" s="18"/>
      <c r="B1303" s="64"/>
      <c r="C1303" s="18"/>
      <c r="D1303" s="19"/>
      <c r="E1303" s="40"/>
      <c r="F1303" s="13"/>
      <c r="G1303" s="78"/>
      <c r="H1303" s="16"/>
      <c r="I1303" s="10"/>
      <c r="J1303" s="10"/>
      <c r="K1303" s="10"/>
      <c r="L1303" s="10"/>
      <c r="M1303" s="10"/>
      <c r="N1303" s="10"/>
      <c r="O1303" s="10"/>
      <c r="P1303" s="38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  <c r="AA1303" s="16"/>
      <c r="AB1303" s="16"/>
      <c r="AC1303" s="16"/>
      <c r="AD1303" s="16"/>
      <c r="AE1303" s="16"/>
      <c r="AF1303" s="16"/>
      <c r="AG1303" s="16"/>
    </row>
    <row r="1304" spans="1:33" ht="14.25" customHeight="1" x14ac:dyDescent="0.35">
      <c r="A1304" s="18"/>
      <c r="B1304" s="64"/>
      <c r="C1304" s="18"/>
      <c r="D1304" s="19"/>
      <c r="E1304" s="40"/>
      <c r="F1304" s="13"/>
      <c r="G1304" s="78"/>
      <c r="H1304" s="16"/>
      <c r="I1304" s="10"/>
      <c r="J1304" s="10"/>
      <c r="K1304" s="10"/>
      <c r="L1304" s="10"/>
      <c r="M1304" s="10"/>
      <c r="N1304" s="10"/>
      <c r="O1304" s="10"/>
      <c r="P1304" s="38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  <c r="AA1304" s="16"/>
      <c r="AB1304" s="16"/>
      <c r="AC1304" s="16"/>
      <c r="AD1304" s="16"/>
      <c r="AE1304" s="16"/>
      <c r="AF1304" s="16"/>
      <c r="AG1304" s="16"/>
    </row>
    <row r="1305" spans="1:33" ht="14.25" customHeight="1" x14ac:dyDescent="0.35">
      <c r="A1305" s="18"/>
      <c r="B1305" s="64"/>
      <c r="C1305" s="18"/>
      <c r="D1305" s="19"/>
      <c r="E1305" s="40"/>
      <c r="F1305" s="13"/>
      <c r="G1305" s="78"/>
      <c r="H1305" s="16"/>
      <c r="I1305" s="10"/>
      <c r="J1305" s="10"/>
      <c r="K1305" s="10"/>
      <c r="L1305" s="10"/>
      <c r="M1305" s="10"/>
      <c r="N1305" s="10"/>
      <c r="O1305" s="10"/>
      <c r="P1305" s="38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  <c r="AA1305" s="16"/>
      <c r="AB1305" s="16"/>
      <c r="AC1305" s="16"/>
      <c r="AD1305" s="16"/>
      <c r="AE1305" s="16"/>
      <c r="AF1305" s="16"/>
      <c r="AG1305" s="16"/>
    </row>
    <row r="1306" spans="1:33" ht="14.25" customHeight="1" x14ac:dyDescent="0.35">
      <c r="A1306" s="18"/>
      <c r="B1306" s="64"/>
      <c r="C1306" s="18"/>
      <c r="D1306" s="19"/>
      <c r="E1306" s="40"/>
      <c r="F1306" s="13"/>
      <c r="G1306" s="78"/>
      <c r="H1306" s="16"/>
      <c r="I1306" s="10"/>
      <c r="J1306" s="10"/>
      <c r="K1306" s="10"/>
      <c r="L1306" s="10"/>
      <c r="M1306" s="10"/>
      <c r="N1306" s="10"/>
      <c r="O1306" s="10"/>
      <c r="P1306" s="38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  <c r="AA1306" s="16"/>
      <c r="AB1306" s="16"/>
      <c r="AC1306" s="16"/>
      <c r="AD1306" s="16"/>
      <c r="AE1306" s="16"/>
      <c r="AF1306" s="16"/>
      <c r="AG1306" s="16"/>
    </row>
    <row r="1307" spans="1:33" ht="14.25" customHeight="1" x14ac:dyDescent="0.35">
      <c r="A1307" s="18"/>
      <c r="B1307" s="64"/>
      <c r="C1307" s="18"/>
      <c r="D1307" s="19"/>
      <c r="E1307" s="40"/>
      <c r="F1307" s="13"/>
      <c r="G1307" s="78"/>
      <c r="H1307" s="16"/>
      <c r="I1307" s="10"/>
      <c r="J1307" s="10"/>
      <c r="K1307" s="10"/>
      <c r="L1307" s="10"/>
      <c r="M1307" s="10"/>
      <c r="N1307" s="10"/>
      <c r="O1307" s="10"/>
      <c r="P1307" s="38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  <c r="AA1307" s="16"/>
      <c r="AB1307" s="16"/>
      <c r="AC1307" s="16"/>
      <c r="AD1307" s="16"/>
      <c r="AE1307" s="16"/>
      <c r="AF1307" s="16"/>
      <c r="AG1307" s="16"/>
    </row>
    <row r="1308" spans="1:33" ht="14.25" customHeight="1" x14ac:dyDescent="0.35">
      <c r="A1308" s="18"/>
      <c r="B1308" s="64"/>
      <c r="C1308" s="18"/>
      <c r="D1308" s="19"/>
      <c r="E1308" s="40"/>
      <c r="F1308" s="13"/>
      <c r="G1308" s="78"/>
      <c r="H1308" s="16"/>
      <c r="I1308" s="10"/>
      <c r="J1308" s="10"/>
      <c r="K1308" s="10"/>
      <c r="L1308" s="10"/>
      <c r="M1308" s="10"/>
      <c r="N1308" s="10"/>
      <c r="O1308" s="10"/>
      <c r="P1308" s="38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  <c r="AA1308" s="16"/>
      <c r="AB1308" s="16"/>
      <c r="AC1308" s="16"/>
      <c r="AD1308" s="16"/>
      <c r="AE1308" s="16"/>
      <c r="AF1308" s="16"/>
      <c r="AG1308" s="16"/>
    </row>
    <row r="1309" spans="1:33" ht="14.25" customHeight="1" x14ac:dyDescent="0.35">
      <c r="A1309" s="18"/>
      <c r="B1309" s="64"/>
      <c r="C1309" s="18"/>
      <c r="D1309" s="19"/>
      <c r="E1309" s="40"/>
      <c r="F1309" s="13"/>
      <c r="G1309" s="78"/>
      <c r="H1309" s="16"/>
      <c r="I1309" s="10"/>
      <c r="J1309" s="10"/>
      <c r="K1309" s="10"/>
      <c r="L1309" s="10"/>
      <c r="M1309" s="10"/>
      <c r="N1309" s="10"/>
      <c r="O1309" s="10"/>
      <c r="P1309" s="38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  <c r="AA1309" s="16"/>
      <c r="AB1309" s="16"/>
      <c r="AC1309" s="16"/>
      <c r="AD1309" s="16"/>
      <c r="AE1309" s="16"/>
      <c r="AF1309" s="16"/>
      <c r="AG1309" s="16"/>
    </row>
    <row r="1310" spans="1:33" ht="14.25" customHeight="1" x14ac:dyDescent="0.35">
      <c r="A1310" s="18"/>
      <c r="B1310" s="64"/>
      <c r="C1310" s="18"/>
      <c r="D1310" s="19"/>
      <c r="E1310" s="40"/>
      <c r="F1310" s="13"/>
      <c r="G1310" s="78"/>
      <c r="H1310" s="16"/>
      <c r="I1310" s="10"/>
      <c r="J1310" s="10"/>
      <c r="K1310" s="10"/>
      <c r="L1310" s="10"/>
      <c r="M1310" s="10"/>
      <c r="N1310" s="10"/>
      <c r="O1310" s="10"/>
      <c r="P1310" s="38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  <c r="AA1310" s="16"/>
      <c r="AB1310" s="16"/>
      <c r="AC1310" s="16"/>
      <c r="AD1310" s="16"/>
      <c r="AE1310" s="16"/>
      <c r="AF1310" s="16"/>
      <c r="AG1310" s="16"/>
    </row>
    <row r="1311" spans="1:33" ht="14.25" customHeight="1" x14ac:dyDescent="0.35">
      <c r="A1311" s="18"/>
      <c r="B1311" s="64"/>
      <c r="C1311" s="18"/>
      <c r="D1311" s="19"/>
      <c r="E1311" s="40"/>
      <c r="F1311" s="13"/>
      <c r="G1311" s="78"/>
      <c r="H1311" s="16"/>
      <c r="I1311" s="10"/>
      <c r="J1311" s="10"/>
      <c r="K1311" s="10"/>
      <c r="L1311" s="10"/>
      <c r="M1311" s="10"/>
      <c r="N1311" s="10"/>
      <c r="O1311" s="10"/>
      <c r="P1311" s="38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  <c r="AA1311" s="16"/>
      <c r="AB1311" s="16"/>
      <c r="AC1311" s="16"/>
      <c r="AD1311" s="16"/>
      <c r="AE1311" s="16"/>
      <c r="AF1311" s="16"/>
      <c r="AG1311" s="16"/>
    </row>
    <row r="1312" spans="1:33" ht="14.25" customHeight="1" x14ac:dyDescent="0.35">
      <c r="A1312" s="18"/>
      <c r="B1312" s="64"/>
      <c r="C1312" s="18"/>
      <c r="D1312" s="19"/>
      <c r="E1312" s="40"/>
      <c r="F1312" s="13"/>
      <c r="G1312" s="78"/>
      <c r="H1312" s="16"/>
      <c r="I1312" s="10"/>
      <c r="J1312" s="10"/>
      <c r="K1312" s="10"/>
      <c r="L1312" s="10"/>
      <c r="M1312" s="10"/>
      <c r="N1312" s="10"/>
      <c r="O1312" s="10"/>
      <c r="P1312" s="38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  <c r="AA1312" s="16"/>
      <c r="AB1312" s="16"/>
      <c r="AC1312" s="16"/>
      <c r="AD1312" s="16"/>
      <c r="AE1312" s="16"/>
      <c r="AF1312" s="16"/>
      <c r="AG1312" s="16"/>
    </row>
    <row r="1313" spans="1:33" ht="14.25" customHeight="1" x14ac:dyDescent="0.35">
      <c r="A1313" s="18"/>
      <c r="B1313" s="64"/>
      <c r="C1313" s="18"/>
      <c r="D1313" s="19"/>
      <c r="E1313" s="40"/>
      <c r="F1313" s="13"/>
      <c r="G1313" s="78"/>
      <c r="H1313" s="16"/>
      <c r="I1313" s="10"/>
      <c r="J1313" s="10"/>
      <c r="K1313" s="10"/>
      <c r="L1313" s="10"/>
      <c r="M1313" s="10"/>
      <c r="N1313" s="10"/>
      <c r="O1313" s="10"/>
      <c r="P1313" s="38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  <c r="AA1313" s="16"/>
      <c r="AB1313" s="16"/>
      <c r="AC1313" s="16"/>
      <c r="AD1313" s="16"/>
      <c r="AE1313" s="16"/>
      <c r="AF1313" s="16"/>
      <c r="AG1313" s="16"/>
    </row>
    <row r="1314" spans="1:33" ht="14.25" customHeight="1" x14ac:dyDescent="0.35">
      <c r="A1314" s="18"/>
      <c r="B1314" s="64"/>
      <c r="C1314" s="18"/>
      <c r="D1314" s="19"/>
      <c r="E1314" s="40"/>
      <c r="F1314" s="13"/>
      <c r="G1314" s="78"/>
      <c r="H1314" s="16"/>
      <c r="I1314" s="10"/>
      <c r="J1314" s="10"/>
      <c r="K1314" s="10"/>
      <c r="L1314" s="10"/>
      <c r="M1314" s="10"/>
      <c r="N1314" s="10"/>
      <c r="O1314" s="10"/>
      <c r="P1314" s="38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  <c r="AA1314" s="16"/>
      <c r="AB1314" s="16"/>
      <c r="AC1314" s="16"/>
      <c r="AD1314" s="16"/>
      <c r="AE1314" s="16"/>
      <c r="AF1314" s="16"/>
      <c r="AG1314" s="16"/>
    </row>
    <row r="1315" spans="1:33" ht="14.25" customHeight="1" x14ac:dyDescent="0.35">
      <c r="A1315" s="18"/>
      <c r="B1315" s="64"/>
      <c r="C1315" s="18"/>
      <c r="D1315" s="19"/>
      <c r="E1315" s="40"/>
      <c r="F1315" s="13"/>
      <c r="G1315" s="78"/>
      <c r="H1315" s="16"/>
      <c r="I1315" s="10"/>
      <c r="J1315" s="10"/>
      <c r="K1315" s="10"/>
      <c r="L1315" s="10"/>
      <c r="M1315" s="10"/>
      <c r="N1315" s="10"/>
      <c r="O1315" s="10"/>
      <c r="P1315" s="38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  <c r="AA1315" s="16"/>
      <c r="AB1315" s="16"/>
      <c r="AC1315" s="16"/>
      <c r="AD1315" s="16"/>
      <c r="AE1315" s="16"/>
      <c r="AF1315" s="16"/>
      <c r="AG1315" s="16"/>
    </row>
    <row r="1316" spans="1:33" ht="14.25" customHeight="1" x14ac:dyDescent="0.35">
      <c r="A1316" s="18"/>
      <c r="B1316" s="64"/>
      <c r="C1316" s="18"/>
      <c r="D1316" s="19"/>
      <c r="E1316" s="40"/>
      <c r="F1316" s="13"/>
      <c r="G1316" s="78"/>
      <c r="H1316" s="16"/>
      <c r="I1316" s="10"/>
      <c r="J1316" s="10"/>
      <c r="K1316" s="10"/>
      <c r="L1316" s="10"/>
      <c r="M1316" s="10"/>
      <c r="N1316" s="10"/>
      <c r="O1316" s="10"/>
      <c r="P1316" s="38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  <c r="AA1316" s="16"/>
      <c r="AB1316" s="16"/>
      <c r="AC1316" s="16"/>
      <c r="AD1316" s="16"/>
      <c r="AE1316" s="16"/>
      <c r="AF1316" s="16"/>
      <c r="AG1316" s="16"/>
    </row>
    <row r="1317" spans="1:33" ht="14.25" customHeight="1" x14ac:dyDescent="0.35">
      <c r="A1317" s="18"/>
      <c r="B1317" s="64"/>
      <c r="C1317" s="18"/>
      <c r="D1317" s="19"/>
      <c r="E1317" s="40"/>
      <c r="F1317" s="13"/>
      <c r="G1317" s="78"/>
      <c r="H1317" s="16"/>
      <c r="I1317" s="10"/>
      <c r="J1317" s="10"/>
      <c r="K1317" s="10"/>
      <c r="L1317" s="10"/>
      <c r="M1317" s="10"/>
      <c r="N1317" s="10"/>
      <c r="O1317" s="10"/>
      <c r="P1317" s="38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  <c r="AA1317" s="16"/>
      <c r="AB1317" s="16"/>
      <c r="AC1317" s="16"/>
      <c r="AD1317" s="16"/>
      <c r="AE1317" s="16"/>
      <c r="AF1317" s="16"/>
      <c r="AG1317" s="16"/>
    </row>
    <row r="1318" spans="1:33" ht="14.25" customHeight="1" x14ac:dyDescent="0.35">
      <c r="A1318" s="18"/>
      <c r="B1318" s="64"/>
      <c r="C1318" s="18"/>
      <c r="D1318" s="19"/>
      <c r="E1318" s="40"/>
      <c r="F1318" s="13"/>
      <c r="G1318" s="78"/>
      <c r="H1318" s="16"/>
      <c r="I1318" s="10"/>
      <c r="J1318" s="10"/>
      <c r="K1318" s="10"/>
      <c r="L1318" s="10"/>
      <c r="M1318" s="10"/>
      <c r="N1318" s="10"/>
      <c r="O1318" s="10"/>
      <c r="P1318" s="38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  <c r="AA1318" s="16"/>
      <c r="AB1318" s="16"/>
      <c r="AC1318" s="16"/>
      <c r="AD1318" s="16"/>
      <c r="AE1318" s="16"/>
      <c r="AF1318" s="16"/>
      <c r="AG1318" s="16"/>
    </row>
    <row r="1319" spans="1:33" ht="14.25" customHeight="1" x14ac:dyDescent="0.35">
      <c r="A1319" s="18"/>
      <c r="B1319" s="64"/>
      <c r="C1319" s="18"/>
      <c r="D1319" s="19"/>
      <c r="E1319" s="40"/>
      <c r="F1319" s="13"/>
      <c r="G1319" s="78"/>
      <c r="H1319" s="16"/>
      <c r="I1319" s="10"/>
      <c r="J1319" s="10"/>
      <c r="K1319" s="10"/>
      <c r="L1319" s="10"/>
      <c r="M1319" s="10"/>
      <c r="N1319" s="10"/>
      <c r="O1319" s="10"/>
      <c r="P1319" s="38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  <c r="AA1319" s="16"/>
      <c r="AB1319" s="16"/>
      <c r="AC1319" s="16"/>
      <c r="AD1319" s="16"/>
      <c r="AE1319" s="16"/>
      <c r="AF1319" s="16"/>
      <c r="AG1319" s="16"/>
    </row>
    <row r="1320" spans="1:33" ht="14.25" customHeight="1" x14ac:dyDescent="0.35">
      <c r="A1320" s="18"/>
      <c r="B1320" s="64"/>
      <c r="C1320" s="18"/>
      <c r="D1320" s="19"/>
      <c r="E1320" s="40"/>
      <c r="F1320" s="13"/>
      <c r="G1320" s="78"/>
      <c r="H1320" s="16"/>
      <c r="I1320" s="10"/>
      <c r="J1320" s="10"/>
      <c r="K1320" s="10"/>
      <c r="L1320" s="10"/>
      <c r="M1320" s="10"/>
      <c r="N1320" s="10"/>
      <c r="O1320" s="10"/>
      <c r="P1320" s="38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  <c r="AA1320" s="16"/>
      <c r="AB1320" s="16"/>
      <c r="AC1320" s="16"/>
      <c r="AD1320" s="16"/>
      <c r="AE1320" s="16"/>
      <c r="AF1320" s="16"/>
      <c r="AG1320" s="16"/>
    </row>
    <row r="1321" spans="1:33" ht="14.25" customHeight="1" x14ac:dyDescent="0.35">
      <c r="A1321" s="18"/>
      <c r="B1321" s="64"/>
      <c r="C1321" s="18"/>
      <c r="D1321" s="19"/>
      <c r="E1321" s="40"/>
      <c r="F1321" s="13"/>
      <c r="G1321" s="78"/>
      <c r="H1321" s="16"/>
      <c r="I1321" s="10"/>
      <c r="J1321" s="10"/>
      <c r="K1321" s="10"/>
      <c r="L1321" s="10"/>
      <c r="M1321" s="10"/>
      <c r="N1321" s="10"/>
      <c r="O1321" s="10"/>
      <c r="P1321" s="38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  <c r="AA1321" s="16"/>
      <c r="AB1321" s="16"/>
      <c r="AC1321" s="16"/>
      <c r="AD1321" s="16"/>
      <c r="AE1321" s="16"/>
      <c r="AF1321" s="16"/>
      <c r="AG1321" s="16"/>
    </row>
    <row r="1322" spans="1:33" ht="14.25" customHeight="1" x14ac:dyDescent="0.35">
      <c r="A1322" s="18"/>
      <c r="B1322" s="64"/>
      <c r="C1322" s="18"/>
      <c r="D1322" s="19"/>
      <c r="E1322" s="40"/>
      <c r="F1322" s="13"/>
      <c r="G1322" s="78"/>
      <c r="H1322" s="16"/>
      <c r="I1322" s="10"/>
      <c r="J1322" s="10"/>
      <c r="K1322" s="10"/>
      <c r="L1322" s="10"/>
      <c r="M1322" s="10"/>
      <c r="N1322" s="10"/>
      <c r="O1322" s="10"/>
      <c r="P1322" s="38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  <c r="AA1322" s="16"/>
      <c r="AB1322" s="16"/>
      <c r="AC1322" s="16"/>
      <c r="AD1322" s="16"/>
      <c r="AE1322" s="16"/>
      <c r="AF1322" s="16"/>
      <c r="AG1322" s="16"/>
    </row>
    <row r="1323" spans="1:33" ht="14.25" customHeight="1" x14ac:dyDescent="0.35">
      <c r="A1323" s="18"/>
      <c r="B1323" s="64"/>
      <c r="C1323" s="18"/>
      <c r="D1323" s="19"/>
      <c r="E1323" s="40"/>
      <c r="F1323" s="13"/>
      <c r="G1323" s="78"/>
      <c r="H1323" s="16"/>
      <c r="I1323" s="10"/>
      <c r="J1323" s="10"/>
      <c r="K1323" s="10"/>
      <c r="L1323" s="10"/>
      <c r="M1323" s="10"/>
      <c r="N1323" s="10"/>
      <c r="O1323" s="10"/>
      <c r="P1323" s="38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  <c r="AA1323" s="16"/>
      <c r="AB1323" s="16"/>
      <c r="AC1323" s="16"/>
      <c r="AD1323" s="16"/>
      <c r="AE1323" s="16"/>
      <c r="AF1323" s="16"/>
      <c r="AG1323" s="16"/>
    </row>
    <row r="1324" spans="1:33" ht="14.25" customHeight="1" x14ac:dyDescent="0.35">
      <c r="A1324" s="18"/>
      <c r="B1324" s="64"/>
      <c r="C1324" s="18"/>
      <c r="D1324" s="19"/>
      <c r="E1324" s="40"/>
      <c r="F1324" s="13"/>
      <c r="G1324" s="78"/>
      <c r="H1324" s="16"/>
      <c r="I1324" s="10"/>
      <c r="J1324" s="10"/>
      <c r="K1324" s="10"/>
      <c r="L1324" s="10"/>
      <c r="M1324" s="10"/>
      <c r="N1324" s="10"/>
      <c r="O1324" s="10"/>
      <c r="P1324" s="38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  <c r="AA1324" s="16"/>
      <c r="AB1324" s="16"/>
      <c r="AC1324" s="16"/>
      <c r="AD1324" s="16"/>
      <c r="AE1324" s="16"/>
      <c r="AF1324" s="16"/>
      <c r="AG1324" s="16"/>
    </row>
    <row r="1325" spans="1:33" ht="14.25" customHeight="1" x14ac:dyDescent="0.35">
      <c r="A1325" s="18"/>
      <c r="B1325" s="64"/>
      <c r="C1325" s="18"/>
      <c r="D1325" s="19"/>
      <c r="E1325" s="40"/>
      <c r="F1325" s="13"/>
      <c r="G1325" s="78"/>
      <c r="H1325" s="16"/>
      <c r="I1325" s="10"/>
      <c r="J1325" s="10"/>
      <c r="K1325" s="10"/>
      <c r="L1325" s="10"/>
      <c r="M1325" s="10"/>
      <c r="N1325" s="10"/>
      <c r="O1325" s="10"/>
      <c r="P1325" s="38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  <c r="AA1325" s="16"/>
      <c r="AB1325" s="16"/>
      <c r="AC1325" s="16"/>
      <c r="AD1325" s="16"/>
      <c r="AE1325" s="16"/>
      <c r="AF1325" s="16"/>
      <c r="AG1325" s="16"/>
    </row>
    <row r="1326" spans="1:33" ht="14.25" customHeight="1" x14ac:dyDescent="0.35">
      <c r="A1326" s="18"/>
      <c r="B1326" s="64"/>
      <c r="C1326" s="18"/>
      <c r="D1326" s="19"/>
      <c r="E1326" s="40"/>
      <c r="F1326" s="13"/>
      <c r="G1326" s="78"/>
      <c r="H1326" s="16"/>
      <c r="I1326" s="10"/>
      <c r="J1326" s="10"/>
      <c r="K1326" s="10"/>
      <c r="L1326" s="10"/>
      <c r="M1326" s="10"/>
      <c r="N1326" s="10"/>
      <c r="O1326" s="10"/>
      <c r="P1326" s="38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  <c r="AA1326" s="16"/>
      <c r="AB1326" s="16"/>
      <c r="AC1326" s="16"/>
      <c r="AD1326" s="16"/>
      <c r="AE1326" s="16"/>
      <c r="AF1326" s="16"/>
      <c r="AG1326" s="16"/>
    </row>
    <row r="1327" spans="1:33" ht="14.25" customHeight="1" x14ac:dyDescent="0.35">
      <c r="A1327" s="18"/>
      <c r="B1327" s="64"/>
      <c r="C1327" s="18"/>
      <c r="D1327" s="19"/>
      <c r="E1327" s="40"/>
      <c r="F1327" s="13"/>
      <c r="G1327" s="78"/>
      <c r="H1327" s="16"/>
      <c r="I1327" s="10"/>
      <c r="J1327" s="10"/>
      <c r="K1327" s="10"/>
      <c r="L1327" s="10"/>
      <c r="M1327" s="10"/>
      <c r="N1327" s="10"/>
      <c r="O1327" s="10"/>
      <c r="P1327" s="38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  <c r="AA1327" s="16"/>
      <c r="AB1327" s="16"/>
      <c r="AC1327" s="16"/>
      <c r="AD1327" s="16"/>
      <c r="AE1327" s="16"/>
      <c r="AF1327" s="16"/>
      <c r="AG1327" s="16"/>
    </row>
    <row r="1328" spans="1:33" ht="14.25" customHeight="1" x14ac:dyDescent="0.35">
      <c r="A1328" s="18"/>
      <c r="B1328" s="64"/>
      <c r="C1328" s="18"/>
      <c r="D1328" s="19"/>
      <c r="E1328" s="40"/>
      <c r="F1328" s="13"/>
      <c r="G1328" s="78"/>
      <c r="H1328" s="16"/>
      <c r="I1328" s="10"/>
      <c r="J1328" s="10"/>
      <c r="K1328" s="10"/>
      <c r="L1328" s="10"/>
      <c r="M1328" s="10"/>
      <c r="N1328" s="10"/>
      <c r="O1328" s="10"/>
      <c r="P1328" s="38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  <c r="AA1328" s="16"/>
      <c r="AB1328" s="16"/>
      <c r="AC1328" s="16"/>
      <c r="AD1328" s="16"/>
      <c r="AE1328" s="16"/>
      <c r="AF1328" s="16"/>
      <c r="AG1328" s="16"/>
    </row>
    <row r="1329" spans="1:33" ht="14.25" customHeight="1" x14ac:dyDescent="0.35">
      <c r="A1329" s="18"/>
      <c r="B1329" s="64"/>
      <c r="C1329" s="18"/>
      <c r="D1329" s="19"/>
      <c r="E1329" s="40"/>
      <c r="F1329" s="13"/>
      <c r="G1329" s="78"/>
      <c r="H1329" s="16"/>
      <c r="I1329" s="10"/>
      <c r="J1329" s="10"/>
      <c r="K1329" s="10"/>
      <c r="L1329" s="10"/>
      <c r="M1329" s="10"/>
      <c r="N1329" s="10"/>
      <c r="O1329" s="10"/>
      <c r="P1329" s="38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  <c r="AA1329" s="16"/>
      <c r="AB1329" s="16"/>
      <c r="AC1329" s="16"/>
      <c r="AD1329" s="16"/>
      <c r="AE1329" s="16"/>
      <c r="AF1329" s="16"/>
      <c r="AG1329" s="16"/>
    </row>
    <row r="1330" spans="1:33" ht="14.25" customHeight="1" x14ac:dyDescent="0.35">
      <c r="A1330" s="18"/>
      <c r="B1330" s="64"/>
      <c r="C1330" s="18"/>
      <c r="D1330" s="19"/>
      <c r="E1330" s="40"/>
      <c r="F1330" s="13"/>
      <c r="G1330" s="78"/>
      <c r="H1330" s="16"/>
      <c r="I1330" s="10"/>
      <c r="J1330" s="10"/>
      <c r="K1330" s="10"/>
      <c r="L1330" s="10"/>
      <c r="M1330" s="10"/>
      <c r="N1330" s="10"/>
      <c r="O1330" s="10"/>
      <c r="P1330" s="38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  <c r="AA1330" s="16"/>
      <c r="AB1330" s="16"/>
      <c r="AC1330" s="16"/>
      <c r="AD1330" s="16"/>
      <c r="AE1330" s="16"/>
      <c r="AF1330" s="16"/>
      <c r="AG1330" s="16"/>
    </row>
    <row r="1331" spans="1:33" ht="14.25" customHeight="1" x14ac:dyDescent="0.35">
      <c r="A1331" s="18"/>
      <c r="B1331" s="64"/>
      <c r="C1331" s="18"/>
      <c r="D1331" s="19"/>
      <c r="E1331" s="40"/>
      <c r="F1331" s="13"/>
      <c r="G1331" s="78"/>
      <c r="H1331" s="16"/>
      <c r="I1331" s="10"/>
      <c r="J1331" s="10"/>
      <c r="K1331" s="10"/>
      <c r="L1331" s="10"/>
      <c r="M1331" s="10"/>
      <c r="N1331" s="10"/>
      <c r="O1331" s="10"/>
      <c r="P1331" s="38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  <c r="AA1331" s="16"/>
      <c r="AB1331" s="16"/>
      <c r="AC1331" s="16"/>
      <c r="AD1331" s="16"/>
      <c r="AE1331" s="16"/>
      <c r="AF1331" s="16"/>
      <c r="AG1331" s="16"/>
    </row>
    <row r="1332" spans="1:33" ht="14.25" customHeight="1" x14ac:dyDescent="0.35">
      <c r="A1332" s="18"/>
      <c r="B1332" s="64"/>
      <c r="C1332" s="18"/>
      <c r="D1332" s="19"/>
      <c r="E1332" s="40"/>
      <c r="F1332" s="13"/>
      <c r="G1332" s="78"/>
      <c r="H1332" s="16"/>
      <c r="I1332" s="10"/>
      <c r="J1332" s="10"/>
      <c r="K1332" s="10"/>
      <c r="L1332" s="10"/>
      <c r="M1332" s="10"/>
      <c r="N1332" s="10"/>
      <c r="O1332" s="10"/>
      <c r="P1332" s="38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  <c r="AA1332" s="16"/>
      <c r="AB1332" s="16"/>
      <c r="AC1332" s="16"/>
      <c r="AD1332" s="16"/>
      <c r="AE1332" s="16"/>
      <c r="AF1332" s="16"/>
      <c r="AG1332" s="16"/>
    </row>
    <row r="1333" spans="1:33" ht="14.25" customHeight="1" x14ac:dyDescent="0.35">
      <c r="A1333" s="18"/>
      <c r="B1333" s="64"/>
      <c r="C1333" s="18"/>
      <c r="D1333" s="19"/>
      <c r="E1333" s="40"/>
      <c r="F1333" s="13"/>
      <c r="G1333" s="78"/>
      <c r="H1333" s="16"/>
      <c r="I1333" s="10"/>
      <c r="J1333" s="10"/>
      <c r="K1333" s="10"/>
      <c r="L1333" s="10"/>
      <c r="M1333" s="10"/>
      <c r="N1333" s="10"/>
      <c r="O1333" s="10"/>
      <c r="P1333" s="38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  <c r="AA1333" s="16"/>
      <c r="AB1333" s="16"/>
      <c r="AC1333" s="16"/>
      <c r="AD1333" s="16"/>
      <c r="AE1333" s="16"/>
      <c r="AF1333" s="16"/>
      <c r="AG1333" s="16"/>
    </row>
    <row r="1334" spans="1:33" ht="14.25" customHeight="1" x14ac:dyDescent="0.35">
      <c r="A1334" s="18"/>
      <c r="B1334" s="64"/>
      <c r="C1334" s="18"/>
      <c r="D1334" s="19"/>
      <c r="E1334" s="40"/>
      <c r="F1334" s="13"/>
      <c r="G1334" s="78"/>
      <c r="H1334" s="16"/>
      <c r="I1334" s="10"/>
      <c r="J1334" s="10"/>
      <c r="K1334" s="10"/>
      <c r="L1334" s="10"/>
      <c r="M1334" s="10"/>
      <c r="N1334" s="10"/>
      <c r="O1334" s="10"/>
      <c r="P1334" s="38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  <c r="AA1334" s="16"/>
      <c r="AB1334" s="16"/>
      <c r="AC1334" s="16"/>
      <c r="AD1334" s="16"/>
      <c r="AE1334" s="16"/>
      <c r="AF1334" s="16"/>
      <c r="AG1334" s="16"/>
    </row>
    <row r="1335" spans="1:33" ht="14.25" customHeight="1" x14ac:dyDescent="0.35">
      <c r="A1335" s="18"/>
      <c r="B1335" s="64"/>
      <c r="C1335" s="18"/>
      <c r="D1335" s="19"/>
      <c r="E1335" s="40"/>
      <c r="F1335" s="13"/>
      <c r="G1335" s="78"/>
      <c r="H1335" s="16"/>
      <c r="I1335" s="10"/>
      <c r="J1335" s="10"/>
      <c r="K1335" s="10"/>
      <c r="L1335" s="10"/>
      <c r="M1335" s="10"/>
      <c r="N1335" s="10"/>
      <c r="O1335" s="10"/>
      <c r="P1335" s="38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  <c r="AA1335" s="16"/>
      <c r="AB1335" s="16"/>
      <c r="AC1335" s="16"/>
      <c r="AD1335" s="16"/>
      <c r="AE1335" s="16"/>
      <c r="AF1335" s="16"/>
      <c r="AG1335" s="16"/>
    </row>
    <row r="1336" spans="1:33" ht="14.25" customHeight="1" x14ac:dyDescent="0.35">
      <c r="A1336" s="18"/>
      <c r="B1336" s="64"/>
      <c r="C1336" s="18"/>
      <c r="D1336" s="19"/>
      <c r="E1336" s="40"/>
      <c r="F1336" s="13"/>
      <c r="G1336" s="78"/>
      <c r="H1336" s="16"/>
      <c r="I1336" s="10"/>
      <c r="J1336" s="10"/>
      <c r="K1336" s="10"/>
      <c r="L1336" s="10"/>
      <c r="M1336" s="10"/>
      <c r="N1336" s="10"/>
      <c r="O1336" s="10"/>
      <c r="P1336" s="38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  <c r="AA1336" s="16"/>
      <c r="AB1336" s="16"/>
      <c r="AC1336" s="16"/>
      <c r="AD1336" s="16"/>
      <c r="AE1336" s="16"/>
      <c r="AF1336" s="16"/>
      <c r="AG1336" s="16"/>
    </row>
    <row r="1337" spans="1:33" ht="14.25" customHeight="1" x14ac:dyDescent="0.35">
      <c r="A1337" s="18"/>
      <c r="B1337" s="64"/>
      <c r="C1337" s="18"/>
      <c r="D1337" s="19"/>
      <c r="E1337" s="40"/>
      <c r="F1337" s="13"/>
      <c r="G1337" s="78"/>
      <c r="H1337" s="16"/>
      <c r="I1337" s="10"/>
      <c r="J1337" s="10"/>
      <c r="K1337" s="10"/>
      <c r="L1337" s="10"/>
      <c r="M1337" s="10"/>
      <c r="N1337" s="10"/>
      <c r="O1337" s="10"/>
      <c r="P1337" s="38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  <c r="AA1337" s="16"/>
      <c r="AB1337" s="16"/>
      <c r="AC1337" s="16"/>
      <c r="AD1337" s="16"/>
      <c r="AE1337" s="16"/>
      <c r="AF1337" s="16"/>
      <c r="AG1337" s="16"/>
    </row>
    <row r="1338" spans="1:33" ht="14.25" customHeight="1" x14ac:dyDescent="0.35">
      <c r="A1338" s="18"/>
      <c r="B1338" s="64"/>
      <c r="C1338" s="18"/>
      <c r="D1338" s="19"/>
      <c r="E1338" s="40"/>
      <c r="F1338" s="13"/>
      <c r="G1338" s="78"/>
      <c r="H1338" s="16"/>
      <c r="I1338" s="10"/>
      <c r="J1338" s="10"/>
      <c r="K1338" s="10"/>
      <c r="L1338" s="10"/>
      <c r="M1338" s="10"/>
      <c r="N1338" s="10"/>
      <c r="O1338" s="10"/>
      <c r="P1338" s="38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  <c r="AA1338" s="16"/>
      <c r="AB1338" s="16"/>
      <c r="AC1338" s="16"/>
      <c r="AD1338" s="16"/>
      <c r="AE1338" s="16"/>
      <c r="AF1338" s="16"/>
      <c r="AG1338" s="16"/>
    </row>
    <row r="1339" spans="1:33" ht="14.25" customHeight="1" x14ac:dyDescent="0.35">
      <c r="A1339" s="18"/>
      <c r="B1339" s="64"/>
      <c r="C1339" s="18"/>
      <c r="D1339" s="19"/>
      <c r="E1339" s="40"/>
      <c r="F1339" s="13"/>
      <c r="G1339" s="78"/>
      <c r="H1339" s="16"/>
      <c r="I1339" s="10"/>
      <c r="J1339" s="10"/>
      <c r="K1339" s="10"/>
      <c r="L1339" s="10"/>
      <c r="M1339" s="10"/>
      <c r="N1339" s="10"/>
      <c r="O1339" s="10"/>
      <c r="P1339" s="38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  <c r="AA1339" s="16"/>
      <c r="AB1339" s="16"/>
      <c r="AC1339" s="16"/>
      <c r="AD1339" s="16"/>
      <c r="AE1339" s="16"/>
      <c r="AF1339" s="16"/>
      <c r="AG1339" s="16"/>
    </row>
    <row r="1340" spans="1:33" ht="14.25" customHeight="1" x14ac:dyDescent="0.35">
      <c r="A1340" s="18"/>
      <c r="B1340" s="64"/>
      <c r="C1340" s="18"/>
      <c r="D1340" s="19"/>
      <c r="E1340" s="40"/>
      <c r="F1340" s="13"/>
      <c r="G1340" s="78"/>
      <c r="H1340" s="16"/>
      <c r="I1340" s="10"/>
      <c r="J1340" s="10"/>
      <c r="K1340" s="10"/>
      <c r="L1340" s="10"/>
      <c r="M1340" s="10"/>
      <c r="N1340" s="10"/>
      <c r="O1340" s="10"/>
      <c r="P1340" s="38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  <c r="AA1340" s="16"/>
      <c r="AB1340" s="16"/>
      <c r="AC1340" s="16"/>
      <c r="AD1340" s="16"/>
      <c r="AE1340" s="16"/>
      <c r="AF1340" s="16"/>
      <c r="AG1340" s="16"/>
    </row>
    <row r="1341" spans="1:33" ht="14.25" customHeight="1" x14ac:dyDescent="0.35">
      <c r="A1341" s="18"/>
      <c r="B1341" s="64"/>
      <c r="C1341" s="18"/>
      <c r="D1341" s="19"/>
      <c r="E1341" s="40"/>
      <c r="F1341" s="13"/>
      <c r="G1341" s="78"/>
      <c r="H1341" s="16"/>
      <c r="I1341" s="10"/>
      <c r="J1341" s="10"/>
      <c r="K1341" s="10"/>
      <c r="L1341" s="10"/>
      <c r="M1341" s="10"/>
      <c r="N1341" s="10"/>
      <c r="O1341" s="10"/>
      <c r="P1341" s="38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  <c r="AA1341" s="16"/>
      <c r="AB1341" s="16"/>
      <c r="AC1341" s="16"/>
      <c r="AD1341" s="16"/>
      <c r="AE1341" s="16"/>
      <c r="AF1341" s="16"/>
      <c r="AG1341" s="16"/>
    </row>
    <row r="1342" spans="1:33" ht="14.25" customHeight="1" x14ac:dyDescent="0.35">
      <c r="A1342" s="18"/>
      <c r="B1342" s="64"/>
      <c r="C1342" s="18"/>
      <c r="D1342" s="19"/>
      <c r="E1342" s="40"/>
      <c r="F1342" s="13"/>
      <c r="G1342" s="78"/>
      <c r="H1342" s="16"/>
      <c r="I1342" s="10"/>
      <c r="J1342" s="10"/>
      <c r="K1342" s="10"/>
      <c r="L1342" s="10"/>
      <c r="M1342" s="10"/>
      <c r="N1342" s="10"/>
      <c r="O1342" s="10"/>
      <c r="P1342" s="38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  <c r="AA1342" s="16"/>
      <c r="AB1342" s="16"/>
      <c r="AC1342" s="16"/>
      <c r="AD1342" s="16"/>
      <c r="AE1342" s="16"/>
      <c r="AF1342" s="16"/>
      <c r="AG1342" s="16"/>
    </row>
    <row r="1343" spans="1:33" ht="14.25" customHeight="1" x14ac:dyDescent="0.35">
      <c r="A1343" s="18"/>
      <c r="B1343" s="64"/>
      <c r="C1343" s="18"/>
      <c r="D1343" s="19"/>
      <c r="E1343" s="40"/>
      <c r="F1343" s="13"/>
      <c r="G1343" s="78"/>
      <c r="H1343" s="16"/>
      <c r="I1343" s="10"/>
      <c r="J1343" s="10"/>
      <c r="K1343" s="10"/>
      <c r="L1343" s="10"/>
      <c r="M1343" s="10"/>
      <c r="N1343" s="10"/>
      <c r="O1343" s="10"/>
      <c r="P1343" s="38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  <c r="AA1343" s="16"/>
      <c r="AB1343" s="16"/>
      <c r="AC1343" s="16"/>
      <c r="AD1343" s="16"/>
      <c r="AE1343" s="16"/>
      <c r="AF1343" s="16"/>
      <c r="AG1343" s="16"/>
    </row>
    <row r="1344" spans="1:33" ht="14.25" customHeight="1" x14ac:dyDescent="0.35">
      <c r="A1344" s="18"/>
      <c r="B1344" s="64"/>
      <c r="C1344" s="18"/>
      <c r="D1344" s="19"/>
      <c r="E1344" s="40"/>
      <c r="F1344" s="13"/>
      <c r="G1344" s="78"/>
      <c r="H1344" s="16"/>
      <c r="I1344" s="10"/>
      <c r="J1344" s="10"/>
      <c r="K1344" s="10"/>
      <c r="L1344" s="10"/>
      <c r="M1344" s="10"/>
      <c r="N1344" s="10"/>
      <c r="O1344" s="10"/>
      <c r="P1344" s="38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  <c r="AA1344" s="16"/>
      <c r="AB1344" s="16"/>
      <c r="AC1344" s="16"/>
      <c r="AD1344" s="16"/>
      <c r="AE1344" s="16"/>
      <c r="AF1344" s="16"/>
      <c r="AG1344" s="16"/>
    </row>
    <row r="1345" spans="1:33" ht="14.25" customHeight="1" x14ac:dyDescent="0.35">
      <c r="A1345" s="18"/>
      <c r="B1345" s="64"/>
      <c r="C1345" s="18"/>
      <c r="D1345" s="19"/>
      <c r="E1345" s="40"/>
      <c r="F1345" s="13"/>
      <c r="G1345" s="78"/>
      <c r="H1345" s="16"/>
      <c r="I1345" s="10"/>
      <c r="J1345" s="10"/>
      <c r="K1345" s="10"/>
      <c r="L1345" s="10"/>
      <c r="M1345" s="10"/>
      <c r="N1345" s="10"/>
      <c r="O1345" s="10"/>
      <c r="P1345" s="38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  <c r="AA1345" s="16"/>
      <c r="AB1345" s="16"/>
      <c r="AC1345" s="16"/>
      <c r="AD1345" s="16"/>
      <c r="AE1345" s="16"/>
      <c r="AF1345" s="16"/>
      <c r="AG1345" s="16"/>
    </row>
    <row r="1346" spans="1:33" ht="14.25" customHeight="1" x14ac:dyDescent="0.35">
      <c r="A1346" s="18"/>
      <c r="B1346" s="64"/>
      <c r="C1346" s="18"/>
      <c r="D1346" s="19"/>
      <c r="E1346" s="40"/>
      <c r="F1346" s="13"/>
      <c r="G1346" s="78"/>
      <c r="H1346" s="16"/>
      <c r="I1346" s="10"/>
      <c r="J1346" s="10"/>
      <c r="K1346" s="10"/>
      <c r="L1346" s="10"/>
      <c r="M1346" s="10"/>
      <c r="N1346" s="10"/>
      <c r="O1346" s="10"/>
      <c r="P1346" s="38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  <c r="AA1346" s="16"/>
      <c r="AB1346" s="16"/>
      <c r="AC1346" s="16"/>
      <c r="AD1346" s="16"/>
      <c r="AE1346" s="16"/>
      <c r="AF1346" s="16"/>
      <c r="AG1346" s="16"/>
    </row>
    <row r="1347" spans="1:33" ht="14.25" customHeight="1" x14ac:dyDescent="0.35">
      <c r="A1347" s="18"/>
      <c r="B1347" s="64"/>
      <c r="C1347" s="18"/>
      <c r="D1347" s="19"/>
      <c r="E1347" s="40"/>
      <c r="F1347" s="13"/>
      <c r="G1347" s="78"/>
      <c r="H1347" s="16"/>
      <c r="I1347" s="10"/>
      <c r="J1347" s="10"/>
      <c r="K1347" s="10"/>
      <c r="L1347" s="10"/>
      <c r="M1347" s="10"/>
      <c r="N1347" s="10"/>
      <c r="O1347" s="10"/>
      <c r="P1347" s="38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  <c r="AA1347" s="16"/>
      <c r="AB1347" s="16"/>
      <c r="AC1347" s="16"/>
      <c r="AD1347" s="16"/>
      <c r="AE1347" s="16"/>
      <c r="AF1347" s="16"/>
      <c r="AG1347" s="16"/>
    </row>
    <row r="1348" spans="1:33" ht="14.25" customHeight="1" x14ac:dyDescent="0.35">
      <c r="A1348" s="18"/>
      <c r="B1348" s="64"/>
      <c r="C1348" s="18"/>
      <c r="D1348" s="19"/>
      <c r="E1348" s="40"/>
      <c r="F1348" s="13"/>
      <c r="G1348" s="78"/>
      <c r="H1348" s="16"/>
      <c r="I1348" s="10"/>
      <c r="J1348" s="10"/>
      <c r="K1348" s="10"/>
      <c r="L1348" s="10"/>
      <c r="M1348" s="10"/>
      <c r="N1348" s="10"/>
      <c r="O1348" s="10"/>
      <c r="P1348" s="38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  <c r="AA1348" s="16"/>
      <c r="AB1348" s="16"/>
      <c r="AC1348" s="16"/>
      <c r="AD1348" s="16"/>
      <c r="AE1348" s="16"/>
      <c r="AF1348" s="16"/>
      <c r="AG1348" s="16"/>
    </row>
    <row r="1349" spans="1:33" ht="14.25" customHeight="1" x14ac:dyDescent="0.35">
      <c r="A1349" s="18"/>
      <c r="B1349" s="64"/>
      <c r="C1349" s="18"/>
      <c r="D1349" s="19"/>
      <c r="E1349" s="40"/>
      <c r="F1349" s="13"/>
      <c r="G1349" s="78"/>
      <c r="H1349" s="16"/>
      <c r="I1349" s="10"/>
      <c r="J1349" s="10"/>
      <c r="K1349" s="10"/>
      <c r="L1349" s="10"/>
      <c r="M1349" s="10"/>
      <c r="N1349" s="10"/>
      <c r="O1349" s="10"/>
      <c r="P1349" s="38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  <c r="AA1349" s="16"/>
      <c r="AB1349" s="16"/>
      <c r="AC1349" s="16"/>
      <c r="AD1349" s="16"/>
      <c r="AE1349" s="16"/>
      <c r="AF1349" s="16"/>
      <c r="AG1349" s="16"/>
    </row>
    <row r="1350" spans="1:33" ht="14.25" customHeight="1" x14ac:dyDescent="0.35">
      <c r="A1350" s="18"/>
      <c r="B1350" s="64"/>
      <c r="C1350" s="18"/>
      <c r="D1350" s="19"/>
      <c r="E1350" s="40"/>
      <c r="F1350" s="13"/>
      <c r="G1350" s="78"/>
      <c r="H1350" s="16"/>
      <c r="I1350" s="10"/>
      <c r="J1350" s="10"/>
      <c r="K1350" s="10"/>
      <c r="L1350" s="10"/>
      <c r="M1350" s="10"/>
      <c r="N1350" s="10"/>
      <c r="O1350" s="10"/>
      <c r="P1350" s="38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  <c r="AA1350" s="16"/>
      <c r="AB1350" s="16"/>
      <c r="AC1350" s="16"/>
      <c r="AD1350" s="16"/>
      <c r="AE1350" s="16"/>
      <c r="AF1350" s="16"/>
      <c r="AG1350" s="16"/>
    </row>
    <row r="1351" spans="1:33" ht="14.25" customHeight="1" x14ac:dyDescent="0.35">
      <c r="A1351" s="18"/>
      <c r="B1351" s="64"/>
      <c r="C1351" s="18"/>
      <c r="D1351" s="19"/>
      <c r="E1351" s="40"/>
      <c r="F1351" s="13"/>
      <c r="G1351" s="78"/>
      <c r="H1351" s="16"/>
      <c r="I1351" s="10"/>
      <c r="J1351" s="10"/>
      <c r="K1351" s="10"/>
      <c r="L1351" s="10"/>
      <c r="M1351" s="10"/>
      <c r="N1351" s="10"/>
      <c r="O1351" s="10"/>
      <c r="P1351" s="38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  <c r="AA1351" s="16"/>
      <c r="AB1351" s="16"/>
      <c r="AC1351" s="16"/>
      <c r="AD1351" s="16"/>
      <c r="AE1351" s="16"/>
      <c r="AF1351" s="16"/>
      <c r="AG1351" s="16"/>
    </row>
    <row r="1352" spans="1:33" ht="14.25" customHeight="1" x14ac:dyDescent="0.35">
      <c r="A1352" s="18"/>
      <c r="B1352" s="64"/>
      <c r="C1352" s="18"/>
      <c r="D1352" s="19"/>
      <c r="E1352" s="40"/>
      <c r="F1352" s="13"/>
      <c r="G1352" s="78"/>
      <c r="H1352" s="16"/>
      <c r="I1352" s="10"/>
      <c r="J1352" s="10"/>
      <c r="K1352" s="10"/>
      <c r="L1352" s="10"/>
      <c r="M1352" s="10"/>
      <c r="N1352" s="10"/>
      <c r="O1352" s="10"/>
      <c r="P1352" s="38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  <c r="AA1352" s="16"/>
      <c r="AB1352" s="16"/>
      <c r="AC1352" s="16"/>
      <c r="AD1352" s="16"/>
      <c r="AE1352" s="16"/>
      <c r="AF1352" s="16"/>
      <c r="AG1352" s="16"/>
    </row>
    <row r="1353" spans="1:33" ht="14.25" customHeight="1" x14ac:dyDescent="0.35">
      <c r="A1353" s="18"/>
      <c r="B1353" s="64"/>
      <c r="C1353" s="18"/>
      <c r="D1353" s="19"/>
      <c r="E1353" s="40"/>
      <c r="F1353" s="13"/>
      <c r="G1353" s="78"/>
      <c r="H1353" s="16"/>
      <c r="I1353" s="10"/>
      <c r="J1353" s="10"/>
      <c r="K1353" s="10"/>
      <c r="L1353" s="10"/>
      <c r="M1353" s="10"/>
      <c r="N1353" s="10"/>
      <c r="O1353" s="10"/>
      <c r="P1353" s="38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  <c r="AA1353" s="16"/>
      <c r="AB1353" s="16"/>
      <c r="AC1353" s="16"/>
      <c r="AD1353" s="16"/>
      <c r="AE1353" s="16"/>
      <c r="AF1353" s="16"/>
      <c r="AG1353" s="16"/>
    </row>
    <row r="1354" spans="1:33" ht="14.25" customHeight="1" x14ac:dyDescent="0.35">
      <c r="A1354" s="18"/>
      <c r="B1354" s="64"/>
      <c r="C1354" s="18"/>
      <c r="D1354" s="19"/>
      <c r="E1354" s="40"/>
      <c r="F1354" s="13"/>
      <c r="G1354" s="78"/>
      <c r="H1354" s="16"/>
      <c r="I1354" s="10"/>
      <c r="J1354" s="10"/>
      <c r="K1354" s="10"/>
      <c r="L1354" s="10"/>
      <c r="M1354" s="10"/>
      <c r="N1354" s="10"/>
      <c r="O1354" s="10"/>
      <c r="P1354" s="38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  <c r="AA1354" s="16"/>
      <c r="AB1354" s="16"/>
      <c r="AC1354" s="16"/>
      <c r="AD1354" s="16"/>
      <c r="AE1354" s="16"/>
      <c r="AF1354" s="16"/>
      <c r="AG1354" s="16"/>
    </row>
    <row r="1355" spans="1:33" ht="14.25" customHeight="1" x14ac:dyDescent="0.35">
      <c r="A1355" s="18"/>
      <c r="B1355" s="64"/>
      <c r="C1355" s="18"/>
      <c r="D1355" s="19"/>
      <c r="E1355" s="40"/>
      <c r="F1355" s="13"/>
      <c r="G1355" s="78"/>
      <c r="H1355" s="16"/>
      <c r="I1355" s="10"/>
      <c r="J1355" s="10"/>
      <c r="K1355" s="10"/>
      <c r="L1355" s="10"/>
      <c r="M1355" s="10"/>
      <c r="N1355" s="10"/>
      <c r="O1355" s="10"/>
      <c r="P1355" s="38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  <c r="AA1355" s="16"/>
      <c r="AB1355" s="16"/>
      <c r="AC1355" s="16"/>
      <c r="AD1355" s="16"/>
      <c r="AE1355" s="16"/>
      <c r="AF1355" s="16"/>
      <c r="AG1355" s="16"/>
    </row>
    <row r="1356" spans="1:33" ht="14.25" customHeight="1" x14ac:dyDescent="0.35">
      <c r="A1356" s="18"/>
      <c r="B1356" s="64"/>
      <c r="C1356" s="18"/>
      <c r="D1356" s="19"/>
      <c r="E1356" s="40"/>
      <c r="F1356" s="13"/>
      <c r="G1356" s="78"/>
      <c r="H1356" s="16"/>
      <c r="I1356" s="10"/>
      <c r="J1356" s="10"/>
      <c r="K1356" s="10"/>
      <c r="L1356" s="10"/>
      <c r="M1356" s="10"/>
      <c r="N1356" s="10"/>
      <c r="O1356" s="10"/>
      <c r="P1356" s="38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  <c r="AA1356" s="16"/>
      <c r="AB1356" s="16"/>
      <c r="AC1356" s="16"/>
      <c r="AD1356" s="16"/>
      <c r="AE1356" s="16"/>
      <c r="AF1356" s="16"/>
      <c r="AG1356" s="16"/>
    </row>
    <row r="1357" spans="1:33" ht="14.25" customHeight="1" x14ac:dyDescent="0.35">
      <c r="A1357" s="18"/>
      <c r="B1357" s="64"/>
      <c r="C1357" s="18"/>
      <c r="D1357" s="19"/>
      <c r="E1357" s="40"/>
      <c r="F1357" s="13"/>
      <c r="G1357" s="78"/>
      <c r="H1357" s="16"/>
      <c r="I1357" s="10"/>
      <c r="J1357" s="10"/>
      <c r="K1357" s="10"/>
      <c r="L1357" s="10"/>
      <c r="M1357" s="10"/>
      <c r="N1357" s="10"/>
      <c r="O1357" s="10"/>
      <c r="P1357" s="38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  <c r="AA1357" s="16"/>
      <c r="AB1357" s="16"/>
      <c r="AC1357" s="16"/>
      <c r="AD1357" s="16"/>
      <c r="AE1357" s="16"/>
      <c r="AF1357" s="16"/>
      <c r="AG1357" s="16"/>
    </row>
    <row r="1358" spans="1:33" ht="14.25" customHeight="1" x14ac:dyDescent="0.35">
      <c r="A1358" s="18"/>
      <c r="B1358" s="64"/>
      <c r="C1358" s="18"/>
      <c r="D1358" s="19"/>
      <c r="E1358" s="40"/>
      <c r="F1358" s="13"/>
      <c r="G1358" s="78"/>
      <c r="H1358" s="16"/>
      <c r="I1358" s="10"/>
      <c r="J1358" s="10"/>
      <c r="K1358" s="10"/>
      <c r="L1358" s="10"/>
      <c r="M1358" s="10"/>
      <c r="N1358" s="10"/>
      <c r="O1358" s="10"/>
      <c r="P1358" s="38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  <c r="AA1358" s="16"/>
      <c r="AB1358" s="16"/>
      <c r="AC1358" s="16"/>
      <c r="AD1358" s="16"/>
      <c r="AE1358" s="16"/>
      <c r="AF1358" s="16"/>
      <c r="AG1358" s="16"/>
    </row>
    <row r="1359" spans="1:33" ht="14.25" customHeight="1" x14ac:dyDescent="0.35">
      <c r="A1359" s="18"/>
      <c r="B1359" s="64"/>
      <c r="C1359" s="18"/>
      <c r="D1359" s="19"/>
      <c r="E1359" s="40"/>
      <c r="F1359" s="13"/>
      <c r="G1359" s="78"/>
      <c r="H1359" s="16"/>
      <c r="I1359" s="10"/>
      <c r="J1359" s="10"/>
      <c r="K1359" s="10"/>
      <c r="L1359" s="10"/>
      <c r="M1359" s="10"/>
      <c r="N1359" s="10"/>
      <c r="O1359" s="10"/>
      <c r="P1359" s="38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  <c r="AA1359" s="16"/>
      <c r="AB1359" s="16"/>
      <c r="AC1359" s="16"/>
      <c r="AD1359" s="16"/>
      <c r="AE1359" s="16"/>
      <c r="AF1359" s="16"/>
      <c r="AG1359" s="16"/>
    </row>
    <row r="1360" spans="1:33" ht="14.25" customHeight="1" x14ac:dyDescent="0.35">
      <c r="A1360" s="18"/>
      <c r="B1360" s="64"/>
      <c r="C1360" s="18"/>
      <c r="D1360" s="19"/>
      <c r="E1360" s="40"/>
      <c r="F1360" s="13"/>
      <c r="G1360" s="78"/>
      <c r="H1360" s="16"/>
      <c r="I1360" s="10"/>
      <c r="J1360" s="10"/>
      <c r="K1360" s="10"/>
      <c r="L1360" s="10"/>
      <c r="M1360" s="10"/>
      <c r="N1360" s="10"/>
      <c r="O1360" s="10"/>
      <c r="P1360" s="38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  <c r="AA1360" s="16"/>
      <c r="AB1360" s="16"/>
      <c r="AC1360" s="16"/>
      <c r="AD1360" s="16"/>
      <c r="AE1360" s="16"/>
      <c r="AF1360" s="16"/>
      <c r="AG1360" s="16"/>
    </row>
    <row r="1361" spans="1:33" ht="14.25" customHeight="1" x14ac:dyDescent="0.35">
      <c r="A1361" s="18"/>
      <c r="B1361" s="64"/>
      <c r="C1361" s="18"/>
      <c r="D1361" s="19"/>
      <c r="E1361" s="40"/>
      <c r="F1361" s="13"/>
      <c r="G1361" s="78"/>
      <c r="H1361" s="16"/>
      <c r="I1361" s="10"/>
      <c r="J1361" s="10"/>
      <c r="K1361" s="10"/>
      <c r="L1361" s="10"/>
      <c r="M1361" s="10"/>
      <c r="N1361" s="10"/>
      <c r="O1361" s="10"/>
      <c r="P1361" s="38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  <c r="AA1361" s="16"/>
      <c r="AB1361" s="16"/>
      <c r="AC1361" s="16"/>
      <c r="AD1361" s="16"/>
      <c r="AE1361" s="16"/>
      <c r="AF1361" s="16"/>
      <c r="AG1361" s="16"/>
    </row>
    <row r="1362" spans="1:33" ht="14.25" customHeight="1" x14ac:dyDescent="0.35">
      <c r="A1362" s="18"/>
      <c r="B1362" s="64"/>
      <c r="C1362" s="18"/>
      <c r="D1362" s="19"/>
      <c r="E1362" s="40"/>
      <c r="F1362" s="13"/>
      <c r="G1362" s="78"/>
      <c r="H1362" s="16"/>
      <c r="I1362" s="10"/>
      <c r="J1362" s="10"/>
      <c r="K1362" s="10"/>
      <c r="L1362" s="10"/>
      <c r="M1362" s="10"/>
      <c r="N1362" s="10"/>
      <c r="O1362" s="10"/>
      <c r="P1362" s="38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  <c r="AA1362" s="16"/>
      <c r="AB1362" s="16"/>
      <c r="AC1362" s="16"/>
      <c r="AD1362" s="16"/>
      <c r="AE1362" s="16"/>
      <c r="AF1362" s="16"/>
      <c r="AG1362" s="16"/>
    </row>
    <row r="1363" spans="1:33" ht="14.25" customHeight="1" x14ac:dyDescent="0.35">
      <c r="A1363" s="18"/>
      <c r="B1363" s="64"/>
      <c r="C1363" s="18"/>
      <c r="D1363" s="19"/>
      <c r="E1363" s="40"/>
      <c r="F1363" s="13"/>
      <c r="G1363" s="78"/>
      <c r="H1363" s="16"/>
      <c r="I1363" s="10"/>
      <c r="J1363" s="10"/>
      <c r="K1363" s="10"/>
      <c r="L1363" s="10"/>
      <c r="M1363" s="10"/>
      <c r="N1363" s="10"/>
      <c r="O1363" s="10"/>
      <c r="P1363" s="38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  <c r="AA1363" s="16"/>
      <c r="AB1363" s="16"/>
      <c r="AC1363" s="16"/>
      <c r="AD1363" s="16"/>
      <c r="AE1363" s="16"/>
      <c r="AF1363" s="16"/>
      <c r="AG1363" s="16"/>
    </row>
    <row r="1364" spans="1:33" ht="14.25" customHeight="1" x14ac:dyDescent="0.35">
      <c r="A1364" s="18"/>
      <c r="B1364" s="64"/>
      <c r="C1364" s="18"/>
      <c r="D1364" s="19"/>
      <c r="E1364" s="40"/>
      <c r="F1364" s="13"/>
      <c r="G1364" s="78"/>
      <c r="H1364" s="16"/>
      <c r="I1364" s="10"/>
      <c r="J1364" s="10"/>
      <c r="K1364" s="10"/>
      <c r="L1364" s="10"/>
      <c r="M1364" s="10"/>
      <c r="N1364" s="10"/>
      <c r="O1364" s="10"/>
      <c r="P1364" s="38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  <c r="AA1364" s="16"/>
      <c r="AB1364" s="16"/>
      <c r="AC1364" s="16"/>
      <c r="AD1364" s="16"/>
      <c r="AE1364" s="16"/>
      <c r="AF1364" s="16"/>
      <c r="AG1364" s="16"/>
    </row>
    <row r="1365" spans="1:33" ht="14.25" customHeight="1" x14ac:dyDescent="0.35">
      <c r="A1365" s="18"/>
      <c r="B1365" s="64"/>
      <c r="C1365" s="18"/>
      <c r="D1365" s="19"/>
      <c r="E1365" s="40"/>
      <c r="F1365" s="13"/>
      <c r="G1365" s="78"/>
      <c r="H1365" s="16"/>
      <c r="I1365" s="10"/>
      <c r="J1365" s="10"/>
      <c r="K1365" s="10"/>
      <c r="L1365" s="10"/>
      <c r="M1365" s="10"/>
      <c r="N1365" s="10"/>
      <c r="O1365" s="10"/>
      <c r="P1365" s="38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  <c r="AA1365" s="16"/>
      <c r="AB1365" s="16"/>
      <c r="AC1365" s="16"/>
      <c r="AD1365" s="16"/>
      <c r="AE1365" s="16"/>
      <c r="AF1365" s="16"/>
      <c r="AG1365" s="16"/>
    </row>
    <row r="1366" spans="1:33" ht="14.25" customHeight="1" x14ac:dyDescent="0.35">
      <c r="A1366" s="18"/>
      <c r="B1366" s="64"/>
      <c r="C1366" s="18"/>
      <c r="D1366" s="19"/>
      <c r="E1366" s="40"/>
      <c r="F1366" s="13"/>
      <c r="G1366" s="78"/>
      <c r="H1366" s="16"/>
      <c r="I1366" s="10"/>
      <c r="J1366" s="10"/>
      <c r="K1366" s="10"/>
      <c r="L1366" s="10"/>
      <c r="M1366" s="10"/>
      <c r="N1366" s="10"/>
      <c r="O1366" s="10"/>
      <c r="P1366" s="38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  <c r="AA1366" s="16"/>
      <c r="AB1366" s="16"/>
      <c r="AC1366" s="16"/>
      <c r="AD1366" s="16"/>
      <c r="AE1366" s="16"/>
      <c r="AF1366" s="16"/>
      <c r="AG1366" s="16"/>
    </row>
    <row r="1367" spans="1:33" ht="14.25" customHeight="1" x14ac:dyDescent="0.35">
      <c r="A1367" s="18"/>
      <c r="B1367" s="64"/>
      <c r="C1367" s="18"/>
      <c r="D1367" s="19"/>
      <c r="E1367" s="40"/>
      <c r="F1367" s="13"/>
      <c r="G1367" s="78"/>
      <c r="H1367" s="16"/>
      <c r="I1367" s="10"/>
      <c r="J1367" s="10"/>
      <c r="K1367" s="10"/>
      <c r="L1367" s="10"/>
      <c r="M1367" s="10"/>
      <c r="N1367" s="10"/>
      <c r="O1367" s="10"/>
      <c r="P1367" s="38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  <c r="AA1367" s="16"/>
      <c r="AB1367" s="16"/>
      <c r="AC1367" s="16"/>
      <c r="AD1367" s="16"/>
      <c r="AE1367" s="16"/>
      <c r="AF1367" s="16"/>
      <c r="AG1367" s="16"/>
    </row>
    <row r="1368" spans="1:33" ht="14.25" customHeight="1" x14ac:dyDescent="0.35">
      <c r="A1368" s="18"/>
      <c r="B1368" s="64"/>
      <c r="C1368" s="18"/>
      <c r="D1368" s="19"/>
      <c r="E1368" s="40"/>
      <c r="F1368" s="13"/>
      <c r="G1368" s="78"/>
      <c r="H1368" s="16"/>
      <c r="I1368" s="10"/>
      <c r="J1368" s="10"/>
      <c r="K1368" s="10"/>
      <c r="L1368" s="10"/>
      <c r="M1368" s="10"/>
      <c r="N1368" s="10"/>
      <c r="O1368" s="10"/>
      <c r="P1368" s="38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  <c r="AA1368" s="16"/>
      <c r="AB1368" s="16"/>
      <c r="AC1368" s="16"/>
      <c r="AD1368" s="16"/>
      <c r="AE1368" s="16"/>
      <c r="AF1368" s="16"/>
      <c r="AG1368" s="16"/>
    </row>
    <row r="1369" spans="1:33" ht="14.25" customHeight="1" x14ac:dyDescent="0.35">
      <c r="A1369" s="18"/>
      <c r="B1369" s="64"/>
      <c r="C1369" s="18"/>
      <c r="D1369" s="19"/>
      <c r="E1369" s="40"/>
      <c r="F1369" s="13"/>
      <c r="G1369" s="78"/>
      <c r="H1369" s="16"/>
      <c r="I1369" s="10"/>
      <c r="J1369" s="10"/>
      <c r="K1369" s="10"/>
      <c r="L1369" s="10"/>
      <c r="M1369" s="10"/>
      <c r="N1369" s="10"/>
      <c r="O1369" s="10"/>
      <c r="P1369" s="38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  <c r="AA1369" s="16"/>
      <c r="AB1369" s="16"/>
      <c r="AC1369" s="16"/>
      <c r="AD1369" s="16"/>
      <c r="AE1369" s="16"/>
      <c r="AF1369" s="16"/>
      <c r="AG1369" s="16"/>
    </row>
    <row r="1370" spans="1:33" ht="14.25" customHeight="1" x14ac:dyDescent="0.35">
      <c r="A1370" s="18"/>
      <c r="B1370" s="64"/>
      <c r="C1370" s="18"/>
      <c r="D1370" s="19"/>
      <c r="E1370" s="40"/>
      <c r="F1370" s="13"/>
      <c r="G1370" s="78"/>
      <c r="H1370" s="16"/>
      <c r="I1370" s="10"/>
      <c r="J1370" s="10"/>
      <c r="K1370" s="10"/>
      <c r="L1370" s="10"/>
      <c r="M1370" s="10"/>
      <c r="N1370" s="10"/>
      <c r="O1370" s="10"/>
      <c r="P1370" s="38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  <c r="AA1370" s="16"/>
      <c r="AB1370" s="16"/>
      <c r="AC1370" s="16"/>
      <c r="AD1370" s="16"/>
      <c r="AE1370" s="16"/>
      <c r="AF1370" s="16"/>
      <c r="AG1370" s="16"/>
    </row>
    <row r="1371" spans="1:33" ht="14.25" customHeight="1" x14ac:dyDescent="0.35">
      <c r="A1371" s="18"/>
      <c r="B1371" s="64"/>
      <c r="C1371" s="18"/>
      <c r="D1371" s="19"/>
      <c r="E1371" s="40"/>
      <c r="F1371" s="13"/>
      <c r="G1371" s="78"/>
      <c r="H1371" s="16"/>
      <c r="I1371" s="10"/>
      <c r="J1371" s="10"/>
      <c r="K1371" s="10"/>
      <c r="L1371" s="10"/>
      <c r="M1371" s="10"/>
      <c r="N1371" s="10"/>
      <c r="O1371" s="10"/>
      <c r="P1371" s="38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  <c r="AA1371" s="16"/>
      <c r="AB1371" s="16"/>
      <c r="AC1371" s="16"/>
      <c r="AD1371" s="16"/>
      <c r="AE1371" s="16"/>
      <c r="AF1371" s="16"/>
      <c r="AG1371" s="16"/>
    </row>
    <row r="1372" spans="1:33" ht="14.25" customHeight="1" x14ac:dyDescent="0.35">
      <c r="A1372" s="18"/>
      <c r="B1372" s="64"/>
      <c r="C1372" s="18"/>
      <c r="D1372" s="19"/>
      <c r="E1372" s="40"/>
      <c r="F1372" s="13"/>
      <c r="G1372" s="78"/>
      <c r="H1372" s="16"/>
      <c r="I1372" s="10"/>
      <c r="J1372" s="10"/>
      <c r="K1372" s="10"/>
      <c r="L1372" s="10"/>
      <c r="M1372" s="10"/>
      <c r="N1372" s="10"/>
      <c r="O1372" s="10"/>
      <c r="P1372" s="38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  <c r="AA1372" s="16"/>
      <c r="AB1372" s="16"/>
      <c r="AC1372" s="16"/>
      <c r="AD1372" s="16"/>
      <c r="AE1372" s="16"/>
      <c r="AF1372" s="16"/>
      <c r="AG1372" s="16"/>
    </row>
    <row r="1373" spans="1:33" ht="14.25" customHeight="1" x14ac:dyDescent="0.35">
      <c r="A1373" s="18"/>
      <c r="B1373" s="64"/>
      <c r="C1373" s="18"/>
      <c r="D1373" s="19"/>
      <c r="E1373" s="40"/>
      <c r="F1373" s="13"/>
      <c r="G1373" s="78"/>
      <c r="H1373" s="16"/>
      <c r="I1373" s="10"/>
      <c r="J1373" s="10"/>
      <c r="K1373" s="10"/>
      <c r="L1373" s="10"/>
      <c r="M1373" s="10"/>
      <c r="N1373" s="10"/>
      <c r="O1373" s="10"/>
      <c r="P1373" s="38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  <c r="AA1373" s="16"/>
      <c r="AB1373" s="16"/>
      <c r="AC1373" s="16"/>
      <c r="AD1373" s="16"/>
      <c r="AE1373" s="16"/>
      <c r="AF1373" s="16"/>
      <c r="AG1373" s="16"/>
    </row>
    <row r="1374" spans="1:33" ht="14.25" customHeight="1" x14ac:dyDescent="0.35">
      <c r="A1374" s="18"/>
      <c r="B1374" s="64"/>
      <c r="C1374" s="18"/>
      <c r="D1374" s="19"/>
      <c r="E1374" s="40"/>
      <c r="F1374" s="13"/>
      <c r="G1374" s="78"/>
      <c r="H1374" s="16"/>
      <c r="I1374" s="10"/>
      <c r="J1374" s="10"/>
      <c r="K1374" s="10"/>
      <c r="L1374" s="10"/>
      <c r="M1374" s="10"/>
      <c r="N1374" s="10"/>
      <c r="O1374" s="10"/>
      <c r="P1374" s="38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  <c r="AA1374" s="16"/>
      <c r="AB1374" s="16"/>
      <c r="AC1374" s="16"/>
      <c r="AD1374" s="16"/>
      <c r="AE1374" s="16"/>
      <c r="AF1374" s="16"/>
      <c r="AG1374" s="16"/>
    </row>
    <row r="1375" spans="1:33" ht="14.25" customHeight="1" x14ac:dyDescent="0.35">
      <c r="A1375" s="18"/>
      <c r="B1375" s="64"/>
      <c r="C1375" s="18"/>
      <c r="D1375" s="19"/>
      <c r="E1375" s="40"/>
      <c r="F1375" s="13"/>
      <c r="G1375" s="78"/>
      <c r="H1375" s="16"/>
      <c r="I1375" s="10"/>
      <c r="J1375" s="10"/>
      <c r="K1375" s="10"/>
      <c r="L1375" s="10"/>
      <c r="M1375" s="10"/>
      <c r="N1375" s="10"/>
      <c r="O1375" s="10"/>
      <c r="P1375" s="38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  <c r="AA1375" s="16"/>
      <c r="AB1375" s="16"/>
      <c r="AC1375" s="16"/>
      <c r="AD1375" s="16"/>
      <c r="AE1375" s="16"/>
      <c r="AF1375" s="16"/>
      <c r="AG1375" s="16"/>
    </row>
    <row r="1376" spans="1:33" ht="14.25" customHeight="1" x14ac:dyDescent="0.35">
      <c r="A1376" s="18"/>
      <c r="B1376" s="64"/>
      <c r="C1376" s="18"/>
      <c r="D1376" s="19"/>
      <c r="E1376" s="40"/>
      <c r="F1376" s="13"/>
      <c r="G1376" s="78"/>
      <c r="H1376" s="16"/>
      <c r="I1376" s="10"/>
      <c r="J1376" s="10"/>
      <c r="K1376" s="10"/>
      <c r="L1376" s="10"/>
      <c r="M1376" s="10"/>
      <c r="N1376" s="10"/>
      <c r="O1376" s="10"/>
      <c r="P1376" s="38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  <c r="AA1376" s="16"/>
      <c r="AB1376" s="16"/>
      <c r="AC1376" s="16"/>
      <c r="AD1376" s="16"/>
      <c r="AE1376" s="16"/>
      <c r="AF1376" s="16"/>
      <c r="AG1376" s="16"/>
    </row>
    <row r="1377" spans="1:33" ht="14.25" customHeight="1" x14ac:dyDescent="0.35">
      <c r="A1377" s="18"/>
      <c r="B1377" s="64"/>
      <c r="C1377" s="18"/>
      <c r="D1377" s="19"/>
      <c r="E1377" s="40"/>
      <c r="F1377" s="13"/>
      <c r="G1377" s="78"/>
      <c r="H1377" s="16"/>
      <c r="I1377" s="10"/>
      <c r="J1377" s="10"/>
      <c r="K1377" s="10"/>
      <c r="L1377" s="10"/>
      <c r="M1377" s="10"/>
      <c r="N1377" s="10"/>
      <c r="O1377" s="10"/>
      <c r="P1377" s="38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  <c r="AA1377" s="16"/>
      <c r="AB1377" s="16"/>
      <c r="AC1377" s="16"/>
      <c r="AD1377" s="16"/>
      <c r="AE1377" s="16"/>
      <c r="AF1377" s="16"/>
      <c r="AG1377" s="16"/>
    </row>
    <row r="1378" spans="1:33" ht="14.25" customHeight="1" x14ac:dyDescent="0.35">
      <c r="A1378" s="18"/>
      <c r="B1378" s="64"/>
      <c r="C1378" s="18"/>
      <c r="D1378" s="19"/>
      <c r="E1378" s="40"/>
      <c r="F1378" s="13"/>
      <c r="G1378" s="78"/>
      <c r="H1378" s="16"/>
      <c r="I1378" s="10"/>
      <c r="J1378" s="10"/>
      <c r="K1378" s="10"/>
      <c r="L1378" s="10"/>
      <c r="M1378" s="10"/>
      <c r="N1378" s="10"/>
      <c r="O1378" s="10"/>
      <c r="P1378" s="38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  <c r="AA1378" s="16"/>
      <c r="AB1378" s="16"/>
      <c r="AC1378" s="16"/>
      <c r="AD1378" s="16"/>
      <c r="AE1378" s="16"/>
      <c r="AF1378" s="16"/>
      <c r="AG1378" s="16"/>
    </row>
    <row r="1379" spans="1:33" ht="14.25" customHeight="1" x14ac:dyDescent="0.35">
      <c r="A1379" s="18"/>
      <c r="B1379" s="64"/>
      <c r="C1379" s="18"/>
      <c r="D1379" s="19"/>
      <c r="E1379" s="40"/>
      <c r="F1379" s="13"/>
      <c r="G1379" s="78"/>
      <c r="H1379" s="16"/>
      <c r="I1379" s="10"/>
      <c r="J1379" s="10"/>
      <c r="K1379" s="10"/>
      <c r="L1379" s="10"/>
      <c r="M1379" s="10"/>
      <c r="N1379" s="10"/>
      <c r="O1379" s="10"/>
      <c r="P1379" s="38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  <c r="AA1379" s="16"/>
      <c r="AB1379" s="16"/>
      <c r="AC1379" s="16"/>
      <c r="AD1379" s="16"/>
      <c r="AE1379" s="16"/>
      <c r="AF1379" s="16"/>
      <c r="AG1379" s="16"/>
    </row>
    <row r="1380" spans="1:33" ht="14.25" customHeight="1" x14ac:dyDescent="0.35">
      <c r="A1380" s="18"/>
      <c r="B1380" s="64"/>
      <c r="C1380" s="18"/>
      <c r="D1380" s="19"/>
      <c r="E1380" s="40"/>
      <c r="F1380" s="13"/>
      <c r="G1380" s="78"/>
      <c r="H1380" s="16"/>
      <c r="I1380" s="10"/>
      <c r="J1380" s="10"/>
      <c r="K1380" s="10"/>
      <c r="L1380" s="10"/>
      <c r="M1380" s="10"/>
      <c r="N1380" s="10"/>
      <c r="O1380" s="10"/>
      <c r="P1380" s="38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  <c r="AA1380" s="16"/>
      <c r="AB1380" s="16"/>
      <c r="AC1380" s="16"/>
      <c r="AD1380" s="16"/>
      <c r="AE1380" s="16"/>
      <c r="AF1380" s="16"/>
      <c r="AG1380" s="16"/>
    </row>
    <row r="1381" spans="1:33" ht="14.25" customHeight="1" x14ac:dyDescent="0.35">
      <c r="A1381" s="18"/>
      <c r="B1381" s="64"/>
      <c r="C1381" s="18"/>
      <c r="D1381" s="19"/>
      <c r="E1381" s="40"/>
      <c r="F1381" s="13"/>
      <c r="G1381" s="78"/>
      <c r="H1381" s="16"/>
      <c r="I1381" s="10"/>
      <c r="J1381" s="10"/>
      <c r="K1381" s="10"/>
      <c r="L1381" s="10"/>
      <c r="M1381" s="10"/>
      <c r="N1381" s="10"/>
      <c r="O1381" s="10"/>
      <c r="P1381" s="38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  <c r="AA1381" s="16"/>
      <c r="AB1381" s="16"/>
      <c r="AC1381" s="16"/>
      <c r="AD1381" s="16"/>
      <c r="AE1381" s="16"/>
      <c r="AF1381" s="16"/>
      <c r="AG1381" s="16"/>
    </row>
    <row r="1382" spans="1:33" ht="14.25" customHeight="1" x14ac:dyDescent="0.35">
      <c r="A1382" s="18"/>
      <c r="B1382" s="64"/>
      <c r="C1382" s="18"/>
      <c r="D1382" s="19"/>
      <c r="E1382" s="40"/>
      <c r="F1382" s="13"/>
      <c r="G1382" s="78"/>
      <c r="H1382" s="16"/>
      <c r="I1382" s="10"/>
      <c r="J1382" s="10"/>
      <c r="K1382" s="10"/>
      <c r="L1382" s="10"/>
      <c r="M1382" s="10"/>
      <c r="N1382" s="10"/>
      <c r="O1382" s="10"/>
      <c r="P1382" s="38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  <c r="AA1382" s="16"/>
      <c r="AB1382" s="16"/>
      <c r="AC1382" s="16"/>
      <c r="AD1382" s="16"/>
      <c r="AE1382" s="16"/>
      <c r="AF1382" s="16"/>
      <c r="AG1382" s="16"/>
    </row>
    <row r="1383" spans="1:33" ht="14.25" customHeight="1" x14ac:dyDescent="0.35">
      <c r="A1383" s="18"/>
      <c r="B1383" s="64"/>
      <c r="C1383" s="18"/>
      <c r="D1383" s="19"/>
      <c r="E1383" s="40"/>
      <c r="F1383" s="13"/>
      <c r="G1383" s="78"/>
      <c r="H1383" s="16"/>
      <c r="I1383" s="10"/>
      <c r="J1383" s="10"/>
      <c r="K1383" s="10"/>
      <c r="L1383" s="10"/>
      <c r="M1383" s="10"/>
      <c r="N1383" s="10"/>
      <c r="O1383" s="10"/>
      <c r="P1383" s="38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  <c r="AA1383" s="16"/>
      <c r="AB1383" s="16"/>
      <c r="AC1383" s="16"/>
      <c r="AD1383" s="16"/>
      <c r="AE1383" s="16"/>
      <c r="AF1383" s="16"/>
      <c r="AG1383" s="16"/>
    </row>
    <row r="1384" spans="1:33" ht="14.25" customHeight="1" x14ac:dyDescent="0.35">
      <c r="A1384" s="18"/>
      <c r="B1384" s="64"/>
      <c r="C1384" s="18"/>
      <c r="D1384" s="19"/>
      <c r="E1384" s="40"/>
      <c r="F1384" s="13"/>
      <c r="G1384" s="78"/>
      <c r="H1384" s="16"/>
      <c r="I1384" s="10"/>
      <c r="J1384" s="10"/>
      <c r="K1384" s="10"/>
      <c r="L1384" s="10"/>
      <c r="M1384" s="10"/>
      <c r="N1384" s="10"/>
      <c r="O1384" s="10"/>
      <c r="P1384" s="38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  <c r="AA1384" s="16"/>
      <c r="AB1384" s="16"/>
      <c r="AC1384" s="16"/>
      <c r="AD1384" s="16"/>
      <c r="AE1384" s="16"/>
      <c r="AF1384" s="16"/>
      <c r="AG1384" s="16"/>
    </row>
    <row r="1385" spans="1:33" ht="14.25" customHeight="1" x14ac:dyDescent="0.35">
      <c r="A1385" s="18"/>
      <c r="B1385" s="64"/>
      <c r="C1385" s="18"/>
      <c r="D1385" s="19"/>
      <c r="E1385" s="40"/>
      <c r="F1385" s="13"/>
      <c r="G1385" s="78"/>
      <c r="H1385" s="16"/>
      <c r="I1385" s="10"/>
      <c r="J1385" s="10"/>
      <c r="K1385" s="10"/>
      <c r="L1385" s="10"/>
      <c r="M1385" s="10"/>
      <c r="N1385" s="10"/>
      <c r="O1385" s="10"/>
      <c r="P1385" s="38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  <c r="AA1385" s="16"/>
      <c r="AB1385" s="16"/>
      <c r="AC1385" s="16"/>
      <c r="AD1385" s="16"/>
      <c r="AE1385" s="16"/>
      <c r="AF1385" s="16"/>
      <c r="AG1385" s="16"/>
    </row>
    <row r="1386" spans="1:33" ht="14.25" customHeight="1" x14ac:dyDescent="0.35">
      <c r="A1386" s="18"/>
      <c r="B1386" s="64"/>
      <c r="C1386" s="18"/>
      <c r="D1386" s="19"/>
      <c r="E1386" s="40"/>
      <c r="F1386" s="13"/>
      <c r="G1386" s="78"/>
      <c r="H1386" s="16"/>
      <c r="I1386" s="10"/>
      <c r="J1386" s="10"/>
      <c r="K1386" s="10"/>
      <c r="L1386" s="10"/>
      <c r="M1386" s="10"/>
      <c r="N1386" s="10"/>
      <c r="O1386" s="10"/>
      <c r="P1386" s="38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  <c r="AA1386" s="16"/>
      <c r="AB1386" s="16"/>
      <c r="AC1386" s="16"/>
      <c r="AD1386" s="16"/>
      <c r="AE1386" s="16"/>
      <c r="AF1386" s="16"/>
      <c r="AG1386" s="16"/>
    </row>
    <row r="1387" spans="1:33" ht="14.25" customHeight="1" x14ac:dyDescent="0.35">
      <c r="A1387" s="18"/>
      <c r="B1387" s="64"/>
      <c r="C1387" s="18"/>
      <c r="D1387" s="19"/>
      <c r="E1387" s="40"/>
      <c r="F1387" s="13"/>
      <c r="G1387" s="78"/>
      <c r="H1387" s="16"/>
      <c r="I1387" s="10"/>
      <c r="J1387" s="10"/>
      <c r="K1387" s="10"/>
      <c r="L1387" s="10"/>
      <c r="M1387" s="10"/>
      <c r="N1387" s="10"/>
      <c r="O1387" s="10"/>
      <c r="P1387" s="38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  <c r="AA1387" s="16"/>
      <c r="AB1387" s="16"/>
      <c r="AC1387" s="16"/>
      <c r="AD1387" s="16"/>
      <c r="AE1387" s="16"/>
      <c r="AF1387" s="16"/>
      <c r="AG1387" s="16"/>
    </row>
    <row r="1388" spans="1:33" ht="14.25" customHeight="1" x14ac:dyDescent="0.35">
      <c r="A1388" s="18"/>
      <c r="B1388" s="64"/>
      <c r="C1388" s="18"/>
      <c r="D1388" s="19"/>
      <c r="E1388" s="40"/>
      <c r="F1388" s="13"/>
      <c r="G1388" s="78"/>
      <c r="H1388" s="16"/>
      <c r="I1388" s="10"/>
      <c r="J1388" s="10"/>
      <c r="K1388" s="10"/>
      <c r="L1388" s="10"/>
      <c r="M1388" s="10"/>
      <c r="N1388" s="10"/>
      <c r="O1388" s="10"/>
      <c r="P1388" s="38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  <c r="AA1388" s="16"/>
      <c r="AB1388" s="16"/>
      <c r="AC1388" s="16"/>
      <c r="AD1388" s="16"/>
      <c r="AE1388" s="16"/>
      <c r="AF1388" s="16"/>
      <c r="AG1388" s="16"/>
    </row>
    <row r="1389" spans="1:33" ht="14.25" customHeight="1" x14ac:dyDescent="0.35">
      <c r="A1389" s="18"/>
      <c r="B1389" s="64"/>
      <c r="C1389" s="18"/>
      <c r="D1389" s="19"/>
      <c r="E1389" s="40"/>
      <c r="F1389" s="13"/>
      <c r="G1389" s="78"/>
      <c r="H1389" s="16"/>
      <c r="I1389" s="10"/>
      <c r="J1389" s="10"/>
      <c r="K1389" s="10"/>
      <c r="L1389" s="10"/>
      <c r="M1389" s="10"/>
      <c r="N1389" s="10"/>
      <c r="O1389" s="10"/>
      <c r="P1389" s="38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  <c r="AA1389" s="16"/>
      <c r="AB1389" s="16"/>
      <c r="AC1389" s="16"/>
      <c r="AD1389" s="16"/>
      <c r="AE1389" s="16"/>
      <c r="AF1389" s="16"/>
      <c r="AG1389" s="16"/>
    </row>
    <row r="1390" spans="1:33" ht="14.25" customHeight="1" x14ac:dyDescent="0.35">
      <c r="A1390" s="18"/>
      <c r="B1390" s="64"/>
      <c r="C1390" s="18"/>
      <c r="D1390" s="19"/>
      <c r="E1390" s="40"/>
      <c r="F1390" s="13"/>
      <c r="G1390" s="78"/>
      <c r="H1390" s="16"/>
      <c r="I1390" s="10"/>
      <c r="J1390" s="10"/>
      <c r="K1390" s="10"/>
      <c r="L1390" s="10"/>
      <c r="M1390" s="10"/>
      <c r="N1390" s="10"/>
      <c r="O1390" s="10"/>
      <c r="P1390" s="38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  <c r="AA1390" s="16"/>
      <c r="AB1390" s="16"/>
      <c r="AC1390" s="16"/>
      <c r="AD1390" s="16"/>
      <c r="AE1390" s="16"/>
      <c r="AF1390" s="16"/>
      <c r="AG1390" s="16"/>
    </row>
    <row r="1391" spans="1:33" ht="14.25" customHeight="1" x14ac:dyDescent="0.35">
      <c r="A1391" s="18"/>
      <c r="B1391" s="64"/>
      <c r="C1391" s="18"/>
      <c r="D1391" s="19"/>
      <c r="E1391" s="40"/>
      <c r="F1391" s="13"/>
      <c r="G1391" s="78"/>
      <c r="H1391" s="16"/>
      <c r="I1391" s="10"/>
      <c r="J1391" s="10"/>
      <c r="K1391" s="10"/>
      <c r="L1391" s="10"/>
      <c r="M1391" s="10"/>
      <c r="N1391" s="10"/>
      <c r="O1391" s="10"/>
      <c r="P1391" s="38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  <c r="AA1391" s="16"/>
      <c r="AB1391" s="16"/>
      <c r="AC1391" s="16"/>
      <c r="AD1391" s="16"/>
      <c r="AE1391" s="16"/>
      <c r="AF1391" s="16"/>
      <c r="AG1391" s="16"/>
    </row>
    <row r="1392" spans="1:33" ht="14.25" customHeight="1" x14ac:dyDescent="0.35">
      <c r="A1392" s="18"/>
      <c r="B1392" s="64"/>
      <c r="C1392" s="18"/>
      <c r="D1392" s="19"/>
      <c r="E1392" s="40"/>
      <c r="F1392" s="13"/>
      <c r="G1392" s="78"/>
      <c r="H1392" s="16"/>
      <c r="I1392" s="10"/>
      <c r="J1392" s="10"/>
      <c r="K1392" s="10"/>
      <c r="L1392" s="10"/>
      <c r="M1392" s="10"/>
      <c r="N1392" s="10"/>
      <c r="O1392" s="10"/>
      <c r="P1392" s="38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  <c r="AA1392" s="16"/>
      <c r="AB1392" s="16"/>
      <c r="AC1392" s="16"/>
      <c r="AD1392" s="16"/>
      <c r="AE1392" s="16"/>
      <c r="AF1392" s="16"/>
      <c r="AG1392" s="16"/>
    </row>
    <row r="1393" spans="1:33" ht="14.25" customHeight="1" x14ac:dyDescent="0.35">
      <c r="A1393" s="18"/>
      <c r="B1393" s="64"/>
      <c r="C1393" s="18"/>
      <c r="D1393" s="19"/>
      <c r="E1393" s="40"/>
      <c r="F1393" s="13"/>
      <c r="G1393" s="78"/>
      <c r="H1393" s="16"/>
      <c r="I1393" s="10"/>
      <c r="J1393" s="10"/>
      <c r="K1393" s="10"/>
      <c r="L1393" s="10"/>
      <c r="M1393" s="10"/>
      <c r="N1393" s="10"/>
      <c r="O1393" s="10"/>
      <c r="P1393" s="38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  <c r="AA1393" s="16"/>
      <c r="AB1393" s="16"/>
      <c r="AC1393" s="16"/>
      <c r="AD1393" s="16"/>
      <c r="AE1393" s="16"/>
      <c r="AF1393" s="16"/>
      <c r="AG1393" s="16"/>
    </row>
    <row r="1394" spans="1:33" ht="14.25" customHeight="1" x14ac:dyDescent="0.35">
      <c r="A1394" s="18"/>
      <c r="B1394" s="64"/>
      <c r="C1394" s="18"/>
      <c r="D1394" s="19"/>
      <c r="E1394" s="40"/>
      <c r="F1394" s="13"/>
      <c r="G1394" s="78"/>
      <c r="H1394" s="16"/>
      <c r="I1394" s="10"/>
      <c r="J1394" s="10"/>
      <c r="K1394" s="10"/>
      <c r="L1394" s="10"/>
      <c r="M1394" s="10"/>
      <c r="N1394" s="10"/>
      <c r="O1394" s="10"/>
      <c r="P1394" s="38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  <c r="AA1394" s="16"/>
      <c r="AB1394" s="16"/>
      <c r="AC1394" s="16"/>
      <c r="AD1394" s="16"/>
      <c r="AE1394" s="16"/>
      <c r="AF1394" s="16"/>
      <c r="AG1394" s="16"/>
    </row>
    <row r="1395" spans="1:33" ht="14.25" customHeight="1" x14ac:dyDescent="0.35">
      <c r="A1395" s="18"/>
      <c r="B1395" s="64"/>
      <c r="C1395" s="18"/>
      <c r="D1395" s="19"/>
      <c r="E1395" s="40"/>
      <c r="F1395" s="13"/>
      <c r="G1395" s="78"/>
      <c r="H1395" s="16"/>
      <c r="I1395" s="10"/>
      <c r="J1395" s="10"/>
      <c r="K1395" s="10"/>
      <c r="L1395" s="10"/>
      <c r="M1395" s="10"/>
      <c r="N1395" s="10"/>
      <c r="O1395" s="10"/>
      <c r="P1395" s="38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  <c r="AA1395" s="16"/>
      <c r="AB1395" s="16"/>
      <c r="AC1395" s="16"/>
      <c r="AD1395" s="16"/>
      <c r="AE1395" s="16"/>
      <c r="AF1395" s="16"/>
      <c r="AG1395" s="16"/>
    </row>
    <row r="1396" spans="1:33" ht="14.25" customHeight="1" x14ac:dyDescent="0.35">
      <c r="A1396" s="18"/>
      <c r="B1396" s="64"/>
      <c r="C1396" s="18"/>
      <c r="D1396" s="19"/>
      <c r="E1396" s="40"/>
      <c r="F1396" s="13"/>
      <c r="G1396" s="78"/>
      <c r="H1396" s="16"/>
      <c r="I1396" s="10"/>
      <c r="J1396" s="10"/>
      <c r="K1396" s="10"/>
      <c r="L1396" s="10"/>
      <c r="M1396" s="10"/>
      <c r="N1396" s="10"/>
      <c r="O1396" s="10"/>
      <c r="P1396" s="38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  <c r="AA1396" s="16"/>
      <c r="AB1396" s="16"/>
      <c r="AC1396" s="16"/>
      <c r="AD1396" s="16"/>
      <c r="AE1396" s="16"/>
      <c r="AF1396" s="16"/>
      <c r="AG1396" s="16"/>
    </row>
    <row r="1397" spans="1:33" ht="14.25" customHeight="1" x14ac:dyDescent="0.35">
      <c r="A1397" s="18"/>
      <c r="B1397" s="64"/>
      <c r="C1397" s="18"/>
      <c r="D1397" s="19"/>
      <c r="E1397" s="40"/>
      <c r="F1397" s="13"/>
      <c r="G1397" s="78"/>
      <c r="H1397" s="16"/>
      <c r="I1397" s="10"/>
      <c r="J1397" s="10"/>
      <c r="K1397" s="10"/>
      <c r="L1397" s="10"/>
      <c r="M1397" s="10"/>
      <c r="N1397" s="10"/>
      <c r="O1397" s="10"/>
      <c r="P1397" s="38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  <c r="AA1397" s="16"/>
      <c r="AB1397" s="16"/>
      <c r="AC1397" s="16"/>
      <c r="AD1397" s="16"/>
      <c r="AE1397" s="16"/>
      <c r="AF1397" s="16"/>
      <c r="AG1397" s="16"/>
    </row>
    <row r="1398" spans="1:33" ht="14.25" customHeight="1" x14ac:dyDescent="0.35">
      <c r="A1398" s="18"/>
      <c r="B1398" s="64"/>
      <c r="C1398" s="18"/>
      <c r="D1398" s="19"/>
      <c r="E1398" s="40"/>
      <c r="F1398" s="13"/>
      <c r="G1398" s="78"/>
      <c r="H1398" s="16"/>
      <c r="I1398" s="10"/>
      <c r="J1398" s="10"/>
      <c r="K1398" s="10"/>
      <c r="L1398" s="10"/>
      <c r="M1398" s="10"/>
      <c r="N1398" s="10"/>
      <c r="O1398" s="10"/>
      <c r="P1398" s="38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  <c r="AA1398" s="16"/>
      <c r="AB1398" s="16"/>
      <c r="AC1398" s="16"/>
      <c r="AD1398" s="16"/>
      <c r="AE1398" s="16"/>
      <c r="AF1398" s="16"/>
      <c r="AG1398" s="16"/>
    </row>
    <row r="1399" spans="1:33" ht="14.25" customHeight="1" x14ac:dyDescent="0.35">
      <c r="A1399" s="18"/>
      <c r="B1399" s="64"/>
      <c r="C1399" s="18"/>
      <c r="D1399" s="19"/>
      <c r="E1399" s="40"/>
      <c r="F1399" s="13"/>
      <c r="G1399" s="78"/>
      <c r="H1399" s="16"/>
      <c r="I1399" s="10"/>
      <c r="J1399" s="10"/>
      <c r="K1399" s="10"/>
      <c r="L1399" s="10"/>
      <c r="M1399" s="10"/>
      <c r="N1399" s="10"/>
      <c r="O1399" s="10"/>
      <c r="P1399" s="38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  <c r="AA1399" s="16"/>
      <c r="AB1399" s="16"/>
      <c r="AC1399" s="16"/>
      <c r="AD1399" s="16"/>
      <c r="AE1399" s="16"/>
      <c r="AF1399" s="16"/>
      <c r="AG1399" s="16"/>
    </row>
    <row r="1400" spans="1:33" ht="14.25" customHeight="1" x14ac:dyDescent="0.35">
      <c r="A1400" s="18"/>
      <c r="B1400" s="64"/>
      <c r="C1400" s="18"/>
      <c r="D1400" s="19"/>
      <c r="E1400" s="40"/>
      <c r="F1400" s="13"/>
      <c r="G1400" s="78"/>
      <c r="H1400" s="16"/>
      <c r="I1400" s="10"/>
      <c r="J1400" s="10"/>
      <c r="K1400" s="10"/>
      <c r="L1400" s="10"/>
      <c r="M1400" s="10"/>
      <c r="N1400" s="10"/>
      <c r="O1400" s="10"/>
      <c r="P1400" s="38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  <c r="AA1400" s="16"/>
      <c r="AB1400" s="16"/>
      <c r="AC1400" s="16"/>
      <c r="AD1400" s="16"/>
      <c r="AE1400" s="16"/>
      <c r="AF1400" s="16"/>
      <c r="AG1400" s="16"/>
    </row>
    <row r="1401" spans="1:33" ht="14.25" customHeight="1" x14ac:dyDescent="0.35">
      <c r="A1401" s="18"/>
      <c r="B1401" s="64"/>
      <c r="C1401" s="18"/>
      <c r="D1401" s="19"/>
      <c r="E1401" s="40"/>
      <c r="F1401" s="13"/>
      <c r="G1401" s="78"/>
      <c r="H1401" s="16"/>
      <c r="I1401" s="10"/>
      <c r="J1401" s="10"/>
      <c r="K1401" s="10"/>
      <c r="L1401" s="10"/>
      <c r="M1401" s="10"/>
      <c r="N1401" s="10"/>
      <c r="O1401" s="10"/>
      <c r="P1401" s="38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  <c r="AA1401" s="16"/>
      <c r="AB1401" s="16"/>
      <c r="AC1401" s="16"/>
      <c r="AD1401" s="16"/>
      <c r="AE1401" s="16"/>
      <c r="AF1401" s="16"/>
      <c r="AG1401" s="16"/>
    </row>
    <row r="1402" spans="1:33" ht="14.25" customHeight="1" x14ac:dyDescent="0.35">
      <c r="A1402" s="18"/>
      <c r="B1402" s="64"/>
      <c r="C1402" s="18"/>
      <c r="D1402" s="19"/>
      <c r="E1402" s="40"/>
      <c r="F1402" s="13"/>
      <c r="G1402" s="78"/>
      <c r="H1402" s="16"/>
      <c r="I1402" s="10"/>
      <c r="J1402" s="10"/>
      <c r="K1402" s="10"/>
      <c r="L1402" s="10"/>
      <c r="M1402" s="10"/>
      <c r="N1402" s="10"/>
      <c r="O1402" s="10"/>
      <c r="P1402" s="38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  <c r="AA1402" s="16"/>
      <c r="AB1402" s="16"/>
      <c r="AC1402" s="16"/>
      <c r="AD1402" s="16"/>
      <c r="AE1402" s="16"/>
      <c r="AF1402" s="16"/>
      <c r="AG1402" s="16"/>
    </row>
    <row r="1403" spans="1:33" ht="14.25" customHeight="1" x14ac:dyDescent="0.35">
      <c r="A1403" s="18"/>
      <c r="B1403" s="64"/>
      <c r="C1403" s="18"/>
      <c r="D1403" s="19"/>
      <c r="E1403" s="40"/>
      <c r="F1403" s="13"/>
      <c r="G1403" s="78"/>
      <c r="H1403" s="16"/>
      <c r="I1403" s="10"/>
      <c r="J1403" s="10"/>
      <c r="K1403" s="10"/>
      <c r="L1403" s="10"/>
      <c r="M1403" s="10"/>
      <c r="N1403" s="10"/>
      <c r="O1403" s="10"/>
      <c r="P1403" s="38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  <c r="AA1403" s="16"/>
      <c r="AB1403" s="16"/>
      <c r="AC1403" s="16"/>
      <c r="AD1403" s="16"/>
      <c r="AE1403" s="16"/>
      <c r="AF1403" s="16"/>
      <c r="AG1403" s="16"/>
    </row>
    <row r="1404" spans="1:33" ht="14.25" customHeight="1" x14ac:dyDescent="0.35">
      <c r="A1404" s="18"/>
      <c r="B1404" s="64"/>
      <c r="C1404" s="18"/>
      <c r="D1404" s="19"/>
      <c r="E1404" s="40"/>
      <c r="F1404" s="13"/>
      <c r="G1404" s="78"/>
      <c r="H1404" s="16"/>
      <c r="I1404" s="10"/>
      <c r="J1404" s="10"/>
      <c r="K1404" s="10"/>
      <c r="L1404" s="10"/>
      <c r="M1404" s="10"/>
      <c r="N1404" s="10"/>
      <c r="O1404" s="10"/>
      <c r="P1404" s="38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  <c r="AA1404" s="16"/>
      <c r="AB1404" s="16"/>
      <c r="AC1404" s="16"/>
      <c r="AD1404" s="16"/>
      <c r="AE1404" s="16"/>
      <c r="AF1404" s="16"/>
      <c r="AG1404" s="16"/>
    </row>
    <row r="1405" spans="1:33" ht="14.25" customHeight="1" x14ac:dyDescent="0.35">
      <c r="A1405" s="18"/>
      <c r="B1405" s="64"/>
      <c r="C1405" s="18"/>
      <c r="D1405" s="19"/>
      <c r="E1405" s="40"/>
      <c r="F1405" s="13"/>
      <c r="G1405" s="78"/>
      <c r="H1405" s="16"/>
      <c r="I1405" s="10"/>
      <c r="J1405" s="10"/>
      <c r="K1405" s="10"/>
      <c r="L1405" s="10"/>
      <c r="M1405" s="10"/>
      <c r="N1405" s="10"/>
      <c r="O1405" s="10"/>
      <c r="P1405" s="38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  <c r="AA1405" s="16"/>
      <c r="AB1405" s="16"/>
      <c r="AC1405" s="16"/>
      <c r="AD1405" s="16"/>
      <c r="AE1405" s="16"/>
      <c r="AF1405" s="16"/>
      <c r="AG1405" s="16"/>
    </row>
    <row r="1406" spans="1:33" ht="14.25" customHeight="1" x14ac:dyDescent="0.35">
      <c r="A1406" s="18"/>
      <c r="B1406" s="64"/>
      <c r="C1406" s="18"/>
      <c r="D1406" s="19"/>
      <c r="E1406" s="40"/>
      <c r="F1406" s="13"/>
      <c r="G1406" s="78"/>
      <c r="H1406" s="16"/>
      <c r="I1406" s="10"/>
      <c r="J1406" s="10"/>
      <c r="K1406" s="10"/>
      <c r="L1406" s="10"/>
      <c r="M1406" s="10"/>
      <c r="N1406" s="10"/>
      <c r="O1406" s="10"/>
      <c r="P1406" s="38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  <c r="AA1406" s="16"/>
      <c r="AB1406" s="16"/>
      <c r="AC1406" s="16"/>
      <c r="AD1406" s="16"/>
      <c r="AE1406" s="16"/>
      <c r="AF1406" s="16"/>
      <c r="AG1406" s="16"/>
    </row>
    <row r="1407" spans="1:33" ht="14.25" customHeight="1" x14ac:dyDescent="0.35">
      <c r="A1407" s="18"/>
      <c r="B1407" s="64"/>
      <c r="C1407" s="18"/>
      <c r="D1407" s="19"/>
      <c r="E1407" s="40"/>
      <c r="F1407" s="13"/>
      <c r="G1407" s="78"/>
      <c r="H1407" s="16"/>
      <c r="I1407" s="10"/>
      <c r="J1407" s="10"/>
      <c r="K1407" s="10"/>
      <c r="L1407" s="10"/>
      <c r="M1407" s="10"/>
      <c r="N1407" s="10"/>
      <c r="O1407" s="10"/>
      <c r="P1407" s="38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  <c r="AA1407" s="16"/>
      <c r="AB1407" s="16"/>
      <c r="AC1407" s="16"/>
      <c r="AD1407" s="16"/>
      <c r="AE1407" s="16"/>
      <c r="AF1407" s="16"/>
      <c r="AG1407" s="16"/>
    </row>
    <row r="1408" spans="1:33" ht="14.25" customHeight="1" x14ac:dyDescent="0.35">
      <c r="A1408" s="18"/>
      <c r="B1408" s="64"/>
      <c r="C1408" s="18"/>
      <c r="D1408" s="19"/>
      <c r="E1408" s="40"/>
      <c r="F1408" s="13"/>
      <c r="G1408" s="78"/>
      <c r="H1408" s="16"/>
      <c r="I1408" s="10"/>
      <c r="J1408" s="10"/>
      <c r="K1408" s="10"/>
      <c r="L1408" s="10"/>
      <c r="M1408" s="10"/>
      <c r="N1408" s="10"/>
      <c r="O1408" s="10"/>
      <c r="P1408" s="38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  <c r="AA1408" s="16"/>
      <c r="AB1408" s="16"/>
      <c r="AC1408" s="16"/>
      <c r="AD1408" s="16"/>
      <c r="AE1408" s="16"/>
      <c r="AF1408" s="16"/>
      <c r="AG1408" s="16"/>
    </row>
    <row r="1409" spans="1:33" ht="14.25" customHeight="1" x14ac:dyDescent="0.35">
      <c r="A1409" s="18"/>
      <c r="B1409" s="64"/>
      <c r="C1409" s="18"/>
      <c r="D1409" s="19"/>
      <c r="E1409" s="40"/>
      <c r="F1409" s="13"/>
      <c r="G1409" s="78"/>
      <c r="H1409" s="16"/>
      <c r="I1409" s="10"/>
      <c r="J1409" s="10"/>
      <c r="K1409" s="10"/>
      <c r="L1409" s="10"/>
      <c r="M1409" s="10"/>
      <c r="N1409" s="10"/>
      <c r="O1409" s="10"/>
      <c r="P1409" s="38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  <c r="AA1409" s="16"/>
      <c r="AB1409" s="16"/>
      <c r="AC1409" s="16"/>
      <c r="AD1409" s="16"/>
      <c r="AE1409" s="16"/>
      <c r="AF1409" s="16"/>
      <c r="AG1409" s="16"/>
    </row>
    <row r="1410" spans="1:33" ht="14.25" customHeight="1" x14ac:dyDescent="0.35">
      <c r="A1410" s="18"/>
      <c r="B1410" s="64"/>
      <c r="C1410" s="18"/>
      <c r="D1410" s="19"/>
      <c r="E1410" s="40"/>
      <c r="F1410" s="13"/>
      <c r="G1410" s="78"/>
      <c r="H1410" s="16"/>
      <c r="I1410" s="10"/>
      <c r="J1410" s="10"/>
      <c r="K1410" s="10"/>
      <c r="L1410" s="10"/>
      <c r="M1410" s="10"/>
      <c r="N1410" s="10"/>
      <c r="O1410" s="10"/>
      <c r="P1410" s="38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  <c r="AA1410" s="16"/>
      <c r="AB1410" s="16"/>
      <c r="AC1410" s="16"/>
      <c r="AD1410" s="16"/>
      <c r="AE1410" s="16"/>
      <c r="AF1410" s="16"/>
      <c r="AG1410" s="16"/>
    </row>
    <row r="1411" spans="1:33" ht="14.25" customHeight="1" x14ac:dyDescent="0.35">
      <c r="A1411" s="18"/>
      <c r="B1411" s="64"/>
      <c r="C1411" s="18"/>
      <c r="D1411" s="19"/>
      <c r="E1411" s="40"/>
      <c r="F1411" s="13"/>
      <c r="G1411" s="78"/>
      <c r="H1411" s="16"/>
      <c r="I1411" s="10"/>
      <c r="J1411" s="10"/>
      <c r="K1411" s="10"/>
      <c r="L1411" s="10"/>
      <c r="M1411" s="10"/>
      <c r="N1411" s="10"/>
      <c r="O1411" s="10"/>
      <c r="P1411" s="38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  <c r="AA1411" s="16"/>
      <c r="AB1411" s="16"/>
      <c r="AC1411" s="16"/>
      <c r="AD1411" s="16"/>
      <c r="AE1411" s="16"/>
      <c r="AF1411" s="16"/>
      <c r="AG1411" s="16"/>
    </row>
    <row r="1412" spans="1:33" ht="14.25" customHeight="1" x14ac:dyDescent="0.35">
      <c r="A1412" s="18"/>
      <c r="B1412" s="64"/>
      <c r="C1412" s="18"/>
      <c r="D1412" s="19"/>
      <c r="E1412" s="40"/>
      <c r="F1412" s="13"/>
      <c r="G1412" s="78"/>
      <c r="H1412" s="16"/>
      <c r="I1412" s="10"/>
      <c r="J1412" s="10"/>
      <c r="K1412" s="10"/>
      <c r="L1412" s="10"/>
      <c r="M1412" s="10"/>
      <c r="N1412" s="10"/>
      <c r="O1412" s="10"/>
      <c r="P1412" s="38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  <c r="AA1412" s="16"/>
      <c r="AB1412" s="16"/>
      <c r="AC1412" s="16"/>
      <c r="AD1412" s="16"/>
      <c r="AE1412" s="16"/>
      <c r="AF1412" s="16"/>
      <c r="AG1412" s="16"/>
    </row>
    <row r="1413" spans="1:33" ht="14.25" customHeight="1" x14ac:dyDescent="0.35">
      <c r="A1413" s="18"/>
      <c r="B1413" s="64"/>
      <c r="C1413" s="18"/>
      <c r="D1413" s="19"/>
      <c r="E1413" s="40"/>
      <c r="F1413" s="13"/>
      <c r="G1413" s="78"/>
      <c r="H1413" s="16"/>
      <c r="I1413" s="10"/>
      <c r="J1413" s="10"/>
      <c r="K1413" s="10"/>
      <c r="L1413" s="10"/>
      <c r="M1413" s="10"/>
      <c r="N1413" s="10"/>
      <c r="O1413" s="10"/>
      <c r="P1413" s="38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  <c r="AA1413" s="16"/>
      <c r="AB1413" s="16"/>
      <c r="AC1413" s="16"/>
      <c r="AD1413" s="16"/>
      <c r="AE1413" s="16"/>
      <c r="AF1413" s="16"/>
      <c r="AG1413" s="16"/>
    </row>
    <row r="1414" spans="1:33" ht="14.25" customHeight="1" x14ac:dyDescent="0.35">
      <c r="A1414" s="18"/>
      <c r="B1414" s="64"/>
      <c r="C1414" s="18"/>
      <c r="D1414" s="19"/>
      <c r="E1414" s="40"/>
      <c r="F1414" s="13"/>
      <c r="G1414" s="78"/>
      <c r="H1414" s="16"/>
      <c r="I1414" s="10"/>
      <c r="J1414" s="10"/>
      <c r="K1414" s="10"/>
      <c r="L1414" s="10"/>
      <c r="M1414" s="10"/>
      <c r="N1414" s="10"/>
      <c r="O1414" s="10"/>
      <c r="P1414" s="38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  <c r="AA1414" s="16"/>
      <c r="AB1414" s="16"/>
      <c r="AC1414" s="16"/>
      <c r="AD1414" s="16"/>
      <c r="AE1414" s="16"/>
      <c r="AF1414" s="16"/>
      <c r="AG1414" s="16"/>
    </row>
    <row r="1415" spans="1:33" ht="14.25" customHeight="1" x14ac:dyDescent="0.35">
      <c r="A1415" s="18"/>
      <c r="B1415" s="64"/>
      <c r="C1415" s="18"/>
      <c r="D1415" s="19"/>
      <c r="E1415" s="40"/>
      <c r="F1415" s="13"/>
      <c r="G1415" s="78"/>
      <c r="H1415" s="16"/>
      <c r="I1415" s="10"/>
      <c r="J1415" s="10"/>
      <c r="K1415" s="10"/>
      <c r="L1415" s="10"/>
      <c r="M1415" s="10"/>
      <c r="N1415" s="10"/>
      <c r="O1415" s="10"/>
      <c r="P1415" s="38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  <c r="AA1415" s="16"/>
      <c r="AB1415" s="16"/>
      <c r="AC1415" s="16"/>
      <c r="AD1415" s="16"/>
      <c r="AE1415" s="16"/>
      <c r="AF1415" s="16"/>
      <c r="AG1415" s="16"/>
    </row>
    <row r="1416" spans="1:33" ht="14.25" customHeight="1" x14ac:dyDescent="0.35">
      <c r="A1416" s="18"/>
      <c r="B1416" s="64"/>
      <c r="C1416" s="18"/>
      <c r="D1416" s="19"/>
      <c r="E1416" s="40"/>
      <c r="F1416" s="13"/>
      <c r="G1416" s="78"/>
      <c r="H1416" s="16"/>
      <c r="I1416" s="10"/>
      <c r="J1416" s="10"/>
      <c r="K1416" s="10"/>
      <c r="L1416" s="10"/>
      <c r="M1416" s="10"/>
      <c r="N1416" s="10"/>
      <c r="O1416" s="10"/>
      <c r="P1416" s="38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6"/>
    </row>
    <row r="1417" spans="1:33" ht="14.25" customHeight="1" x14ac:dyDescent="0.35">
      <c r="A1417" s="18"/>
      <c r="B1417" s="64"/>
      <c r="C1417" s="18"/>
      <c r="D1417" s="19"/>
      <c r="E1417" s="40"/>
      <c r="F1417" s="13"/>
      <c r="G1417" s="78"/>
      <c r="H1417" s="16"/>
      <c r="I1417" s="10"/>
      <c r="J1417" s="10"/>
      <c r="K1417" s="10"/>
      <c r="L1417" s="10"/>
      <c r="M1417" s="10"/>
      <c r="N1417" s="10"/>
      <c r="O1417" s="10"/>
      <c r="P1417" s="38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  <c r="AA1417" s="16"/>
      <c r="AB1417" s="16"/>
      <c r="AC1417" s="16"/>
      <c r="AD1417" s="16"/>
      <c r="AE1417" s="16"/>
      <c r="AF1417" s="16"/>
      <c r="AG1417" s="16"/>
    </row>
    <row r="1418" spans="1:33" ht="14.25" customHeight="1" x14ac:dyDescent="0.35">
      <c r="A1418" s="18"/>
      <c r="B1418" s="64"/>
      <c r="C1418" s="18"/>
      <c r="D1418" s="19"/>
      <c r="E1418" s="40"/>
      <c r="F1418" s="13"/>
      <c r="G1418" s="78"/>
      <c r="H1418" s="16"/>
      <c r="I1418" s="10"/>
      <c r="J1418" s="10"/>
      <c r="K1418" s="10"/>
      <c r="L1418" s="10"/>
      <c r="M1418" s="10"/>
      <c r="N1418" s="10"/>
      <c r="O1418" s="10"/>
      <c r="P1418" s="38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  <c r="AA1418" s="16"/>
      <c r="AB1418" s="16"/>
      <c r="AC1418" s="16"/>
      <c r="AD1418" s="16"/>
      <c r="AE1418" s="16"/>
      <c r="AF1418" s="16"/>
      <c r="AG1418" s="16"/>
    </row>
    <row r="1419" spans="1:33" ht="14.25" customHeight="1" x14ac:dyDescent="0.35">
      <c r="A1419" s="18"/>
      <c r="B1419" s="64"/>
      <c r="C1419" s="18"/>
      <c r="D1419" s="19"/>
      <c r="E1419" s="40"/>
      <c r="F1419" s="13"/>
      <c r="G1419" s="78"/>
      <c r="H1419" s="16"/>
      <c r="I1419" s="10"/>
      <c r="J1419" s="10"/>
      <c r="K1419" s="10"/>
      <c r="L1419" s="10"/>
      <c r="M1419" s="10"/>
      <c r="N1419" s="10"/>
      <c r="O1419" s="10"/>
      <c r="P1419" s="38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  <c r="AA1419" s="16"/>
      <c r="AB1419" s="16"/>
      <c r="AC1419" s="16"/>
      <c r="AD1419" s="16"/>
      <c r="AE1419" s="16"/>
      <c r="AF1419" s="16"/>
      <c r="AG1419" s="16"/>
    </row>
    <row r="1420" spans="1:33" ht="14.25" customHeight="1" x14ac:dyDescent="0.35">
      <c r="A1420" s="18"/>
      <c r="B1420" s="64"/>
      <c r="C1420" s="18"/>
      <c r="D1420" s="19"/>
      <c r="E1420" s="40"/>
      <c r="F1420" s="13"/>
      <c r="G1420" s="78"/>
      <c r="H1420" s="16"/>
      <c r="I1420" s="10"/>
      <c r="J1420" s="10"/>
      <c r="K1420" s="10"/>
      <c r="L1420" s="10"/>
      <c r="M1420" s="10"/>
      <c r="N1420" s="10"/>
      <c r="O1420" s="10"/>
      <c r="P1420" s="38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  <c r="AA1420" s="16"/>
      <c r="AB1420" s="16"/>
      <c r="AC1420" s="16"/>
      <c r="AD1420" s="16"/>
      <c r="AE1420" s="16"/>
      <c r="AF1420" s="16"/>
      <c r="AG1420" s="16"/>
    </row>
    <row r="1421" spans="1:33" ht="14.25" customHeight="1" x14ac:dyDescent="0.35">
      <c r="A1421" s="18"/>
      <c r="B1421" s="64"/>
      <c r="C1421" s="18"/>
      <c r="D1421" s="19"/>
      <c r="E1421" s="40"/>
      <c r="F1421" s="13"/>
      <c r="G1421" s="78"/>
      <c r="H1421" s="16"/>
      <c r="I1421" s="10"/>
      <c r="J1421" s="10"/>
      <c r="K1421" s="10"/>
      <c r="L1421" s="10"/>
      <c r="M1421" s="10"/>
      <c r="N1421" s="10"/>
      <c r="O1421" s="10"/>
      <c r="P1421" s="38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  <c r="AA1421" s="16"/>
      <c r="AB1421" s="16"/>
      <c r="AC1421" s="16"/>
      <c r="AD1421" s="16"/>
      <c r="AE1421" s="16"/>
      <c r="AF1421" s="16"/>
      <c r="AG1421" s="16"/>
    </row>
    <row r="1422" spans="1:33" ht="14.25" customHeight="1" x14ac:dyDescent="0.35">
      <c r="A1422" s="18"/>
      <c r="B1422" s="64"/>
      <c r="C1422" s="18"/>
      <c r="D1422" s="19"/>
      <c r="E1422" s="40"/>
      <c r="F1422" s="13"/>
      <c r="G1422" s="78"/>
      <c r="H1422" s="16"/>
      <c r="I1422" s="10"/>
      <c r="J1422" s="10"/>
      <c r="K1422" s="10"/>
      <c r="L1422" s="10"/>
      <c r="M1422" s="10"/>
      <c r="N1422" s="10"/>
      <c r="O1422" s="10"/>
      <c r="P1422" s="38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  <c r="AA1422" s="16"/>
      <c r="AB1422" s="16"/>
      <c r="AC1422" s="16"/>
      <c r="AD1422" s="16"/>
      <c r="AE1422" s="16"/>
      <c r="AF1422" s="16"/>
      <c r="AG1422" s="16"/>
    </row>
    <row r="1423" spans="1:33" ht="14.25" customHeight="1" x14ac:dyDescent="0.35">
      <c r="A1423" s="18"/>
      <c r="B1423" s="64"/>
      <c r="C1423" s="18"/>
      <c r="D1423" s="19"/>
      <c r="E1423" s="40"/>
      <c r="F1423" s="13"/>
      <c r="G1423" s="78"/>
      <c r="H1423" s="16"/>
      <c r="I1423" s="10"/>
      <c r="J1423" s="10"/>
      <c r="K1423" s="10"/>
      <c r="L1423" s="10"/>
      <c r="M1423" s="10"/>
      <c r="N1423" s="10"/>
      <c r="O1423" s="10"/>
      <c r="P1423" s="38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  <c r="AA1423" s="16"/>
      <c r="AB1423" s="16"/>
      <c r="AC1423" s="16"/>
      <c r="AD1423" s="16"/>
      <c r="AE1423" s="16"/>
      <c r="AF1423" s="16"/>
      <c r="AG1423" s="16"/>
    </row>
    <row r="1424" spans="1:33" ht="14.25" customHeight="1" x14ac:dyDescent="0.35">
      <c r="A1424" s="18"/>
      <c r="B1424" s="64"/>
      <c r="C1424" s="18"/>
      <c r="D1424" s="19"/>
      <c r="E1424" s="40"/>
      <c r="F1424" s="13"/>
      <c r="G1424" s="78"/>
      <c r="H1424" s="16"/>
      <c r="I1424" s="10"/>
      <c r="J1424" s="10"/>
      <c r="K1424" s="10"/>
      <c r="L1424" s="10"/>
      <c r="M1424" s="10"/>
      <c r="N1424" s="10"/>
      <c r="O1424" s="10"/>
      <c r="P1424" s="38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  <c r="AA1424" s="16"/>
      <c r="AB1424" s="16"/>
      <c r="AC1424" s="16"/>
      <c r="AD1424" s="16"/>
      <c r="AE1424" s="16"/>
      <c r="AF1424" s="16"/>
      <c r="AG1424" s="16"/>
    </row>
    <row r="1425" spans="1:33" ht="14.25" customHeight="1" x14ac:dyDescent="0.35">
      <c r="A1425" s="18"/>
      <c r="B1425" s="64"/>
      <c r="C1425" s="18"/>
      <c r="D1425" s="19"/>
      <c r="E1425" s="40"/>
      <c r="F1425" s="13"/>
      <c r="G1425" s="78"/>
      <c r="H1425" s="16"/>
      <c r="I1425" s="10"/>
      <c r="J1425" s="10"/>
      <c r="K1425" s="10"/>
      <c r="L1425" s="10"/>
      <c r="M1425" s="10"/>
      <c r="N1425" s="10"/>
      <c r="O1425" s="10"/>
      <c r="P1425" s="38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  <c r="AA1425" s="16"/>
      <c r="AB1425" s="16"/>
      <c r="AC1425" s="16"/>
      <c r="AD1425" s="16"/>
      <c r="AE1425" s="16"/>
      <c r="AF1425" s="16"/>
      <c r="AG1425" s="16"/>
    </row>
    <row r="1426" spans="1:33" ht="14.25" customHeight="1" x14ac:dyDescent="0.35">
      <c r="A1426" s="18"/>
      <c r="B1426" s="64"/>
      <c r="C1426" s="18"/>
      <c r="D1426" s="19"/>
      <c r="E1426" s="40"/>
      <c r="F1426" s="13"/>
      <c r="G1426" s="78"/>
      <c r="H1426" s="16"/>
      <c r="I1426" s="10"/>
      <c r="J1426" s="10"/>
      <c r="K1426" s="10"/>
      <c r="L1426" s="10"/>
      <c r="M1426" s="10"/>
      <c r="N1426" s="10"/>
      <c r="O1426" s="10"/>
      <c r="P1426" s="38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  <c r="AA1426" s="16"/>
      <c r="AB1426" s="16"/>
      <c r="AC1426" s="16"/>
      <c r="AD1426" s="16"/>
      <c r="AE1426" s="16"/>
      <c r="AF1426" s="16"/>
      <c r="AG1426" s="16"/>
    </row>
    <row r="1427" spans="1:33" ht="14.25" customHeight="1" x14ac:dyDescent="0.35">
      <c r="A1427" s="18"/>
      <c r="B1427" s="64"/>
      <c r="C1427" s="18"/>
      <c r="D1427" s="19"/>
      <c r="E1427" s="40"/>
      <c r="F1427" s="13"/>
      <c r="G1427" s="78"/>
      <c r="H1427" s="16"/>
      <c r="I1427" s="10"/>
      <c r="J1427" s="10"/>
      <c r="K1427" s="10"/>
      <c r="L1427" s="10"/>
      <c r="M1427" s="10"/>
      <c r="N1427" s="10"/>
      <c r="O1427" s="10"/>
      <c r="P1427" s="38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  <c r="AA1427" s="16"/>
      <c r="AB1427" s="16"/>
      <c r="AC1427" s="16"/>
      <c r="AD1427" s="16"/>
      <c r="AE1427" s="16"/>
      <c r="AF1427" s="16"/>
      <c r="AG1427" s="16"/>
    </row>
    <row r="1428" spans="1:33" ht="14.25" customHeight="1" x14ac:dyDescent="0.35">
      <c r="A1428" s="18"/>
      <c r="B1428" s="64"/>
      <c r="C1428" s="18"/>
      <c r="D1428" s="19"/>
      <c r="E1428" s="40"/>
      <c r="F1428" s="13"/>
      <c r="G1428" s="78"/>
      <c r="H1428" s="16"/>
      <c r="I1428" s="10"/>
      <c r="J1428" s="10"/>
      <c r="K1428" s="10"/>
      <c r="L1428" s="10"/>
      <c r="M1428" s="10"/>
      <c r="N1428" s="10"/>
      <c r="O1428" s="10"/>
      <c r="P1428" s="38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  <c r="AA1428" s="16"/>
      <c r="AB1428" s="16"/>
      <c r="AC1428" s="16"/>
      <c r="AD1428" s="16"/>
      <c r="AE1428" s="16"/>
      <c r="AF1428" s="16"/>
      <c r="AG1428" s="16"/>
    </row>
    <row r="1429" spans="1:33" ht="14.25" customHeight="1" x14ac:dyDescent="0.35">
      <c r="A1429" s="18"/>
      <c r="B1429" s="64"/>
      <c r="C1429" s="18"/>
      <c r="D1429" s="19"/>
      <c r="E1429" s="40"/>
      <c r="F1429" s="13"/>
      <c r="G1429" s="78"/>
      <c r="H1429" s="16"/>
      <c r="I1429" s="10"/>
      <c r="J1429" s="10"/>
      <c r="K1429" s="10"/>
      <c r="L1429" s="10"/>
      <c r="M1429" s="10"/>
      <c r="N1429" s="10"/>
      <c r="O1429" s="10"/>
      <c r="P1429" s="38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  <c r="AA1429" s="16"/>
      <c r="AB1429" s="16"/>
      <c r="AC1429" s="16"/>
      <c r="AD1429" s="16"/>
      <c r="AE1429" s="16"/>
      <c r="AF1429" s="16"/>
      <c r="AG1429" s="16"/>
    </row>
    <row r="1430" spans="1:33" ht="14.25" customHeight="1" x14ac:dyDescent="0.35">
      <c r="A1430" s="15"/>
      <c r="B1430" s="65"/>
      <c r="C1430" s="15"/>
      <c r="D1430" s="19"/>
      <c r="E1430" s="40"/>
      <c r="F1430" s="13"/>
      <c r="G1430" s="78"/>
      <c r="H1430" s="16"/>
      <c r="I1430" s="10"/>
      <c r="J1430" s="10"/>
      <c r="K1430" s="10"/>
      <c r="L1430" s="10"/>
      <c r="M1430" s="10"/>
      <c r="N1430" s="10"/>
      <c r="O1430" s="10"/>
      <c r="P1430" s="38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  <c r="AA1430" s="16"/>
      <c r="AB1430" s="16"/>
      <c r="AC1430" s="16"/>
      <c r="AD1430" s="16"/>
      <c r="AE1430" s="16"/>
      <c r="AF1430" s="16"/>
      <c r="AG1430" s="16"/>
    </row>
    <row r="1431" spans="1:33" ht="14.25" customHeight="1" x14ac:dyDescent="0.35">
      <c r="A1431" s="15"/>
      <c r="B1431" s="65"/>
      <c r="C1431" s="15"/>
      <c r="D1431" s="19"/>
      <c r="E1431" s="40"/>
      <c r="F1431" s="13"/>
      <c r="G1431" s="78"/>
      <c r="H1431" s="16"/>
      <c r="I1431" s="10"/>
      <c r="J1431" s="10"/>
      <c r="K1431" s="10"/>
      <c r="L1431" s="10"/>
      <c r="M1431" s="10"/>
      <c r="N1431" s="10"/>
      <c r="O1431" s="10"/>
      <c r="P1431" s="38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  <c r="AA1431" s="16"/>
      <c r="AB1431" s="16"/>
      <c r="AC1431" s="16"/>
      <c r="AD1431" s="16"/>
      <c r="AE1431" s="16"/>
      <c r="AF1431" s="16"/>
      <c r="AG1431" s="16"/>
    </row>
    <row r="1432" spans="1:33" ht="14.25" customHeight="1" x14ac:dyDescent="0.35">
      <c r="A1432" s="15"/>
      <c r="B1432" s="65"/>
      <c r="C1432" s="15"/>
      <c r="D1432" s="19"/>
      <c r="E1432" s="40"/>
      <c r="F1432" s="13"/>
      <c r="G1432" s="78"/>
      <c r="H1432" s="16"/>
      <c r="I1432" s="10"/>
      <c r="J1432" s="10"/>
      <c r="K1432" s="10"/>
      <c r="L1432" s="10"/>
      <c r="M1432" s="10"/>
      <c r="N1432" s="10"/>
      <c r="O1432" s="10"/>
      <c r="P1432" s="38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  <c r="AA1432" s="16"/>
      <c r="AB1432" s="16"/>
      <c r="AC1432" s="16"/>
      <c r="AD1432" s="16"/>
      <c r="AE1432" s="16"/>
      <c r="AF1432" s="16"/>
      <c r="AG1432" s="16"/>
    </row>
    <row r="1433" spans="1:33" ht="14.25" customHeight="1" x14ac:dyDescent="0.35">
      <c r="A1433" s="15"/>
      <c r="B1433" s="65"/>
      <c r="C1433" s="15"/>
      <c r="D1433" s="19"/>
      <c r="E1433" s="40"/>
      <c r="F1433" s="13"/>
      <c r="G1433" s="78"/>
      <c r="H1433" s="16"/>
      <c r="I1433" s="10"/>
      <c r="J1433" s="10"/>
      <c r="K1433" s="10"/>
      <c r="L1433" s="10"/>
      <c r="M1433" s="10"/>
      <c r="N1433" s="10"/>
      <c r="O1433" s="10"/>
      <c r="P1433" s="38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  <c r="AA1433" s="16"/>
      <c r="AB1433" s="16"/>
      <c r="AC1433" s="16"/>
      <c r="AD1433" s="16"/>
      <c r="AE1433" s="16"/>
      <c r="AF1433" s="16"/>
      <c r="AG1433" s="16"/>
    </row>
    <row r="1434" spans="1:33" ht="14.25" customHeight="1" x14ac:dyDescent="0.35">
      <c r="A1434" s="15"/>
      <c r="B1434" s="65"/>
      <c r="C1434" s="15"/>
      <c r="D1434" s="19"/>
      <c r="E1434" s="40"/>
      <c r="F1434" s="13"/>
      <c r="G1434" s="78"/>
      <c r="H1434" s="16"/>
      <c r="I1434" s="10"/>
      <c r="J1434" s="10"/>
      <c r="K1434" s="10"/>
      <c r="L1434" s="10"/>
      <c r="M1434" s="10"/>
      <c r="N1434" s="10"/>
      <c r="O1434" s="10"/>
      <c r="P1434" s="38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  <c r="AA1434" s="16"/>
      <c r="AB1434" s="16"/>
      <c r="AC1434" s="16"/>
      <c r="AD1434" s="16"/>
      <c r="AE1434" s="16"/>
      <c r="AF1434" s="16"/>
      <c r="AG1434" s="16"/>
    </row>
    <row r="1435" spans="1:33" ht="14.25" customHeight="1" x14ac:dyDescent="0.35">
      <c r="A1435" s="15"/>
      <c r="B1435" s="65"/>
      <c r="C1435" s="15"/>
      <c r="D1435" s="19"/>
      <c r="E1435" s="40"/>
      <c r="F1435" s="13"/>
      <c r="G1435" s="78"/>
      <c r="H1435" s="16"/>
      <c r="I1435" s="10"/>
      <c r="J1435" s="10"/>
      <c r="K1435" s="10"/>
      <c r="L1435" s="10"/>
      <c r="M1435" s="10"/>
      <c r="N1435" s="10"/>
      <c r="O1435" s="10"/>
      <c r="P1435" s="38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  <c r="AA1435" s="16"/>
      <c r="AB1435" s="16"/>
      <c r="AC1435" s="16"/>
      <c r="AD1435" s="16"/>
      <c r="AE1435" s="16"/>
      <c r="AF1435" s="16"/>
      <c r="AG1435" s="16"/>
    </row>
    <row r="1436" spans="1:33" ht="14.25" customHeight="1" x14ac:dyDescent="0.35">
      <c r="A1436" s="15"/>
      <c r="B1436" s="65"/>
      <c r="C1436" s="15"/>
      <c r="D1436" s="19"/>
      <c r="E1436" s="40"/>
      <c r="F1436" s="13"/>
      <c r="G1436" s="78"/>
      <c r="H1436" s="16"/>
      <c r="I1436" s="10"/>
      <c r="J1436" s="10"/>
      <c r="K1436" s="10"/>
      <c r="L1436" s="10"/>
      <c r="M1436" s="10"/>
      <c r="N1436" s="10"/>
      <c r="O1436" s="10"/>
      <c r="P1436" s="38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  <c r="AA1436" s="16"/>
      <c r="AB1436" s="16"/>
      <c r="AC1436" s="16"/>
      <c r="AD1436" s="16"/>
      <c r="AE1436" s="16"/>
      <c r="AF1436" s="16"/>
      <c r="AG1436" s="16"/>
    </row>
    <row r="1437" spans="1:33" ht="14.25" customHeight="1" x14ac:dyDescent="0.35">
      <c r="A1437" s="15"/>
      <c r="B1437" s="65"/>
      <c r="C1437" s="15"/>
      <c r="D1437" s="19"/>
      <c r="E1437" s="40"/>
      <c r="F1437" s="13"/>
      <c r="G1437" s="78"/>
      <c r="H1437" s="16"/>
      <c r="I1437" s="10"/>
      <c r="J1437" s="10"/>
      <c r="K1437" s="10"/>
      <c r="L1437" s="10"/>
      <c r="M1437" s="10"/>
      <c r="N1437" s="10"/>
      <c r="O1437" s="10"/>
      <c r="P1437" s="38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  <c r="AA1437" s="16"/>
      <c r="AB1437" s="16"/>
      <c r="AC1437" s="16"/>
      <c r="AD1437" s="16"/>
      <c r="AE1437" s="16"/>
      <c r="AF1437" s="16"/>
      <c r="AG1437" s="16"/>
    </row>
    <row r="1438" spans="1:33" ht="14.25" customHeight="1" x14ac:dyDescent="0.35">
      <c r="A1438" s="15"/>
      <c r="B1438" s="65"/>
      <c r="C1438" s="15"/>
      <c r="D1438" s="19"/>
      <c r="E1438" s="40"/>
      <c r="F1438" s="13"/>
      <c r="G1438" s="78"/>
      <c r="H1438" s="16"/>
      <c r="I1438" s="10"/>
      <c r="J1438" s="10"/>
      <c r="K1438" s="10"/>
      <c r="L1438" s="10"/>
      <c r="M1438" s="10"/>
      <c r="N1438" s="10"/>
      <c r="O1438" s="10"/>
      <c r="P1438" s="38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  <c r="AA1438" s="16"/>
      <c r="AB1438" s="16"/>
      <c r="AC1438" s="16"/>
      <c r="AD1438" s="16"/>
      <c r="AE1438" s="16"/>
      <c r="AF1438" s="16"/>
      <c r="AG1438" s="16"/>
    </row>
    <row r="1439" spans="1:33" ht="14.25" customHeight="1" x14ac:dyDescent="0.35">
      <c r="A1439" s="15"/>
      <c r="B1439" s="65"/>
      <c r="C1439" s="15"/>
      <c r="D1439" s="19"/>
      <c r="E1439" s="40"/>
      <c r="F1439" s="13"/>
      <c r="G1439" s="78"/>
      <c r="H1439" s="16"/>
      <c r="I1439" s="10"/>
      <c r="J1439" s="10"/>
      <c r="K1439" s="10"/>
      <c r="L1439" s="10"/>
      <c r="M1439" s="10"/>
      <c r="N1439" s="10"/>
      <c r="O1439" s="10"/>
      <c r="P1439" s="38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  <c r="AA1439" s="16"/>
      <c r="AB1439" s="16"/>
      <c r="AC1439" s="16"/>
      <c r="AD1439" s="16"/>
      <c r="AE1439" s="16"/>
      <c r="AF1439" s="16"/>
      <c r="AG1439" s="16"/>
    </row>
    <row r="1440" spans="1:33" ht="14.25" customHeight="1" x14ac:dyDescent="0.35">
      <c r="A1440" s="15"/>
      <c r="B1440" s="65"/>
      <c r="C1440" s="15"/>
      <c r="D1440" s="19"/>
      <c r="E1440" s="40"/>
      <c r="F1440" s="13"/>
      <c r="G1440" s="78"/>
      <c r="H1440" s="16"/>
      <c r="I1440" s="10"/>
      <c r="J1440" s="10"/>
      <c r="K1440" s="10"/>
      <c r="L1440" s="10"/>
      <c r="M1440" s="10"/>
      <c r="N1440" s="10"/>
      <c r="O1440" s="10"/>
      <c r="P1440" s="38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  <c r="AA1440" s="16"/>
      <c r="AB1440" s="16"/>
      <c r="AC1440" s="16"/>
      <c r="AD1440" s="16"/>
      <c r="AE1440" s="16"/>
      <c r="AF1440" s="16"/>
      <c r="AG1440" s="16"/>
    </row>
    <row r="1441" spans="1:33" ht="14.25" customHeight="1" x14ac:dyDescent="0.35">
      <c r="A1441" s="15"/>
      <c r="B1441" s="65"/>
      <c r="C1441" s="15"/>
      <c r="D1441" s="19"/>
      <c r="E1441" s="40"/>
      <c r="F1441" s="13"/>
      <c r="G1441" s="78"/>
      <c r="H1441" s="16"/>
      <c r="I1441" s="10"/>
      <c r="J1441" s="10"/>
      <c r="K1441" s="10"/>
      <c r="L1441" s="10"/>
      <c r="M1441" s="10"/>
      <c r="N1441" s="10"/>
      <c r="O1441" s="10"/>
      <c r="P1441" s="38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  <c r="AA1441" s="16"/>
      <c r="AB1441" s="16"/>
      <c r="AC1441" s="16"/>
      <c r="AD1441" s="16"/>
      <c r="AE1441" s="16"/>
      <c r="AF1441" s="16"/>
      <c r="AG1441" s="16"/>
    </row>
    <row r="1442" spans="1:33" ht="14.25" customHeight="1" x14ac:dyDescent="0.35">
      <c r="A1442" s="15"/>
      <c r="B1442" s="65"/>
      <c r="C1442" s="15"/>
      <c r="D1442" s="19"/>
      <c r="E1442" s="40"/>
      <c r="F1442" s="13"/>
      <c r="G1442" s="78"/>
      <c r="H1442" s="16"/>
      <c r="I1442" s="10"/>
      <c r="J1442" s="10"/>
      <c r="K1442" s="10"/>
      <c r="L1442" s="10"/>
      <c r="M1442" s="10"/>
      <c r="N1442" s="10"/>
      <c r="O1442" s="10"/>
      <c r="P1442" s="38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  <c r="AA1442" s="16"/>
      <c r="AB1442" s="16"/>
      <c r="AC1442" s="16"/>
      <c r="AD1442" s="16"/>
      <c r="AE1442" s="16"/>
      <c r="AF1442" s="16"/>
      <c r="AG1442" s="16"/>
    </row>
    <row r="1443" spans="1:33" ht="14.25" customHeight="1" x14ac:dyDescent="0.35">
      <c r="A1443" s="15"/>
      <c r="B1443" s="65"/>
      <c r="C1443" s="15"/>
      <c r="D1443" s="19"/>
      <c r="E1443" s="40"/>
      <c r="F1443" s="13"/>
      <c r="G1443" s="78"/>
      <c r="H1443" s="16"/>
      <c r="I1443" s="10"/>
      <c r="J1443" s="10"/>
      <c r="K1443" s="10"/>
      <c r="L1443" s="10"/>
      <c r="M1443" s="10"/>
      <c r="N1443" s="10"/>
      <c r="O1443" s="10"/>
      <c r="P1443" s="38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  <c r="AA1443" s="16"/>
      <c r="AB1443" s="16"/>
      <c r="AC1443" s="16"/>
      <c r="AD1443" s="16"/>
      <c r="AE1443" s="16"/>
      <c r="AF1443" s="16"/>
      <c r="AG1443" s="16"/>
    </row>
    <row r="1444" spans="1:33" ht="14.25" customHeight="1" x14ac:dyDescent="0.35">
      <c r="A1444" s="15"/>
      <c r="B1444" s="65"/>
      <c r="C1444" s="15"/>
      <c r="D1444" s="19"/>
      <c r="E1444" s="40"/>
      <c r="F1444" s="13"/>
      <c r="G1444" s="78"/>
      <c r="H1444" s="16"/>
      <c r="I1444" s="10"/>
      <c r="J1444" s="10"/>
      <c r="K1444" s="10"/>
      <c r="L1444" s="10"/>
      <c r="M1444" s="10"/>
      <c r="N1444" s="10"/>
      <c r="O1444" s="10"/>
      <c r="P1444" s="38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  <c r="AA1444" s="16"/>
      <c r="AB1444" s="16"/>
      <c r="AC1444" s="16"/>
      <c r="AD1444" s="16"/>
      <c r="AE1444" s="16"/>
      <c r="AF1444" s="16"/>
      <c r="AG1444" s="16"/>
    </row>
    <row r="1445" spans="1:33" ht="15" customHeight="1" x14ac:dyDescent="0.35">
      <c r="A1445" s="15"/>
      <c r="B1445" s="65"/>
      <c r="C1445" s="15"/>
      <c r="D1445" s="19"/>
      <c r="E1445" s="40"/>
      <c r="F1445" s="13"/>
      <c r="G1445" s="78"/>
      <c r="H1445" s="16"/>
      <c r="I1445" s="10"/>
      <c r="J1445" s="10"/>
      <c r="K1445" s="10"/>
      <c r="L1445" s="10"/>
      <c r="M1445" s="10"/>
      <c r="N1445" s="10"/>
      <c r="O1445" s="10"/>
      <c r="P1445" s="38"/>
    </row>
    <row r="1446" spans="1:33" ht="15" customHeight="1" x14ac:dyDescent="0.35">
      <c r="A1446" s="15"/>
      <c r="B1446" s="65"/>
      <c r="C1446" s="15"/>
      <c r="D1446" s="19"/>
      <c r="E1446" s="40"/>
      <c r="F1446" s="13"/>
      <c r="G1446" s="78"/>
      <c r="H1446" s="16"/>
      <c r="I1446" s="10"/>
      <c r="J1446" s="10"/>
      <c r="K1446" s="10"/>
      <c r="L1446" s="10"/>
      <c r="M1446" s="10"/>
      <c r="N1446" s="10"/>
      <c r="O1446" s="10"/>
      <c r="P1446" s="38"/>
    </row>
    <row r="1447" spans="1:33" ht="15" customHeight="1" x14ac:dyDescent="0.35">
      <c r="A1447" s="15"/>
      <c r="B1447" s="65"/>
      <c r="C1447" s="15"/>
      <c r="D1447" s="19"/>
      <c r="E1447" s="40"/>
      <c r="F1447" s="13"/>
      <c r="G1447" s="78"/>
      <c r="H1447" s="16"/>
      <c r="I1447" s="10"/>
      <c r="J1447" s="10"/>
      <c r="K1447" s="10"/>
      <c r="L1447" s="10"/>
      <c r="M1447" s="10"/>
      <c r="N1447" s="10"/>
      <c r="O1447" s="10"/>
      <c r="P1447" s="38"/>
    </row>
    <row r="1448" spans="1:33" ht="15" customHeight="1" x14ac:dyDescent="0.35">
      <c r="A1448" s="15"/>
      <c r="B1448" s="65"/>
      <c r="C1448" s="15"/>
      <c r="D1448" s="19"/>
      <c r="E1448" s="40"/>
      <c r="F1448" s="13"/>
      <c r="G1448" s="78"/>
      <c r="H1448" s="16"/>
      <c r="I1448" s="10"/>
      <c r="J1448" s="10"/>
      <c r="K1448" s="10"/>
      <c r="L1448" s="10"/>
      <c r="M1448" s="10"/>
      <c r="N1448" s="10"/>
      <c r="O1448" s="10"/>
      <c r="P1448" s="38"/>
    </row>
    <row r="1449" spans="1:33" ht="15" customHeight="1" x14ac:dyDescent="0.35">
      <c r="A1449" s="15"/>
      <c r="B1449" s="65"/>
      <c r="C1449" s="15"/>
      <c r="D1449" s="19"/>
      <c r="E1449" s="40"/>
      <c r="F1449" s="13"/>
      <c r="G1449" s="78"/>
      <c r="H1449" s="16"/>
      <c r="I1449" s="10"/>
      <c r="J1449" s="10"/>
      <c r="K1449" s="10"/>
      <c r="L1449" s="10"/>
      <c r="M1449" s="10"/>
      <c r="N1449" s="10"/>
      <c r="O1449" s="10"/>
      <c r="P1449" s="38"/>
    </row>
    <row r="1450" spans="1:33" ht="15" customHeight="1" x14ac:dyDescent="0.35">
      <c r="A1450" s="15"/>
      <c r="B1450" s="65"/>
      <c r="C1450" s="15"/>
      <c r="D1450" s="19"/>
      <c r="E1450" s="40"/>
      <c r="F1450" s="13"/>
      <c r="G1450" s="78"/>
      <c r="H1450" s="16"/>
      <c r="I1450" s="10"/>
      <c r="J1450" s="10"/>
      <c r="K1450" s="10"/>
      <c r="L1450" s="10"/>
      <c r="M1450" s="10"/>
      <c r="N1450" s="10"/>
      <c r="O1450" s="10"/>
      <c r="P1450" s="38"/>
    </row>
    <row r="1451" spans="1:33" ht="15" customHeight="1" x14ac:dyDescent="0.35">
      <c r="A1451" s="15"/>
      <c r="B1451" s="65"/>
      <c r="C1451" s="15"/>
      <c r="D1451" s="19"/>
      <c r="E1451" s="40"/>
      <c r="F1451" s="13"/>
      <c r="G1451" s="78"/>
      <c r="H1451" s="16"/>
      <c r="I1451" s="10"/>
      <c r="J1451" s="10"/>
      <c r="K1451" s="10"/>
      <c r="L1451" s="10"/>
      <c r="M1451" s="10"/>
      <c r="N1451" s="10"/>
      <c r="O1451" s="10"/>
      <c r="P1451" s="38"/>
    </row>
    <row r="1452" spans="1:33" ht="15" customHeight="1" x14ac:dyDescent="0.35">
      <c r="A1452" s="15"/>
      <c r="B1452" s="65"/>
      <c r="C1452" s="15"/>
      <c r="D1452" s="19"/>
      <c r="E1452" s="40"/>
      <c r="F1452" s="13"/>
      <c r="G1452" s="78"/>
      <c r="H1452" s="16"/>
      <c r="I1452" s="10"/>
      <c r="J1452" s="10"/>
      <c r="K1452" s="10"/>
      <c r="L1452" s="10"/>
      <c r="M1452" s="10"/>
      <c r="N1452" s="10"/>
      <c r="O1452" s="10"/>
      <c r="P1452" s="38"/>
    </row>
    <row r="1453" spans="1:33" ht="15" customHeight="1" x14ac:dyDescent="0.35">
      <c r="A1453" s="15"/>
      <c r="B1453" s="65"/>
      <c r="C1453" s="15"/>
      <c r="D1453" s="19"/>
      <c r="E1453" s="40"/>
      <c r="F1453" s="13"/>
      <c r="G1453" s="78"/>
      <c r="H1453" s="16"/>
      <c r="I1453" s="10"/>
      <c r="J1453" s="10"/>
      <c r="K1453" s="10"/>
      <c r="L1453" s="10"/>
      <c r="M1453" s="10"/>
      <c r="N1453" s="10"/>
      <c r="O1453" s="10"/>
      <c r="P1453" s="38"/>
    </row>
    <row r="1454" spans="1:33" ht="15" customHeight="1" x14ac:dyDescent="0.35">
      <c r="A1454" s="15"/>
      <c r="B1454" s="65"/>
      <c r="C1454" s="15"/>
      <c r="D1454" s="19"/>
      <c r="E1454" s="40"/>
      <c r="F1454" s="13"/>
      <c r="G1454" s="78"/>
      <c r="H1454" s="16"/>
      <c r="I1454" s="10"/>
      <c r="J1454" s="10"/>
      <c r="K1454" s="10"/>
      <c r="L1454" s="10"/>
      <c r="M1454" s="10"/>
      <c r="N1454" s="10"/>
      <c r="O1454" s="10"/>
      <c r="P1454" s="38"/>
    </row>
    <row r="1455" spans="1:33" ht="15" customHeight="1" x14ac:dyDescent="0.35">
      <c r="A1455" s="15"/>
      <c r="B1455" s="65"/>
      <c r="C1455" s="15"/>
      <c r="D1455" s="19"/>
      <c r="E1455" s="40"/>
      <c r="F1455" s="13"/>
      <c r="G1455" s="78"/>
      <c r="H1455" s="16"/>
      <c r="I1455" s="10"/>
      <c r="J1455" s="10"/>
      <c r="K1455" s="10"/>
      <c r="L1455" s="10"/>
      <c r="M1455" s="10"/>
      <c r="N1455" s="10"/>
      <c r="O1455" s="10"/>
      <c r="P1455" s="38"/>
    </row>
    <row r="1456" spans="1:33" ht="15" customHeight="1" x14ac:dyDescent="0.35">
      <c r="A1456" s="15"/>
      <c r="B1456" s="65"/>
      <c r="C1456" s="15"/>
      <c r="D1456" s="19"/>
      <c r="E1456" s="40"/>
      <c r="F1456" s="13"/>
      <c r="G1456" s="78"/>
      <c r="H1456" s="16"/>
      <c r="I1456" s="10"/>
      <c r="J1456" s="10"/>
      <c r="K1456" s="10"/>
      <c r="L1456" s="10"/>
      <c r="M1456" s="10"/>
      <c r="N1456" s="10"/>
      <c r="O1456" s="10"/>
      <c r="P1456" s="38"/>
    </row>
    <row r="1457" spans="1:16" ht="15" customHeight="1" x14ac:dyDescent="0.35">
      <c r="A1457" s="15"/>
      <c r="B1457" s="65"/>
      <c r="C1457" s="15"/>
      <c r="D1457" s="19"/>
      <c r="E1457" s="40"/>
      <c r="F1457" s="13"/>
      <c r="G1457" s="78"/>
      <c r="H1457" s="16"/>
      <c r="I1457" s="10"/>
      <c r="J1457" s="10"/>
      <c r="K1457" s="10"/>
      <c r="L1457" s="10"/>
      <c r="M1457" s="10"/>
      <c r="N1457" s="10"/>
      <c r="O1457" s="10"/>
      <c r="P1457" s="38"/>
    </row>
    <row r="1458" spans="1:16" ht="15" customHeight="1" x14ac:dyDescent="0.35">
      <c r="A1458" s="15"/>
      <c r="B1458" s="65"/>
      <c r="C1458" s="15"/>
      <c r="D1458" s="19"/>
      <c r="E1458" s="40"/>
      <c r="F1458" s="13"/>
      <c r="G1458" s="78"/>
      <c r="H1458" s="16"/>
      <c r="I1458" s="10"/>
      <c r="J1458" s="10"/>
      <c r="K1458" s="10"/>
      <c r="L1458" s="10"/>
      <c r="M1458" s="10"/>
      <c r="N1458" s="10"/>
      <c r="O1458" s="10"/>
      <c r="P1458" s="38"/>
    </row>
    <row r="1459" spans="1:16" ht="15" customHeight="1" x14ac:dyDescent="0.35">
      <c r="A1459" s="15"/>
      <c r="B1459" s="65"/>
      <c r="C1459" s="15"/>
      <c r="D1459" s="19"/>
      <c r="E1459" s="40"/>
      <c r="F1459" s="13"/>
      <c r="G1459" s="78"/>
      <c r="H1459" s="16"/>
      <c r="I1459" s="10"/>
      <c r="J1459" s="10"/>
      <c r="K1459" s="10"/>
      <c r="L1459" s="10"/>
      <c r="M1459" s="10"/>
      <c r="N1459" s="10"/>
      <c r="O1459" s="10"/>
      <c r="P1459" s="38"/>
    </row>
    <row r="1460" spans="1:16" ht="15" customHeight="1" x14ac:dyDescent="0.35">
      <c r="A1460" s="15"/>
      <c r="B1460" s="65"/>
      <c r="C1460" s="15"/>
      <c r="D1460" s="19"/>
      <c r="E1460" s="40"/>
      <c r="F1460" s="13"/>
      <c r="G1460" s="78"/>
      <c r="H1460" s="16"/>
      <c r="I1460" s="10"/>
      <c r="J1460" s="10"/>
      <c r="K1460" s="10"/>
      <c r="L1460" s="10"/>
      <c r="M1460" s="10"/>
      <c r="N1460" s="10"/>
      <c r="O1460" s="10"/>
      <c r="P1460" s="38"/>
    </row>
    <row r="1461" spans="1:16" ht="15" customHeight="1" x14ac:dyDescent="0.35">
      <c r="A1461" s="15"/>
      <c r="B1461" s="65"/>
      <c r="C1461" s="15"/>
      <c r="D1461" s="19"/>
      <c r="E1461" s="40"/>
      <c r="F1461" s="13"/>
      <c r="G1461" s="78"/>
      <c r="H1461" s="16"/>
      <c r="I1461" s="10"/>
      <c r="J1461" s="10"/>
      <c r="K1461" s="10"/>
      <c r="L1461" s="10"/>
      <c r="M1461" s="10"/>
      <c r="N1461" s="10"/>
      <c r="O1461" s="10"/>
      <c r="P1461" s="38"/>
    </row>
    <row r="1462" spans="1:16" ht="15" customHeight="1" x14ac:dyDescent="0.35">
      <c r="A1462" s="15"/>
      <c r="B1462" s="65"/>
      <c r="C1462" s="15"/>
      <c r="D1462" s="19"/>
      <c r="E1462" s="40"/>
      <c r="F1462" s="13"/>
      <c r="G1462" s="78"/>
      <c r="H1462" s="16"/>
      <c r="I1462" s="10"/>
      <c r="J1462" s="10"/>
      <c r="K1462" s="10"/>
      <c r="L1462" s="10"/>
      <c r="M1462" s="10"/>
      <c r="N1462" s="10"/>
      <c r="O1462" s="10"/>
      <c r="P1462" s="38"/>
    </row>
    <row r="1463" spans="1:16" ht="15" customHeight="1" x14ac:dyDescent="0.35">
      <c r="A1463" s="15"/>
      <c r="B1463" s="65"/>
      <c r="C1463" s="15"/>
      <c r="D1463" s="19"/>
      <c r="E1463" s="40"/>
      <c r="F1463" s="13"/>
      <c r="G1463" s="78"/>
      <c r="H1463" s="16"/>
      <c r="I1463" s="10"/>
      <c r="J1463" s="10"/>
      <c r="K1463" s="10"/>
      <c r="L1463" s="10"/>
      <c r="M1463" s="10"/>
      <c r="N1463" s="10"/>
      <c r="O1463" s="10"/>
      <c r="P1463" s="38"/>
    </row>
    <row r="1464" spans="1:16" ht="15" customHeight="1" x14ac:dyDescent="0.35">
      <c r="A1464" s="15"/>
      <c r="B1464" s="65"/>
      <c r="C1464" s="15"/>
      <c r="D1464" s="19"/>
      <c r="E1464" s="40"/>
      <c r="F1464" s="13"/>
      <c r="G1464" s="78"/>
      <c r="H1464" s="16"/>
      <c r="I1464" s="10"/>
      <c r="J1464" s="10"/>
      <c r="K1464" s="10"/>
      <c r="L1464" s="10"/>
      <c r="M1464" s="10"/>
      <c r="N1464" s="10"/>
      <c r="O1464" s="10"/>
      <c r="P1464" s="38"/>
    </row>
    <row r="1465" spans="1:16" ht="15" customHeight="1" x14ac:dyDescent="0.35">
      <c r="A1465" s="15"/>
      <c r="B1465" s="65"/>
      <c r="C1465" s="15"/>
      <c r="D1465" s="19"/>
      <c r="E1465" s="40"/>
      <c r="F1465" s="13"/>
      <c r="G1465" s="78"/>
      <c r="H1465" s="16"/>
      <c r="I1465" s="10"/>
      <c r="J1465" s="10"/>
      <c r="K1465" s="10"/>
      <c r="L1465" s="10"/>
      <c r="M1465" s="10"/>
      <c r="N1465" s="10"/>
      <c r="O1465" s="10"/>
      <c r="P1465" s="38"/>
    </row>
    <row r="1466" spans="1:16" ht="15" customHeight="1" x14ac:dyDescent="0.35">
      <c r="A1466" s="15"/>
      <c r="B1466" s="65"/>
      <c r="C1466" s="15"/>
      <c r="D1466" s="19"/>
      <c r="E1466" s="40"/>
      <c r="F1466" s="13"/>
      <c r="G1466" s="78"/>
      <c r="H1466" s="16"/>
      <c r="I1466" s="10"/>
      <c r="J1466" s="10"/>
      <c r="K1466" s="10"/>
      <c r="L1466" s="10"/>
      <c r="M1466" s="10"/>
      <c r="N1466" s="10"/>
      <c r="O1466" s="10"/>
      <c r="P1466" s="38"/>
    </row>
    <row r="1467" spans="1:16" ht="15" customHeight="1" x14ac:dyDescent="0.35">
      <c r="A1467" s="15"/>
      <c r="B1467" s="65"/>
      <c r="C1467" s="15"/>
      <c r="D1467" s="19"/>
      <c r="E1467" s="40"/>
      <c r="F1467" s="13"/>
      <c r="G1467" s="78"/>
      <c r="H1467" s="16"/>
      <c r="I1467" s="10"/>
      <c r="J1467" s="10"/>
      <c r="K1467" s="10"/>
      <c r="L1467" s="10"/>
      <c r="M1467" s="10"/>
      <c r="N1467" s="10"/>
      <c r="O1467" s="10"/>
      <c r="P1467" s="38"/>
    </row>
    <row r="1468" spans="1:16" ht="15" customHeight="1" x14ac:dyDescent="0.35">
      <c r="A1468" s="15"/>
      <c r="B1468" s="65"/>
      <c r="C1468" s="15"/>
      <c r="D1468" s="19"/>
      <c r="E1468" s="40"/>
      <c r="F1468" s="13"/>
      <c r="G1468" s="78"/>
      <c r="H1468" s="16"/>
      <c r="I1468" s="10"/>
      <c r="J1468" s="10"/>
      <c r="K1468" s="10"/>
      <c r="L1468" s="10"/>
      <c r="M1468" s="10"/>
      <c r="N1468" s="10"/>
      <c r="O1468" s="10"/>
      <c r="P1468" s="38"/>
    </row>
    <row r="1469" spans="1:16" ht="15" customHeight="1" x14ac:dyDescent="0.35">
      <c r="A1469" s="15"/>
      <c r="B1469" s="65"/>
      <c r="C1469" s="15"/>
      <c r="D1469" s="19"/>
      <c r="E1469" s="40"/>
      <c r="F1469" s="13"/>
      <c r="G1469" s="78"/>
      <c r="H1469" s="16"/>
      <c r="I1469" s="10"/>
      <c r="J1469" s="10"/>
      <c r="K1469" s="10"/>
      <c r="L1469" s="10"/>
      <c r="M1469" s="10"/>
      <c r="N1469" s="10"/>
      <c r="O1469" s="10"/>
      <c r="P1469" s="38"/>
    </row>
    <row r="1470" spans="1:16" ht="15" customHeight="1" x14ac:dyDescent="0.35">
      <c r="A1470" s="15"/>
      <c r="B1470" s="65"/>
      <c r="C1470" s="15"/>
      <c r="D1470" s="19"/>
      <c r="E1470" s="40"/>
      <c r="F1470" s="13"/>
      <c r="G1470" s="78"/>
      <c r="H1470" s="16"/>
      <c r="I1470" s="10"/>
      <c r="J1470" s="10"/>
      <c r="K1470" s="10"/>
      <c r="L1470" s="10"/>
      <c r="M1470" s="10"/>
      <c r="N1470" s="10"/>
      <c r="O1470" s="10"/>
      <c r="P1470" s="38"/>
    </row>
    <row r="1471" spans="1:16" ht="15" customHeight="1" x14ac:dyDescent="0.35">
      <c r="A1471" s="15"/>
      <c r="B1471" s="65"/>
      <c r="C1471" s="15"/>
      <c r="D1471" s="19"/>
      <c r="E1471" s="40"/>
      <c r="F1471" s="13"/>
      <c r="G1471" s="78"/>
      <c r="H1471" s="16"/>
      <c r="I1471" s="10"/>
      <c r="J1471" s="10"/>
      <c r="K1471" s="10"/>
      <c r="L1471" s="10"/>
      <c r="M1471" s="10"/>
      <c r="N1471" s="10"/>
      <c r="O1471" s="10"/>
      <c r="P1471" s="38"/>
    </row>
    <row r="1472" spans="1:16" ht="15" customHeight="1" x14ac:dyDescent="0.35">
      <c r="A1472" s="15"/>
      <c r="B1472" s="65"/>
      <c r="C1472" s="15"/>
      <c r="D1472" s="19"/>
      <c r="E1472" s="40"/>
      <c r="F1472" s="13"/>
      <c r="G1472" s="78"/>
      <c r="H1472" s="16"/>
      <c r="I1472" s="10"/>
      <c r="J1472" s="10"/>
      <c r="K1472" s="10"/>
      <c r="L1472" s="10"/>
      <c r="M1472" s="10"/>
      <c r="N1472" s="10"/>
      <c r="O1472" s="10"/>
      <c r="P1472" s="38"/>
    </row>
    <row r="1473" spans="1:16" ht="15" customHeight="1" x14ac:dyDescent="0.35">
      <c r="A1473" s="15"/>
      <c r="B1473" s="65"/>
      <c r="C1473" s="15"/>
      <c r="D1473" s="19"/>
      <c r="E1473" s="40"/>
      <c r="F1473" s="13"/>
      <c r="G1473" s="78"/>
      <c r="H1473" s="16"/>
      <c r="I1473" s="10"/>
      <c r="J1473" s="10"/>
      <c r="K1473" s="10"/>
      <c r="L1473" s="10"/>
      <c r="M1473" s="10"/>
      <c r="N1473" s="10"/>
      <c r="O1473" s="10"/>
      <c r="P1473" s="38"/>
    </row>
    <row r="1474" spans="1:16" ht="15" customHeight="1" x14ac:dyDescent="0.35">
      <c r="A1474" s="15"/>
      <c r="B1474" s="65"/>
      <c r="C1474" s="15"/>
      <c r="D1474" s="19"/>
      <c r="E1474" s="40"/>
      <c r="F1474" s="13"/>
      <c r="G1474" s="78"/>
      <c r="H1474" s="16"/>
      <c r="I1474" s="10"/>
      <c r="J1474" s="10"/>
      <c r="K1474" s="10"/>
      <c r="L1474" s="10"/>
      <c r="M1474" s="10"/>
      <c r="N1474" s="10"/>
      <c r="O1474" s="10"/>
      <c r="P1474" s="38"/>
    </row>
    <row r="1475" spans="1:16" ht="15" customHeight="1" x14ac:dyDescent="0.35">
      <c r="A1475" s="15"/>
      <c r="B1475" s="65"/>
      <c r="C1475" s="15"/>
      <c r="D1475" s="19"/>
      <c r="E1475" s="40"/>
      <c r="F1475" s="13"/>
      <c r="G1475" s="78"/>
      <c r="H1475" s="16"/>
      <c r="I1475" s="10"/>
      <c r="J1475" s="10"/>
      <c r="K1475" s="10"/>
      <c r="L1475" s="10"/>
      <c r="M1475" s="10"/>
      <c r="N1475" s="10"/>
      <c r="O1475" s="10"/>
      <c r="P1475" s="38"/>
    </row>
    <row r="1476" spans="1:16" ht="15" customHeight="1" x14ac:dyDescent="0.35">
      <c r="A1476" s="15"/>
      <c r="B1476" s="65"/>
      <c r="C1476" s="15"/>
      <c r="D1476" s="19"/>
      <c r="E1476" s="40"/>
      <c r="F1476" s="13"/>
      <c r="G1476" s="78"/>
      <c r="H1476" s="16"/>
      <c r="I1476" s="10"/>
      <c r="J1476" s="10"/>
      <c r="K1476" s="10"/>
      <c r="L1476" s="10"/>
      <c r="M1476" s="10"/>
      <c r="N1476" s="10"/>
      <c r="O1476" s="10"/>
      <c r="P1476" s="38"/>
    </row>
    <row r="1477" spans="1:16" ht="15" customHeight="1" x14ac:dyDescent="0.35">
      <c r="A1477" s="15"/>
      <c r="B1477" s="65"/>
      <c r="C1477" s="15"/>
      <c r="D1477" s="19"/>
      <c r="E1477" s="40"/>
      <c r="F1477" s="13"/>
      <c r="G1477" s="78"/>
      <c r="H1477" s="16"/>
      <c r="I1477" s="10"/>
      <c r="J1477" s="10"/>
      <c r="K1477" s="10"/>
      <c r="L1477" s="10"/>
      <c r="M1477" s="10"/>
      <c r="N1477" s="10"/>
      <c r="O1477" s="10"/>
      <c r="P1477" s="38"/>
    </row>
    <row r="1478" spans="1:16" ht="15" customHeight="1" x14ac:dyDescent="0.35">
      <c r="A1478" s="15"/>
      <c r="B1478" s="65"/>
      <c r="C1478" s="15"/>
      <c r="D1478" s="19"/>
      <c r="E1478" s="40"/>
      <c r="F1478" s="13"/>
      <c r="G1478" s="78"/>
      <c r="H1478" s="16"/>
      <c r="I1478" s="10"/>
      <c r="J1478" s="10"/>
      <c r="K1478" s="10"/>
      <c r="L1478" s="10"/>
      <c r="M1478" s="10"/>
      <c r="N1478" s="10"/>
      <c r="O1478" s="10"/>
      <c r="P1478" s="38"/>
    </row>
    <row r="1479" spans="1:16" ht="15" customHeight="1" x14ac:dyDescent="0.35">
      <c r="A1479" s="15"/>
      <c r="B1479" s="65"/>
      <c r="C1479" s="15"/>
      <c r="D1479" s="19"/>
      <c r="E1479" s="40"/>
      <c r="F1479" s="13"/>
      <c r="G1479" s="78"/>
      <c r="H1479" s="16"/>
      <c r="I1479" s="10"/>
      <c r="J1479" s="10"/>
      <c r="K1479" s="10"/>
      <c r="L1479" s="10"/>
      <c r="M1479" s="10"/>
      <c r="N1479" s="10"/>
      <c r="O1479" s="10"/>
      <c r="P1479" s="38"/>
    </row>
    <row r="1480" spans="1:16" ht="15" customHeight="1" x14ac:dyDescent="0.35">
      <c r="A1480" s="15"/>
      <c r="B1480" s="65"/>
      <c r="C1480" s="15"/>
      <c r="D1480" s="19"/>
      <c r="E1480" s="40"/>
      <c r="F1480" s="13"/>
      <c r="G1480" s="78"/>
      <c r="H1480" s="16"/>
      <c r="I1480" s="10"/>
      <c r="J1480" s="10"/>
      <c r="K1480" s="10"/>
      <c r="L1480" s="10"/>
      <c r="M1480" s="10"/>
      <c r="N1480" s="10"/>
      <c r="O1480" s="10"/>
      <c r="P1480" s="38"/>
    </row>
    <row r="1481" spans="1:16" ht="15" customHeight="1" x14ac:dyDescent="0.35">
      <c r="A1481" s="15"/>
      <c r="B1481" s="65"/>
      <c r="C1481" s="15"/>
      <c r="D1481" s="19"/>
      <c r="E1481" s="40"/>
      <c r="F1481" s="13"/>
      <c r="G1481" s="78"/>
      <c r="H1481" s="16"/>
      <c r="I1481" s="10"/>
      <c r="J1481" s="10"/>
      <c r="K1481" s="10"/>
      <c r="L1481" s="10"/>
      <c r="M1481" s="10"/>
      <c r="N1481" s="10"/>
      <c r="O1481" s="10"/>
      <c r="P1481" s="38"/>
    </row>
    <row r="1482" spans="1:16" ht="15" customHeight="1" x14ac:dyDescent="0.35">
      <c r="A1482" s="15"/>
      <c r="B1482" s="65"/>
      <c r="C1482" s="15"/>
      <c r="D1482" s="19"/>
      <c r="E1482" s="40"/>
      <c r="F1482" s="13"/>
      <c r="G1482" s="78"/>
      <c r="H1482" s="16"/>
      <c r="I1482" s="10"/>
      <c r="J1482" s="10"/>
      <c r="K1482" s="10"/>
      <c r="L1482" s="10"/>
      <c r="M1482" s="10"/>
      <c r="N1482" s="10"/>
      <c r="O1482" s="10"/>
      <c r="P1482" s="38"/>
    </row>
    <row r="1483" spans="1:16" ht="15" customHeight="1" x14ac:dyDescent="0.35">
      <c r="A1483" s="15"/>
      <c r="B1483" s="65"/>
      <c r="C1483" s="15"/>
      <c r="D1483" s="19"/>
      <c r="E1483" s="40"/>
      <c r="F1483" s="13"/>
      <c r="G1483" s="78"/>
      <c r="H1483" s="16"/>
      <c r="I1483" s="10"/>
      <c r="J1483" s="10"/>
      <c r="K1483" s="10"/>
      <c r="L1483" s="10"/>
      <c r="M1483" s="10"/>
      <c r="N1483" s="10"/>
      <c r="O1483" s="10"/>
      <c r="P1483" s="38"/>
    </row>
    <row r="1484" spans="1:16" ht="15" customHeight="1" x14ac:dyDescent="0.35">
      <c r="A1484" s="15"/>
      <c r="B1484" s="65"/>
      <c r="C1484" s="15"/>
      <c r="D1484" s="19"/>
      <c r="E1484" s="40"/>
      <c r="F1484" s="13"/>
      <c r="G1484" s="78"/>
      <c r="H1484" s="16"/>
      <c r="I1484" s="10"/>
      <c r="J1484" s="10"/>
      <c r="K1484" s="10"/>
      <c r="L1484" s="10"/>
      <c r="M1484" s="10"/>
      <c r="N1484" s="10"/>
      <c r="O1484" s="10"/>
      <c r="P1484" s="38"/>
    </row>
    <row r="1485" spans="1:16" ht="15" customHeight="1" x14ac:dyDescent="0.35">
      <c r="A1485" s="15"/>
      <c r="B1485" s="65"/>
      <c r="C1485" s="15"/>
      <c r="D1485" s="19"/>
      <c r="E1485" s="40"/>
      <c r="F1485" s="13"/>
      <c r="G1485" s="78"/>
      <c r="H1485" s="16"/>
      <c r="I1485" s="10"/>
      <c r="J1485" s="10"/>
      <c r="K1485" s="10"/>
      <c r="L1485" s="10"/>
      <c r="M1485" s="10"/>
      <c r="N1485" s="10"/>
      <c r="O1485" s="10"/>
      <c r="P1485" s="38"/>
    </row>
    <row r="1486" spans="1:16" ht="15" customHeight="1" x14ac:dyDescent="0.35">
      <c r="A1486" s="15"/>
      <c r="B1486" s="65"/>
      <c r="C1486" s="15"/>
      <c r="D1486" s="19"/>
      <c r="E1486" s="40"/>
      <c r="F1486" s="13"/>
      <c r="G1486" s="78"/>
      <c r="H1486" s="16"/>
      <c r="I1486" s="10"/>
      <c r="J1486" s="10"/>
      <c r="K1486" s="10"/>
      <c r="L1486" s="10"/>
      <c r="M1486" s="10"/>
      <c r="N1486" s="10"/>
      <c r="O1486" s="10"/>
      <c r="P1486" s="38"/>
    </row>
    <row r="1487" spans="1:16" ht="15" customHeight="1" x14ac:dyDescent="0.35">
      <c r="A1487" s="15"/>
      <c r="B1487" s="65"/>
      <c r="C1487" s="15"/>
      <c r="D1487" s="19"/>
      <c r="E1487" s="40"/>
      <c r="F1487" s="13"/>
      <c r="G1487" s="78"/>
      <c r="H1487" s="16"/>
      <c r="I1487" s="10"/>
      <c r="J1487" s="10"/>
      <c r="K1487" s="10"/>
      <c r="L1487" s="10"/>
      <c r="M1487" s="10"/>
      <c r="N1487" s="10"/>
      <c r="O1487" s="10"/>
      <c r="P1487" s="38"/>
    </row>
    <row r="1488" spans="1:16" ht="15" customHeight="1" x14ac:dyDescent="0.35">
      <c r="A1488" s="15"/>
      <c r="B1488" s="65"/>
      <c r="C1488" s="15"/>
      <c r="D1488" s="19"/>
      <c r="E1488" s="40"/>
      <c r="F1488" s="13"/>
      <c r="G1488" s="78"/>
      <c r="H1488" s="16"/>
      <c r="I1488" s="10"/>
      <c r="J1488" s="10"/>
      <c r="K1488" s="10"/>
      <c r="L1488" s="10"/>
      <c r="M1488" s="10"/>
      <c r="N1488" s="10"/>
      <c r="O1488" s="10"/>
      <c r="P1488" s="38"/>
    </row>
    <row r="1489" spans="1:16" ht="15" customHeight="1" x14ac:dyDescent="0.35">
      <c r="A1489" s="15"/>
      <c r="B1489" s="65"/>
      <c r="C1489" s="15"/>
      <c r="D1489" s="19"/>
      <c r="E1489" s="40"/>
      <c r="F1489" s="13"/>
      <c r="G1489" s="78"/>
      <c r="H1489" s="16"/>
      <c r="I1489" s="10"/>
      <c r="J1489" s="10"/>
      <c r="K1489" s="10"/>
      <c r="L1489" s="10"/>
      <c r="M1489" s="10"/>
      <c r="N1489" s="10"/>
      <c r="O1489" s="10"/>
      <c r="P1489" s="38"/>
    </row>
    <row r="1490" spans="1:16" ht="15" customHeight="1" x14ac:dyDescent="0.35">
      <c r="A1490" s="15"/>
      <c r="B1490" s="65"/>
      <c r="C1490" s="15"/>
      <c r="D1490" s="19"/>
      <c r="E1490" s="40"/>
      <c r="F1490" s="13"/>
      <c r="G1490" s="78"/>
      <c r="H1490" s="16"/>
      <c r="I1490" s="10"/>
      <c r="J1490" s="10"/>
      <c r="K1490" s="10"/>
      <c r="L1490" s="10"/>
      <c r="M1490" s="10"/>
      <c r="N1490" s="10"/>
      <c r="O1490" s="10"/>
      <c r="P1490" s="38"/>
    </row>
    <row r="1491" spans="1:16" ht="15" customHeight="1" x14ac:dyDescent="0.35">
      <c r="A1491" s="15"/>
      <c r="B1491" s="65"/>
      <c r="C1491" s="15"/>
      <c r="D1491" s="19"/>
      <c r="E1491" s="40"/>
      <c r="F1491" s="13"/>
      <c r="G1491" s="78"/>
      <c r="H1491" s="16"/>
      <c r="I1491" s="10"/>
      <c r="J1491" s="10"/>
      <c r="K1491" s="10"/>
      <c r="L1491" s="10"/>
      <c r="M1491" s="10"/>
      <c r="N1491" s="10"/>
      <c r="O1491" s="10"/>
      <c r="P1491" s="38"/>
    </row>
    <row r="1492" spans="1:16" ht="15" customHeight="1" x14ac:dyDescent="0.35">
      <c r="A1492" s="15"/>
      <c r="B1492" s="65"/>
      <c r="C1492" s="15"/>
      <c r="D1492" s="19"/>
      <c r="E1492" s="40"/>
      <c r="F1492" s="13"/>
      <c r="G1492" s="78"/>
      <c r="H1492" s="16"/>
      <c r="I1492" s="10"/>
      <c r="J1492" s="10"/>
      <c r="K1492" s="10"/>
      <c r="L1492" s="10"/>
      <c r="M1492" s="10"/>
      <c r="N1492" s="10"/>
      <c r="O1492" s="10"/>
      <c r="P1492" s="38"/>
    </row>
    <row r="1493" spans="1:16" ht="15" customHeight="1" x14ac:dyDescent="0.35">
      <c r="A1493" s="15"/>
      <c r="B1493" s="65"/>
      <c r="C1493" s="15"/>
      <c r="D1493" s="19"/>
      <c r="E1493" s="40"/>
      <c r="F1493" s="13"/>
      <c r="G1493" s="78"/>
      <c r="H1493" s="16"/>
      <c r="I1493" s="10"/>
      <c r="J1493" s="10"/>
      <c r="K1493" s="10"/>
      <c r="L1493" s="10"/>
      <c r="M1493" s="10"/>
      <c r="N1493" s="10"/>
      <c r="O1493" s="10"/>
      <c r="P1493" s="38"/>
    </row>
    <row r="1494" spans="1:16" ht="15" customHeight="1" x14ac:dyDescent="0.35">
      <c r="A1494" s="15"/>
      <c r="B1494" s="65"/>
      <c r="C1494" s="15"/>
      <c r="D1494" s="19"/>
      <c r="E1494" s="40"/>
      <c r="F1494" s="13"/>
      <c r="G1494" s="78"/>
      <c r="H1494" s="16"/>
      <c r="I1494" s="10"/>
      <c r="J1494" s="10"/>
      <c r="K1494" s="10"/>
      <c r="L1494" s="10"/>
      <c r="M1494" s="10"/>
      <c r="N1494" s="10"/>
      <c r="O1494" s="10"/>
      <c r="P1494" s="38"/>
    </row>
    <row r="1495" spans="1:16" ht="15" customHeight="1" x14ac:dyDescent="0.35">
      <c r="A1495" s="15"/>
      <c r="B1495" s="65"/>
      <c r="C1495" s="15"/>
      <c r="D1495" s="19"/>
      <c r="E1495" s="40"/>
      <c r="F1495" s="13"/>
      <c r="G1495" s="78"/>
      <c r="H1495" s="16"/>
      <c r="I1495" s="10"/>
      <c r="J1495" s="10"/>
      <c r="K1495" s="10"/>
      <c r="L1495" s="10"/>
      <c r="M1495" s="10"/>
      <c r="N1495" s="10"/>
      <c r="O1495" s="10"/>
      <c r="P1495" s="38"/>
    </row>
    <row r="1496" spans="1:16" ht="15" customHeight="1" x14ac:dyDescent="0.35">
      <c r="A1496" s="15"/>
      <c r="B1496" s="65"/>
      <c r="C1496" s="15"/>
      <c r="D1496" s="19"/>
      <c r="E1496" s="40"/>
      <c r="F1496" s="13"/>
      <c r="G1496" s="78"/>
      <c r="H1496" s="16"/>
      <c r="I1496" s="10"/>
      <c r="J1496" s="10"/>
      <c r="K1496" s="10"/>
      <c r="L1496" s="10"/>
      <c r="M1496" s="10"/>
      <c r="N1496" s="10"/>
      <c r="O1496" s="10"/>
      <c r="P1496" s="38"/>
    </row>
    <row r="1497" spans="1:16" ht="15" customHeight="1" x14ac:dyDescent="0.35">
      <c r="A1497" s="15"/>
      <c r="B1497" s="65"/>
      <c r="C1497" s="15"/>
      <c r="D1497" s="19"/>
      <c r="E1497" s="40"/>
      <c r="F1497" s="13"/>
      <c r="G1497" s="78"/>
      <c r="H1497" s="16"/>
      <c r="I1497" s="10"/>
      <c r="J1497" s="10"/>
      <c r="K1497" s="10"/>
      <c r="L1497" s="10"/>
      <c r="M1497" s="10"/>
      <c r="N1497" s="10"/>
      <c r="O1497" s="10"/>
      <c r="P1497" s="38"/>
    </row>
    <row r="1498" spans="1:16" ht="15" customHeight="1" x14ac:dyDescent="0.35">
      <c r="A1498" s="15"/>
      <c r="B1498" s="65"/>
      <c r="C1498" s="15"/>
      <c r="D1498" s="19"/>
      <c r="E1498" s="40"/>
      <c r="F1498" s="13"/>
      <c r="G1498" s="78"/>
      <c r="H1498" s="16"/>
      <c r="I1498" s="10"/>
      <c r="J1498" s="10"/>
      <c r="K1498" s="10"/>
      <c r="L1498" s="10"/>
      <c r="M1498" s="10"/>
      <c r="N1498" s="10"/>
      <c r="O1498" s="10"/>
      <c r="P1498" s="38"/>
    </row>
    <row r="1499" spans="1:16" ht="15" customHeight="1" x14ac:dyDescent="0.35">
      <c r="A1499" s="15"/>
      <c r="B1499" s="65"/>
      <c r="C1499" s="15"/>
      <c r="D1499" s="19"/>
      <c r="E1499" s="40"/>
      <c r="F1499" s="13"/>
      <c r="G1499" s="78"/>
      <c r="H1499" s="16"/>
      <c r="I1499" s="10"/>
      <c r="J1499" s="10"/>
      <c r="K1499" s="10"/>
      <c r="L1499" s="10"/>
      <c r="M1499" s="10"/>
      <c r="N1499" s="10"/>
      <c r="O1499" s="10"/>
      <c r="P1499" s="38"/>
    </row>
    <row r="1500" spans="1:16" ht="15" customHeight="1" x14ac:dyDescent="0.35">
      <c r="A1500" s="15"/>
      <c r="B1500" s="65"/>
      <c r="C1500" s="15"/>
      <c r="D1500" s="19"/>
      <c r="E1500" s="40"/>
      <c r="F1500" s="13"/>
      <c r="G1500" s="78"/>
      <c r="H1500" s="16"/>
      <c r="I1500" s="10"/>
      <c r="J1500" s="10"/>
      <c r="K1500" s="10"/>
      <c r="L1500" s="10"/>
      <c r="M1500" s="10"/>
      <c r="N1500" s="10"/>
      <c r="O1500" s="10"/>
      <c r="P1500" s="38"/>
    </row>
    <row r="1501" spans="1:16" ht="15" customHeight="1" x14ac:dyDescent="0.35">
      <c r="A1501" s="15"/>
      <c r="B1501" s="65"/>
      <c r="C1501" s="15"/>
      <c r="D1501" s="19"/>
      <c r="E1501" s="40"/>
      <c r="F1501" s="13"/>
      <c r="G1501" s="78"/>
      <c r="H1501" s="16"/>
      <c r="I1501" s="10"/>
      <c r="J1501" s="10"/>
      <c r="K1501" s="10"/>
      <c r="L1501" s="10"/>
      <c r="M1501" s="10"/>
      <c r="N1501" s="10"/>
      <c r="O1501" s="10"/>
      <c r="P1501" s="38"/>
    </row>
    <row r="1502" spans="1:16" ht="15" customHeight="1" x14ac:dyDescent="0.35">
      <c r="A1502" s="15"/>
      <c r="B1502" s="65"/>
      <c r="C1502" s="15"/>
      <c r="D1502" s="19"/>
      <c r="E1502" s="40"/>
      <c r="F1502" s="13"/>
      <c r="G1502" s="78"/>
      <c r="H1502" s="16"/>
      <c r="I1502" s="10"/>
      <c r="J1502" s="10"/>
      <c r="K1502" s="10"/>
      <c r="L1502" s="10"/>
      <c r="M1502" s="10"/>
      <c r="N1502" s="10"/>
      <c r="O1502" s="10"/>
      <c r="P1502" s="38"/>
    </row>
    <row r="1503" spans="1:16" ht="15" customHeight="1" x14ac:dyDescent="0.35">
      <c r="A1503" s="15"/>
      <c r="B1503" s="65"/>
      <c r="C1503" s="15"/>
      <c r="D1503" s="19"/>
      <c r="E1503" s="40"/>
      <c r="F1503" s="13"/>
      <c r="G1503" s="78"/>
      <c r="H1503" s="16"/>
      <c r="I1503" s="10"/>
      <c r="J1503" s="10"/>
      <c r="K1503" s="10"/>
      <c r="L1503" s="10"/>
      <c r="M1503" s="10"/>
      <c r="N1503" s="10"/>
      <c r="O1503" s="10"/>
      <c r="P1503" s="38"/>
    </row>
    <row r="1504" spans="1:16" ht="15" customHeight="1" x14ac:dyDescent="0.35">
      <c r="A1504" s="15"/>
      <c r="B1504" s="65"/>
      <c r="C1504" s="15"/>
      <c r="D1504" s="19"/>
      <c r="E1504" s="40"/>
      <c r="F1504" s="13"/>
      <c r="G1504" s="78"/>
      <c r="H1504" s="16"/>
      <c r="I1504" s="10"/>
      <c r="J1504" s="10"/>
      <c r="K1504" s="10"/>
      <c r="L1504" s="10"/>
      <c r="M1504" s="10"/>
      <c r="N1504" s="10"/>
      <c r="O1504" s="10"/>
      <c r="P1504" s="38"/>
    </row>
    <row r="1505" spans="1:16" ht="15" customHeight="1" x14ac:dyDescent="0.35">
      <c r="A1505" s="15"/>
      <c r="B1505" s="65"/>
      <c r="C1505" s="15"/>
      <c r="D1505" s="19"/>
      <c r="E1505" s="40"/>
      <c r="F1505" s="13"/>
      <c r="G1505" s="78"/>
      <c r="H1505" s="16"/>
      <c r="I1505" s="10"/>
      <c r="J1505" s="10"/>
      <c r="K1505" s="10"/>
      <c r="L1505" s="10"/>
      <c r="M1505" s="10"/>
      <c r="N1505" s="10"/>
      <c r="O1505" s="10"/>
      <c r="P1505" s="38"/>
    </row>
    <row r="1506" spans="1:16" ht="15" customHeight="1" x14ac:dyDescent="0.35">
      <c r="A1506" s="15"/>
      <c r="B1506" s="65"/>
      <c r="C1506" s="15"/>
      <c r="D1506" s="19"/>
      <c r="E1506" s="40"/>
      <c r="F1506" s="13"/>
      <c r="G1506" s="78"/>
      <c r="H1506" s="16"/>
      <c r="I1506" s="10"/>
      <c r="J1506" s="10"/>
      <c r="K1506" s="10"/>
      <c r="L1506" s="10"/>
      <c r="M1506" s="10"/>
      <c r="N1506" s="10"/>
      <c r="O1506" s="10"/>
      <c r="P1506" s="38"/>
    </row>
    <row r="1507" spans="1:16" ht="15" customHeight="1" x14ac:dyDescent="0.35">
      <c r="A1507" s="15"/>
      <c r="B1507" s="65"/>
      <c r="C1507" s="15"/>
      <c r="D1507" s="19"/>
      <c r="E1507" s="40"/>
      <c r="F1507" s="13"/>
      <c r="G1507" s="78"/>
      <c r="H1507" s="16"/>
      <c r="I1507" s="10"/>
      <c r="J1507" s="10"/>
      <c r="K1507" s="10"/>
      <c r="L1507" s="10"/>
      <c r="M1507" s="10"/>
      <c r="N1507" s="10"/>
      <c r="O1507" s="10"/>
      <c r="P1507" s="38"/>
    </row>
    <row r="1508" spans="1:16" ht="15" customHeight="1" x14ac:dyDescent="0.35">
      <c r="A1508" s="15"/>
      <c r="B1508" s="65"/>
      <c r="C1508" s="15"/>
      <c r="D1508" s="19"/>
      <c r="E1508" s="40"/>
      <c r="F1508" s="13"/>
      <c r="G1508" s="78"/>
      <c r="H1508" s="16"/>
      <c r="I1508" s="10"/>
      <c r="J1508" s="10"/>
      <c r="K1508" s="10"/>
      <c r="L1508" s="10"/>
      <c r="M1508" s="10"/>
      <c r="N1508" s="10"/>
      <c r="O1508" s="10"/>
      <c r="P1508" s="38"/>
    </row>
    <row r="1509" spans="1:16" ht="15" customHeight="1" x14ac:dyDescent="0.35">
      <c r="A1509" s="15"/>
      <c r="B1509" s="65"/>
      <c r="C1509" s="15"/>
      <c r="D1509" s="19"/>
      <c r="E1509" s="40"/>
      <c r="F1509" s="13"/>
      <c r="G1509" s="78"/>
      <c r="H1509" s="16"/>
      <c r="I1509" s="10"/>
      <c r="J1509" s="10"/>
      <c r="K1509" s="10"/>
      <c r="L1509" s="10"/>
      <c r="M1509" s="10"/>
      <c r="N1509" s="10"/>
      <c r="O1509" s="10"/>
      <c r="P1509" s="38"/>
    </row>
    <row r="1510" spans="1:16" ht="15" customHeight="1" x14ac:dyDescent="0.35">
      <c r="A1510" s="15"/>
      <c r="B1510" s="65"/>
      <c r="C1510" s="15"/>
      <c r="D1510" s="19"/>
      <c r="E1510" s="40"/>
      <c r="F1510" s="13"/>
      <c r="G1510" s="78"/>
      <c r="H1510" s="16"/>
      <c r="I1510" s="10"/>
      <c r="J1510" s="10"/>
      <c r="K1510" s="10"/>
      <c r="L1510" s="10"/>
      <c r="M1510" s="10"/>
      <c r="N1510" s="10"/>
      <c r="O1510" s="10"/>
      <c r="P1510" s="38"/>
    </row>
    <row r="1511" spans="1:16" ht="15" customHeight="1" x14ac:dyDescent="0.35">
      <c r="A1511" s="15"/>
      <c r="B1511" s="65"/>
      <c r="C1511" s="15"/>
      <c r="D1511" s="19"/>
      <c r="E1511" s="40"/>
      <c r="F1511" s="13"/>
      <c r="G1511" s="78"/>
      <c r="H1511" s="16"/>
      <c r="I1511" s="10"/>
      <c r="J1511" s="10"/>
      <c r="K1511" s="10"/>
      <c r="L1511" s="10"/>
      <c r="M1511" s="10"/>
      <c r="N1511" s="10"/>
      <c r="O1511" s="10"/>
      <c r="P1511" s="38"/>
    </row>
    <row r="1512" spans="1:16" ht="15" customHeight="1" x14ac:dyDescent="0.35">
      <c r="A1512" s="15"/>
      <c r="B1512" s="65"/>
      <c r="C1512" s="15"/>
      <c r="D1512" s="19"/>
      <c r="E1512" s="40"/>
      <c r="F1512" s="13"/>
      <c r="G1512" s="78"/>
      <c r="H1512" s="16"/>
      <c r="I1512" s="10"/>
      <c r="J1512" s="10"/>
      <c r="K1512" s="10"/>
      <c r="L1512" s="10"/>
      <c r="M1512" s="10"/>
      <c r="N1512" s="10"/>
      <c r="O1512" s="10"/>
      <c r="P1512" s="38"/>
    </row>
    <row r="1513" spans="1:16" ht="15" customHeight="1" x14ac:dyDescent="0.35">
      <c r="A1513" s="15"/>
      <c r="B1513" s="65"/>
      <c r="C1513" s="15"/>
      <c r="D1513" s="19"/>
      <c r="E1513" s="40"/>
      <c r="F1513" s="13"/>
      <c r="G1513" s="78"/>
      <c r="H1513" s="16"/>
      <c r="I1513" s="10"/>
      <c r="J1513" s="10"/>
      <c r="K1513" s="10"/>
      <c r="L1513" s="10"/>
      <c r="M1513" s="10"/>
      <c r="N1513" s="10"/>
      <c r="O1513" s="10"/>
      <c r="P1513" s="38"/>
    </row>
    <row r="1514" spans="1:16" ht="15" customHeight="1" x14ac:dyDescent="0.35">
      <c r="A1514" s="15"/>
      <c r="B1514" s="65"/>
      <c r="C1514" s="15"/>
      <c r="D1514" s="19"/>
      <c r="E1514" s="40"/>
      <c r="F1514" s="13"/>
      <c r="G1514" s="78"/>
      <c r="H1514" s="16"/>
      <c r="I1514" s="10"/>
      <c r="J1514" s="10"/>
      <c r="K1514" s="10"/>
      <c r="L1514" s="10"/>
      <c r="M1514" s="10"/>
      <c r="N1514" s="10"/>
      <c r="O1514" s="10"/>
      <c r="P1514" s="38"/>
    </row>
    <row r="1515" spans="1:16" ht="15" customHeight="1" x14ac:dyDescent="0.35">
      <c r="A1515" s="15"/>
      <c r="B1515" s="65"/>
      <c r="C1515" s="15"/>
      <c r="D1515" s="19"/>
      <c r="E1515" s="40"/>
      <c r="F1515" s="13"/>
      <c r="G1515" s="78"/>
      <c r="H1515" s="16"/>
      <c r="I1515" s="10"/>
      <c r="J1515" s="10"/>
      <c r="K1515" s="10"/>
      <c r="L1515" s="10"/>
      <c r="M1515" s="10"/>
      <c r="N1515" s="10"/>
      <c r="O1515" s="10"/>
      <c r="P1515" s="38"/>
    </row>
    <row r="1516" spans="1:16" ht="15" customHeight="1" x14ac:dyDescent="0.35">
      <c r="A1516" s="15"/>
      <c r="B1516" s="65"/>
      <c r="C1516" s="15"/>
      <c r="D1516" s="19"/>
      <c r="E1516" s="40"/>
      <c r="F1516" s="13"/>
      <c r="G1516" s="78"/>
      <c r="H1516" s="16"/>
      <c r="I1516" s="10"/>
      <c r="J1516" s="10"/>
      <c r="K1516" s="10"/>
      <c r="L1516" s="10"/>
      <c r="M1516" s="10"/>
      <c r="N1516" s="10"/>
      <c r="O1516" s="10"/>
      <c r="P1516" s="38"/>
    </row>
    <row r="1517" spans="1:16" ht="15" customHeight="1" x14ac:dyDescent="0.35">
      <c r="A1517" s="15"/>
      <c r="B1517" s="65"/>
      <c r="C1517" s="15"/>
      <c r="D1517" s="19"/>
      <c r="E1517" s="40"/>
      <c r="F1517" s="13"/>
      <c r="G1517" s="78"/>
      <c r="H1517" s="16"/>
      <c r="I1517" s="10"/>
      <c r="J1517" s="10"/>
      <c r="K1517" s="10"/>
      <c r="L1517" s="10"/>
      <c r="M1517" s="10"/>
      <c r="N1517" s="10"/>
      <c r="O1517" s="10"/>
      <c r="P1517" s="38"/>
    </row>
    <row r="1518" spans="1:16" ht="15" customHeight="1" x14ac:dyDescent="0.35">
      <c r="A1518" s="15"/>
      <c r="B1518" s="65"/>
      <c r="C1518" s="15"/>
      <c r="D1518" s="19"/>
      <c r="E1518" s="40"/>
      <c r="F1518" s="13"/>
      <c r="G1518" s="78"/>
      <c r="H1518" s="16"/>
      <c r="I1518" s="10"/>
      <c r="J1518" s="10"/>
      <c r="K1518" s="10"/>
      <c r="L1518" s="10"/>
      <c r="M1518" s="10"/>
      <c r="N1518" s="10"/>
      <c r="O1518" s="10"/>
      <c r="P1518" s="38"/>
    </row>
    <row r="1519" spans="1:16" ht="15" customHeight="1" x14ac:dyDescent="0.35">
      <c r="A1519" s="15"/>
      <c r="B1519" s="65"/>
      <c r="C1519" s="15"/>
      <c r="D1519" s="19"/>
      <c r="E1519" s="40"/>
      <c r="F1519" s="13"/>
      <c r="G1519" s="78"/>
      <c r="H1519" s="16"/>
      <c r="I1519" s="10"/>
      <c r="J1519" s="10"/>
      <c r="K1519" s="10"/>
      <c r="L1519" s="10"/>
      <c r="M1519" s="10"/>
      <c r="N1519" s="10"/>
      <c r="O1519" s="10"/>
      <c r="P1519" s="38"/>
    </row>
    <row r="1520" spans="1:16" ht="15" customHeight="1" x14ac:dyDescent="0.35">
      <c r="A1520" s="15"/>
      <c r="B1520" s="65"/>
      <c r="C1520" s="15"/>
      <c r="D1520" s="19"/>
      <c r="E1520" s="40"/>
      <c r="F1520" s="13"/>
      <c r="G1520" s="78"/>
      <c r="H1520" s="16"/>
      <c r="I1520" s="10"/>
      <c r="J1520" s="10"/>
      <c r="K1520" s="10"/>
      <c r="L1520" s="10"/>
      <c r="M1520" s="10"/>
      <c r="N1520" s="10"/>
      <c r="O1520" s="10"/>
      <c r="P1520" s="38"/>
    </row>
    <row r="1521" spans="1:16" ht="15" customHeight="1" x14ac:dyDescent="0.35">
      <c r="A1521" s="15"/>
      <c r="B1521" s="65"/>
      <c r="C1521" s="15"/>
      <c r="D1521" s="19"/>
      <c r="E1521" s="40"/>
      <c r="F1521" s="13"/>
      <c r="G1521" s="78"/>
      <c r="H1521" s="16"/>
      <c r="I1521" s="10"/>
      <c r="J1521" s="10"/>
      <c r="K1521" s="10"/>
      <c r="L1521" s="10"/>
      <c r="M1521" s="10"/>
      <c r="N1521" s="10"/>
      <c r="O1521" s="10"/>
      <c r="P1521" s="38"/>
    </row>
    <row r="1522" spans="1:16" ht="15" customHeight="1" x14ac:dyDescent="0.35">
      <c r="A1522" s="15"/>
      <c r="B1522" s="65"/>
      <c r="C1522" s="15"/>
      <c r="D1522" s="19"/>
      <c r="E1522" s="40"/>
      <c r="F1522" s="13"/>
      <c r="G1522" s="78"/>
      <c r="H1522" s="16"/>
      <c r="I1522" s="10"/>
      <c r="J1522" s="10"/>
      <c r="K1522" s="10"/>
      <c r="L1522" s="10"/>
      <c r="M1522" s="10"/>
      <c r="N1522" s="10"/>
      <c r="O1522" s="10"/>
      <c r="P1522" s="38"/>
    </row>
    <row r="1523" spans="1:16" ht="15" customHeight="1" x14ac:dyDescent="0.35">
      <c r="A1523" s="15"/>
      <c r="B1523" s="65"/>
      <c r="C1523" s="15"/>
      <c r="D1523" s="19"/>
      <c r="E1523" s="40"/>
      <c r="F1523" s="13"/>
      <c r="G1523" s="78"/>
      <c r="H1523" s="16"/>
      <c r="I1523" s="10"/>
      <c r="J1523" s="10"/>
      <c r="K1523" s="10"/>
      <c r="L1523" s="10"/>
      <c r="M1523" s="10"/>
      <c r="N1523" s="10"/>
      <c r="O1523" s="10"/>
      <c r="P1523" s="38"/>
    </row>
    <row r="1524" spans="1:16" ht="15" customHeight="1" x14ac:dyDescent="0.35">
      <c r="A1524" s="15"/>
      <c r="B1524" s="65"/>
      <c r="C1524" s="15"/>
      <c r="D1524" s="19"/>
      <c r="E1524" s="40"/>
      <c r="F1524" s="13"/>
      <c r="G1524" s="78"/>
      <c r="H1524" s="16"/>
      <c r="I1524" s="10"/>
      <c r="J1524" s="10"/>
      <c r="K1524" s="10"/>
      <c r="L1524" s="10"/>
      <c r="M1524" s="10"/>
      <c r="N1524" s="10"/>
      <c r="O1524" s="10"/>
      <c r="P1524" s="38"/>
    </row>
    <row r="1525" spans="1:16" ht="15" customHeight="1" x14ac:dyDescent="0.35">
      <c r="A1525" s="15"/>
      <c r="B1525" s="65"/>
      <c r="C1525" s="15"/>
      <c r="D1525" s="19"/>
      <c r="E1525" s="40"/>
      <c r="F1525" s="13"/>
      <c r="G1525" s="78"/>
      <c r="H1525" s="16"/>
      <c r="I1525" s="10"/>
      <c r="J1525" s="10"/>
      <c r="K1525" s="10"/>
      <c r="L1525" s="10"/>
      <c r="M1525" s="10"/>
      <c r="N1525" s="10"/>
      <c r="O1525" s="10"/>
      <c r="P1525" s="38"/>
    </row>
    <row r="1526" spans="1:16" ht="15" customHeight="1" x14ac:dyDescent="0.35">
      <c r="A1526" s="15"/>
      <c r="B1526" s="65"/>
      <c r="C1526" s="15"/>
      <c r="D1526" s="19"/>
      <c r="E1526" s="40"/>
      <c r="F1526" s="13"/>
      <c r="G1526" s="78"/>
      <c r="H1526" s="16"/>
      <c r="I1526" s="10"/>
      <c r="J1526" s="10"/>
      <c r="K1526" s="10"/>
      <c r="L1526" s="10"/>
      <c r="M1526" s="10"/>
      <c r="N1526" s="10"/>
      <c r="O1526" s="10"/>
      <c r="P1526" s="38"/>
    </row>
    <row r="1527" spans="1:16" ht="15" customHeight="1" x14ac:dyDescent="0.35">
      <c r="A1527" s="15"/>
      <c r="B1527" s="65"/>
      <c r="C1527" s="15"/>
      <c r="D1527" s="19"/>
      <c r="E1527" s="40"/>
      <c r="F1527" s="13"/>
      <c r="G1527" s="78"/>
      <c r="H1527" s="16"/>
      <c r="I1527" s="10"/>
      <c r="J1527" s="10"/>
      <c r="K1527" s="10"/>
      <c r="L1527" s="10"/>
      <c r="M1527" s="10"/>
      <c r="N1527" s="10"/>
      <c r="O1527" s="10"/>
      <c r="P1527" s="38"/>
    </row>
    <row r="1528" spans="1:16" ht="15" customHeight="1" x14ac:dyDescent="0.35">
      <c r="A1528" s="15"/>
      <c r="B1528" s="65"/>
      <c r="C1528" s="15"/>
      <c r="D1528" s="19"/>
      <c r="E1528" s="40"/>
      <c r="F1528" s="13"/>
      <c r="G1528" s="78"/>
      <c r="H1528" s="16"/>
      <c r="I1528" s="10"/>
      <c r="J1528" s="10"/>
      <c r="K1528" s="10"/>
      <c r="L1528" s="10"/>
      <c r="M1528" s="10"/>
      <c r="N1528" s="10"/>
      <c r="O1528" s="10"/>
      <c r="P1528" s="38"/>
    </row>
    <row r="1529" spans="1:16" ht="15" customHeight="1" x14ac:dyDescent="0.35">
      <c r="A1529" s="15"/>
      <c r="B1529" s="65"/>
      <c r="C1529" s="15"/>
      <c r="D1529" s="19"/>
      <c r="E1529" s="40"/>
      <c r="F1529" s="13"/>
      <c r="G1529" s="78"/>
      <c r="H1529" s="16"/>
      <c r="I1529" s="10"/>
      <c r="J1529" s="10"/>
      <c r="K1529" s="10"/>
      <c r="L1529" s="10"/>
      <c r="M1529" s="10"/>
      <c r="N1529" s="10"/>
      <c r="O1529" s="10"/>
      <c r="P1529" s="38"/>
    </row>
    <row r="1530" spans="1:16" ht="15" customHeight="1" x14ac:dyDescent="0.35">
      <c r="A1530" s="15"/>
      <c r="B1530" s="65"/>
      <c r="C1530" s="15"/>
      <c r="D1530" s="19"/>
      <c r="E1530" s="40"/>
      <c r="F1530" s="13"/>
      <c r="G1530" s="78"/>
      <c r="H1530" s="16"/>
      <c r="I1530" s="10"/>
      <c r="J1530" s="10"/>
      <c r="K1530" s="10"/>
      <c r="L1530" s="10"/>
      <c r="M1530" s="10"/>
      <c r="N1530" s="10"/>
      <c r="O1530" s="10"/>
      <c r="P1530" s="38"/>
    </row>
    <row r="1531" spans="1:16" ht="15" customHeight="1" x14ac:dyDescent="0.35">
      <c r="A1531" s="15"/>
      <c r="B1531" s="65"/>
      <c r="C1531" s="15"/>
      <c r="D1531" s="19"/>
      <c r="E1531" s="40"/>
      <c r="F1531" s="13"/>
      <c r="G1531" s="78"/>
      <c r="H1531" s="16"/>
      <c r="I1531" s="10"/>
      <c r="J1531" s="10"/>
      <c r="K1531" s="10"/>
      <c r="L1531" s="10"/>
      <c r="M1531" s="10"/>
      <c r="N1531" s="10"/>
      <c r="O1531" s="10"/>
      <c r="P1531" s="38"/>
    </row>
    <row r="1532" spans="1:16" ht="15" customHeight="1" x14ac:dyDescent="0.35">
      <c r="A1532" s="15"/>
      <c r="B1532" s="65"/>
      <c r="C1532" s="15"/>
      <c r="D1532" s="19"/>
      <c r="E1532" s="40"/>
      <c r="F1532" s="13"/>
      <c r="G1532" s="78"/>
      <c r="H1532" s="16"/>
      <c r="I1532" s="10"/>
      <c r="J1532" s="10"/>
      <c r="K1532" s="10"/>
      <c r="L1532" s="10"/>
      <c r="M1532" s="10"/>
      <c r="N1532" s="10"/>
      <c r="O1532" s="10"/>
      <c r="P1532" s="38"/>
    </row>
    <row r="1533" spans="1:16" ht="15" customHeight="1" x14ac:dyDescent="0.35">
      <c r="A1533" s="15"/>
      <c r="B1533" s="65"/>
      <c r="C1533" s="15"/>
      <c r="D1533" s="19"/>
      <c r="E1533" s="40"/>
      <c r="F1533" s="13"/>
      <c r="G1533" s="78"/>
      <c r="H1533" s="16"/>
      <c r="I1533" s="10"/>
      <c r="J1533" s="10"/>
      <c r="K1533" s="10"/>
      <c r="L1533" s="10"/>
      <c r="M1533" s="10"/>
      <c r="N1533" s="10"/>
      <c r="O1533" s="10"/>
      <c r="P1533" s="38"/>
    </row>
    <row r="1534" spans="1:16" ht="15" customHeight="1" x14ac:dyDescent="0.35">
      <c r="A1534" s="15"/>
      <c r="B1534" s="65"/>
      <c r="C1534" s="15"/>
      <c r="D1534" s="19"/>
      <c r="E1534" s="40"/>
      <c r="F1534" s="13"/>
      <c r="G1534" s="78"/>
      <c r="H1534" s="16"/>
      <c r="I1534" s="10"/>
      <c r="J1534" s="10"/>
      <c r="K1534" s="10"/>
      <c r="L1534" s="10"/>
      <c r="M1534" s="10"/>
      <c r="N1534" s="10"/>
      <c r="O1534" s="10"/>
      <c r="P1534" s="38"/>
    </row>
    <row r="1535" spans="1:16" ht="15" customHeight="1" x14ac:dyDescent="0.35">
      <c r="A1535" s="15"/>
      <c r="B1535" s="65"/>
      <c r="C1535" s="15"/>
      <c r="D1535" s="19"/>
      <c r="E1535" s="40"/>
      <c r="F1535" s="13"/>
      <c r="G1535" s="78"/>
      <c r="H1535" s="16"/>
      <c r="I1535" s="10"/>
      <c r="J1535" s="10"/>
      <c r="K1535" s="10"/>
      <c r="L1535" s="10"/>
      <c r="M1535" s="10"/>
      <c r="N1535" s="10"/>
      <c r="O1535" s="10"/>
      <c r="P1535" s="38"/>
    </row>
    <row r="1536" spans="1:16" ht="15" customHeight="1" x14ac:dyDescent="0.35">
      <c r="A1536" s="15"/>
      <c r="B1536" s="65"/>
      <c r="C1536" s="15"/>
      <c r="D1536" s="19"/>
      <c r="E1536" s="40"/>
      <c r="F1536" s="13"/>
      <c r="G1536" s="78"/>
      <c r="H1536" s="16"/>
      <c r="I1536" s="10"/>
      <c r="J1536" s="10"/>
      <c r="K1536" s="10"/>
      <c r="L1536" s="10"/>
      <c r="M1536" s="10"/>
      <c r="N1536" s="10"/>
      <c r="O1536" s="10"/>
      <c r="P1536" s="38"/>
    </row>
    <row r="1537" spans="1:16" ht="15" customHeight="1" x14ac:dyDescent="0.35">
      <c r="A1537" s="15"/>
      <c r="B1537" s="65"/>
      <c r="C1537" s="15"/>
      <c r="D1537" s="19"/>
      <c r="E1537" s="40"/>
      <c r="F1537" s="13"/>
      <c r="G1537" s="78"/>
      <c r="H1537" s="16"/>
      <c r="I1537" s="10"/>
      <c r="J1537" s="10"/>
      <c r="K1537" s="10"/>
      <c r="L1537" s="10"/>
      <c r="M1537" s="10"/>
      <c r="N1537" s="10"/>
      <c r="O1537" s="10"/>
      <c r="P1537" s="38"/>
    </row>
    <row r="1538" spans="1:16" ht="15" customHeight="1" x14ac:dyDescent="0.35">
      <c r="A1538" s="15"/>
      <c r="B1538" s="65"/>
      <c r="C1538" s="15"/>
      <c r="D1538" s="19"/>
      <c r="E1538" s="40"/>
      <c r="F1538" s="13"/>
      <c r="G1538" s="78"/>
      <c r="H1538" s="16"/>
      <c r="I1538" s="10"/>
      <c r="J1538" s="10"/>
      <c r="K1538" s="10"/>
      <c r="L1538" s="10"/>
      <c r="M1538" s="10"/>
      <c r="N1538" s="10"/>
      <c r="O1538" s="10"/>
      <c r="P1538" s="38"/>
    </row>
    <row r="1539" spans="1:16" ht="15" customHeight="1" x14ac:dyDescent="0.35">
      <c r="A1539" s="15"/>
      <c r="B1539" s="65"/>
      <c r="C1539" s="15"/>
      <c r="D1539" s="19"/>
      <c r="E1539" s="40"/>
      <c r="F1539" s="13"/>
      <c r="G1539" s="78"/>
      <c r="H1539" s="16"/>
      <c r="I1539" s="10"/>
      <c r="J1539" s="10"/>
      <c r="K1539" s="10"/>
      <c r="L1539" s="10"/>
      <c r="M1539" s="10"/>
      <c r="N1539" s="10"/>
      <c r="O1539" s="10"/>
      <c r="P1539" s="38"/>
    </row>
    <row r="1540" spans="1:16" ht="15" customHeight="1" x14ac:dyDescent="0.35">
      <c r="A1540" s="15"/>
      <c r="B1540" s="65"/>
      <c r="C1540" s="15"/>
      <c r="D1540" s="19"/>
      <c r="E1540" s="40"/>
      <c r="F1540" s="13"/>
      <c r="G1540" s="78"/>
      <c r="H1540" s="16"/>
      <c r="I1540" s="10"/>
      <c r="J1540" s="10"/>
      <c r="K1540" s="10"/>
      <c r="L1540" s="10"/>
      <c r="M1540" s="10"/>
      <c r="N1540" s="10"/>
      <c r="O1540" s="10"/>
      <c r="P1540" s="38"/>
    </row>
    <row r="1541" spans="1:16" ht="15" customHeight="1" x14ac:dyDescent="0.35">
      <c r="A1541" s="15"/>
      <c r="B1541" s="65"/>
      <c r="C1541" s="15"/>
      <c r="D1541" s="19"/>
      <c r="E1541" s="40"/>
      <c r="F1541" s="13"/>
      <c r="G1541" s="78"/>
      <c r="H1541" s="16"/>
      <c r="I1541" s="10"/>
      <c r="J1541" s="10"/>
      <c r="K1541" s="10"/>
      <c r="L1541" s="10"/>
      <c r="M1541" s="10"/>
      <c r="N1541" s="10"/>
      <c r="O1541" s="10"/>
      <c r="P1541" s="38"/>
    </row>
    <row r="1542" spans="1:16" ht="15" customHeight="1" x14ac:dyDescent="0.35">
      <c r="A1542" s="15"/>
      <c r="B1542" s="65"/>
      <c r="C1542" s="15"/>
      <c r="D1542" s="19"/>
      <c r="E1542" s="40"/>
      <c r="F1542" s="13"/>
      <c r="G1542" s="78"/>
      <c r="H1542" s="16"/>
      <c r="I1542" s="10"/>
      <c r="J1542" s="10"/>
      <c r="K1542" s="10"/>
      <c r="L1542" s="10"/>
      <c r="M1542" s="10"/>
      <c r="N1542" s="10"/>
      <c r="O1542" s="10"/>
      <c r="P1542" s="38"/>
    </row>
    <row r="1543" spans="1:16" ht="15" customHeight="1" x14ac:dyDescent="0.35">
      <c r="A1543" s="15"/>
      <c r="B1543" s="65"/>
      <c r="C1543" s="15"/>
      <c r="D1543" s="19"/>
      <c r="E1543" s="40"/>
      <c r="F1543" s="13"/>
      <c r="G1543" s="78"/>
      <c r="H1543" s="16"/>
      <c r="I1543" s="10"/>
      <c r="J1543" s="10"/>
      <c r="K1543" s="10"/>
      <c r="L1543" s="10"/>
      <c r="M1543" s="10"/>
      <c r="N1543" s="10"/>
      <c r="O1543" s="10"/>
      <c r="P1543" s="38"/>
    </row>
    <row r="1544" spans="1:16" ht="15" customHeight="1" x14ac:dyDescent="0.35">
      <c r="A1544" s="15"/>
      <c r="B1544" s="65"/>
      <c r="C1544" s="15"/>
      <c r="D1544" s="19"/>
      <c r="E1544" s="40"/>
      <c r="F1544" s="13"/>
      <c r="G1544" s="78"/>
      <c r="H1544" s="16"/>
      <c r="I1544" s="10"/>
      <c r="J1544" s="10"/>
      <c r="K1544" s="10"/>
      <c r="L1544" s="10"/>
      <c r="M1544" s="10"/>
      <c r="N1544" s="10"/>
      <c r="O1544" s="10"/>
      <c r="P1544" s="38"/>
    </row>
    <row r="1545" spans="1:16" ht="15" customHeight="1" x14ac:dyDescent="0.35">
      <c r="A1545" s="15"/>
      <c r="B1545" s="65"/>
      <c r="C1545" s="15"/>
      <c r="D1545" s="19"/>
      <c r="E1545" s="40"/>
      <c r="F1545" s="13"/>
      <c r="G1545" s="78"/>
      <c r="H1545" s="16"/>
      <c r="I1545" s="10"/>
      <c r="J1545" s="10"/>
      <c r="K1545" s="10"/>
      <c r="L1545" s="10"/>
      <c r="M1545" s="10"/>
      <c r="N1545" s="10"/>
      <c r="O1545" s="10"/>
      <c r="P1545" s="38"/>
    </row>
    <row r="1546" spans="1:16" ht="15" customHeight="1" x14ac:dyDescent="0.35">
      <c r="A1546" s="15"/>
      <c r="B1546" s="65"/>
      <c r="C1546" s="15"/>
      <c r="D1546" s="19"/>
      <c r="E1546" s="40"/>
      <c r="F1546" s="13"/>
      <c r="G1546" s="78"/>
      <c r="H1546" s="16"/>
      <c r="I1546" s="10"/>
      <c r="J1546" s="10"/>
      <c r="K1546" s="10"/>
      <c r="L1546" s="10"/>
      <c r="M1546" s="10"/>
      <c r="N1546" s="10"/>
      <c r="O1546" s="10"/>
      <c r="P1546" s="38"/>
    </row>
    <row r="1547" spans="1:16" ht="15" customHeight="1" x14ac:dyDescent="0.35">
      <c r="A1547" s="15"/>
      <c r="B1547" s="65"/>
      <c r="C1547" s="15"/>
      <c r="D1547" s="19"/>
      <c r="E1547" s="40"/>
      <c r="F1547" s="13"/>
      <c r="G1547" s="78"/>
      <c r="H1547" s="16"/>
      <c r="I1547" s="10"/>
      <c r="J1547" s="10"/>
      <c r="K1547" s="10"/>
      <c r="L1547" s="10"/>
      <c r="M1547" s="10"/>
      <c r="N1547" s="10"/>
      <c r="O1547" s="10"/>
      <c r="P1547" s="38"/>
    </row>
    <row r="1548" spans="1:16" ht="15" customHeight="1" x14ac:dyDescent="0.35">
      <c r="A1548" s="15"/>
      <c r="B1548" s="65"/>
      <c r="C1548" s="15"/>
      <c r="D1548" s="19"/>
      <c r="E1548" s="40"/>
      <c r="F1548" s="13"/>
      <c r="G1548" s="78"/>
      <c r="H1548" s="16"/>
      <c r="I1548" s="10"/>
      <c r="J1548" s="10"/>
      <c r="K1548" s="10"/>
      <c r="L1548" s="10"/>
      <c r="M1548" s="10"/>
      <c r="N1548" s="10"/>
      <c r="O1548" s="10"/>
      <c r="P1548" s="38"/>
    </row>
    <row r="1549" spans="1:16" ht="15" customHeight="1" x14ac:dyDescent="0.35">
      <c r="A1549" s="15"/>
      <c r="B1549" s="65"/>
      <c r="C1549" s="15"/>
      <c r="D1549" s="19"/>
      <c r="E1549" s="40"/>
      <c r="F1549" s="13"/>
      <c r="G1549" s="78"/>
      <c r="H1549" s="16"/>
      <c r="I1549" s="10"/>
      <c r="J1549" s="10"/>
      <c r="K1549" s="10"/>
      <c r="L1549" s="10"/>
      <c r="M1549" s="10"/>
      <c r="N1549" s="10"/>
      <c r="O1549" s="10"/>
      <c r="P1549" s="38"/>
    </row>
    <row r="1550" spans="1:16" ht="15" customHeight="1" x14ac:dyDescent="0.35">
      <c r="A1550" s="15"/>
      <c r="B1550" s="65"/>
      <c r="C1550" s="15"/>
      <c r="D1550" s="19"/>
      <c r="E1550" s="40"/>
      <c r="F1550" s="13"/>
      <c r="G1550" s="78"/>
      <c r="H1550" s="16"/>
      <c r="I1550" s="10"/>
      <c r="J1550" s="10"/>
      <c r="K1550" s="10"/>
      <c r="L1550" s="10"/>
      <c r="M1550" s="10"/>
      <c r="N1550" s="10"/>
      <c r="O1550" s="10"/>
      <c r="P1550" s="38"/>
    </row>
    <row r="1551" spans="1:16" ht="15" customHeight="1" x14ac:dyDescent="0.35">
      <c r="A1551" s="15"/>
      <c r="B1551" s="65"/>
      <c r="C1551" s="15"/>
      <c r="D1551" s="19"/>
      <c r="E1551" s="40"/>
      <c r="F1551" s="13"/>
      <c r="G1551" s="78"/>
      <c r="H1551" s="16"/>
      <c r="I1551" s="10"/>
      <c r="J1551" s="10"/>
      <c r="K1551" s="10"/>
      <c r="L1551" s="10"/>
      <c r="M1551" s="10"/>
      <c r="N1551" s="10"/>
      <c r="O1551" s="10"/>
      <c r="P1551" s="38"/>
    </row>
    <row r="1552" spans="1:16" ht="15" customHeight="1" x14ac:dyDescent="0.35">
      <c r="A1552" s="15"/>
      <c r="B1552" s="65"/>
      <c r="C1552" s="15"/>
      <c r="D1552" s="19"/>
      <c r="E1552" s="40"/>
      <c r="F1552" s="13"/>
      <c r="G1552" s="78"/>
      <c r="H1552" s="16"/>
      <c r="I1552" s="10"/>
      <c r="J1552" s="10"/>
      <c r="K1552" s="10"/>
      <c r="L1552" s="10"/>
      <c r="M1552" s="10"/>
      <c r="N1552" s="10"/>
      <c r="O1552" s="10"/>
      <c r="P1552" s="38"/>
    </row>
    <row r="1553" spans="1:16" ht="15" customHeight="1" x14ac:dyDescent="0.35">
      <c r="A1553" s="15"/>
      <c r="B1553" s="65"/>
      <c r="C1553" s="15"/>
      <c r="D1553" s="19"/>
      <c r="E1553" s="40"/>
      <c r="F1553" s="13"/>
      <c r="G1553" s="78"/>
      <c r="H1553" s="16"/>
      <c r="I1553" s="10"/>
      <c r="J1553" s="10"/>
      <c r="K1553" s="10"/>
      <c r="L1553" s="10"/>
      <c r="M1553" s="10"/>
      <c r="N1553" s="10"/>
      <c r="O1553" s="10"/>
      <c r="P1553" s="38"/>
    </row>
    <row r="1554" spans="1:16" ht="15" customHeight="1" x14ac:dyDescent="0.35">
      <c r="A1554" s="15"/>
      <c r="B1554" s="65"/>
      <c r="C1554" s="15"/>
      <c r="D1554" s="19"/>
      <c r="E1554" s="40"/>
      <c r="F1554" s="13"/>
      <c r="G1554" s="78"/>
      <c r="H1554" s="16"/>
      <c r="I1554" s="10"/>
      <c r="J1554" s="10"/>
      <c r="K1554" s="10"/>
      <c r="L1554" s="10"/>
      <c r="M1554" s="10"/>
      <c r="N1554" s="10"/>
      <c r="O1554" s="10"/>
      <c r="P1554" s="38"/>
    </row>
    <row r="1555" spans="1:16" ht="15" customHeight="1" x14ac:dyDescent="0.35">
      <c r="A1555" s="15"/>
      <c r="B1555" s="65"/>
      <c r="C1555" s="15"/>
      <c r="D1555" s="19"/>
      <c r="E1555" s="40"/>
      <c r="F1555" s="13"/>
      <c r="G1555" s="78"/>
      <c r="H1555" s="16"/>
      <c r="I1555" s="10"/>
      <c r="J1555" s="10"/>
      <c r="K1555" s="10"/>
      <c r="L1555" s="10"/>
      <c r="M1555" s="10"/>
      <c r="N1555" s="10"/>
      <c r="O1555" s="10"/>
      <c r="P1555" s="38"/>
    </row>
    <row r="1556" spans="1:16" ht="15" customHeight="1" x14ac:dyDescent="0.35">
      <c r="A1556" s="15"/>
      <c r="B1556" s="65"/>
      <c r="C1556" s="15"/>
      <c r="D1556" s="19"/>
      <c r="E1556" s="40"/>
      <c r="F1556" s="13"/>
      <c r="G1556" s="78"/>
      <c r="H1556" s="16"/>
      <c r="I1556" s="10"/>
      <c r="J1556" s="10"/>
      <c r="K1556" s="10"/>
      <c r="L1556" s="10"/>
      <c r="M1556" s="10"/>
      <c r="N1556" s="10"/>
      <c r="O1556" s="10"/>
      <c r="P1556" s="38"/>
    </row>
    <row r="1557" spans="1:16" ht="15" customHeight="1" x14ac:dyDescent="0.35">
      <c r="A1557" s="15"/>
      <c r="B1557" s="65"/>
      <c r="C1557" s="15"/>
      <c r="D1557" s="19"/>
      <c r="E1557" s="40"/>
      <c r="F1557" s="13"/>
      <c r="G1557" s="78"/>
      <c r="H1557" s="16"/>
      <c r="I1557" s="10"/>
      <c r="J1557" s="10"/>
      <c r="K1557" s="10"/>
      <c r="L1557" s="10"/>
      <c r="M1557" s="10"/>
      <c r="N1557" s="10"/>
      <c r="O1557" s="10"/>
      <c r="P1557" s="38"/>
    </row>
    <row r="1558" spans="1:16" ht="15" customHeight="1" x14ac:dyDescent="0.35">
      <c r="A1558" s="15"/>
      <c r="B1558" s="65"/>
      <c r="C1558" s="15"/>
      <c r="D1558" s="19"/>
      <c r="E1558" s="40"/>
      <c r="F1558" s="13"/>
      <c r="G1558" s="78"/>
      <c r="H1558" s="16"/>
      <c r="I1558" s="10"/>
      <c r="J1558" s="10"/>
      <c r="K1558" s="10"/>
      <c r="L1558" s="10"/>
      <c r="M1558" s="10"/>
      <c r="N1558" s="10"/>
      <c r="O1558" s="10"/>
      <c r="P1558" s="38"/>
    </row>
    <row r="1559" spans="1:16" ht="15" customHeight="1" x14ac:dyDescent="0.35">
      <c r="A1559" s="15"/>
      <c r="B1559" s="65"/>
      <c r="C1559" s="15"/>
      <c r="D1559" s="19"/>
      <c r="E1559" s="40"/>
      <c r="F1559" s="13"/>
      <c r="G1559" s="78"/>
      <c r="H1559" s="16"/>
      <c r="I1559" s="10"/>
      <c r="J1559" s="10"/>
      <c r="K1559" s="10"/>
      <c r="L1559" s="10"/>
      <c r="M1559" s="10"/>
      <c r="N1559" s="10"/>
      <c r="O1559" s="10"/>
      <c r="P1559" s="38"/>
    </row>
    <row r="1560" spans="1:16" ht="15" customHeight="1" x14ac:dyDescent="0.35">
      <c r="A1560" s="15"/>
      <c r="B1560" s="65"/>
      <c r="C1560" s="15"/>
      <c r="D1560" s="19"/>
      <c r="E1560" s="40"/>
      <c r="F1560" s="13"/>
      <c r="G1560" s="78"/>
      <c r="H1560" s="16"/>
      <c r="I1560" s="10"/>
      <c r="J1560" s="10"/>
      <c r="K1560" s="10"/>
      <c r="L1560" s="10"/>
      <c r="M1560" s="10"/>
      <c r="N1560" s="10"/>
      <c r="O1560" s="10"/>
      <c r="P1560" s="38"/>
    </row>
    <row r="1561" spans="1:16" ht="15" customHeight="1" x14ac:dyDescent="0.35">
      <c r="A1561" s="15"/>
      <c r="B1561" s="65"/>
      <c r="C1561" s="15"/>
      <c r="D1561" s="19"/>
      <c r="E1561" s="40"/>
      <c r="F1561" s="13"/>
      <c r="G1561" s="78"/>
      <c r="H1561" s="16"/>
      <c r="I1561" s="10"/>
      <c r="J1561" s="10"/>
      <c r="K1561" s="10"/>
      <c r="L1561" s="10"/>
      <c r="M1561" s="10"/>
      <c r="N1561" s="10"/>
      <c r="O1561" s="10"/>
      <c r="P1561" s="38"/>
    </row>
    <row r="1562" spans="1:16" ht="15" customHeight="1" x14ac:dyDescent="0.35">
      <c r="A1562" s="15"/>
      <c r="B1562" s="65"/>
      <c r="C1562" s="15"/>
      <c r="D1562" s="19"/>
      <c r="E1562" s="40"/>
      <c r="F1562" s="13"/>
      <c r="G1562" s="78"/>
      <c r="H1562" s="16"/>
      <c r="I1562" s="10"/>
      <c r="J1562" s="10"/>
      <c r="K1562" s="10"/>
      <c r="L1562" s="10"/>
      <c r="M1562" s="10"/>
      <c r="N1562" s="10"/>
      <c r="O1562" s="10"/>
      <c r="P1562" s="38"/>
    </row>
    <row r="1563" spans="1:16" ht="15" customHeight="1" x14ac:dyDescent="0.35">
      <c r="A1563" s="15"/>
      <c r="B1563" s="65"/>
      <c r="C1563" s="15"/>
      <c r="D1563" s="19"/>
      <c r="E1563" s="40"/>
      <c r="F1563" s="13"/>
      <c r="G1563" s="78"/>
      <c r="H1563" s="16"/>
      <c r="I1563" s="10"/>
      <c r="J1563" s="10"/>
      <c r="K1563" s="10"/>
      <c r="L1563" s="10"/>
      <c r="M1563" s="10"/>
      <c r="N1563" s="10"/>
      <c r="O1563" s="10"/>
      <c r="P1563" s="38"/>
    </row>
    <row r="1564" spans="1:16" ht="15" customHeight="1" x14ac:dyDescent="0.35">
      <c r="A1564" s="15"/>
      <c r="B1564" s="65"/>
      <c r="C1564" s="15"/>
      <c r="D1564" s="19"/>
      <c r="E1564" s="40"/>
      <c r="F1564" s="13"/>
      <c r="G1564" s="78"/>
      <c r="H1564" s="16"/>
      <c r="I1564" s="10"/>
      <c r="J1564" s="10"/>
      <c r="K1564" s="10"/>
      <c r="L1564" s="10"/>
      <c r="M1564" s="10"/>
      <c r="N1564" s="10"/>
      <c r="O1564" s="10"/>
      <c r="P1564" s="38"/>
    </row>
    <row r="1565" spans="1:16" ht="15" customHeight="1" x14ac:dyDescent="0.35">
      <c r="A1565" s="15"/>
      <c r="B1565" s="65"/>
      <c r="C1565" s="15"/>
      <c r="D1565" s="19"/>
      <c r="E1565" s="40"/>
      <c r="F1565" s="13"/>
      <c r="G1565" s="78"/>
      <c r="H1565" s="16"/>
      <c r="I1565" s="10"/>
      <c r="J1565" s="10"/>
      <c r="K1565" s="10"/>
      <c r="L1565" s="10"/>
      <c r="M1565" s="10"/>
      <c r="N1565" s="10"/>
      <c r="O1565" s="10"/>
      <c r="P1565" s="38"/>
    </row>
    <row r="1566" spans="1:16" ht="15" customHeight="1" x14ac:dyDescent="0.35">
      <c r="A1566" s="15"/>
      <c r="B1566" s="65"/>
      <c r="C1566" s="15"/>
      <c r="D1566" s="19"/>
      <c r="E1566" s="40"/>
      <c r="F1566" s="13"/>
      <c r="G1566" s="78"/>
      <c r="H1566" s="16"/>
      <c r="I1566" s="10"/>
      <c r="J1566" s="10"/>
      <c r="K1566" s="10"/>
      <c r="L1566" s="10"/>
      <c r="M1566" s="10"/>
      <c r="N1566" s="10"/>
      <c r="O1566" s="10"/>
      <c r="P1566" s="38"/>
    </row>
    <row r="1567" spans="1:16" ht="15" customHeight="1" x14ac:dyDescent="0.35">
      <c r="A1567" s="15"/>
      <c r="B1567" s="65"/>
      <c r="C1567" s="15"/>
      <c r="D1567" s="19"/>
      <c r="E1567" s="40"/>
      <c r="F1567" s="13"/>
      <c r="G1567" s="78"/>
      <c r="H1567" s="16"/>
      <c r="I1567" s="10"/>
      <c r="J1567" s="10"/>
      <c r="K1567" s="10"/>
      <c r="L1567" s="10"/>
      <c r="M1567" s="10"/>
      <c r="N1567" s="10"/>
      <c r="O1567" s="10"/>
      <c r="P1567" s="38"/>
    </row>
    <row r="1568" spans="1:16" ht="15" customHeight="1" x14ac:dyDescent="0.35">
      <c r="A1568" s="15"/>
      <c r="B1568" s="65"/>
      <c r="C1568" s="15"/>
      <c r="D1568" s="19"/>
      <c r="E1568" s="40"/>
      <c r="F1568" s="13"/>
      <c r="G1568" s="78"/>
      <c r="H1568" s="16"/>
      <c r="I1568" s="10"/>
      <c r="J1568" s="10"/>
      <c r="K1568" s="10"/>
      <c r="L1568" s="10"/>
      <c r="M1568" s="10"/>
      <c r="N1568" s="10"/>
      <c r="O1568" s="10"/>
      <c r="P1568" s="38"/>
    </row>
    <row r="1569" spans="1:16" ht="15" customHeight="1" x14ac:dyDescent="0.35">
      <c r="A1569" s="15"/>
      <c r="B1569" s="65"/>
      <c r="C1569" s="15"/>
      <c r="D1569" s="19"/>
      <c r="E1569" s="40"/>
      <c r="F1569" s="13"/>
      <c r="G1569" s="78"/>
      <c r="H1569" s="16"/>
      <c r="I1569" s="10"/>
      <c r="J1569" s="10"/>
      <c r="K1569" s="10"/>
      <c r="L1569" s="10"/>
      <c r="M1569" s="10"/>
      <c r="N1569" s="10"/>
      <c r="O1569" s="10"/>
      <c r="P1569" s="38"/>
    </row>
    <row r="1570" spans="1:16" ht="15" customHeight="1" x14ac:dyDescent="0.35">
      <c r="A1570" s="15"/>
      <c r="B1570" s="65"/>
      <c r="C1570" s="15"/>
      <c r="D1570" s="19"/>
      <c r="E1570" s="40"/>
      <c r="F1570" s="13"/>
      <c r="G1570" s="78"/>
      <c r="H1570" s="16"/>
      <c r="I1570" s="10"/>
      <c r="J1570" s="10"/>
      <c r="K1570" s="10"/>
      <c r="L1570" s="10"/>
      <c r="M1570" s="10"/>
      <c r="N1570" s="10"/>
      <c r="O1570" s="10"/>
      <c r="P1570" s="38"/>
    </row>
    <row r="1571" spans="1:16" ht="15" customHeight="1" x14ac:dyDescent="0.35">
      <c r="A1571" s="15"/>
      <c r="B1571" s="65"/>
      <c r="C1571" s="15"/>
      <c r="D1571" s="19"/>
      <c r="E1571" s="40"/>
      <c r="F1571" s="13"/>
      <c r="G1571" s="78"/>
      <c r="H1571" s="16"/>
      <c r="I1571" s="10"/>
      <c r="J1571" s="10"/>
      <c r="K1571" s="10"/>
      <c r="L1571" s="10"/>
      <c r="M1571" s="10"/>
      <c r="N1571" s="10"/>
      <c r="O1571" s="10"/>
      <c r="P1571" s="38"/>
    </row>
    <row r="1572" spans="1:16" ht="15" customHeight="1" x14ac:dyDescent="0.35">
      <c r="A1572" s="15"/>
      <c r="B1572" s="65"/>
      <c r="C1572" s="15"/>
      <c r="D1572" s="19"/>
      <c r="E1572" s="40"/>
      <c r="F1572" s="13"/>
      <c r="G1572" s="78"/>
      <c r="H1572" s="16"/>
      <c r="I1572" s="10"/>
      <c r="J1572" s="10"/>
      <c r="K1572" s="10"/>
      <c r="L1572" s="10"/>
      <c r="M1572" s="10"/>
      <c r="N1572" s="10"/>
      <c r="O1572" s="10"/>
      <c r="P1572" s="38"/>
    </row>
    <row r="1573" spans="1:16" ht="15" customHeight="1" x14ac:dyDescent="0.35">
      <c r="A1573" s="15"/>
      <c r="B1573" s="65"/>
      <c r="C1573" s="15"/>
      <c r="D1573" s="19"/>
      <c r="E1573" s="40"/>
      <c r="F1573" s="13"/>
      <c r="G1573" s="78"/>
      <c r="H1573" s="16"/>
      <c r="I1573" s="10"/>
      <c r="J1573" s="10"/>
      <c r="K1573" s="10"/>
      <c r="L1573" s="10"/>
      <c r="M1573" s="10"/>
      <c r="N1573" s="10"/>
      <c r="O1573" s="10"/>
      <c r="P1573" s="38"/>
    </row>
    <row r="1574" spans="1:16" ht="15" customHeight="1" x14ac:dyDescent="0.35">
      <c r="A1574" s="15"/>
      <c r="B1574" s="65"/>
      <c r="C1574" s="15"/>
      <c r="D1574" s="19"/>
      <c r="E1574" s="40"/>
      <c r="F1574" s="13"/>
      <c r="G1574" s="78"/>
      <c r="H1574" s="16"/>
      <c r="I1574" s="10"/>
      <c r="J1574" s="10"/>
      <c r="K1574" s="10"/>
      <c r="L1574" s="10"/>
      <c r="M1574" s="10"/>
      <c r="N1574" s="10"/>
      <c r="O1574" s="10"/>
      <c r="P1574" s="38"/>
    </row>
    <row r="1575" spans="1:16" ht="15" customHeight="1" x14ac:dyDescent="0.35">
      <c r="A1575" s="15"/>
      <c r="B1575" s="65"/>
      <c r="C1575" s="15"/>
      <c r="D1575" s="19"/>
      <c r="E1575" s="40"/>
      <c r="F1575" s="13"/>
      <c r="G1575" s="78"/>
      <c r="H1575" s="16"/>
      <c r="I1575" s="10"/>
      <c r="J1575" s="10"/>
      <c r="K1575" s="10"/>
      <c r="L1575" s="10"/>
      <c r="M1575" s="10"/>
      <c r="N1575" s="10"/>
      <c r="O1575" s="10"/>
      <c r="P1575" s="38"/>
    </row>
    <row r="1576" spans="1:16" ht="15" customHeight="1" x14ac:dyDescent="0.35">
      <c r="A1576" s="15"/>
      <c r="B1576" s="65"/>
      <c r="C1576" s="15"/>
      <c r="D1576" s="19"/>
      <c r="E1576" s="40"/>
      <c r="F1576" s="13"/>
      <c r="G1576" s="78"/>
      <c r="H1576" s="16"/>
      <c r="I1576" s="10"/>
      <c r="J1576" s="10"/>
      <c r="K1576" s="10"/>
      <c r="L1576" s="10"/>
      <c r="M1576" s="10"/>
      <c r="N1576" s="10"/>
      <c r="O1576" s="10"/>
      <c r="P1576" s="38"/>
    </row>
    <row r="1577" spans="1:16" ht="15" customHeight="1" x14ac:dyDescent="0.35">
      <c r="A1577" s="15"/>
      <c r="B1577" s="65"/>
      <c r="C1577" s="15"/>
      <c r="D1577" s="19"/>
      <c r="E1577" s="40"/>
      <c r="F1577" s="13"/>
      <c r="G1577" s="78"/>
      <c r="H1577" s="16"/>
      <c r="I1577" s="10"/>
      <c r="J1577" s="10"/>
      <c r="K1577" s="10"/>
      <c r="L1577" s="10"/>
      <c r="M1577" s="10"/>
      <c r="N1577" s="10"/>
      <c r="O1577" s="10"/>
      <c r="P1577" s="38"/>
    </row>
    <row r="1578" spans="1:16" ht="15" customHeight="1" x14ac:dyDescent="0.35">
      <c r="A1578" s="15"/>
      <c r="B1578" s="65"/>
      <c r="C1578" s="15"/>
      <c r="D1578" s="19"/>
      <c r="E1578" s="40"/>
      <c r="F1578" s="13"/>
      <c r="G1578" s="78"/>
      <c r="H1578" s="16"/>
      <c r="I1578" s="10"/>
      <c r="J1578" s="10"/>
      <c r="K1578" s="10"/>
      <c r="L1578" s="10"/>
      <c r="M1578" s="10"/>
      <c r="N1578" s="10"/>
      <c r="O1578" s="10"/>
      <c r="P1578" s="38"/>
    </row>
    <row r="1579" spans="1:16" ht="15" customHeight="1" x14ac:dyDescent="0.35">
      <c r="A1579" s="15"/>
      <c r="B1579" s="65"/>
      <c r="C1579" s="15"/>
      <c r="D1579" s="19"/>
      <c r="E1579" s="40"/>
      <c r="F1579" s="13"/>
      <c r="G1579" s="78"/>
      <c r="H1579" s="16"/>
      <c r="I1579" s="10"/>
      <c r="J1579" s="10"/>
      <c r="K1579" s="10"/>
      <c r="L1579" s="10"/>
      <c r="M1579" s="10"/>
      <c r="N1579" s="10"/>
      <c r="O1579" s="10"/>
      <c r="P1579" s="38"/>
    </row>
    <row r="1580" spans="1:16" ht="15" customHeight="1" x14ac:dyDescent="0.35">
      <c r="A1580" s="15"/>
      <c r="B1580" s="65"/>
      <c r="C1580" s="15"/>
      <c r="D1580" s="19"/>
      <c r="E1580" s="40"/>
      <c r="F1580" s="13"/>
      <c r="G1580" s="78"/>
      <c r="H1580" s="16"/>
      <c r="I1580" s="10"/>
      <c r="J1580" s="10"/>
      <c r="K1580" s="10"/>
      <c r="L1580" s="10"/>
      <c r="M1580" s="10"/>
      <c r="N1580" s="10"/>
      <c r="O1580" s="10"/>
      <c r="P1580" s="38"/>
    </row>
    <row r="1581" spans="1:16" ht="15" customHeight="1" x14ac:dyDescent="0.35">
      <c r="A1581" s="15"/>
      <c r="B1581" s="65"/>
      <c r="C1581" s="15"/>
      <c r="D1581" s="19"/>
      <c r="E1581" s="40"/>
      <c r="F1581" s="13"/>
      <c r="G1581" s="78"/>
      <c r="H1581" s="16"/>
      <c r="I1581" s="10"/>
      <c r="J1581" s="10"/>
      <c r="K1581" s="10"/>
      <c r="L1581" s="10"/>
      <c r="M1581" s="10"/>
      <c r="N1581" s="10"/>
      <c r="O1581" s="10"/>
      <c r="P1581" s="38"/>
    </row>
    <row r="1582" spans="1:16" ht="15" customHeight="1" x14ac:dyDescent="0.35">
      <c r="A1582" s="15"/>
      <c r="B1582" s="65"/>
      <c r="C1582" s="15"/>
      <c r="D1582" s="19"/>
      <c r="E1582" s="40"/>
      <c r="F1582" s="13"/>
      <c r="G1582" s="78"/>
      <c r="H1582" s="16"/>
      <c r="I1582" s="10"/>
      <c r="J1582" s="10"/>
      <c r="K1582" s="10"/>
      <c r="L1582" s="10"/>
      <c r="M1582" s="10"/>
      <c r="N1582" s="10"/>
      <c r="O1582" s="10"/>
      <c r="P1582" s="38"/>
    </row>
    <row r="1583" spans="1:16" ht="15" customHeight="1" x14ac:dyDescent="0.35">
      <c r="A1583" s="15"/>
      <c r="B1583" s="65"/>
      <c r="C1583" s="15"/>
      <c r="D1583" s="19"/>
      <c r="E1583" s="40"/>
      <c r="F1583" s="13"/>
      <c r="G1583" s="78"/>
      <c r="H1583" s="16"/>
      <c r="I1583" s="10"/>
      <c r="J1583" s="10"/>
      <c r="K1583" s="10"/>
      <c r="L1583" s="10"/>
      <c r="M1583" s="10"/>
      <c r="N1583" s="10"/>
      <c r="O1583" s="10"/>
      <c r="P1583" s="38"/>
    </row>
    <row r="1584" spans="1:16" ht="15" customHeight="1" x14ac:dyDescent="0.35">
      <c r="A1584" s="15"/>
      <c r="B1584" s="65"/>
      <c r="C1584" s="15"/>
      <c r="D1584" s="19"/>
      <c r="E1584" s="40"/>
      <c r="F1584" s="13"/>
      <c r="G1584" s="78"/>
      <c r="H1584" s="16"/>
      <c r="I1584" s="10"/>
      <c r="J1584" s="10"/>
      <c r="K1584" s="10"/>
      <c r="L1584" s="10"/>
      <c r="M1584" s="10"/>
      <c r="N1584" s="10"/>
      <c r="O1584" s="10"/>
      <c r="P1584" s="38"/>
    </row>
    <row r="1585" spans="1:16" ht="15" customHeight="1" x14ac:dyDescent="0.35">
      <c r="A1585" s="15"/>
      <c r="B1585" s="65"/>
      <c r="C1585" s="15"/>
      <c r="D1585" s="19"/>
      <c r="E1585" s="40"/>
      <c r="F1585" s="13"/>
      <c r="G1585" s="78"/>
      <c r="H1585" s="16"/>
      <c r="I1585" s="10"/>
      <c r="J1585" s="10"/>
      <c r="K1585" s="10"/>
      <c r="L1585" s="10"/>
      <c r="M1585" s="10"/>
      <c r="N1585" s="10"/>
      <c r="O1585" s="10"/>
      <c r="P1585" s="38"/>
    </row>
    <row r="1586" spans="1:16" ht="15" customHeight="1" x14ac:dyDescent="0.35">
      <c r="A1586" s="15"/>
      <c r="B1586" s="65"/>
      <c r="C1586" s="15"/>
      <c r="D1586" s="19"/>
      <c r="E1586" s="40"/>
      <c r="F1586" s="13"/>
      <c r="G1586" s="78"/>
      <c r="H1586" s="16"/>
      <c r="I1586" s="10"/>
      <c r="J1586" s="10"/>
      <c r="K1586" s="10"/>
      <c r="L1586" s="10"/>
      <c r="M1586" s="10"/>
      <c r="N1586" s="10"/>
      <c r="O1586" s="10"/>
      <c r="P1586" s="38"/>
    </row>
    <row r="1587" spans="1:16" ht="15" customHeight="1" x14ac:dyDescent="0.35">
      <c r="A1587" s="15"/>
      <c r="B1587" s="65"/>
      <c r="C1587" s="15"/>
      <c r="D1587" s="19"/>
      <c r="E1587" s="40"/>
      <c r="F1587" s="13"/>
      <c r="G1587" s="78"/>
      <c r="H1587" s="16"/>
      <c r="I1587" s="10"/>
      <c r="J1587" s="10"/>
      <c r="K1587" s="10"/>
      <c r="L1587" s="10"/>
      <c r="M1587" s="10"/>
      <c r="N1587" s="10"/>
      <c r="O1587" s="10"/>
      <c r="P1587" s="38"/>
    </row>
    <row r="1588" spans="1:16" ht="15" customHeight="1" x14ac:dyDescent="0.35">
      <c r="A1588" s="15"/>
      <c r="B1588" s="65"/>
      <c r="C1588" s="15"/>
      <c r="D1588" s="19"/>
      <c r="E1588" s="40"/>
      <c r="F1588" s="13"/>
      <c r="G1588" s="78"/>
      <c r="H1588" s="16"/>
      <c r="I1588" s="10"/>
      <c r="J1588" s="10"/>
      <c r="K1588" s="10"/>
      <c r="L1588" s="10"/>
      <c r="M1588" s="10"/>
      <c r="N1588" s="10"/>
      <c r="O1588" s="10"/>
      <c r="P1588" s="38"/>
    </row>
    <row r="1589" spans="1:16" ht="15" customHeight="1" x14ac:dyDescent="0.35">
      <c r="A1589" s="15"/>
      <c r="B1589" s="65"/>
      <c r="C1589" s="15"/>
      <c r="D1589" s="19"/>
      <c r="E1589" s="40"/>
      <c r="F1589" s="13"/>
      <c r="G1589" s="78"/>
      <c r="H1589" s="16"/>
      <c r="I1589" s="10"/>
      <c r="J1589" s="10"/>
      <c r="K1589" s="10"/>
      <c r="L1589" s="10"/>
      <c r="M1589" s="10"/>
      <c r="N1589" s="10"/>
      <c r="O1589" s="10"/>
      <c r="P1589" s="38"/>
    </row>
    <row r="1590" spans="1:16" ht="15" customHeight="1" x14ac:dyDescent="0.35">
      <c r="A1590" s="15"/>
      <c r="B1590" s="65"/>
      <c r="C1590" s="15"/>
      <c r="D1590" s="19"/>
      <c r="E1590" s="40"/>
      <c r="F1590" s="13"/>
      <c r="G1590" s="78"/>
      <c r="H1590" s="16"/>
      <c r="I1590" s="10"/>
      <c r="J1590" s="10"/>
      <c r="K1590" s="10"/>
      <c r="L1590" s="10"/>
      <c r="M1590" s="10"/>
      <c r="N1590" s="10"/>
      <c r="O1590" s="10"/>
      <c r="P1590" s="38"/>
    </row>
    <row r="1591" spans="1:16" ht="15" customHeight="1" x14ac:dyDescent="0.35">
      <c r="A1591" s="15"/>
      <c r="B1591" s="65"/>
      <c r="C1591" s="15"/>
      <c r="D1591" s="19"/>
      <c r="E1591" s="40"/>
      <c r="F1591" s="13"/>
      <c r="G1591" s="78"/>
      <c r="H1591" s="16"/>
      <c r="I1591" s="10"/>
      <c r="J1591" s="10"/>
      <c r="K1591" s="10"/>
      <c r="L1591" s="10"/>
      <c r="M1591" s="10"/>
      <c r="N1591" s="10"/>
      <c r="O1591" s="10"/>
      <c r="P1591" s="38"/>
    </row>
    <row r="1592" spans="1:16" ht="15" customHeight="1" x14ac:dyDescent="0.35">
      <c r="A1592" s="15"/>
      <c r="B1592" s="65"/>
      <c r="C1592" s="15"/>
      <c r="D1592" s="19"/>
      <c r="E1592" s="40"/>
      <c r="F1592" s="13"/>
      <c r="G1592" s="78"/>
      <c r="H1592" s="16"/>
      <c r="I1592" s="10"/>
      <c r="J1592" s="10"/>
      <c r="K1592" s="10"/>
      <c r="L1592" s="10"/>
      <c r="M1592" s="10"/>
      <c r="N1592" s="10"/>
      <c r="O1592" s="10"/>
      <c r="P1592" s="38"/>
    </row>
    <row r="1593" spans="1:16" ht="15" customHeight="1" x14ac:dyDescent="0.35">
      <c r="A1593" s="15"/>
      <c r="B1593" s="65"/>
      <c r="C1593" s="15"/>
      <c r="D1593" s="19"/>
      <c r="E1593" s="40"/>
      <c r="F1593" s="13"/>
      <c r="G1593" s="78"/>
      <c r="H1593" s="16"/>
      <c r="I1593" s="10"/>
      <c r="J1593" s="10"/>
      <c r="K1593" s="10"/>
      <c r="L1593" s="10"/>
      <c r="M1593" s="10"/>
      <c r="N1593" s="10"/>
      <c r="O1593" s="10"/>
      <c r="P1593" s="38"/>
    </row>
    <row r="1594" spans="1:16" ht="15" customHeight="1" x14ac:dyDescent="0.35">
      <c r="A1594" s="15"/>
      <c r="B1594" s="65"/>
      <c r="C1594" s="15"/>
      <c r="D1594" s="19"/>
      <c r="E1594" s="40"/>
      <c r="F1594" s="13"/>
      <c r="G1594" s="78"/>
      <c r="H1594" s="16"/>
      <c r="I1594" s="10"/>
      <c r="J1594" s="10"/>
      <c r="K1594" s="10"/>
      <c r="L1594" s="10"/>
      <c r="M1594" s="10"/>
      <c r="N1594" s="10"/>
      <c r="O1594" s="10"/>
      <c r="P1594" s="38"/>
    </row>
    <row r="1595" spans="1:16" ht="15" customHeight="1" x14ac:dyDescent="0.35">
      <c r="A1595" s="15"/>
      <c r="B1595" s="65"/>
      <c r="C1595" s="15"/>
      <c r="D1595" s="19"/>
      <c r="E1595" s="40"/>
      <c r="F1595" s="13"/>
      <c r="G1595" s="78"/>
      <c r="H1595" s="16"/>
      <c r="I1595" s="10"/>
      <c r="J1595" s="10"/>
      <c r="K1595" s="10"/>
      <c r="L1595" s="10"/>
      <c r="M1595" s="10"/>
      <c r="N1595" s="10"/>
      <c r="O1595" s="10"/>
      <c r="P1595" s="38"/>
    </row>
    <row r="1596" spans="1:16" ht="15" customHeight="1" x14ac:dyDescent="0.35">
      <c r="A1596" s="15"/>
      <c r="B1596" s="65"/>
      <c r="C1596" s="15"/>
      <c r="D1596" s="19"/>
      <c r="E1596" s="40"/>
      <c r="F1596" s="13"/>
      <c r="G1596" s="78"/>
      <c r="H1596" s="16"/>
      <c r="I1596" s="10"/>
      <c r="J1596" s="10"/>
      <c r="K1596" s="10"/>
      <c r="L1596" s="10"/>
      <c r="M1596" s="10"/>
      <c r="N1596" s="10"/>
      <c r="O1596" s="10"/>
      <c r="P1596" s="38"/>
    </row>
    <row r="1597" spans="1:16" ht="15" customHeight="1" x14ac:dyDescent="0.35">
      <c r="A1597" s="15"/>
      <c r="B1597" s="65"/>
      <c r="C1597" s="15"/>
      <c r="D1597" s="19"/>
      <c r="E1597" s="40"/>
      <c r="F1597" s="13"/>
      <c r="G1597" s="78"/>
      <c r="H1597" s="16"/>
      <c r="I1597" s="10"/>
      <c r="J1597" s="10"/>
      <c r="K1597" s="10"/>
      <c r="L1597" s="10"/>
      <c r="M1597" s="10"/>
      <c r="N1597" s="10"/>
      <c r="O1597" s="10"/>
      <c r="P1597" s="38"/>
    </row>
    <row r="1598" spans="1:16" ht="15" customHeight="1" x14ac:dyDescent="0.35">
      <c r="A1598" s="15"/>
      <c r="B1598" s="65"/>
      <c r="C1598" s="15"/>
      <c r="D1598" s="19"/>
      <c r="E1598" s="40"/>
      <c r="F1598" s="13"/>
      <c r="G1598" s="78"/>
      <c r="H1598" s="16"/>
      <c r="I1598" s="10"/>
      <c r="J1598" s="10"/>
      <c r="K1598" s="10"/>
      <c r="L1598" s="10"/>
      <c r="M1598" s="10"/>
      <c r="N1598" s="10"/>
      <c r="O1598" s="10"/>
      <c r="P1598" s="38"/>
    </row>
    <row r="1599" spans="1:16" ht="15" customHeight="1" x14ac:dyDescent="0.35">
      <c r="A1599" s="15"/>
      <c r="B1599" s="65"/>
      <c r="C1599" s="15"/>
      <c r="D1599" s="19"/>
      <c r="E1599" s="40"/>
      <c r="F1599" s="13"/>
      <c r="G1599" s="78"/>
      <c r="H1599" s="16"/>
      <c r="I1599" s="10"/>
      <c r="J1599" s="10"/>
      <c r="K1599" s="10"/>
      <c r="L1599" s="10"/>
      <c r="M1599" s="10"/>
      <c r="N1599" s="10"/>
      <c r="O1599" s="10"/>
      <c r="P1599" s="38"/>
    </row>
    <row r="1600" spans="1:16" ht="15" customHeight="1" x14ac:dyDescent="0.35">
      <c r="A1600" s="15"/>
      <c r="B1600" s="65"/>
      <c r="C1600" s="15"/>
      <c r="D1600" s="19"/>
      <c r="E1600" s="40"/>
      <c r="F1600" s="13"/>
      <c r="G1600" s="78"/>
      <c r="H1600" s="16"/>
      <c r="I1600" s="10"/>
      <c r="J1600" s="10"/>
      <c r="K1600" s="10"/>
      <c r="L1600" s="10"/>
      <c r="M1600" s="10"/>
      <c r="N1600" s="10"/>
      <c r="O1600" s="10"/>
      <c r="P1600" s="38"/>
    </row>
    <row r="1601" spans="1:16" ht="15" customHeight="1" x14ac:dyDescent="0.35">
      <c r="A1601" s="15"/>
      <c r="B1601" s="65"/>
      <c r="C1601" s="15"/>
      <c r="D1601" s="19"/>
      <c r="E1601" s="40"/>
      <c r="F1601" s="13"/>
      <c r="G1601" s="78"/>
      <c r="H1601" s="16"/>
      <c r="I1601" s="10"/>
      <c r="J1601" s="10"/>
      <c r="K1601" s="10"/>
      <c r="L1601" s="10"/>
      <c r="M1601" s="10"/>
      <c r="N1601" s="10"/>
      <c r="O1601" s="10"/>
      <c r="P1601" s="38"/>
    </row>
    <row r="1602" spans="1:16" ht="15" customHeight="1" x14ac:dyDescent="0.35">
      <c r="A1602" s="15"/>
      <c r="B1602" s="65"/>
      <c r="C1602" s="15"/>
      <c r="D1602" s="19"/>
      <c r="E1602" s="40"/>
      <c r="F1602" s="13"/>
      <c r="G1602" s="78"/>
      <c r="H1602" s="16"/>
      <c r="I1602" s="10"/>
      <c r="J1602" s="10"/>
      <c r="K1602" s="10"/>
      <c r="L1602" s="10"/>
      <c r="M1602" s="10"/>
      <c r="N1602" s="10"/>
      <c r="O1602" s="10"/>
      <c r="P1602" s="38"/>
    </row>
    <row r="1603" spans="1:16" ht="15" customHeight="1" x14ac:dyDescent="0.35">
      <c r="A1603" s="15"/>
      <c r="B1603" s="65"/>
      <c r="C1603" s="15"/>
      <c r="D1603" s="19"/>
      <c r="E1603" s="40"/>
      <c r="F1603" s="13"/>
      <c r="G1603" s="78"/>
      <c r="H1603" s="16"/>
      <c r="I1603" s="10"/>
      <c r="J1603" s="10"/>
      <c r="K1603" s="10"/>
      <c r="L1603" s="10"/>
      <c r="M1603" s="10"/>
      <c r="N1603" s="10"/>
      <c r="O1603" s="10"/>
      <c r="P1603" s="38"/>
    </row>
    <row r="1604" spans="1:16" ht="15" customHeight="1" x14ac:dyDescent="0.35">
      <c r="A1604" s="15"/>
      <c r="B1604" s="65"/>
      <c r="C1604" s="15"/>
      <c r="D1604" s="19"/>
      <c r="E1604" s="40"/>
      <c r="F1604" s="13"/>
      <c r="G1604" s="78"/>
      <c r="H1604" s="16"/>
      <c r="I1604" s="10"/>
      <c r="J1604" s="10"/>
      <c r="K1604" s="10"/>
      <c r="L1604" s="10"/>
      <c r="M1604" s="10"/>
      <c r="N1604" s="10"/>
      <c r="O1604" s="10"/>
      <c r="P1604" s="38"/>
    </row>
    <row r="1605" spans="1:16" ht="15" customHeight="1" x14ac:dyDescent="0.35">
      <c r="A1605" s="15"/>
      <c r="B1605" s="65"/>
      <c r="C1605" s="15"/>
      <c r="D1605" s="19"/>
      <c r="E1605" s="40"/>
      <c r="F1605" s="13"/>
      <c r="G1605" s="78"/>
      <c r="H1605" s="16"/>
      <c r="I1605" s="10"/>
      <c r="J1605" s="10"/>
      <c r="K1605" s="10"/>
      <c r="L1605" s="10"/>
      <c r="M1605" s="10"/>
      <c r="N1605" s="10"/>
      <c r="O1605" s="10"/>
      <c r="P1605" s="38"/>
    </row>
    <row r="1606" spans="1:16" ht="15" customHeight="1" x14ac:dyDescent="0.35">
      <c r="A1606" s="15"/>
      <c r="B1606" s="65"/>
      <c r="C1606" s="15"/>
      <c r="D1606" s="19"/>
      <c r="E1606" s="40"/>
      <c r="F1606" s="13"/>
      <c r="G1606" s="78"/>
      <c r="H1606" s="16"/>
      <c r="I1606" s="10"/>
      <c r="J1606" s="10"/>
      <c r="K1606" s="10"/>
      <c r="L1606" s="10"/>
      <c r="M1606" s="10"/>
      <c r="N1606" s="10"/>
      <c r="O1606" s="10"/>
      <c r="P1606" s="38"/>
    </row>
    <row r="1607" spans="1:16" ht="15" customHeight="1" x14ac:dyDescent="0.35">
      <c r="A1607" s="15"/>
      <c r="B1607" s="65"/>
      <c r="C1607" s="15"/>
      <c r="D1607" s="19"/>
      <c r="E1607" s="40"/>
      <c r="F1607" s="13"/>
      <c r="G1607" s="78"/>
      <c r="H1607" s="16"/>
      <c r="I1607" s="10"/>
      <c r="J1607" s="10"/>
      <c r="K1607" s="10"/>
      <c r="L1607" s="10"/>
      <c r="M1607" s="10"/>
      <c r="N1607" s="10"/>
      <c r="O1607" s="10"/>
      <c r="P1607" s="38"/>
    </row>
    <row r="1608" spans="1:16" ht="15" customHeight="1" x14ac:dyDescent="0.35">
      <c r="A1608" s="15"/>
      <c r="B1608" s="65"/>
      <c r="C1608" s="15"/>
      <c r="D1608" s="19"/>
      <c r="E1608" s="40"/>
      <c r="F1608" s="13"/>
      <c r="G1608" s="78"/>
      <c r="H1608" s="16"/>
      <c r="I1608" s="10"/>
      <c r="J1608" s="10"/>
      <c r="K1608" s="10"/>
      <c r="L1608" s="10"/>
      <c r="M1608" s="10"/>
      <c r="N1608" s="10"/>
      <c r="O1608" s="10"/>
      <c r="P1608" s="38"/>
    </row>
    <row r="1609" spans="1:16" ht="15" customHeight="1" x14ac:dyDescent="0.35">
      <c r="A1609" s="15"/>
      <c r="B1609" s="65"/>
      <c r="C1609" s="15"/>
      <c r="D1609" s="19"/>
      <c r="E1609" s="40"/>
      <c r="F1609" s="13"/>
      <c r="G1609" s="78"/>
      <c r="H1609" s="16"/>
      <c r="I1609" s="10"/>
      <c r="J1609" s="10"/>
      <c r="K1609" s="10"/>
      <c r="L1609" s="10"/>
      <c r="M1609" s="10"/>
      <c r="N1609" s="10"/>
      <c r="O1609" s="10"/>
      <c r="P1609" s="38"/>
    </row>
    <row r="1610" spans="1:16" ht="15" customHeight="1" x14ac:dyDescent="0.35">
      <c r="A1610" s="15"/>
      <c r="B1610" s="65"/>
      <c r="C1610" s="15"/>
      <c r="D1610" s="19"/>
      <c r="E1610" s="40"/>
      <c r="F1610" s="13"/>
      <c r="G1610" s="78"/>
      <c r="H1610" s="16"/>
      <c r="I1610" s="10"/>
      <c r="J1610" s="10"/>
      <c r="K1610" s="10"/>
      <c r="L1610" s="10"/>
      <c r="M1610" s="10"/>
      <c r="N1610" s="10"/>
      <c r="O1610" s="10"/>
      <c r="P1610" s="38"/>
    </row>
    <row r="1611" spans="1:16" ht="15" customHeight="1" x14ac:dyDescent="0.35">
      <c r="A1611" s="15"/>
      <c r="B1611" s="65"/>
      <c r="C1611" s="15"/>
      <c r="D1611" s="19"/>
      <c r="E1611" s="40"/>
      <c r="F1611" s="13"/>
      <c r="G1611" s="78"/>
      <c r="H1611" s="16"/>
      <c r="I1611" s="10"/>
      <c r="J1611" s="10"/>
      <c r="K1611" s="10"/>
      <c r="L1611" s="10"/>
      <c r="M1611" s="10"/>
      <c r="N1611" s="10"/>
      <c r="O1611" s="10"/>
      <c r="P1611" s="38"/>
    </row>
    <row r="1612" spans="1:16" ht="15" customHeight="1" x14ac:dyDescent="0.35">
      <c r="A1612" s="15"/>
      <c r="B1612" s="65"/>
      <c r="C1612" s="15"/>
      <c r="D1612" s="19"/>
      <c r="E1612" s="40"/>
      <c r="F1612" s="13"/>
      <c r="G1612" s="78"/>
      <c r="H1612" s="16"/>
      <c r="I1612" s="10"/>
      <c r="J1612" s="10"/>
      <c r="K1612" s="10"/>
      <c r="L1612" s="10"/>
      <c r="M1612" s="10"/>
      <c r="N1612" s="10"/>
      <c r="O1612" s="10"/>
      <c r="P1612" s="38"/>
    </row>
    <row r="1613" spans="1:16" ht="15" customHeight="1" x14ac:dyDescent="0.35">
      <c r="A1613" s="15"/>
      <c r="B1613" s="65"/>
      <c r="C1613" s="15"/>
      <c r="D1613" s="19"/>
      <c r="E1613" s="40"/>
      <c r="F1613" s="13"/>
      <c r="G1613" s="78"/>
      <c r="H1613" s="16"/>
      <c r="I1613" s="10"/>
      <c r="J1613" s="10"/>
      <c r="K1613" s="10"/>
      <c r="L1613" s="10"/>
      <c r="M1613" s="10"/>
      <c r="N1613" s="10"/>
      <c r="O1613" s="10"/>
      <c r="P1613" s="38"/>
    </row>
    <row r="1614" spans="1:16" ht="15" customHeight="1" x14ac:dyDescent="0.35">
      <c r="A1614" s="15"/>
      <c r="B1614" s="65"/>
      <c r="C1614" s="15"/>
      <c r="D1614" s="19"/>
      <c r="E1614" s="40"/>
      <c r="F1614" s="13"/>
      <c r="G1614" s="78"/>
      <c r="H1614" s="16"/>
      <c r="I1614" s="10"/>
      <c r="J1614" s="10"/>
      <c r="K1614" s="10"/>
      <c r="L1614" s="10"/>
      <c r="M1614" s="10"/>
      <c r="N1614" s="10"/>
      <c r="O1614" s="10"/>
      <c r="P1614" s="38"/>
    </row>
    <row r="1615" spans="1:16" ht="15" customHeight="1" x14ac:dyDescent="0.35">
      <c r="A1615" s="15"/>
      <c r="B1615" s="65"/>
      <c r="C1615" s="15"/>
      <c r="D1615" s="19"/>
      <c r="E1615" s="40"/>
      <c r="F1615" s="13"/>
      <c r="G1615" s="78"/>
      <c r="H1615" s="16"/>
      <c r="I1615" s="10"/>
      <c r="J1615" s="10"/>
      <c r="K1615" s="10"/>
      <c r="L1615" s="10"/>
      <c r="M1615" s="10"/>
      <c r="N1615" s="10"/>
      <c r="O1615" s="10"/>
      <c r="P1615" s="38"/>
    </row>
    <row r="1616" spans="1:16" ht="15" customHeight="1" x14ac:dyDescent="0.35">
      <c r="A1616" s="15"/>
      <c r="B1616" s="65"/>
      <c r="C1616" s="15"/>
      <c r="D1616" s="19"/>
      <c r="E1616" s="40"/>
      <c r="F1616" s="13"/>
      <c r="G1616" s="78"/>
      <c r="H1616" s="16"/>
      <c r="I1616" s="10"/>
      <c r="J1616" s="10"/>
      <c r="K1616" s="10"/>
      <c r="L1616" s="10"/>
      <c r="M1616" s="10"/>
      <c r="N1616" s="10"/>
      <c r="O1616" s="10"/>
      <c r="P1616" s="38"/>
    </row>
    <row r="1617" spans="1:16" ht="15" customHeight="1" x14ac:dyDescent="0.35">
      <c r="A1617" s="15"/>
      <c r="B1617" s="65"/>
      <c r="C1617" s="15"/>
      <c r="D1617" s="19"/>
      <c r="E1617" s="40"/>
      <c r="F1617" s="13"/>
      <c r="G1617" s="78"/>
      <c r="H1617" s="16"/>
      <c r="I1617" s="10"/>
      <c r="J1617" s="10"/>
      <c r="K1617" s="10"/>
      <c r="L1617" s="10"/>
      <c r="M1617" s="10"/>
      <c r="N1617" s="10"/>
      <c r="O1617" s="10"/>
      <c r="P1617" s="38"/>
    </row>
    <row r="1618" spans="1:16" ht="15" customHeight="1" x14ac:dyDescent="0.35">
      <c r="A1618" s="15"/>
      <c r="B1618" s="65"/>
      <c r="C1618" s="15"/>
      <c r="D1618" s="19"/>
      <c r="E1618" s="40"/>
      <c r="F1618" s="13"/>
      <c r="G1618" s="78"/>
      <c r="H1618" s="16"/>
      <c r="I1618" s="10"/>
      <c r="J1618" s="10"/>
      <c r="K1618" s="10"/>
      <c r="L1618" s="10"/>
      <c r="M1618" s="10"/>
      <c r="N1618" s="10"/>
      <c r="O1618" s="10"/>
      <c r="P1618" s="38"/>
    </row>
    <row r="1619" spans="1:16" ht="15" customHeight="1" x14ac:dyDescent="0.35">
      <c r="A1619" s="15"/>
      <c r="B1619" s="65"/>
      <c r="C1619" s="15"/>
      <c r="D1619" s="19"/>
      <c r="E1619" s="40"/>
      <c r="F1619" s="13"/>
      <c r="G1619" s="78"/>
      <c r="H1619" s="16"/>
      <c r="I1619" s="10"/>
      <c r="J1619" s="10"/>
      <c r="K1619" s="10"/>
      <c r="L1619" s="10"/>
      <c r="M1619" s="10"/>
      <c r="N1619" s="10"/>
      <c r="O1619" s="10"/>
      <c r="P1619" s="38"/>
    </row>
    <row r="1620" spans="1:16" ht="15" customHeight="1" x14ac:dyDescent="0.35">
      <c r="A1620" s="15"/>
      <c r="B1620" s="65"/>
      <c r="C1620" s="15"/>
      <c r="D1620" s="19"/>
      <c r="E1620" s="40"/>
      <c r="F1620" s="13"/>
      <c r="G1620" s="78"/>
      <c r="H1620" s="16"/>
      <c r="I1620" s="10"/>
      <c r="J1620" s="10"/>
      <c r="K1620" s="10"/>
      <c r="L1620" s="10"/>
      <c r="M1620" s="10"/>
      <c r="N1620" s="10"/>
      <c r="O1620" s="10"/>
      <c r="P1620" s="38"/>
    </row>
    <row r="1621" spans="1:16" ht="15" customHeight="1" x14ac:dyDescent="0.35">
      <c r="A1621" s="15"/>
      <c r="B1621" s="65"/>
      <c r="C1621" s="15"/>
      <c r="D1621" s="19"/>
      <c r="E1621" s="40"/>
      <c r="F1621" s="13"/>
      <c r="G1621" s="78"/>
      <c r="H1621" s="16"/>
      <c r="I1621" s="10"/>
      <c r="J1621" s="10"/>
      <c r="K1621" s="10"/>
      <c r="L1621" s="10"/>
      <c r="M1621" s="10"/>
      <c r="N1621" s="10"/>
      <c r="O1621" s="10"/>
      <c r="P1621" s="38"/>
    </row>
    <row r="1622" spans="1:16" ht="15" customHeight="1" x14ac:dyDescent="0.35">
      <c r="A1622" s="15"/>
      <c r="B1622" s="65"/>
      <c r="C1622" s="15"/>
      <c r="D1622" s="19"/>
      <c r="E1622" s="40"/>
      <c r="F1622" s="13"/>
      <c r="G1622" s="78"/>
      <c r="H1622" s="16"/>
      <c r="I1622" s="10"/>
      <c r="J1622" s="10"/>
      <c r="K1622" s="10"/>
      <c r="L1622" s="10"/>
      <c r="M1622" s="10"/>
      <c r="N1622" s="10"/>
      <c r="O1622" s="10"/>
      <c r="P1622" s="38"/>
    </row>
    <row r="1623" spans="1:16" ht="15" customHeight="1" x14ac:dyDescent="0.35">
      <c r="A1623" s="15"/>
      <c r="B1623" s="65"/>
      <c r="C1623" s="15"/>
      <c r="D1623" s="19"/>
      <c r="E1623" s="40"/>
      <c r="F1623" s="13"/>
      <c r="G1623" s="78"/>
      <c r="H1623" s="16"/>
      <c r="I1623" s="10"/>
      <c r="J1623" s="10"/>
      <c r="K1623" s="10"/>
      <c r="L1623" s="10"/>
      <c r="M1623" s="10"/>
      <c r="N1623" s="10"/>
      <c r="O1623" s="10"/>
      <c r="P1623" s="38"/>
    </row>
    <row r="1624" spans="1:16" ht="15" customHeight="1" x14ac:dyDescent="0.35">
      <c r="A1624" s="15"/>
      <c r="B1624" s="65"/>
      <c r="C1624" s="15"/>
      <c r="D1624" s="19"/>
      <c r="E1624" s="40"/>
      <c r="F1624" s="13"/>
      <c r="G1624" s="78"/>
      <c r="H1624" s="16"/>
      <c r="I1624" s="10"/>
      <c r="J1624" s="10"/>
      <c r="K1624" s="10"/>
      <c r="L1624" s="10"/>
      <c r="M1624" s="10"/>
      <c r="N1624" s="10"/>
      <c r="O1624" s="10"/>
      <c r="P1624" s="38"/>
    </row>
    <row r="1625" spans="1:16" ht="15" customHeight="1" x14ac:dyDescent="0.35">
      <c r="A1625" s="15"/>
      <c r="B1625" s="65"/>
      <c r="C1625" s="15"/>
      <c r="D1625" s="19"/>
      <c r="E1625" s="40"/>
      <c r="F1625" s="13"/>
      <c r="G1625" s="78"/>
      <c r="H1625" s="16"/>
      <c r="I1625" s="10"/>
      <c r="J1625" s="10"/>
      <c r="K1625" s="10"/>
      <c r="L1625" s="10"/>
      <c r="M1625" s="10"/>
      <c r="N1625" s="10"/>
      <c r="O1625" s="10"/>
      <c r="P1625" s="38"/>
    </row>
    <row r="1626" spans="1:16" ht="15" customHeight="1" x14ac:dyDescent="0.35">
      <c r="A1626" s="15"/>
      <c r="B1626" s="65"/>
      <c r="C1626" s="15"/>
      <c r="D1626" s="19"/>
      <c r="E1626" s="40"/>
      <c r="F1626" s="13"/>
      <c r="G1626" s="78"/>
      <c r="H1626" s="16"/>
      <c r="I1626" s="10"/>
      <c r="J1626" s="10"/>
      <c r="K1626" s="10"/>
      <c r="L1626" s="10"/>
      <c r="M1626" s="10"/>
      <c r="N1626" s="10"/>
      <c r="O1626" s="10"/>
      <c r="P1626" s="38"/>
    </row>
    <row r="1627" spans="1:16" ht="15" customHeight="1" x14ac:dyDescent="0.35">
      <c r="A1627" s="15"/>
      <c r="B1627" s="65"/>
      <c r="C1627" s="15"/>
      <c r="D1627" s="19"/>
      <c r="E1627" s="40"/>
      <c r="F1627" s="13"/>
      <c r="G1627" s="78"/>
      <c r="H1627" s="16"/>
      <c r="I1627" s="10"/>
      <c r="J1627" s="10"/>
      <c r="K1627" s="10"/>
      <c r="L1627" s="10"/>
      <c r="M1627" s="10"/>
      <c r="N1627" s="10"/>
      <c r="O1627" s="10"/>
      <c r="P1627" s="38"/>
    </row>
    <row r="1628" spans="1:16" ht="15" customHeight="1" x14ac:dyDescent="0.35">
      <c r="A1628" s="15"/>
      <c r="B1628" s="65"/>
      <c r="C1628" s="15"/>
      <c r="D1628" s="19"/>
      <c r="E1628" s="40"/>
      <c r="F1628" s="13"/>
      <c r="G1628" s="78"/>
      <c r="H1628" s="16"/>
      <c r="I1628" s="10"/>
      <c r="J1628" s="10"/>
      <c r="K1628" s="10"/>
      <c r="L1628" s="10"/>
      <c r="M1628" s="10"/>
      <c r="N1628" s="10"/>
      <c r="O1628" s="10"/>
      <c r="P1628" s="38"/>
    </row>
    <row r="1629" spans="1:16" ht="15" customHeight="1" x14ac:dyDescent="0.35">
      <c r="A1629" s="15"/>
      <c r="B1629" s="65"/>
      <c r="C1629" s="15"/>
      <c r="D1629" s="19"/>
      <c r="E1629" s="40"/>
      <c r="F1629" s="13"/>
      <c r="G1629" s="78"/>
      <c r="H1629" s="16"/>
      <c r="I1629" s="10"/>
      <c r="J1629" s="10"/>
      <c r="K1629" s="10"/>
      <c r="L1629" s="10"/>
      <c r="M1629" s="10"/>
      <c r="N1629" s="10"/>
      <c r="O1629" s="10"/>
      <c r="P1629" s="38"/>
    </row>
    <row r="1630" spans="1:16" ht="15" customHeight="1" x14ac:dyDescent="0.35">
      <c r="A1630" s="15"/>
      <c r="B1630" s="65"/>
      <c r="C1630" s="15"/>
      <c r="D1630" s="19"/>
      <c r="E1630" s="40"/>
      <c r="F1630" s="13"/>
      <c r="G1630" s="78"/>
      <c r="H1630" s="16"/>
      <c r="I1630" s="10"/>
      <c r="J1630" s="10"/>
      <c r="K1630" s="10"/>
      <c r="L1630" s="10"/>
      <c r="M1630" s="10"/>
      <c r="N1630" s="10"/>
      <c r="O1630" s="10"/>
      <c r="P1630" s="38"/>
    </row>
    <row r="1631" spans="1:16" ht="15" customHeight="1" x14ac:dyDescent="0.35">
      <c r="A1631" s="15"/>
      <c r="B1631" s="65"/>
      <c r="C1631" s="15"/>
      <c r="D1631" s="19"/>
      <c r="E1631" s="40"/>
      <c r="F1631" s="13"/>
      <c r="G1631" s="78"/>
      <c r="H1631" s="16"/>
      <c r="I1631" s="10"/>
      <c r="J1631" s="10"/>
      <c r="K1631" s="10"/>
      <c r="L1631" s="10"/>
      <c r="M1631" s="10"/>
      <c r="N1631" s="10"/>
      <c r="O1631" s="10"/>
      <c r="P1631" s="38"/>
    </row>
    <row r="1632" spans="1:16" ht="15" customHeight="1" x14ac:dyDescent="0.35">
      <c r="A1632" s="15"/>
      <c r="B1632" s="65"/>
      <c r="C1632" s="15"/>
      <c r="D1632" s="19"/>
      <c r="E1632" s="40"/>
      <c r="F1632" s="13"/>
      <c r="G1632" s="78"/>
      <c r="H1632" s="16"/>
      <c r="I1632" s="10"/>
      <c r="J1632" s="10"/>
      <c r="K1632" s="10"/>
      <c r="L1632" s="10"/>
      <c r="M1632" s="10"/>
      <c r="N1632" s="10"/>
      <c r="O1632" s="10"/>
      <c r="P1632" s="38"/>
    </row>
    <row r="1633" spans="1:16" ht="15" customHeight="1" x14ac:dyDescent="0.35">
      <c r="A1633" s="15"/>
      <c r="B1633" s="65"/>
      <c r="C1633" s="15"/>
      <c r="D1633" s="19"/>
      <c r="E1633" s="40"/>
      <c r="F1633" s="13"/>
      <c r="G1633" s="78"/>
      <c r="H1633" s="16"/>
      <c r="I1633" s="10"/>
      <c r="J1633" s="10"/>
      <c r="K1633" s="10"/>
      <c r="L1633" s="10"/>
      <c r="M1633" s="10"/>
      <c r="N1633" s="10"/>
      <c r="O1633" s="10"/>
      <c r="P1633" s="38"/>
    </row>
    <row r="1634" spans="1:16" ht="15" customHeight="1" x14ac:dyDescent="0.35">
      <c r="A1634" s="15"/>
      <c r="B1634" s="65"/>
      <c r="C1634" s="15"/>
      <c r="D1634" s="19"/>
      <c r="E1634" s="40"/>
      <c r="F1634" s="13"/>
      <c r="G1634" s="78"/>
      <c r="H1634" s="16"/>
      <c r="I1634" s="10"/>
      <c r="J1634" s="10"/>
      <c r="K1634" s="10"/>
      <c r="L1634" s="10"/>
      <c r="M1634" s="10"/>
      <c r="N1634" s="10"/>
      <c r="O1634" s="10"/>
      <c r="P1634" s="38"/>
    </row>
    <row r="1635" spans="1:16" ht="15" customHeight="1" x14ac:dyDescent="0.35">
      <c r="A1635" s="15"/>
      <c r="B1635" s="65"/>
      <c r="C1635" s="15"/>
      <c r="D1635" s="19"/>
      <c r="E1635" s="40"/>
      <c r="F1635" s="13"/>
      <c r="G1635" s="78"/>
      <c r="H1635" s="16"/>
      <c r="I1635" s="10"/>
      <c r="J1635" s="10"/>
      <c r="K1635" s="10"/>
      <c r="L1635" s="10"/>
      <c r="M1635" s="10"/>
      <c r="N1635" s="10"/>
      <c r="O1635" s="10"/>
      <c r="P1635" s="38"/>
    </row>
    <row r="1636" spans="1:16" ht="15" customHeight="1" x14ac:dyDescent="0.35">
      <c r="A1636" s="15"/>
      <c r="B1636" s="65"/>
      <c r="C1636" s="15"/>
      <c r="D1636" s="19"/>
      <c r="E1636" s="40"/>
      <c r="F1636" s="13"/>
      <c r="G1636" s="78"/>
      <c r="H1636" s="16"/>
      <c r="I1636" s="10"/>
      <c r="J1636" s="10"/>
      <c r="K1636" s="10"/>
      <c r="L1636" s="10"/>
      <c r="M1636" s="10"/>
      <c r="N1636" s="10"/>
      <c r="O1636" s="10"/>
      <c r="P1636" s="38"/>
    </row>
    <row r="1637" spans="1:16" ht="15" customHeight="1" x14ac:dyDescent="0.35">
      <c r="A1637" s="15"/>
      <c r="B1637" s="65"/>
      <c r="C1637" s="15"/>
      <c r="D1637" s="19"/>
      <c r="E1637" s="40"/>
      <c r="F1637" s="13"/>
      <c r="G1637" s="78"/>
      <c r="H1637" s="16"/>
      <c r="I1637" s="10"/>
      <c r="J1637" s="10"/>
      <c r="K1637" s="10"/>
      <c r="L1637" s="10"/>
      <c r="M1637" s="10"/>
      <c r="N1637" s="10"/>
      <c r="O1637" s="10"/>
      <c r="P1637" s="38"/>
    </row>
    <row r="1638" spans="1:16" ht="15" customHeight="1" x14ac:dyDescent="0.35">
      <c r="A1638" s="15"/>
      <c r="B1638" s="65"/>
      <c r="C1638" s="15"/>
      <c r="D1638" s="19"/>
      <c r="E1638" s="40"/>
      <c r="F1638" s="13"/>
      <c r="G1638" s="78"/>
      <c r="H1638" s="16"/>
      <c r="I1638" s="10"/>
      <c r="J1638" s="10"/>
      <c r="K1638" s="10"/>
      <c r="L1638" s="10"/>
      <c r="M1638" s="10"/>
      <c r="N1638" s="10"/>
      <c r="O1638" s="10"/>
      <c r="P1638" s="38"/>
    </row>
    <row r="1639" spans="1:16" ht="15" customHeight="1" x14ac:dyDescent="0.35">
      <c r="A1639" s="15"/>
      <c r="B1639" s="65"/>
      <c r="C1639" s="15"/>
      <c r="D1639" s="19"/>
      <c r="E1639" s="40"/>
      <c r="F1639" s="13"/>
      <c r="G1639" s="78"/>
      <c r="H1639" s="16"/>
      <c r="I1639" s="10"/>
      <c r="J1639" s="10"/>
      <c r="K1639" s="10"/>
      <c r="L1639" s="10"/>
      <c r="M1639" s="10"/>
      <c r="N1639" s="10"/>
      <c r="O1639" s="10"/>
      <c r="P1639" s="38"/>
    </row>
    <row r="1640" spans="1:16" ht="15" customHeight="1" x14ac:dyDescent="0.35">
      <c r="A1640" s="15"/>
      <c r="B1640" s="65"/>
      <c r="C1640" s="15"/>
      <c r="D1640" s="19"/>
      <c r="E1640" s="40"/>
      <c r="F1640" s="13"/>
      <c r="G1640" s="78"/>
      <c r="H1640" s="16"/>
      <c r="I1640" s="10"/>
      <c r="J1640" s="10"/>
      <c r="K1640" s="10"/>
      <c r="L1640" s="10"/>
      <c r="M1640" s="10"/>
      <c r="N1640" s="10"/>
      <c r="O1640" s="10"/>
      <c r="P1640" s="38"/>
    </row>
    <row r="1641" spans="1:16" ht="15" customHeight="1" x14ac:dyDescent="0.35">
      <c r="A1641" s="15"/>
      <c r="B1641" s="65"/>
      <c r="C1641" s="15"/>
      <c r="D1641" s="19"/>
      <c r="E1641" s="40"/>
      <c r="F1641" s="13"/>
      <c r="G1641" s="78"/>
      <c r="H1641" s="16"/>
      <c r="I1641" s="10"/>
      <c r="J1641" s="10"/>
      <c r="K1641" s="10"/>
      <c r="L1641" s="10"/>
      <c r="M1641" s="10"/>
      <c r="N1641" s="10"/>
      <c r="O1641" s="10"/>
      <c r="P1641" s="38"/>
    </row>
    <row r="1642" spans="1:16" ht="15" customHeight="1" x14ac:dyDescent="0.35">
      <c r="A1642" s="15"/>
      <c r="B1642" s="65"/>
      <c r="C1642" s="15"/>
      <c r="D1642" s="19"/>
      <c r="E1642" s="40"/>
      <c r="F1642" s="13"/>
      <c r="G1642" s="78"/>
      <c r="H1642" s="16"/>
      <c r="I1642" s="10"/>
      <c r="J1642" s="10"/>
      <c r="K1642" s="10"/>
      <c r="L1642" s="10"/>
      <c r="M1642" s="10"/>
      <c r="N1642" s="10"/>
      <c r="O1642" s="10"/>
      <c r="P1642" s="38"/>
    </row>
    <row r="1643" spans="1:16" ht="15" customHeight="1" x14ac:dyDescent="0.35">
      <c r="A1643" s="15"/>
      <c r="B1643" s="65"/>
      <c r="C1643" s="15"/>
      <c r="D1643" s="19"/>
      <c r="E1643" s="40"/>
      <c r="F1643" s="13"/>
      <c r="G1643" s="78"/>
      <c r="H1643" s="16"/>
      <c r="I1643" s="10"/>
      <c r="J1643" s="10"/>
      <c r="K1643" s="10"/>
      <c r="L1643" s="10"/>
      <c r="M1643" s="10"/>
      <c r="N1643" s="10"/>
      <c r="O1643" s="10"/>
      <c r="P1643" s="38"/>
    </row>
    <row r="1644" spans="1:16" ht="15" customHeight="1" x14ac:dyDescent="0.35">
      <c r="A1644" s="15"/>
      <c r="B1644" s="65"/>
      <c r="C1644" s="15"/>
      <c r="D1644" s="19"/>
      <c r="E1644" s="40"/>
      <c r="F1644" s="13"/>
      <c r="G1644" s="78"/>
      <c r="H1644" s="16"/>
      <c r="I1644" s="10"/>
      <c r="J1644" s="10"/>
      <c r="K1644" s="10"/>
      <c r="L1644" s="10"/>
      <c r="M1644" s="10"/>
      <c r="N1644" s="10"/>
      <c r="O1644" s="10"/>
      <c r="P1644" s="38"/>
    </row>
    <row r="1645" spans="1:16" ht="15" customHeight="1" x14ac:dyDescent="0.35">
      <c r="A1645" s="15"/>
      <c r="B1645" s="65"/>
      <c r="C1645" s="15"/>
      <c r="D1645" s="19"/>
      <c r="E1645" s="40"/>
      <c r="F1645" s="13"/>
      <c r="G1645" s="78"/>
      <c r="H1645" s="16"/>
      <c r="I1645" s="10"/>
      <c r="J1645" s="10"/>
      <c r="K1645" s="10"/>
      <c r="L1645" s="10"/>
      <c r="M1645" s="10"/>
      <c r="N1645" s="10"/>
      <c r="O1645" s="10"/>
      <c r="P1645" s="38"/>
    </row>
    <row r="1646" spans="1:16" ht="15" customHeight="1" x14ac:dyDescent="0.35">
      <c r="A1646" s="15"/>
      <c r="B1646" s="65"/>
      <c r="C1646" s="15"/>
      <c r="D1646" s="19"/>
      <c r="E1646" s="40"/>
      <c r="F1646" s="13"/>
      <c r="G1646" s="78"/>
      <c r="H1646" s="16"/>
      <c r="I1646" s="10"/>
      <c r="J1646" s="10"/>
      <c r="K1646" s="10"/>
      <c r="L1646" s="10"/>
      <c r="M1646" s="10"/>
      <c r="N1646" s="10"/>
      <c r="O1646" s="10"/>
      <c r="P1646" s="38"/>
    </row>
    <row r="1647" spans="1:16" ht="15" customHeight="1" x14ac:dyDescent="0.35">
      <c r="A1647" s="15"/>
      <c r="B1647" s="65"/>
      <c r="C1647" s="15"/>
      <c r="D1647" s="19"/>
      <c r="E1647" s="40"/>
      <c r="F1647" s="13"/>
      <c r="G1647" s="78"/>
      <c r="H1647" s="16"/>
      <c r="I1647" s="10"/>
      <c r="J1647" s="10"/>
      <c r="K1647" s="10"/>
      <c r="L1647" s="10"/>
      <c r="M1647" s="10"/>
      <c r="N1647" s="10"/>
      <c r="O1647" s="10"/>
      <c r="P1647" s="38"/>
    </row>
    <row r="1648" spans="1:16" ht="15" customHeight="1" x14ac:dyDescent="0.35">
      <c r="A1648" s="15"/>
      <c r="B1648" s="65"/>
      <c r="C1648" s="15"/>
      <c r="D1648" s="19"/>
      <c r="E1648" s="40"/>
      <c r="F1648" s="13"/>
      <c r="G1648" s="78"/>
      <c r="H1648" s="16"/>
      <c r="I1648" s="10"/>
      <c r="J1648" s="10"/>
      <c r="K1648" s="10"/>
      <c r="L1648" s="10"/>
      <c r="M1648" s="10"/>
      <c r="N1648" s="10"/>
      <c r="O1648" s="10"/>
      <c r="P1648" s="38"/>
    </row>
    <row r="1649" spans="1:16" ht="15" customHeight="1" x14ac:dyDescent="0.35">
      <c r="A1649" s="15"/>
      <c r="B1649" s="65"/>
      <c r="C1649" s="15"/>
      <c r="D1649" s="19"/>
      <c r="E1649" s="40"/>
      <c r="F1649" s="13"/>
      <c r="G1649" s="78"/>
      <c r="H1649" s="16"/>
      <c r="I1649" s="10"/>
      <c r="J1649" s="10"/>
      <c r="K1649" s="10"/>
      <c r="L1649" s="10"/>
      <c r="M1649" s="10"/>
      <c r="N1649" s="10"/>
      <c r="O1649" s="10"/>
      <c r="P1649" s="38"/>
    </row>
    <row r="1650" spans="1:16" ht="15" customHeight="1" x14ac:dyDescent="0.35">
      <c r="A1650" s="15"/>
      <c r="B1650" s="65"/>
      <c r="C1650" s="15"/>
      <c r="D1650" s="19"/>
      <c r="E1650" s="40"/>
      <c r="F1650" s="13"/>
      <c r="G1650" s="78"/>
      <c r="H1650" s="16"/>
      <c r="I1650" s="10"/>
      <c r="J1650" s="10"/>
      <c r="K1650" s="10"/>
      <c r="L1650" s="10"/>
      <c r="M1650" s="10"/>
      <c r="N1650" s="10"/>
      <c r="O1650" s="10"/>
      <c r="P1650" s="38"/>
    </row>
    <row r="1651" spans="1:16" ht="15" customHeight="1" x14ac:dyDescent="0.35">
      <c r="A1651" s="15"/>
      <c r="B1651" s="65"/>
      <c r="C1651" s="15"/>
      <c r="D1651" s="19"/>
      <c r="E1651" s="40"/>
      <c r="F1651" s="13"/>
      <c r="G1651" s="78"/>
      <c r="H1651" s="16"/>
      <c r="I1651" s="10"/>
      <c r="J1651" s="10"/>
      <c r="K1651" s="10"/>
      <c r="L1651" s="10"/>
      <c r="M1651" s="10"/>
      <c r="N1651" s="10"/>
      <c r="O1651" s="10"/>
      <c r="P1651" s="38"/>
    </row>
    <row r="1652" spans="1:16" ht="15" customHeight="1" x14ac:dyDescent="0.35">
      <c r="A1652" s="15"/>
      <c r="B1652" s="65"/>
      <c r="C1652" s="15"/>
      <c r="D1652" s="19"/>
      <c r="E1652" s="40"/>
      <c r="F1652" s="13"/>
      <c r="G1652" s="78"/>
      <c r="H1652" s="16"/>
      <c r="I1652" s="10"/>
      <c r="J1652" s="10"/>
      <c r="K1652" s="10"/>
      <c r="L1652" s="10"/>
      <c r="M1652" s="10"/>
      <c r="N1652" s="10"/>
      <c r="O1652" s="10"/>
      <c r="P1652" s="38"/>
    </row>
    <row r="1653" spans="1:16" ht="15" customHeight="1" x14ac:dyDescent="0.35">
      <c r="A1653" s="15"/>
      <c r="B1653" s="65"/>
      <c r="C1653" s="15"/>
      <c r="D1653" s="19"/>
      <c r="E1653" s="40"/>
      <c r="F1653" s="13"/>
      <c r="G1653" s="78"/>
      <c r="H1653" s="16"/>
      <c r="I1653" s="10"/>
      <c r="J1653" s="10"/>
      <c r="K1653" s="10"/>
      <c r="L1653" s="10"/>
      <c r="M1653" s="10"/>
      <c r="N1653" s="10"/>
      <c r="O1653" s="10"/>
      <c r="P1653" s="38"/>
    </row>
    <row r="1654" spans="1:16" ht="15" customHeight="1" x14ac:dyDescent="0.35">
      <c r="A1654" s="15"/>
      <c r="B1654" s="65"/>
      <c r="C1654" s="15"/>
      <c r="D1654" s="19"/>
      <c r="E1654" s="40"/>
      <c r="F1654" s="13"/>
      <c r="G1654" s="78"/>
      <c r="H1654" s="16"/>
      <c r="I1654" s="10"/>
      <c r="J1654" s="10"/>
      <c r="K1654" s="10"/>
      <c r="L1654" s="10"/>
      <c r="M1654" s="10"/>
      <c r="N1654" s="10"/>
      <c r="O1654" s="10"/>
      <c r="P1654" s="38"/>
    </row>
    <row r="1655" spans="1:16" ht="15" customHeight="1" x14ac:dyDescent="0.35">
      <c r="A1655" s="15"/>
      <c r="B1655" s="65"/>
      <c r="C1655" s="15"/>
      <c r="D1655" s="19"/>
      <c r="E1655" s="40"/>
      <c r="F1655" s="13"/>
      <c r="G1655" s="78"/>
      <c r="H1655" s="16"/>
      <c r="I1655" s="10"/>
      <c r="J1655" s="10"/>
      <c r="K1655" s="10"/>
      <c r="L1655" s="10"/>
      <c r="M1655" s="10"/>
      <c r="N1655" s="10"/>
      <c r="O1655" s="10"/>
      <c r="P1655" s="38"/>
    </row>
    <row r="1656" spans="1:16" ht="15" customHeight="1" x14ac:dyDescent="0.35">
      <c r="A1656" s="15"/>
      <c r="B1656" s="65"/>
      <c r="C1656" s="15"/>
      <c r="D1656" s="19"/>
      <c r="E1656" s="40"/>
      <c r="F1656" s="13"/>
      <c r="G1656" s="78"/>
      <c r="H1656" s="16"/>
      <c r="I1656" s="10"/>
      <c r="J1656" s="10"/>
      <c r="K1656" s="10"/>
      <c r="L1656" s="10"/>
      <c r="M1656" s="10"/>
      <c r="N1656" s="10"/>
      <c r="O1656" s="10"/>
      <c r="P1656" s="38"/>
    </row>
    <row r="1657" spans="1:16" ht="15" customHeight="1" x14ac:dyDescent="0.35">
      <c r="A1657" s="15"/>
      <c r="B1657" s="65"/>
      <c r="C1657" s="15"/>
      <c r="D1657" s="19"/>
      <c r="E1657" s="40"/>
      <c r="F1657" s="13"/>
      <c r="G1657" s="78"/>
      <c r="H1657" s="16"/>
      <c r="I1657" s="10"/>
      <c r="J1657" s="10"/>
      <c r="K1657" s="10"/>
      <c r="L1657" s="10"/>
      <c r="M1657" s="10"/>
      <c r="N1657" s="10"/>
      <c r="O1657" s="10"/>
      <c r="P1657" s="38"/>
    </row>
    <row r="1658" spans="1:16" ht="15" customHeight="1" x14ac:dyDescent="0.35">
      <c r="A1658" s="15"/>
      <c r="B1658" s="65"/>
      <c r="C1658" s="15"/>
      <c r="D1658" s="19"/>
      <c r="E1658" s="40"/>
      <c r="F1658" s="13"/>
      <c r="G1658" s="78"/>
      <c r="H1658" s="16"/>
      <c r="I1658" s="10"/>
      <c r="J1658" s="10"/>
      <c r="K1658" s="10"/>
      <c r="L1658" s="10"/>
      <c r="M1658" s="10"/>
      <c r="N1658" s="10"/>
      <c r="O1658" s="10"/>
      <c r="P1658" s="38"/>
    </row>
    <row r="1659" spans="1:16" ht="15" customHeight="1" x14ac:dyDescent="0.35">
      <c r="A1659" s="15"/>
      <c r="B1659" s="65"/>
      <c r="C1659" s="15"/>
      <c r="D1659" s="19"/>
      <c r="E1659" s="40"/>
      <c r="F1659" s="13"/>
      <c r="G1659" s="78"/>
      <c r="H1659" s="16"/>
      <c r="I1659" s="10"/>
      <c r="J1659" s="10"/>
      <c r="K1659" s="10"/>
      <c r="L1659" s="10"/>
      <c r="M1659" s="10"/>
      <c r="N1659" s="10"/>
      <c r="O1659" s="10"/>
      <c r="P1659" s="38"/>
    </row>
    <row r="1660" spans="1:16" ht="15" customHeight="1" x14ac:dyDescent="0.35">
      <c r="A1660" s="15"/>
      <c r="B1660" s="65"/>
      <c r="C1660" s="15"/>
      <c r="D1660" s="19"/>
      <c r="E1660" s="40"/>
      <c r="F1660" s="13"/>
      <c r="G1660" s="78"/>
      <c r="H1660" s="16"/>
      <c r="I1660" s="10"/>
      <c r="J1660" s="10"/>
      <c r="K1660" s="10"/>
      <c r="L1660" s="10"/>
      <c r="M1660" s="10"/>
      <c r="N1660" s="10"/>
      <c r="O1660" s="10"/>
      <c r="P1660" s="38"/>
    </row>
    <row r="1661" spans="1:16" ht="15" customHeight="1" x14ac:dyDescent="0.35">
      <c r="A1661" s="15"/>
      <c r="B1661" s="65"/>
      <c r="C1661" s="15"/>
      <c r="D1661" s="19"/>
      <c r="E1661" s="40"/>
      <c r="F1661" s="13"/>
      <c r="G1661" s="78"/>
      <c r="H1661" s="16"/>
      <c r="I1661" s="10"/>
      <c r="J1661" s="10"/>
      <c r="K1661" s="10"/>
      <c r="L1661" s="10"/>
      <c r="M1661" s="10"/>
      <c r="N1661" s="10"/>
      <c r="O1661" s="10"/>
      <c r="P1661" s="38"/>
    </row>
    <row r="1662" spans="1:16" ht="15" customHeight="1" x14ac:dyDescent="0.35">
      <c r="A1662" s="15"/>
      <c r="B1662" s="65"/>
      <c r="C1662" s="15"/>
      <c r="D1662" s="19"/>
      <c r="E1662" s="40"/>
      <c r="F1662" s="13"/>
      <c r="G1662" s="78"/>
      <c r="H1662" s="16"/>
      <c r="I1662" s="10"/>
      <c r="J1662" s="10"/>
      <c r="K1662" s="10"/>
      <c r="L1662" s="10"/>
      <c r="M1662" s="10"/>
      <c r="N1662" s="10"/>
      <c r="O1662" s="10"/>
      <c r="P1662" s="38"/>
    </row>
    <row r="1663" spans="1:16" ht="15" customHeight="1" x14ac:dyDescent="0.35">
      <c r="A1663" s="15"/>
      <c r="B1663" s="65"/>
      <c r="C1663" s="15"/>
      <c r="D1663" s="19"/>
      <c r="E1663" s="40"/>
      <c r="F1663" s="13"/>
      <c r="G1663" s="78"/>
      <c r="H1663" s="16"/>
      <c r="I1663" s="10"/>
      <c r="J1663" s="10"/>
      <c r="K1663" s="10"/>
      <c r="L1663" s="10"/>
      <c r="M1663" s="10"/>
      <c r="N1663" s="10"/>
      <c r="O1663" s="10"/>
      <c r="P1663" s="38"/>
    </row>
    <row r="1664" spans="1:16" ht="15" customHeight="1" x14ac:dyDescent="0.35">
      <c r="A1664" s="15"/>
      <c r="B1664" s="65"/>
      <c r="C1664" s="15"/>
      <c r="D1664" s="19"/>
      <c r="E1664" s="40"/>
      <c r="F1664" s="13"/>
      <c r="G1664" s="78"/>
      <c r="H1664" s="16"/>
      <c r="I1664" s="10"/>
      <c r="J1664" s="10"/>
      <c r="K1664" s="10"/>
      <c r="L1664" s="10"/>
      <c r="M1664" s="10"/>
      <c r="N1664" s="10"/>
      <c r="O1664" s="10"/>
      <c r="P1664" s="38"/>
    </row>
    <row r="1665" spans="1:16" ht="15" customHeight="1" x14ac:dyDescent="0.35">
      <c r="A1665" s="15"/>
      <c r="B1665" s="65"/>
      <c r="C1665" s="15"/>
      <c r="D1665" s="19"/>
      <c r="E1665" s="40"/>
      <c r="F1665" s="13"/>
      <c r="G1665" s="78"/>
      <c r="H1665" s="16"/>
      <c r="I1665" s="10"/>
      <c r="J1665" s="10"/>
      <c r="K1665" s="10"/>
      <c r="L1665" s="10"/>
      <c r="M1665" s="10"/>
      <c r="N1665" s="10"/>
      <c r="O1665" s="10"/>
      <c r="P1665" s="38"/>
    </row>
    <row r="1666" spans="1:16" ht="15" customHeight="1" x14ac:dyDescent="0.35">
      <c r="A1666" s="15"/>
      <c r="B1666" s="65"/>
      <c r="C1666" s="15"/>
      <c r="D1666" s="19"/>
      <c r="E1666" s="40"/>
      <c r="F1666" s="13"/>
      <c r="G1666" s="78"/>
      <c r="H1666" s="16"/>
      <c r="I1666" s="10"/>
      <c r="J1666" s="10"/>
      <c r="K1666" s="10"/>
      <c r="L1666" s="10"/>
      <c r="M1666" s="10"/>
      <c r="N1666" s="10"/>
      <c r="O1666" s="10"/>
      <c r="P1666" s="38"/>
    </row>
    <row r="1667" spans="1:16" ht="15" customHeight="1" x14ac:dyDescent="0.35">
      <c r="A1667" s="15"/>
      <c r="B1667" s="65"/>
      <c r="C1667" s="15"/>
      <c r="D1667" s="19"/>
      <c r="E1667" s="40"/>
      <c r="F1667" s="13"/>
      <c r="G1667" s="78"/>
      <c r="H1667" s="16"/>
      <c r="I1667" s="10"/>
      <c r="J1667" s="10"/>
      <c r="K1667" s="10"/>
      <c r="L1667" s="10"/>
      <c r="M1667" s="10"/>
      <c r="N1667" s="10"/>
      <c r="O1667" s="10"/>
      <c r="P1667" s="38"/>
    </row>
    <row r="1668" spans="1:16" ht="15" customHeight="1" x14ac:dyDescent="0.35">
      <c r="A1668" s="15"/>
      <c r="B1668" s="65"/>
      <c r="C1668" s="15"/>
      <c r="D1668" s="19"/>
      <c r="E1668" s="40"/>
      <c r="F1668" s="13"/>
      <c r="G1668" s="78"/>
      <c r="H1668" s="16"/>
      <c r="I1668" s="10"/>
      <c r="J1668" s="10"/>
      <c r="K1668" s="10"/>
      <c r="L1668" s="10"/>
      <c r="M1668" s="10"/>
      <c r="N1668" s="10"/>
      <c r="O1668" s="10"/>
      <c r="P1668" s="38"/>
    </row>
    <row r="1669" spans="1:16" ht="15" customHeight="1" x14ac:dyDescent="0.35">
      <c r="A1669" s="15"/>
      <c r="B1669" s="65"/>
      <c r="C1669" s="15"/>
      <c r="D1669" s="19"/>
      <c r="E1669" s="40"/>
      <c r="F1669" s="13"/>
      <c r="G1669" s="78"/>
      <c r="H1669" s="16"/>
      <c r="I1669" s="10"/>
      <c r="J1669" s="10"/>
      <c r="K1669" s="10"/>
      <c r="L1669" s="10"/>
      <c r="M1669" s="10"/>
      <c r="N1669" s="10"/>
      <c r="O1669" s="10"/>
      <c r="P1669" s="38"/>
    </row>
    <row r="1670" spans="1:16" ht="15" customHeight="1" x14ac:dyDescent="0.35">
      <c r="A1670" s="15"/>
      <c r="B1670" s="65"/>
      <c r="C1670" s="15"/>
      <c r="D1670" s="19"/>
      <c r="E1670" s="40"/>
      <c r="F1670" s="13"/>
      <c r="G1670" s="78"/>
      <c r="H1670" s="16"/>
      <c r="I1670" s="10"/>
      <c r="J1670" s="10"/>
      <c r="K1670" s="10"/>
      <c r="L1670" s="10"/>
      <c r="M1670" s="10"/>
      <c r="N1670" s="10"/>
      <c r="O1670" s="10"/>
      <c r="P1670" s="38"/>
    </row>
    <row r="1671" spans="1:16" ht="15" customHeight="1" x14ac:dyDescent="0.35">
      <c r="A1671" s="15"/>
      <c r="B1671" s="65"/>
      <c r="C1671" s="15"/>
      <c r="D1671" s="19"/>
      <c r="E1671" s="40"/>
      <c r="F1671" s="13"/>
      <c r="G1671" s="78"/>
      <c r="H1671" s="16"/>
      <c r="I1671" s="10"/>
      <c r="J1671" s="10"/>
      <c r="K1671" s="10"/>
      <c r="L1671" s="10"/>
      <c r="M1671" s="10"/>
      <c r="N1671" s="10"/>
      <c r="O1671" s="10"/>
      <c r="P1671" s="38"/>
    </row>
    <row r="1672" spans="1:16" ht="15" customHeight="1" x14ac:dyDescent="0.35">
      <c r="A1672" s="15"/>
      <c r="B1672" s="65"/>
      <c r="C1672" s="15"/>
      <c r="D1672" s="19"/>
      <c r="E1672" s="40"/>
      <c r="F1672" s="13"/>
      <c r="G1672" s="78"/>
      <c r="H1672" s="16"/>
      <c r="I1672" s="10"/>
      <c r="J1672" s="10"/>
      <c r="K1672" s="10"/>
      <c r="L1672" s="10"/>
      <c r="M1672" s="10"/>
      <c r="N1672" s="10"/>
      <c r="O1672" s="10"/>
      <c r="P1672" s="38"/>
    </row>
    <row r="1673" spans="1:16" ht="15" customHeight="1" x14ac:dyDescent="0.35">
      <c r="A1673" s="15"/>
      <c r="B1673" s="65"/>
      <c r="C1673" s="15"/>
      <c r="D1673" s="19"/>
      <c r="E1673" s="40"/>
      <c r="F1673" s="13"/>
      <c r="G1673" s="78"/>
      <c r="H1673" s="16"/>
      <c r="I1673" s="10"/>
      <c r="J1673" s="10"/>
      <c r="K1673" s="10"/>
      <c r="L1673" s="10"/>
      <c r="M1673" s="10"/>
      <c r="N1673" s="10"/>
      <c r="O1673" s="10"/>
      <c r="P1673" s="38"/>
    </row>
    <row r="1674" spans="1:16" ht="15" customHeight="1" x14ac:dyDescent="0.35">
      <c r="A1674" s="15"/>
      <c r="B1674" s="65"/>
      <c r="C1674" s="15"/>
      <c r="D1674" s="19"/>
      <c r="E1674" s="40"/>
      <c r="F1674" s="13"/>
      <c r="G1674" s="78"/>
      <c r="H1674" s="16"/>
      <c r="I1674" s="10"/>
      <c r="J1674" s="10"/>
      <c r="K1674" s="10"/>
      <c r="L1674" s="10"/>
      <c r="M1674" s="10"/>
      <c r="N1674" s="10"/>
      <c r="O1674" s="10"/>
      <c r="P1674" s="38"/>
    </row>
    <row r="1675" spans="1:16" ht="15" customHeight="1" x14ac:dyDescent="0.35">
      <c r="A1675" s="15"/>
      <c r="B1675" s="65"/>
      <c r="C1675" s="15"/>
      <c r="D1675" s="19"/>
      <c r="E1675" s="40"/>
      <c r="F1675" s="13"/>
      <c r="G1675" s="78"/>
      <c r="H1675" s="16"/>
      <c r="I1675" s="10"/>
      <c r="J1675" s="10"/>
      <c r="K1675" s="10"/>
      <c r="L1675" s="10"/>
      <c r="M1675" s="10"/>
      <c r="N1675" s="10"/>
      <c r="O1675" s="10"/>
      <c r="P1675" s="38"/>
    </row>
    <row r="1676" spans="1:16" ht="15" customHeight="1" x14ac:dyDescent="0.35">
      <c r="A1676" s="15"/>
      <c r="B1676" s="65"/>
      <c r="C1676" s="15"/>
      <c r="D1676" s="19"/>
      <c r="E1676" s="40"/>
      <c r="F1676" s="13"/>
      <c r="G1676" s="78"/>
      <c r="H1676" s="16"/>
      <c r="I1676" s="10"/>
      <c r="J1676" s="10"/>
      <c r="K1676" s="10"/>
      <c r="L1676" s="10"/>
      <c r="M1676" s="10"/>
      <c r="N1676" s="10"/>
      <c r="O1676" s="10"/>
      <c r="P1676" s="38"/>
    </row>
    <row r="1677" spans="1:16" ht="15" customHeight="1" x14ac:dyDescent="0.35">
      <c r="A1677" s="15"/>
      <c r="B1677" s="65"/>
      <c r="C1677" s="15"/>
      <c r="D1677" s="19"/>
      <c r="E1677" s="40"/>
      <c r="F1677" s="13"/>
      <c r="G1677" s="78"/>
      <c r="H1677" s="16"/>
      <c r="I1677" s="10"/>
      <c r="J1677" s="10"/>
      <c r="K1677" s="10"/>
      <c r="L1677" s="10"/>
      <c r="M1677" s="10"/>
      <c r="N1677" s="10"/>
      <c r="O1677" s="10"/>
      <c r="P1677" s="38"/>
    </row>
    <row r="1678" spans="1:16" ht="15" customHeight="1" x14ac:dyDescent="0.35">
      <c r="A1678" s="15"/>
      <c r="B1678" s="65"/>
      <c r="C1678" s="15"/>
      <c r="D1678" s="19"/>
      <c r="E1678" s="40"/>
      <c r="F1678" s="13"/>
      <c r="G1678" s="78"/>
      <c r="H1678" s="16"/>
      <c r="I1678" s="10"/>
      <c r="J1678" s="10"/>
      <c r="K1678" s="10"/>
      <c r="L1678" s="10"/>
      <c r="M1678" s="10"/>
      <c r="N1678" s="10"/>
      <c r="O1678" s="10"/>
      <c r="P1678" s="38"/>
    </row>
    <row r="1679" spans="1:16" ht="15" customHeight="1" x14ac:dyDescent="0.35">
      <c r="A1679" s="15"/>
      <c r="B1679" s="65"/>
      <c r="C1679" s="15"/>
      <c r="D1679" s="19"/>
      <c r="E1679" s="40"/>
      <c r="F1679" s="13"/>
      <c r="G1679" s="78"/>
      <c r="H1679" s="16"/>
      <c r="I1679" s="10"/>
      <c r="J1679" s="10"/>
      <c r="K1679" s="10"/>
      <c r="L1679" s="10"/>
      <c r="M1679" s="10"/>
      <c r="N1679" s="10"/>
      <c r="O1679" s="10"/>
      <c r="P1679" s="38"/>
    </row>
    <row r="1680" spans="1:16" ht="15" customHeight="1" x14ac:dyDescent="0.35">
      <c r="A1680" s="15"/>
      <c r="B1680" s="65"/>
      <c r="C1680" s="15"/>
      <c r="D1680" s="19"/>
      <c r="E1680" s="40"/>
      <c r="F1680" s="13"/>
      <c r="G1680" s="78"/>
      <c r="H1680" s="16"/>
      <c r="I1680" s="10"/>
      <c r="J1680" s="10"/>
      <c r="K1680" s="10"/>
      <c r="L1680" s="10"/>
      <c r="M1680" s="10"/>
      <c r="N1680" s="10"/>
      <c r="O1680" s="10"/>
      <c r="P1680" s="38"/>
    </row>
    <row r="1681" spans="1:16" ht="15" customHeight="1" x14ac:dyDescent="0.35">
      <c r="A1681" s="15"/>
      <c r="B1681" s="65"/>
      <c r="C1681" s="15"/>
      <c r="D1681" s="19"/>
      <c r="E1681" s="40"/>
      <c r="F1681" s="13"/>
      <c r="G1681" s="78"/>
      <c r="H1681" s="16"/>
      <c r="I1681" s="10"/>
      <c r="J1681" s="10"/>
      <c r="K1681" s="10"/>
      <c r="L1681" s="10"/>
      <c r="M1681" s="10"/>
      <c r="N1681" s="10"/>
      <c r="O1681" s="10"/>
      <c r="P1681" s="38"/>
    </row>
    <row r="1682" spans="1:16" ht="15" customHeight="1" x14ac:dyDescent="0.35">
      <c r="A1682" s="15"/>
      <c r="B1682" s="65"/>
      <c r="C1682" s="15"/>
      <c r="D1682" s="19"/>
      <c r="E1682" s="40"/>
      <c r="F1682" s="13"/>
      <c r="G1682" s="78"/>
      <c r="H1682" s="16"/>
      <c r="I1682" s="10"/>
      <c r="J1682" s="10"/>
      <c r="K1682" s="10"/>
      <c r="L1682" s="10"/>
      <c r="M1682" s="10"/>
      <c r="N1682" s="10"/>
      <c r="O1682" s="10"/>
      <c r="P1682" s="38"/>
    </row>
    <row r="1683" spans="1:16" ht="15" customHeight="1" x14ac:dyDescent="0.35">
      <c r="A1683" s="15"/>
      <c r="B1683" s="65"/>
      <c r="C1683" s="15"/>
      <c r="D1683" s="19"/>
      <c r="E1683" s="40"/>
      <c r="F1683" s="13"/>
      <c r="G1683" s="78"/>
      <c r="H1683" s="16"/>
      <c r="I1683" s="10"/>
      <c r="J1683" s="10"/>
      <c r="K1683" s="10"/>
      <c r="L1683" s="10"/>
      <c r="M1683" s="10"/>
      <c r="N1683" s="10"/>
      <c r="O1683" s="10"/>
      <c r="P1683" s="38"/>
    </row>
    <row r="1684" spans="1:16" ht="15" customHeight="1" x14ac:dyDescent="0.35">
      <c r="A1684" s="15"/>
      <c r="B1684" s="65"/>
      <c r="C1684" s="15"/>
      <c r="D1684" s="19"/>
      <c r="E1684" s="40"/>
      <c r="F1684" s="13"/>
      <c r="G1684" s="78"/>
      <c r="H1684" s="16"/>
      <c r="I1684" s="10"/>
      <c r="J1684" s="10"/>
      <c r="K1684" s="10"/>
      <c r="L1684" s="10"/>
      <c r="M1684" s="10"/>
      <c r="N1684" s="10"/>
      <c r="O1684" s="10"/>
      <c r="P1684" s="38"/>
    </row>
    <row r="1685" spans="1:16" ht="15" customHeight="1" x14ac:dyDescent="0.35">
      <c r="A1685" s="15"/>
      <c r="B1685" s="65"/>
      <c r="C1685" s="15"/>
      <c r="D1685" s="19"/>
      <c r="E1685" s="40"/>
      <c r="F1685" s="13"/>
      <c r="G1685" s="78"/>
      <c r="H1685" s="16"/>
      <c r="I1685" s="10"/>
      <c r="J1685" s="10"/>
      <c r="K1685" s="10"/>
      <c r="L1685" s="10"/>
      <c r="M1685" s="10"/>
      <c r="N1685" s="10"/>
      <c r="O1685" s="10"/>
      <c r="P1685" s="38"/>
    </row>
    <row r="1686" spans="1:16" ht="15" customHeight="1" x14ac:dyDescent="0.35">
      <c r="A1686" s="15"/>
      <c r="B1686" s="65"/>
      <c r="C1686" s="15"/>
      <c r="D1686" s="19"/>
      <c r="E1686" s="40"/>
      <c r="F1686" s="13"/>
      <c r="G1686" s="78"/>
      <c r="H1686" s="16"/>
      <c r="I1686" s="10"/>
      <c r="J1686" s="10"/>
      <c r="K1686" s="10"/>
      <c r="L1686" s="10"/>
      <c r="M1686" s="10"/>
      <c r="N1686" s="10"/>
      <c r="O1686" s="10"/>
      <c r="P1686" s="38"/>
    </row>
    <row r="1687" spans="1:16" ht="15" customHeight="1" x14ac:dyDescent="0.35">
      <c r="A1687" s="15"/>
      <c r="B1687" s="65"/>
      <c r="C1687" s="15"/>
      <c r="D1687" s="19"/>
      <c r="E1687" s="40"/>
      <c r="F1687" s="13"/>
      <c r="G1687" s="78"/>
      <c r="H1687" s="16"/>
      <c r="I1687" s="10"/>
      <c r="J1687" s="10"/>
      <c r="K1687" s="10"/>
      <c r="L1687" s="10"/>
      <c r="M1687" s="10"/>
      <c r="N1687" s="10"/>
      <c r="O1687" s="10"/>
      <c r="P1687" s="38"/>
    </row>
    <row r="1688" spans="1:16" ht="15" customHeight="1" x14ac:dyDescent="0.35">
      <c r="A1688" s="15"/>
      <c r="B1688" s="65"/>
      <c r="C1688" s="15"/>
      <c r="D1688" s="19"/>
      <c r="E1688" s="40"/>
      <c r="F1688" s="13"/>
      <c r="G1688" s="78"/>
      <c r="H1688" s="16"/>
      <c r="I1688" s="10"/>
      <c r="J1688" s="10"/>
      <c r="K1688" s="10"/>
      <c r="L1688" s="10"/>
      <c r="M1688" s="10"/>
      <c r="N1688" s="10"/>
      <c r="O1688" s="10"/>
      <c r="P1688" s="38"/>
    </row>
    <row r="1689" spans="1:16" ht="15" customHeight="1" x14ac:dyDescent="0.35">
      <c r="A1689" s="15"/>
      <c r="B1689" s="65"/>
      <c r="C1689" s="15"/>
      <c r="D1689" s="19"/>
      <c r="E1689" s="40"/>
      <c r="F1689" s="13"/>
      <c r="G1689" s="78"/>
      <c r="H1689" s="16"/>
      <c r="I1689" s="10"/>
      <c r="J1689" s="10"/>
      <c r="K1689" s="10"/>
      <c r="L1689" s="10"/>
      <c r="M1689" s="10"/>
      <c r="N1689" s="10"/>
      <c r="O1689" s="10"/>
      <c r="P1689" s="38"/>
    </row>
    <row r="1690" spans="1:16" ht="15" customHeight="1" x14ac:dyDescent="0.35">
      <c r="A1690" s="15"/>
      <c r="B1690" s="65"/>
      <c r="C1690" s="15"/>
      <c r="D1690" s="19"/>
      <c r="E1690" s="40"/>
      <c r="F1690" s="13"/>
      <c r="G1690" s="78"/>
      <c r="H1690" s="16"/>
      <c r="I1690" s="10"/>
      <c r="J1690" s="10"/>
      <c r="K1690" s="10"/>
      <c r="L1690" s="10"/>
      <c r="M1690" s="10"/>
      <c r="N1690" s="10"/>
      <c r="O1690" s="10"/>
      <c r="P1690" s="38"/>
    </row>
    <row r="1691" spans="1:16" ht="15" customHeight="1" x14ac:dyDescent="0.35">
      <c r="A1691" s="15"/>
      <c r="B1691" s="65"/>
      <c r="C1691" s="15"/>
      <c r="D1691" s="19"/>
      <c r="E1691" s="40"/>
      <c r="F1691" s="13"/>
      <c r="G1691" s="78"/>
      <c r="H1691" s="16"/>
      <c r="I1691" s="10"/>
      <c r="J1691" s="10"/>
      <c r="K1691" s="10"/>
      <c r="L1691" s="10"/>
      <c r="M1691" s="10"/>
      <c r="N1691" s="10"/>
      <c r="O1691" s="10"/>
      <c r="P1691" s="38"/>
    </row>
    <row r="1692" spans="1:16" ht="15" customHeight="1" x14ac:dyDescent="0.35">
      <c r="A1692" s="15"/>
      <c r="B1692" s="65"/>
      <c r="C1692" s="15"/>
      <c r="D1692" s="19"/>
      <c r="E1692" s="40"/>
      <c r="F1692" s="13"/>
      <c r="G1692" s="78"/>
      <c r="H1692" s="16"/>
      <c r="I1692" s="10"/>
      <c r="J1692" s="10"/>
      <c r="K1692" s="10"/>
      <c r="L1692" s="10"/>
      <c r="M1692" s="10"/>
      <c r="N1692" s="10"/>
      <c r="O1692" s="10"/>
      <c r="P1692" s="38"/>
    </row>
    <row r="1693" spans="1:16" ht="15" customHeight="1" x14ac:dyDescent="0.35">
      <c r="A1693" s="15"/>
      <c r="B1693" s="65"/>
      <c r="C1693" s="15"/>
      <c r="D1693" s="19"/>
      <c r="E1693" s="40"/>
      <c r="F1693" s="13"/>
      <c r="G1693" s="78"/>
      <c r="H1693" s="16"/>
      <c r="I1693" s="10"/>
      <c r="J1693" s="10"/>
      <c r="K1693" s="10"/>
      <c r="L1693" s="10"/>
      <c r="M1693" s="10"/>
      <c r="N1693" s="10"/>
      <c r="O1693" s="10"/>
      <c r="P1693" s="38"/>
    </row>
    <row r="1694" spans="1:16" ht="15" customHeight="1" x14ac:dyDescent="0.35">
      <c r="A1694" s="15"/>
      <c r="B1694" s="65"/>
      <c r="C1694" s="15"/>
      <c r="D1694" s="19"/>
      <c r="E1694" s="40"/>
      <c r="F1694" s="13"/>
      <c r="G1694" s="78"/>
      <c r="H1694" s="16"/>
      <c r="I1694" s="10"/>
      <c r="J1694" s="10"/>
      <c r="K1694" s="10"/>
      <c r="L1694" s="10"/>
      <c r="M1694" s="10"/>
      <c r="N1694" s="10"/>
      <c r="O1694" s="10"/>
      <c r="P1694" s="38"/>
    </row>
    <row r="1695" spans="1:16" ht="15" customHeight="1" x14ac:dyDescent="0.35">
      <c r="A1695" s="15"/>
      <c r="B1695" s="65"/>
      <c r="C1695" s="15"/>
      <c r="D1695" s="19"/>
      <c r="E1695" s="40"/>
      <c r="F1695" s="13"/>
      <c r="G1695" s="78"/>
      <c r="H1695" s="16"/>
      <c r="I1695" s="10"/>
      <c r="J1695" s="10"/>
      <c r="K1695" s="10"/>
      <c r="L1695" s="10"/>
      <c r="M1695" s="10"/>
      <c r="N1695" s="10"/>
      <c r="O1695" s="10"/>
      <c r="P1695" s="38"/>
    </row>
    <row r="1696" spans="1:16" ht="15" customHeight="1" x14ac:dyDescent="0.35">
      <c r="A1696" s="15"/>
      <c r="B1696" s="65"/>
      <c r="C1696" s="15"/>
      <c r="D1696" s="19"/>
      <c r="E1696" s="40"/>
      <c r="F1696" s="13"/>
      <c r="G1696" s="78"/>
      <c r="H1696" s="16"/>
      <c r="I1696" s="10"/>
      <c r="J1696" s="10"/>
      <c r="K1696" s="10"/>
      <c r="L1696" s="10"/>
      <c r="M1696" s="10"/>
      <c r="N1696" s="10"/>
      <c r="O1696" s="10"/>
      <c r="P1696" s="38"/>
    </row>
    <row r="1697" spans="1:16" ht="15" customHeight="1" x14ac:dyDescent="0.35">
      <c r="A1697" s="15"/>
      <c r="B1697" s="65"/>
      <c r="C1697" s="15"/>
      <c r="D1697" s="19"/>
      <c r="E1697" s="40"/>
      <c r="F1697" s="13"/>
      <c r="G1697" s="78"/>
      <c r="H1697" s="16"/>
      <c r="I1697" s="10"/>
      <c r="J1697" s="10"/>
      <c r="K1697" s="10"/>
      <c r="L1697" s="10"/>
      <c r="M1697" s="10"/>
      <c r="N1697" s="10"/>
      <c r="O1697" s="10"/>
      <c r="P1697" s="38"/>
    </row>
    <row r="1698" spans="1:16" ht="15" customHeight="1" x14ac:dyDescent="0.35">
      <c r="A1698" s="15"/>
      <c r="B1698" s="65"/>
      <c r="C1698" s="15"/>
      <c r="D1698" s="19"/>
      <c r="E1698" s="40"/>
      <c r="F1698" s="13"/>
      <c r="G1698" s="78"/>
      <c r="H1698" s="16"/>
      <c r="I1698" s="10"/>
      <c r="J1698" s="10"/>
      <c r="K1698" s="10"/>
      <c r="L1698" s="10"/>
      <c r="M1698" s="10"/>
      <c r="N1698" s="10"/>
      <c r="O1698" s="10"/>
      <c r="P1698" s="38"/>
    </row>
    <row r="1699" spans="1:16" ht="15" customHeight="1" x14ac:dyDescent="0.35">
      <c r="A1699" s="15"/>
      <c r="B1699" s="65"/>
      <c r="C1699" s="15"/>
      <c r="D1699" s="19"/>
      <c r="E1699" s="40"/>
      <c r="F1699" s="13"/>
      <c r="G1699" s="78"/>
      <c r="H1699" s="16"/>
      <c r="I1699" s="10"/>
      <c r="J1699" s="10"/>
      <c r="K1699" s="10"/>
      <c r="L1699" s="10"/>
      <c r="M1699" s="10"/>
      <c r="N1699" s="10"/>
      <c r="O1699" s="10"/>
      <c r="P1699" s="38"/>
    </row>
    <row r="1700" spans="1:16" ht="15" customHeight="1" x14ac:dyDescent="0.35">
      <c r="A1700" s="15"/>
      <c r="B1700" s="65"/>
      <c r="C1700" s="15"/>
      <c r="D1700" s="19"/>
      <c r="E1700" s="40"/>
      <c r="F1700" s="13"/>
      <c r="G1700" s="78"/>
      <c r="H1700" s="16"/>
      <c r="I1700" s="10"/>
      <c r="J1700" s="10"/>
      <c r="K1700" s="10"/>
      <c r="L1700" s="10"/>
      <c r="M1700" s="10"/>
      <c r="N1700" s="10"/>
      <c r="O1700" s="10"/>
      <c r="P1700" s="38"/>
    </row>
    <row r="1701" spans="1:16" ht="15" customHeight="1" x14ac:dyDescent="0.35">
      <c r="A1701" s="15"/>
      <c r="B1701" s="65"/>
      <c r="C1701" s="15"/>
      <c r="D1701" s="19"/>
      <c r="E1701" s="40"/>
      <c r="F1701" s="13"/>
      <c r="G1701" s="78"/>
      <c r="H1701" s="16"/>
      <c r="I1701" s="10"/>
      <c r="J1701" s="10"/>
      <c r="K1701" s="10"/>
      <c r="L1701" s="10"/>
      <c r="M1701" s="10"/>
      <c r="N1701" s="10"/>
      <c r="O1701" s="10"/>
      <c r="P1701" s="38"/>
    </row>
    <row r="1702" spans="1:16" ht="15" customHeight="1" x14ac:dyDescent="0.35">
      <c r="A1702" s="15"/>
      <c r="B1702" s="65"/>
      <c r="C1702" s="15"/>
      <c r="D1702" s="19"/>
      <c r="E1702" s="40"/>
      <c r="F1702" s="13"/>
      <c r="G1702" s="78"/>
      <c r="H1702" s="16"/>
      <c r="I1702" s="10"/>
      <c r="J1702" s="10"/>
      <c r="K1702" s="10"/>
      <c r="L1702" s="10"/>
      <c r="M1702" s="10"/>
      <c r="N1702" s="10"/>
      <c r="O1702" s="10"/>
      <c r="P1702" s="38"/>
    </row>
    <row r="1703" spans="1:16" ht="15" customHeight="1" x14ac:dyDescent="0.35">
      <c r="A1703" s="15"/>
      <c r="B1703" s="65"/>
      <c r="C1703" s="15"/>
      <c r="D1703" s="19"/>
      <c r="E1703" s="40"/>
      <c r="F1703" s="13"/>
      <c r="G1703" s="78"/>
      <c r="H1703" s="16"/>
      <c r="I1703" s="10"/>
      <c r="J1703" s="10"/>
      <c r="K1703" s="10"/>
      <c r="L1703" s="10"/>
      <c r="M1703" s="10"/>
      <c r="N1703" s="10"/>
      <c r="O1703" s="10"/>
      <c r="P1703" s="38"/>
    </row>
    <row r="1704" spans="1:16" ht="15" customHeight="1" x14ac:dyDescent="0.35">
      <c r="A1704" s="15"/>
      <c r="B1704" s="65"/>
      <c r="C1704" s="15"/>
      <c r="D1704" s="19"/>
      <c r="E1704" s="40"/>
      <c r="F1704" s="13"/>
      <c r="G1704" s="78"/>
      <c r="H1704" s="16"/>
      <c r="I1704" s="10"/>
      <c r="J1704" s="10"/>
      <c r="K1704" s="10"/>
      <c r="L1704" s="10"/>
      <c r="M1704" s="10"/>
      <c r="N1704" s="10"/>
      <c r="O1704" s="10"/>
      <c r="P1704" s="38"/>
    </row>
    <row r="1705" spans="1:16" ht="15" customHeight="1" x14ac:dyDescent="0.35">
      <c r="A1705" s="15"/>
      <c r="B1705" s="65"/>
      <c r="C1705" s="15"/>
      <c r="D1705" s="19"/>
      <c r="E1705" s="40"/>
      <c r="F1705" s="13"/>
      <c r="G1705" s="78"/>
      <c r="H1705" s="16"/>
      <c r="I1705" s="10"/>
      <c r="J1705" s="10"/>
      <c r="K1705" s="10"/>
      <c r="L1705" s="10"/>
      <c r="M1705" s="10"/>
      <c r="N1705" s="10"/>
      <c r="O1705" s="10"/>
      <c r="P1705" s="38"/>
    </row>
    <row r="1706" spans="1:16" ht="15" customHeight="1" x14ac:dyDescent="0.35">
      <c r="A1706" s="15"/>
      <c r="B1706" s="65"/>
      <c r="C1706" s="15"/>
      <c r="D1706" s="19"/>
      <c r="E1706" s="40"/>
      <c r="F1706" s="13"/>
      <c r="G1706" s="78"/>
      <c r="H1706" s="16"/>
      <c r="I1706" s="10"/>
      <c r="J1706" s="10"/>
      <c r="K1706" s="10"/>
      <c r="L1706" s="10"/>
      <c r="M1706" s="10"/>
      <c r="N1706" s="10"/>
      <c r="O1706" s="10"/>
      <c r="P1706" s="38"/>
    </row>
    <row r="1707" spans="1:16" ht="15" customHeight="1" x14ac:dyDescent="0.35">
      <c r="A1707" s="15"/>
      <c r="B1707" s="65"/>
      <c r="C1707" s="15"/>
      <c r="D1707" s="19"/>
      <c r="E1707" s="40"/>
      <c r="F1707" s="13"/>
      <c r="G1707" s="78"/>
      <c r="H1707" s="16"/>
      <c r="I1707" s="10"/>
      <c r="J1707" s="10"/>
      <c r="K1707" s="10"/>
      <c r="L1707" s="10"/>
      <c r="M1707" s="10"/>
      <c r="N1707" s="10"/>
      <c r="O1707" s="10"/>
      <c r="P1707" s="38"/>
    </row>
    <row r="1708" spans="1:16" ht="15" customHeight="1" x14ac:dyDescent="0.35">
      <c r="A1708" s="15"/>
      <c r="B1708" s="65"/>
      <c r="C1708" s="15"/>
      <c r="D1708" s="19"/>
      <c r="E1708" s="40"/>
      <c r="F1708" s="13"/>
      <c r="G1708" s="78"/>
      <c r="H1708" s="16"/>
      <c r="I1708" s="10"/>
      <c r="J1708" s="10"/>
      <c r="K1708" s="10"/>
      <c r="L1708" s="10"/>
      <c r="M1708" s="10"/>
      <c r="N1708" s="10"/>
      <c r="O1708" s="10"/>
      <c r="P1708" s="38"/>
    </row>
    <row r="1709" spans="1:16" ht="15" customHeight="1" x14ac:dyDescent="0.35">
      <c r="A1709" s="15"/>
      <c r="B1709" s="65"/>
      <c r="C1709" s="15"/>
      <c r="D1709" s="19"/>
      <c r="E1709" s="40"/>
      <c r="F1709" s="13"/>
      <c r="G1709" s="78"/>
      <c r="H1709" s="16"/>
      <c r="I1709" s="10"/>
      <c r="J1709" s="10"/>
      <c r="K1709" s="10"/>
      <c r="L1709" s="10"/>
      <c r="M1709" s="10"/>
      <c r="N1709" s="10"/>
      <c r="O1709" s="10"/>
      <c r="P1709" s="38"/>
    </row>
    <row r="1710" spans="1:16" ht="15" customHeight="1" x14ac:dyDescent="0.35">
      <c r="A1710" s="15"/>
      <c r="B1710" s="65"/>
      <c r="C1710" s="15"/>
      <c r="D1710" s="19"/>
      <c r="E1710" s="40"/>
      <c r="F1710" s="13"/>
      <c r="G1710" s="78"/>
      <c r="H1710" s="16"/>
      <c r="I1710" s="10"/>
      <c r="J1710" s="10"/>
      <c r="K1710" s="10"/>
      <c r="L1710" s="10"/>
      <c r="M1710" s="10"/>
      <c r="N1710" s="10"/>
      <c r="O1710" s="10"/>
      <c r="P1710" s="38"/>
    </row>
    <row r="1711" spans="1:16" ht="15" customHeight="1" x14ac:dyDescent="0.35">
      <c r="A1711" s="15"/>
      <c r="B1711" s="65"/>
      <c r="C1711" s="15"/>
      <c r="D1711" s="19"/>
      <c r="E1711" s="40"/>
      <c r="F1711" s="13"/>
      <c r="G1711" s="78"/>
      <c r="H1711" s="16"/>
      <c r="I1711" s="10"/>
      <c r="J1711" s="10"/>
      <c r="K1711" s="10"/>
      <c r="L1711" s="10"/>
      <c r="M1711" s="10"/>
      <c r="N1711" s="10"/>
      <c r="O1711" s="10"/>
      <c r="P1711" s="38"/>
    </row>
    <row r="1712" spans="1:16" ht="15" customHeight="1" x14ac:dyDescent="0.35">
      <c r="A1712" s="15"/>
      <c r="B1712" s="65"/>
      <c r="C1712" s="15"/>
      <c r="D1712" s="19"/>
      <c r="E1712" s="40"/>
      <c r="F1712" s="13"/>
      <c r="G1712" s="78"/>
      <c r="H1712" s="16"/>
      <c r="I1712" s="10"/>
      <c r="J1712" s="10"/>
      <c r="K1712" s="10"/>
      <c r="L1712" s="10"/>
      <c r="M1712" s="10"/>
      <c r="N1712" s="10"/>
      <c r="O1712" s="10"/>
      <c r="P1712" s="38"/>
    </row>
    <row r="1713" spans="1:16" ht="15" customHeight="1" x14ac:dyDescent="0.35">
      <c r="A1713" s="15"/>
      <c r="B1713" s="65"/>
      <c r="C1713" s="15"/>
      <c r="D1713" s="19"/>
      <c r="E1713" s="40"/>
      <c r="F1713" s="13"/>
      <c r="G1713" s="78"/>
      <c r="H1713" s="16"/>
      <c r="I1713" s="10"/>
      <c r="J1713" s="10"/>
      <c r="K1713" s="10"/>
      <c r="L1713" s="10"/>
      <c r="M1713" s="10"/>
      <c r="N1713" s="10"/>
      <c r="O1713" s="10"/>
      <c r="P1713" s="38"/>
    </row>
    <row r="1714" spans="1:16" ht="15" customHeight="1" x14ac:dyDescent="0.35">
      <c r="A1714" s="15"/>
      <c r="B1714" s="65"/>
      <c r="C1714" s="15"/>
      <c r="D1714" s="19"/>
      <c r="E1714" s="40"/>
      <c r="F1714" s="13"/>
      <c r="G1714" s="78"/>
      <c r="H1714" s="16"/>
      <c r="I1714" s="10"/>
      <c r="J1714" s="10"/>
      <c r="K1714" s="10"/>
      <c r="L1714" s="10"/>
      <c r="M1714" s="10"/>
      <c r="N1714" s="10"/>
      <c r="O1714" s="10"/>
      <c r="P1714" s="38"/>
    </row>
    <row r="1715" spans="1:16" ht="15" customHeight="1" x14ac:dyDescent="0.35">
      <c r="A1715" s="15"/>
      <c r="B1715" s="65"/>
      <c r="C1715" s="15"/>
      <c r="D1715" s="19"/>
      <c r="E1715" s="40"/>
      <c r="F1715" s="13"/>
      <c r="G1715" s="78"/>
      <c r="H1715" s="16"/>
      <c r="I1715" s="10"/>
      <c r="J1715" s="10"/>
      <c r="K1715" s="10"/>
      <c r="L1715" s="10"/>
      <c r="M1715" s="10"/>
      <c r="N1715" s="10"/>
      <c r="O1715" s="10"/>
      <c r="P1715" s="38"/>
    </row>
    <row r="1716" spans="1:16" ht="15" customHeight="1" x14ac:dyDescent="0.35">
      <c r="A1716" s="15"/>
      <c r="B1716" s="65"/>
      <c r="C1716" s="15"/>
      <c r="D1716" s="19"/>
      <c r="E1716" s="40"/>
      <c r="F1716" s="13"/>
      <c r="G1716" s="78"/>
      <c r="H1716" s="16"/>
      <c r="I1716" s="10"/>
      <c r="J1716" s="10"/>
      <c r="K1716" s="10"/>
      <c r="L1716" s="10"/>
      <c r="M1716" s="10"/>
      <c r="N1716" s="10"/>
      <c r="O1716" s="10"/>
      <c r="P1716" s="38"/>
    </row>
    <row r="1717" spans="1:16" ht="15" customHeight="1" x14ac:dyDescent="0.35">
      <c r="A1717" s="15"/>
      <c r="B1717" s="65"/>
      <c r="C1717" s="15"/>
      <c r="D1717" s="19"/>
      <c r="E1717" s="40"/>
      <c r="F1717" s="13"/>
      <c r="G1717" s="78"/>
      <c r="H1717" s="16"/>
      <c r="I1717" s="10"/>
      <c r="J1717" s="10"/>
      <c r="K1717" s="10"/>
      <c r="L1717" s="10"/>
      <c r="M1717" s="10"/>
      <c r="N1717" s="10"/>
      <c r="O1717" s="10"/>
      <c r="P1717" s="38"/>
    </row>
    <row r="1718" spans="1:16" ht="15" customHeight="1" x14ac:dyDescent="0.35">
      <c r="A1718" s="15"/>
      <c r="B1718" s="65"/>
      <c r="C1718" s="15"/>
      <c r="D1718" s="19"/>
      <c r="E1718" s="40"/>
      <c r="F1718" s="13"/>
      <c r="G1718" s="78"/>
      <c r="H1718" s="16"/>
      <c r="I1718" s="10"/>
      <c r="J1718" s="10"/>
      <c r="K1718" s="10"/>
      <c r="L1718" s="10"/>
      <c r="M1718" s="10"/>
      <c r="N1718" s="10"/>
      <c r="O1718" s="10"/>
      <c r="P1718" s="38"/>
    </row>
    <row r="1719" spans="1:16" ht="15" customHeight="1" x14ac:dyDescent="0.35">
      <c r="A1719" s="15"/>
      <c r="B1719" s="65"/>
      <c r="C1719" s="15"/>
      <c r="D1719" s="19"/>
      <c r="E1719" s="40"/>
      <c r="F1719" s="13"/>
      <c r="G1719" s="78"/>
      <c r="H1719" s="16"/>
      <c r="I1719" s="10"/>
      <c r="J1719" s="10"/>
      <c r="K1719" s="10"/>
      <c r="L1719" s="10"/>
      <c r="M1719" s="10"/>
      <c r="N1719" s="10"/>
      <c r="O1719" s="10"/>
      <c r="P1719" s="38"/>
    </row>
    <row r="1720" spans="1:16" ht="15" customHeight="1" x14ac:dyDescent="0.35">
      <c r="A1720" s="15"/>
      <c r="B1720" s="65"/>
      <c r="C1720" s="15"/>
      <c r="D1720" s="19"/>
      <c r="E1720" s="40"/>
      <c r="F1720" s="13"/>
      <c r="G1720" s="78"/>
      <c r="H1720" s="16"/>
      <c r="I1720" s="10"/>
      <c r="J1720" s="10"/>
      <c r="K1720" s="10"/>
      <c r="L1720" s="10"/>
      <c r="M1720" s="10"/>
      <c r="N1720" s="10"/>
      <c r="O1720" s="10"/>
      <c r="P1720" s="38"/>
    </row>
    <row r="1721" spans="1:16" ht="15" customHeight="1" x14ac:dyDescent="0.35">
      <c r="A1721" s="15"/>
      <c r="B1721" s="65"/>
      <c r="C1721" s="15"/>
      <c r="D1721" s="19"/>
      <c r="E1721" s="40"/>
      <c r="F1721" s="13"/>
      <c r="G1721" s="78"/>
      <c r="H1721" s="16"/>
      <c r="I1721" s="10"/>
      <c r="J1721" s="10"/>
      <c r="K1721" s="10"/>
      <c r="L1721" s="10"/>
      <c r="M1721" s="10"/>
      <c r="N1721" s="10"/>
      <c r="O1721" s="10"/>
      <c r="P1721" s="38"/>
    </row>
    <row r="1722" spans="1:16" ht="15" customHeight="1" x14ac:dyDescent="0.35">
      <c r="A1722" s="15"/>
      <c r="B1722" s="65"/>
      <c r="C1722" s="15"/>
      <c r="D1722" s="19"/>
      <c r="E1722" s="40"/>
      <c r="F1722" s="13"/>
      <c r="G1722" s="78"/>
      <c r="H1722" s="16"/>
      <c r="I1722" s="10"/>
      <c r="J1722" s="10"/>
      <c r="K1722" s="10"/>
      <c r="L1722" s="10"/>
      <c r="M1722" s="10"/>
      <c r="N1722" s="10"/>
      <c r="O1722" s="10"/>
      <c r="P1722" s="38"/>
    </row>
    <row r="1723" spans="1:16" ht="15" customHeight="1" x14ac:dyDescent="0.35">
      <c r="A1723" s="15"/>
      <c r="B1723" s="65"/>
      <c r="C1723" s="15"/>
      <c r="D1723" s="19"/>
      <c r="E1723" s="40"/>
      <c r="F1723" s="13"/>
      <c r="G1723" s="78"/>
      <c r="H1723" s="16"/>
      <c r="I1723" s="10"/>
      <c r="J1723" s="10"/>
      <c r="K1723" s="10"/>
      <c r="L1723" s="10"/>
      <c r="M1723" s="10"/>
      <c r="N1723" s="10"/>
      <c r="O1723" s="10"/>
      <c r="P1723" s="38"/>
    </row>
    <row r="1724" spans="1:16" ht="15" customHeight="1" x14ac:dyDescent="0.35">
      <c r="A1724" s="15"/>
      <c r="B1724" s="65"/>
      <c r="C1724" s="15"/>
      <c r="D1724" s="19"/>
      <c r="E1724" s="40"/>
      <c r="F1724" s="13"/>
      <c r="G1724" s="78"/>
      <c r="H1724" s="16"/>
      <c r="I1724" s="10"/>
      <c r="J1724" s="10"/>
      <c r="K1724" s="10"/>
      <c r="L1724" s="10"/>
      <c r="M1724" s="10"/>
      <c r="N1724" s="10"/>
      <c r="O1724" s="10"/>
      <c r="P1724" s="38"/>
    </row>
    <row r="1725" spans="1:16" ht="15" customHeight="1" x14ac:dyDescent="0.35">
      <c r="A1725" s="15"/>
      <c r="B1725" s="65"/>
      <c r="C1725" s="15"/>
      <c r="D1725" s="19"/>
      <c r="E1725" s="40"/>
      <c r="F1725" s="13"/>
      <c r="G1725" s="78"/>
      <c r="H1725" s="16"/>
      <c r="I1725" s="10"/>
      <c r="J1725" s="10"/>
      <c r="K1725" s="10"/>
      <c r="L1725" s="10"/>
      <c r="M1725" s="10"/>
      <c r="N1725" s="10"/>
      <c r="O1725" s="10"/>
      <c r="P1725" s="38"/>
    </row>
    <row r="1726" spans="1:16" ht="15" customHeight="1" x14ac:dyDescent="0.35">
      <c r="A1726" s="15"/>
      <c r="B1726" s="65"/>
      <c r="C1726" s="15"/>
      <c r="D1726" s="19"/>
      <c r="E1726" s="40"/>
      <c r="F1726" s="13"/>
      <c r="G1726" s="78"/>
      <c r="H1726" s="16"/>
      <c r="I1726" s="10"/>
      <c r="J1726" s="10"/>
      <c r="K1726" s="10"/>
      <c r="L1726" s="10"/>
      <c r="M1726" s="10"/>
      <c r="N1726" s="10"/>
      <c r="O1726" s="10"/>
      <c r="P1726" s="38"/>
    </row>
    <row r="1727" spans="1:16" ht="15" customHeight="1" x14ac:dyDescent="0.35">
      <c r="A1727" s="15"/>
      <c r="B1727" s="65"/>
      <c r="C1727" s="15"/>
      <c r="D1727" s="19"/>
      <c r="E1727" s="40"/>
      <c r="F1727" s="13"/>
      <c r="G1727" s="78"/>
      <c r="H1727" s="16"/>
      <c r="I1727" s="10"/>
      <c r="J1727" s="10"/>
      <c r="K1727" s="10"/>
      <c r="L1727" s="10"/>
      <c r="M1727" s="10"/>
      <c r="N1727" s="10"/>
      <c r="O1727" s="10"/>
      <c r="P1727" s="38"/>
    </row>
    <row r="1728" spans="1:16" ht="15" customHeight="1" x14ac:dyDescent="0.35">
      <c r="A1728" s="15"/>
      <c r="B1728" s="65"/>
      <c r="C1728" s="15"/>
      <c r="D1728" s="19"/>
      <c r="E1728" s="40"/>
      <c r="F1728" s="13"/>
      <c r="G1728" s="78"/>
      <c r="H1728" s="16"/>
      <c r="I1728" s="10"/>
      <c r="J1728" s="10"/>
      <c r="K1728" s="10"/>
      <c r="L1728" s="10"/>
      <c r="M1728" s="10"/>
      <c r="N1728" s="10"/>
      <c r="O1728" s="10"/>
      <c r="P1728" s="38"/>
    </row>
    <row r="1729" spans="1:16" ht="15" customHeight="1" x14ac:dyDescent="0.35">
      <c r="A1729" s="15"/>
      <c r="B1729" s="65"/>
      <c r="C1729" s="15"/>
      <c r="D1729" s="19"/>
      <c r="E1729" s="40"/>
      <c r="F1729" s="13"/>
      <c r="G1729" s="78"/>
      <c r="H1729" s="16"/>
      <c r="I1729" s="10"/>
      <c r="J1729" s="10"/>
      <c r="K1729" s="10"/>
      <c r="L1729" s="10"/>
      <c r="M1729" s="10"/>
      <c r="N1729" s="10"/>
      <c r="O1729" s="10"/>
      <c r="P1729" s="38"/>
    </row>
    <row r="1730" spans="1:16" ht="15" customHeight="1" x14ac:dyDescent="0.35">
      <c r="A1730" s="15"/>
      <c r="B1730" s="65"/>
      <c r="C1730" s="15"/>
      <c r="D1730" s="19"/>
      <c r="E1730" s="40"/>
      <c r="F1730" s="13"/>
      <c r="G1730" s="78"/>
      <c r="H1730" s="16"/>
      <c r="I1730" s="10"/>
      <c r="J1730" s="10"/>
      <c r="K1730" s="10"/>
      <c r="L1730" s="10"/>
      <c r="M1730" s="10"/>
      <c r="N1730" s="10"/>
      <c r="O1730" s="10"/>
      <c r="P1730" s="38"/>
    </row>
    <row r="1731" spans="1:16" ht="15" customHeight="1" x14ac:dyDescent="0.35">
      <c r="A1731" s="15"/>
      <c r="B1731" s="65"/>
      <c r="C1731" s="15"/>
      <c r="D1731" s="19"/>
      <c r="E1731" s="40"/>
      <c r="F1731" s="13"/>
      <c r="G1731" s="78"/>
      <c r="H1731" s="16"/>
      <c r="I1731" s="10"/>
      <c r="J1731" s="10"/>
      <c r="K1731" s="10"/>
      <c r="L1731" s="10"/>
      <c r="M1731" s="10"/>
      <c r="N1731" s="10"/>
      <c r="O1731" s="10"/>
      <c r="P1731" s="38"/>
    </row>
    <row r="1732" spans="1:16" ht="15" customHeight="1" x14ac:dyDescent="0.35">
      <c r="A1732" s="15"/>
      <c r="B1732" s="65"/>
      <c r="C1732" s="15"/>
      <c r="D1732" s="19"/>
      <c r="E1732" s="40"/>
      <c r="F1732" s="13"/>
      <c r="G1732" s="78"/>
      <c r="H1732" s="16"/>
      <c r="I1732" s="10"/>
      <c r="J1732" s="10"/>
      <c r="K1732" s="10"/>
      <c r="L1732" s="10"/>
      <c r="M1732" s="10"/>
      <c r="N1732" s="10"/>
      <c r="O1732" s="10"/>
      <c r="P1732" s="38"/>
    </row>
    <row r="1733" spans="1:16" ht="15" customHeight="1" x14ac:dyDescent="0.35">
      <c r="A1733" s="15"/>
      <c r="B1733" s="65"/>
      <c r="C1733" s="15"/>
      <c r="D1733" s="19"/>
      <c r="E1733" s="40"/>
      <c r="F1733" s="13"/>
      <c r="G1733" s="78"/>
      <c r="H1733" s="16"/>
      <c r="I1733" s="10"/>
      <c r="J1733" s="10"/>
      <c r="K1733" s="10"/>
      <c r="L1733" s="10"/>
      <c r="M1733" s="10"/>
      <c r="N1733" s="10"/>
      <c r="O1733" s="10"/>
      <c r="P1733" s="38"/>
    </row>
    <row r="1734" spans="1:16" ht="15" customHeight="1" x14ac:dyDescent="0.35">
      <c r="A1734" s="15"/>
      <c r="B1734" s="65"/>
      <c r="C1734" s="15"/>
      <c r="D1734" s="19"/>
      <c r="E1734" s="40"/>
      <c r="F1734" s="13"/>
      <c r="G1734" s="78"/>
      <c r="H1734" s="16"/>
      <c r="I1734" s="10"/>
      <c r="J1734" s="10"/>
      <c r="K1734" s="10"/>
      <c r="L1734" s="10"/>
      <c r="M1734" s="10"/>
      <c r="N1734" s="10"/>
      <c r="O1734" s="10"/>
      <c r="P1734" s="38"/>
    </row>
    <row r="1735" spans="1:16" ht="15" customHeight="1" x14ac:dyDescent="0.35">
      <c r="A1735" s="15"/>
      <c r="B1735" s="65"/>
      <c r="C1735" s="15"/>
      <c r="D1735" s="19"/>
      <c r="E1735" s="40"/>
      <c r="F1735" s="13"/>
      <c r="G1735" s="78"/>
      <c r="H1735" s="16"/>
      <c r="I1735" s="10"/>
      <c r="J1735" s="10"/>
      <c r="K1735" s="10"/>
      <c r="L1735" s="10"/>
      <c r="M1735" s="10"/>
      <c r="N1735" s="10"/>
      <c r="O1735" s="10"/>
      <c r="P1735" s="38"/>
    </row>
    <row r="1736" spans="1:16" ht="15" customHeight="1" x14ac:dyDescent="0.35">
      <c r="A1736" s="15"/>
      <c r="B1736" s="65"/>
      <c r="C1736" s="15"/>
      <c r="D1736" s="19"/>
      <c r="E1736" s="40"/>
      <c r="F1736" s="13"/>
      <c r="G1736" s="78"/>
      <c r="H1736" s="16"/>
      <c r="I1736" s="10"/>
      <c r="J1736" s="10"/>
      <c r="K1736" s="10"/>
      <c r="L1736" s="10"/>
      <c r="M1736" s="10"/>
      <c r="N1736" s="10"/>
      <c r="O1736" s="10"/>
      <c r="P1736" s="38"/>
    </row>
    <row r="1737" spans="1:16" ht="15" customHeight="1" x14ac:dyDescent="0.35">
      <c r="A1737" s="15"/>
      <c r="B1737" s="65"/>
      <c r="C1737" s="15"/>
      <c r="D1737" s="19"/>
      <c r="E1737" s="40"/>
      <c r="F1737" s="13"/>
      <c r="G1737" s="78"/>
      <c r="H1737" s="16"/>
      <c r="I1737" s="10"/>
      <c r="J1737" s="10"/>
      <c r="K1737" s="10"/>
      <c r="L1737" s="10"/>
      <c r="M1737" s="10"/>
      <c r="N1737" s="10"/>
      <c r="O1737" s="10"/>
      <c r="P1737" s="38"/>
    </row>
    <row r="1738" spans="1:16" ht="15" customHeight="1" x14ac:dyDescent="0.35">
      <c r="A1738" s="15"/>
      <c r="B1738" s="65"/>
      <c r="C1738" s="15"/>
      <c r="D1738" s="19"/>
      <c r="E1738" s="40"/>
      <c r="F1738" s="13"/>
      <c r="G1738" s="78"/>
      <c r="H1738" s="16"/>
      <c r="I1738" s="10"/>
      <c r="J1738" s="10"/>
      <c r="K1738" s="10"/>
      <c r="L1738" s="10"/>
      <c r="M1738" s="10"/>
      <c r="N1738" s="10"/>
      <c r="O1738" s="10"/>
      <c r="P1738" s="38"/>
    </row>
    <row r="1739" spans="1:16" ht="15" customHeight="1" x14ac:dyDescent="0.35">
      <c r="A1739" s="15"/>
      <c r="B1739" s="65"/>
      <c r="C1739" s="15"/>
      <c r="D1739" s="19"/>
      <c r="E1739" s="40"/>
      <c r="F1739" s="13"/>
      <c r="G1739" s="78"/>
      <c r="H1739" s="16"/>
      <c r="I1739" s="10"/>
      <c r="J1739" s="10"/>
      <c r="K1739" s="10"/>
      <c r="L1739" s="10"/>
      <c r="M1739" s="10"/>
      <c r="N1739" s="10"/>
      <c r="O1739" s="10"/>
      <c r="P1739" s="38"/>
    </row>
    <row r="1740" spans="1:16" ht="15" customHeight="1" x14ac:dyDescent="0.35">
      <c r="A1740" s="15"/>
      <c r="B1740" s="65"/>
      <c r="C1740" s="15"/>
      <c r="D1740" s="19"/>
      <c r="E1740" s="40"/>
      <c r="F1740" s="13"/>
      <c r="G1740" s="78"/>
      <c r="H1740" s="16"/>
      <c r="I1740" s="10"/>
      <c r="J1740" s="10"/>
      <c r="K1740" s="10"/>
      <c r="L1740" s="10"/>
      <c r="M1740" s="10"/>
      <c r="N1740" s="10"/>
      <c r="O1740" s="10"/>
      <c r="P1740" s="38"/>
    </row>
    <row r="1741" spans="1:16" ht="15" customHeight="1" x14ac:dyDescent="0.35">
      <c r="A1741" s="15"/>
      <c r="B1741" s="65"/>
      <c r="C1741" s="15"/>
      <c r="D1741" s="19"/>
      <c r="E1741" s="40"/>
      <c r="F1741" s="13"/>
      <c r="G1741" s="78"/>
      <c r="H1741" s="16"/>
      <c r="I1741" s="10"/>
      <c r="J1741" s="10"/>
      <c r="K1741" s="10"/>
      <c r="L1741" s="10"/>
      <c r="M1741" s="10"/>
      <c r="N1741" s="10"/>
      <c r="O1741" s="10"/>
      <c r="P1741" s="38"/>
    </row>
    <row r="1742" spans="1:16" ht="15" customHeight="1" x14ac:dyDescent="0.35">
      <c r="A1742" s="15"/>
      <c r="B1742" s="65"/>
      <c r="C1742" s="15"/>
      <c r="D1742" s="19"/>
      <c r="E1742" s="40"/>
      <c r="F1742" s="13"/>
      <c r="G1742" s="78"/>
      <c r="H1742" s="16"/>
      <c r="I1742" s="10"/>
      <c r="J1742" s="10"/>
      <c r="K1742" s="10"/>
      <c r="L1742" s="10"/>
      <c r="M1742" s="10"/>
      <c r="N1742" s="10"/>
      <c r="O1742" s="10"/>
      <c r="P1742" s="38"/>
    </row>
    <row r="1743" spans="1:16" ht="15" customHeight="1" x14ac:dyDescent="0.35">
      <c r="A1743" s="15"/>
      <c r="B1743" s="65"/>
      <c r="C1743" s="15"/>
      <c r="D1743" s="19"/>
      <c r="E1743" s="40"/>
      <c r="F1743" s="13"/>
      <c r="G1743" s="78"/>
      <c r="H1743" s="16"/>
      <c r="I1743" s="10"/>
      <c r="J1743" s="10"/>
      <c r="K1743" s="10"/>
      <c r="L1743" s="10"/>
      <c r="M1743" s="10"/>
      <c r="N1743" s="10"/>
      <c r="O1743" s="10"/>
      <c r="P1743" s="38"/>
    </row>
    <row r="1744" spans="1:16" ht="15" customHeight="1" x14ac:dyDescent="0.35">
      <c r="A1744" s="15"/>
      <c r="B1744" s="65"/>
      <c r="C1744" s="15"/>
      <c r="D1744" s="19"/>
      <c r="E1744" s="40"/>
      <c r="F1744" s="13"/>
      <c r="G1744" s="78"/>
      <c r="H1744" s="16"/>
      <c r="I1744" s="10"/>
      <c r="J1744" s="10"/>
      <c r="K1744" s="10"/>
      <c r="L1744" s="10"/>
      <c r="M1744" s="10"/>
      <c r="N1744" s="10"/>
      <c r="O1744" s="10"/>
      <c r="P1744" s="38"/>
    </row>
    <row r="1745" spans="1:16" ht="15" customHeight="1" x14ac:dyDescent="0.35">
      <c r="A1745" s="15"/>
      <c r="B1745" s="65"/>
      <c r="C1745" s="15"/>
      <c r="D1745" s="19"/>
      <c r="E1745" s="40"/>
      <c r="F1745" s="13"/>
      <c r="G1745" s="78"/>
      <c r="H1745" s="16"/>
      <c r="I1745" s="10"/>
      <c r="J1745" s="10"/>
      <c r="K1745" s="10"/>
      <c r="L1745" s="10"/>
      <c r="M1745" s="10"/>
      <c r="N1745" s="10"/>
      <c r="O1745" s="10"/>
      <c r="P1745" s="38"/>
    </row>
    <row r="1746" spans="1:16" ht="15" customHeight="1" x14ac:dyDescent="0.35">
      <c r="A1746" s="15"/>
      <c r="B1746" s="65"/>
      <c r="C1746" s="15"/>
      <c r="D1746" s="19"/>
      <c r="E1746" s="40"/>
      <c r="F1746" s="13"/>
      <c r="G1746" s="78"/>
      <c r="H1746" s="16"/>
      <c r="I1746" s="10"/>
      <c r="J1746" s="10"/>
      <c r="K1746" s="10"/>
      <c r="L1746" s="10"/>
      <c r="M1746" s="10"/>
      <c r="N1746" s="10"/>
      <c r="O1746" s="10"/>
      <c r="P1746" s="38"/>
    </row>
    <row r="1747" spans="1:16" ht="15" customHeight="1" x14ac:dyDescent="0.35">
      <c r="A1747" s="15"/>
      <c r="B1747" s="65"/>
      <c r="C1747" s="15"/>
      <c r="D1747" s="19"/>
      <c r="E1747" s="40"/>
      <c r="F1747" s="13"/>
      <c r="G1747" s="78"/>
      <c r="H1747" s="16"/>
      <c r="I1747" s="10"/>
      <c r="J1747" s="10"/>
      <c r="K1747" s="10"/>
      <c r="L1747" s="10"/>
      <c r="M1747" s="10"/>
      <c r="N1747" s="10"/>
      <c r="O1747" s="10"/>
      <c r="P1747" s="38"/>
    </row>
    <row r="1748" spans="1:16" ht="15" customHeight="1" x14ac:dyDescent="0.35">
      <c r="A1748" s="15"/>
      <c r="B1748" s="65"/>
      <c r="C1748" s="15"/>
      <c r="D1748" s="19"/>
      <c r="E1748" s="40"/>
      <c r="F1748" s="13"/>
      <c r="G1748" s="78"/>
      <c r="H1748" s="16"/>
      <c r="I1748" s="10"/>
      <c r="J1748" s="10"/>
      <c r="K1748" s="10"/>
      <c r="L1748" s="10"/>
      <c r="M1748" s="10"/>
      <c r="N1748" s="10"/>
      <c r="O1748" s="10"/>
      <c r="P1748" s="38"/>
    </row>
    <row r="1749" spans="1:16" ht="15" customHeight="1" x14ac:dyDescent="0.35">
      <c r="A1749" s="15"/>
      <c r="B1749" s="65"/>
      <c r="C1749" s="15"/>
      <c r="D1749" s="19"/>
      <c r="E1749" s="40"/>
      <c r="F1749" s="13"/>
      <c r="G1749" s="78"/>
      <c r="H1749" s="16"/>
      <c r="I1749" s="10"/>
      <c r="J1749" s="10"/>
      <c r="K1749" s="10"/>
      <c r="L1749" s="10"/>
      <c r="M1749" s="10"/>
      <c r="N1749" s="10"/>
      <c r="O1749" s="10"/>
      <c r="P1749" s="38"/>
    </row>
    <row r="1750" spans="1:16" ht="15" customHeight="1" x14ac:dyDescent="0.35">
      <c r="A1750" s="15"/>
      <c r="B1750" s="65"/>
      <c r="C1750" s="15"/>
      <c r="D1750" s="19"/>
      <c r="E1750" s="40"/>
      <c r="F1750" s="13"/>
      <c r="G1750" s="78"/>
      <c r="H1750" s="16"/>
      <c r="I1750" s="10"/>
      <c r="J1750" s="10"/>
      <c r="K1750" s="10"/>
      <c r="L1750" s="10"/>
      <c r="M1750" s="10"/>
      <c r="N1750" s="10"/>
      <c r="O1750" s="10"/>
      <c r="P1750" s="38"/>
    </row>
    <row r="1751" spans="1:16" ht="15" customHeight="1" x14ac:dyDescent="0.35">
      <c r="A1751" s="15"/>
      <c r="B1751" s="65"/>
      <c r="C1751" s="15"/>
      <c r="D1751" s="19"/>
      <c r="E1751" s="40"/>
      <c r="F1751" s="13"/>
      <c r="G1751" s="78"/>
      <c r="H1751" s="16"/>
      <c r="I1751" s="10"/>
      <c r="J1751" s="10"/>
      <c r="K1751" s="10"/>
      <c r="L1751" s="10"/>
      <c r="M1751" s="10"/>
      <c r="N1751" s="10"/>
      <c r="O1751" s="10"/>
      <c r="P1751" s="38"/>
    </row>
    <row r="1752" spans="1:16" ht="15" customHeight="1" x14ac:dyDescent="0.35">
      <c r="A1752" s="15"/>
      <c r="B1752" s="65"/>
      <c r="C1752" s="15"/>
      <c r="D1752" s="19"/>
      <c r="E1752" s="40"/>
      <c r="F1752" s="13"/>
      <c r="G1752" s="78"/>
      <c r="H1752" s="16"/>
      <c r="I1752" s="10"/>
      <c r="J1752" s="10"/>
      <c r="K1752" s="10"/>
      <c r="L1752" s="10"/>
      <c r="M1752" s="10"/>
      <c r="N1752" s="10"/>
      <c r="O1752" s="10"/>
      <c r="P1752" s="38"/>
    </row>
    <row r="1753" spans="1:16" ht="15" customHeight="1" x14ac:dyDescent="0.35">
      <c r="A1753" s="15"/>
      <c r="B1753" s="65"/>
      <c r="C1753" s="15"/>
      <c r="D1753" s="19"/>
      <c r="E1753" s="40"/>
      <c r="F1753" s="13"/>
      <c r="G1753" s="78"/>
      <c r="H1753" s="16"/>
      <c r="I1753" s="10"/>
      <c r="J1753" s="10"/>
      <c r="K1753" s="10"/>
      <c r="L1753" s="10"/>
      <c r="M1753" s="10"/>
      <c r="N1753" s="10"/>
      <c r="O1753" s="10"/>
      <c r="P1753" s="38"/>
    </row>
    <row r="1754" spans="1:16" ht="15" customHeight="1" x14ac:dyDescent="0.35">
      <c r="A1754" s="15"/>
      <c r="B1754" s="65"/>
      <c r="C1754" s="15"/>
      <c r="D1754" s="19"/>
      <c r="E1754" s="40"/>
      <c r="F1754" s="13"/>
      <c r="G1754" s="78"/>
      <c r="H1754" s="16"/>
      <c r="I1754" s="10"/>
      <c r="J1754" s="10"/>
      <c r="K1754" s="10"/>
      <c r="L1754" s="10"/>
      <c r="M1754" s="10"/>
      <c r="N1754" s="10"/>
      <c r="O1754" s="10"/>
      <c r="P1754" s="38"/>
    </row>
    <row r="1755" spans="1:16" ht="15" customHeight="1" x14ac:dyDescent="0.35">
      <c r="A1755" s="15"/>
      <c r="B1755" s="65"/>
      <c r="C1755" s="15"/>
      <c r="D1755" s="19"/>
      <c r="E1755" s="40"/>
      <c r="F1755" s="13"/>
      <c r="G1755" s="78"/>
      <c r="H1755" s="16"/>
      <c r="I1755" s="10"/>
      <c r="J1755" s="10"/>
      <c r="K1755" s="10"/>
      <c r="L1755" s="10"/>
      <c r="M1755" s="10"/>
      <c r="N1755" s="10"/>
      <c r="O1755" s="10"/>
      <c r="P1755" s="38"/>
    </row>
    <row r="1756" spans="1:16" ht="15" customHeight="1" x14ac:dyDescent="0.35">
      <c r="A1756" s="15"/>
      <c r="B1756" s="65"/>
      <c r="C1756" s="15"/>
      <c r="D1756" s="19"/>
      <c r="E1756" s="40"/>
      <c r="F1756" s="13"/>
      <c r="G1756" s="78"/>
      <c r="H1756" s="16"/>
      <c r="I1756" s="10"/>
      <c r="J1756" s="10"/>
      <c r="K1756" s="10"/>
      <c r="L1756" s="10"/>
      <c r="M1756" s="10"/>
      <c r="N1756" s="10"/>
      <c r="O1756" s="10"/>
      <c r="P1756" s="38"/>
    </row>
    <row r="1757" spans="1:16" ht="15" customHeight="1" x14ac:dyDescent="0.35">
      <c r="A1757" s="15"/>
      <c r="B1757" s="65"/>
      <c r="C1757" s="15"/>
      <c r="D1757" s="19"/>
      <c r="E1757" s="40"/>
      <c r="F1757" s="13"/>
      <c r="G1757" s="78"/>
      <c r="H1757" s="16"/>
      <c r="I1757" s="10"/>
      <c r="J1757" s="10"/>
      <c r="K1757" s="10"/>
      <c r="L1757" s="10"/>
      <c r="M1757" s="10"/>
      <c r="N1757" s="10"/>
      <c r="O1757" s="10"/>
      <c r="P1757" s="38"/>
    </row>
    <row r="1758" spans="1:16" ht="15" customHeight="1" x14ac:dyDescent="0.35">
      <c r="A1758" s="15"/>
      <c r="B1758" s="65"/>
      <c r="C1758" s="15"/>
      <c r="D1758" s="19"/>
      <c r="E1758" s="40"/>
      <c r="F1758" s="13"/>
      <c r="G1758" s="78"/>
      <c r="H1758" s="16"/>
      <c r="I1758" s="10"/>
      <c r="J1758" s="10"/>
      <c r="K1758" s="10"/>
      <c r="L1758" s="10"/>
      <c r="M1758" s="10"/>
      <c r="N1758" s="10"/>
      <c r="O1758" s="10"/>
      <c r="P1758" s="38"/>
    </row>
    <row r="1759" spans="1:16" ht="15" customHeight="1" x14ac:dyDescent="0.35">
      <c r="A1759" s="15"/>
      <c r="B1759" s="65"/>
      <c r="C1759" s="15"/>
      <c r="D1759" s="19"/>
      <c r="E1759" s="40"/>
      <c r="F1759" s="13"/>
      <c r="G1759" s="78"/>
      <c r="H1759" s="16"/>
      <c r="I1759" s="10"/>
      <c r="J1759" s="10"/>
      <c r="K1759" s="10"/>
      <c r="L1759" s="10"/>
      <c r="M1759" s="10"/>
      <c r="N1759" s="10"/>
      <c r="O1759" s="10"/>
      <c r="P1759" s="38"/>
    </row>
    <row r="1760" spans="1:16" ht="15" customHeight="1" x14ac:dyDescent="0.35">
      <c r="A1760" s="15"/>
      <c r="B1760" s="65"/>
      <c r="C1760" s="15"/>
      <c r="D1760" s="19"/>
      <c r="E1760" s="40"/>
      <c r="F1760" s="13"/>
      <c r="G1760" s="78"/>
      <c r="H1760" s="16"/>
      <c r="I1760" s="10"/>
      <c r="J1760" s="10"/>
      <c r="K1760" s="10"/>
      <c r="L1760" s="10"/>
      <c r="M1760" s="10"/>
      <c r="N1760" s="10"/>
      <c r="O1760" s="10"/>
      <c r="P1760" s="38"/>
    </row>
    <row r="1761" spans="1:16" ht="15" customHeight="1" x14ac:dyDescent="0.35">
      <c r="A1761" s="15"/>
      <c r="B1761" s="65"/>
      <c r="C1761" s="15"/>
      <c r="D1761" s="19"/>
      <c r="E1761" s="40"/>
      <c r="F1761" s="13"/>
      <c r="G1761" s="78"/>
      <c r="H1761" s="16"/>
      <c r="I1761" s="10"/>
      <c r="J1761" s="10"/>
      <c r="K1761" s="10"/>
      <c r="L1761" s="10"/>
      <c r="M1761" s="10"/>
      <c r="N1761" s="10"/>
      <c r="O1761" s="10"/>
      <c r="P1761" s="38"/>
    </row>
    <row r="1762" spans="1:16" ht="15" customHeight="1" x14ac:dyDescent="0.35">
      <c r="A1762" s="15"/>
      <c r="B1762" s="65"/>
      <c r="C1762" s="15"/>
      <c r="D1762" s="19"/>
      <c r="E1762" s="40"/>
      <c r="F1762" s="13"/>
      <c r="G1762" s="78"/>
      <c r="H1762" s="16"/>
      <c r="I1762" s="10"/>
      <c r="J1762" s="10"/>
      <c r="K1762" s="10"/>
      <c r="L1762" s="10"/>
      <c r="M1762" s="10"/>
      <c r="N1762" s="10"/>
      <c r="O1762" s="10"/>
      <c r="P1762" s="38"/>
    </row>
    <row r="1763" spans="1:16" ht="15" customHeight="1" x14ac:dyDescent="0.35">
      <c r="A1763" s="15"/>
      <c r="B1763" s="65"/>
      <c r="C1763" s="15"/>
      <c r="D1763" s="19"/>
      <c r="E1763" s="40"/>
      <c r="F1763" s="13"/>
      <c r="G1763" s="78"/>
      <c r="H1763" s="16"/>
      <c r="I1763" s="10"/>
      <c r="J1763" s="10"/>
      <c r="K1763" s="10"/>
      <c r="L1763" s="10"/>
      <c r="M1763" s="10"/>
      <c r="N1763" s="10"/>
      <c r="O1763" s="10"/>
      <c r="P1763" s="38"/>
    </row>
    <row r="1764" spans="1:16" ht="15" customHeight="1" x14ac:dyDescent="0.35">
      <c r="A1764" s="15"/>
      <c r="B1764" s="65"/>
      <c r="C1764" s="15"/>
      <c r="D1764" s="19"/>
      <c r="E1764" s="40"/>
      <c r="F1764" s="13"/>
      <c r="G1764" s="78"/>
      <c r="H1764" s="16"/>
      <c r="I1764" s="10"/>
      <c r="J1764" s="10"/>
      <c r="K1764" s="10"/>
      <c r="L1764" s="10"/>
      <c r="M1764" s="10"/>
      <c r="N1764" s="10"/>
      <c r="O1764" s="10"/>
      <c r="P1764" s="38"/>
    </row>
    <row r="1765" spans="1:16" ht="15" customHeight="1" x14ac:dyDescent="0.35">
      <c r="A1765" s="15"/>
      <c r="B1765" s="65"/>
      <c r="C1765" s="15"/>
      <c r="D1765" s="19"/>
      <c r="E1765" s="40"/>
      <c r="F1765" s="13"/>
      <c r="G1765" s="78"/>
      <c r="H1765" s="16"/>
      <c r="I1765" s="10"/>
      <c r="J1765" s="10"/>
      <c r="K1765" s="10"/>
      <c r="L1765" s="10"/>
      <c r="M1765" s="10"/>
      <c r="N1765" s="10"/>
      <c r="O1765" s="10"/>
      <c r="P1765" s="38"/>
    </row>
    <row r="1766" spans="1:16" ht="15" customHeight="1" x14ac:dyDescent="0.35">
      <c r="A1766" s="15"/>
      <c r="B1766" s="65"/>
      <c r="C1766" s="15"/>
      <c r="D1766" s="19"/>
      <c r="E1766" s="40"/>
      <c r="F1766" s="13"/>
      <c r="G1766" s="78"/>
      <c r="H1766" s="16"/>
      <c r="I1766" s="10"/>
      <c r="J1766" s="10"/>
      <c r="K1766" s="10"/>
      <c r="L1766" s="10"/>
      <c r="M1766" s="10"/>
      <c r="N1766" s="10"/>
      <c r="O1766" s="10"/>
      <c r="P1766" s="38"/>
    </row>
    <row r="1767" spans="1:16" ht="15" customHeight="1" x14ac:dyDescent="0.35">
      <c r="A1767" s="15"/>
      <c r="B1767" s="65"/>
      <c r="C1767" s="15"/>
      <c r="D1767" s="19"/>
      <c r="E1767" s="40"/>
      <c r="F1767" s="13"/>
      <c r="G1767" s="78"/>
      <c r="H1767" s="16"/>
      <c r="I1767" s="10"/>
      <c r="J1767" s="10"/>
      <c r="K1767" s="10"/>
      <c r="L1767" s="10"/>
      <c r="M1767" s="10"/>
      <c r="N1767" s="10"/>
      <c r="O1767" s="10"/>
      <c r="P1767" s="38"/>
    </row>
    <row r="1768" spans="1:16" ht="15" customHeight="1" x14ac:dyDescent="0.35">
      <c r="A1768" s="15"/>
      <c r="B1768" s="65"/>
      <c r="C1768" s="15"/>
      <c r="D1768" s="19"/>
      <c r="E1768" s="40"/>
      <c r="F1768" s="13"/>
      <c r="G1768" s="78"/>
      <c r="H1768" s="16"/>
      <c r="I1768" s="10"/>
      <c r="J1768" s="10"/>
      <c r="K1768" s="10"/>
      <c r="L1768" s="10"/>
      <c r="M1768" s="10"/>
      <c r="N1768" s="10"/>
      <c r="O1768" s="10"/>
      <c r="P1768" s="38"/>
    </row>
    <row r="1769" spans="1:16" ht="15" customHeight="1" x14ac:dyDescent="0.35">
      <c r="A1769" s="15"/>
      <c r="B1769" s="65"/>
      <c r="C1769" s="15"/>
      <c r="D1769" s="19"/>
      <c r="E1769" s="40"/>
      <c r="F1769" s="13"/>
      <c r="G1769" s="78"/>
      <c r="H1769" s="16"/>
      <c r="I1769" s="10"/>
      <c r="J1769" s="10"/>
      <c r="K1769" s="10"/>
      <c r="L1769" s="10"/>
      <c r="M1769" s="10"/>
      <c r="N1769" s="10"/>
      <c r="O1769" s="10"/>
      <c r="P1769" s="38"/>
    </row>
    <row r="1770" spans="1:16" ht="15" customHeight="1" x14ac:dyDescent="0.35">
      <c r="A1770" s="15"/>
      <c r="B1770" s="65"/>
      <c r="C1770" s="15"/>
      <c r="D1770" s="19"/>
      <c r="E1770" s="40"/>
      <c r="F1770" s="13"/>
      <c r="G1770" s="78"/>
      <c r="H1770" s="16"/>
      <c r="I1770" s="10"/>
      <c r="J1770" s="10"/>
      <c r="K1770" s="10"/>
      <c r="L1770" s="10"/>
      <c r="M1770" s="10"/>
      <c r="N1770" s="10"/>
      <c r="O1770" s="10"/>
      <c r="P1770" s="38"/>
    </row>
    <row r="1771" spans="1:16" ht="15" customHeight="1" x14ac:dyDescent="0.35">
      <c r="A1771" s="15"/>
      <c r="B1771" s="65"/>
      <c r="C1771" s="15"/>
      <c r="D1771" s="19"/>
      <c r="E1771" s="40"/>
      <c r="F1771" s="13"/>
      <c r="G1771" s="78"/>
      <c r="H1771" s="16"/>
      <c r="I1771" s="10"/>
      <c r="J1771" s="10"/>
      <c r="K1771" s="10"/>
      <c r="L1771" s="10"/>
      <c r="M1771" s="10"/>
      <c r="N1771" s="10"/>
      <c r="O1771" s="10"/>
      <c r="P1771" s="38"/>
    </row>
    <row r="1772" spans="1:16" ht="15" customHeight="1" x14ac:dyDescent="0.35">
      <c r="A1772" s="15"/>
      <c r="B1772" s="65"/>
      <c r="C1772" s="15"/>
      <c r="D1772" s="19"/>
      <c r="E1772" s="40"/>
      <c r="F1772" s="13"/>
      <c r="G1772" s="78"/>
      <c r="H1772" s="16"/>
      <c r="I1772" s="10"/>
      <c r="J1772" s="10"/>
      <c r="K1772" s="10"/>
      <c r="L1772" s="10"/>
      <c r="M1772" s="10"/>
      <c r="N1772" s="10"/>
      <c r="O1772" s="10"/>
      <c r="P1772" s="38"/>
    </row>
    <row r="1773" spans="1:16" ht="15" customHeight="1" x14ac:dyDescent="0.35">
      <c r="A1773" s="15"/>
      <c r="B1773" s="65"/>
      <c r="C1773" s="15"/>
      <c r="D1773" s="19"/>
      <c r="E1773" s="40"/>
      <c r="F1773" s="13"/>
      <c r="G1773" s="78"/>
      <c r="H1773" s="16"/>
      <c r="I1773" s="10"/>
      <c r="J1773" s="10"/>
      <c r="K1773" s="10"/>
      <c r="L1773" s="10"/>
      <c r="M1773" s="10"/>
      <c r="N1773" s="10"/>
      <c r="O1773" s="10"/>
      <c r="P1773" s="38"/>
    </row>
    <row r="1774" spans="1:16" ht="15" customHeight="1" x14ac:dyDescent="0.35">
      <c r="A1774" s="15"/>
      <c r="B1774" s="65"/>
      <c r="C1774" s="15"/>
      <c r="D1774" s="19"/>
      <c r="E1774" s="40"/>
      <c r="F1774" s="13"/>
      <c r="G1774" s="78"/>
      <c r="H1774" s="16"/>
      <c r="I1774" s="10"/>
      <c r="J1774" s="10"/>
      <c r="K1774" s="10"/>
      <c r="L1774" s="10"/>
      <c r="M1774" s="10"/>
      <c r="N1774" s="10"/>
      <c r="O1774" s="10"/>
      <c r="P1774" s="38"/>
    </row>
    <row r="1775" spans="1:16" ht="15" customHeight="1" x14ac:dyDescent="0.35">
      <c r="A1775" s="15"/>
      <c r="B1775" s="65"/>
      <c r="C1775" s="15"/>
      <c r="D1775" s="19"/>
      <c r="E1775" s="40"/>
      <c r="F1775" s="13"/>
      <c r="G1775" s="78"/>
      <c r="H1775" s="16"/>
      <c r="I1775" s="10"/>
      <c r="J1775" s="10"/>
      <c r="K1775" s="10"/>
      <c r="L1775" s="10"/>
      <c r="M1775" s="10"/>
      <c r="N1775" s="10"/>
      <c r="O1775" s="10"/>
      <c r="P1775" s="38"/>
    </row>
    <row r="1776" spans="1:16" ht="15" customHeight="1" x14ac:dyDescent="0.35">
      <c r="A1776" s="15"/>
      <c r="B1776" s="65"/>
      <c r="C1776" s="15"/>
      <c r="D1776" s="19"/>
      <c r="E1776" s="40"/>
      <c r="F1776" s="13"/>
      <c r="G1776" s="78"/>
      <c r="H1776" s="16"/>
      <c r="I1776" s="10"/>
      <c r="J1776" s="10"/>
      <c r="K1776" s="10"/>
      <c r="L1776" s="10"/>
      <c r="M1776" s="10"/>
      <c r="N1776" s="10"/>
      <c r="O1776" s="10"/>
      <c r="P1776" s="38"/>
    </row>
    <row r="1777" spans="1:16" ht="15" customHeight="1" x14ac:dyDescent="0.35">
      <c r="A1777" s="15"/>
      <c r="B1777" s="65"/>
      <c r="C1777" s="15"/>
      <c r="D1777" s="19"/>
      <c r="E1777" s="40"/>
      <c r="F1777" s="13"/>
      <c r="G1777" s="78"/>
      <c r="H1777" s="16"/>
      <c r="I1777" s="10"/>
      <c r="J1777" s="10"/>
      <c r="K1777" s="10"/>
      <c r="L1777" s="10"/>
      <c r="M1777" s="10"/>
      <c r="N1777" s="10"/>
      <c r="O1777" s="10"/>
      <c r="P1777" s="38"/>
    </row>
    <row r="1778" spans="1:16" ht="15" customHeight="1" x14ac:dyDescent="0.35">
      <c r="A1778" s="15"/>
      <c r="B1778" s="65"/>
      <c r="C1778" s="15"/>
      <c r="D1778" s="19"/>
      <c r="E1778" s="40"/>
      <c r="F1778" s="13"/>
      <c r="G1778" s="78"/>
      <c r="H1778" s="16"/>
      <c r="I1778" s="10"/>
      <c r="J1778" s="10"/>
      <c r="K1778" s="10"/>
      <c r="L1778" s="10"/>
      <c r="M1778" s="10"/>
      <c r="N1778" s="10"/>
      <c r="O1778" s="10"/>
      <c r="P1778" s="38"/>
    </row>
    <row r="1779" spans="1:16" ht="15" customHeight="1" x14ac:dyDescent="0.35">
      <c r="A1779" s="15"/>
      <c r="B1779" s="65"/>
      <c r="C1779" s="15"/>
      <c r="D1779" s="19"/>
      <c r="E1779" s="40"/>
      <c r="F1779" s="13"/>
      <c r="G1779" s="78"/>
      <c r="H1779" s="16"/>
      <c r="I1779" s="10"/>
      <c r="J1779" s="10"/>
      <c r="K1779" s="10"/>
      <c r="L1779" s="10"/>
      <c r="M1779" s="10"/>
      <c r="N1779" s="10"/>
      <c r="O1779" s="10"/>
      <c r="P1779" s="38"/>
    </row>
    <row r="1780" spans="1:16" ht="15" customHeight="1" x14ac:dyDescent="0.35">
      <c r="A1780" s="15"/>
      <c r="B1780" s="65"/>
      <c r="C1780" s="15"/>
      <c r="D1780" s="19"/>
      <c r="E1780" s="40"/>
      <c r="F1780" s="13"/>
      <c r="G1780" s="78"/>
      <c r="H1780" s="16"/>
      <c r="I1780" s="10"/>
      <c r="J1780" s="10"/>
      <c r="K1780" s="10"/>
      <c r="L1780" s="10"/>
      <c r="M1780" s="10"/>
      <c r="N1780" s="10"/>
      <c r="O1780" s="10"/>
      <c r="P1780" s="38"/>
    </row>
    <row r="1781" spans="1:16" ht="15" customHeight="1" x14ac:dyDescent="0.35">
      <c r="A1781" s="15"/>
      <c r="B1781" s="65"/>
      <c r="C1781" s="15"/>
      <c r="D1781" s="19"/>
      <c r="E1781" s="40"/>
      <c r="F1781" s="13"/>
      <c r="G1781" s="78"/>
      <c r="H1781" s="16"/>
      <c r="I1781" s="10"/>
      <c r="J1781" s="10"/>
      <c r="K1781" s="10"/>
      <c r="L1781" s="10"/>
      <c r="M1781" s="10"/>
      <c r="N1781" s="10"/>
      <c r="O1781" s="10"/>
      <c r="P1781" s="38"/>
    </row>
    <row r="1782" spans="1:16" ht="15" customHeight="1" x14ac:dyDescent="0.35">
      <c r="A1782" s="15"/>
      <c r="B1782" s="65"/>
      <c r="C1782" s="15"/>
      <c r="D1782" s="19"/>
      <c r="E1782" s="40"/>
      <c r="F1782" s="13"/>
      <c r="G1782" s="78"/>
      <c r="H1782" s="16"/>
      <c r="I1782" s="10"/>
      <c r="J1782" s="10"/>
      <c r="K1782" s="10"/>
      <c r="L1782" s="10"/>
      <c r="M1782" s="10"/>
      <c r="N1782" s="10"/>
      <c r="O1782" s="10"/>
      <c r="P1782" s="38"/>
    </row>
    <row r="1783" spans="1:16" ht="15" customHeight="1" x14ac:dyDescent="0.35">
      <c r="A1783" s="15"/>
      <c r="B1783" s="65"/>
      <c r="C1783" s="15"/>
      <c r="D1783" s="19"/>
      <c r="E1783" s="40"/>
      <c r="F1783" s="13"/>
      <c r="G1783" s="78"/>
      <c r="H1783" s="16"/>
      <c r="I1783" s="10"/>
      <c r="J1783" s="10"/>
      <c r="K1783" s="10"/>
      <c r="L1783" s="10"/>
      <c r="M1783" s="10"/>
      <c r="N1783" s="10"/>
      <c r="O1783" s="10"/>
      <c r="P1783" s="38"/>
    </row>
    <row r="1784" spans="1:16" ht="15" customHeight="1" x14ac:dyDescent="0.35">
      <c r="A1784" s="15"/>
      <c r="B1784" s="65"/>
      <c r="C1784" s="15"/>
      <c r="D1784" s="19"/>
      <c r="E1784" s="40"/>
      <c r="F1784" s="13"/>
      <c r="G1784" s="78"/>
      <c r="H1784" s="16"/>
      <c r="I1784" s="10"/>
      <c r="J1784" s="10"/>
      <c r="K1784" s="10"/>
      <c r="L1784" s="10"/>
      <c r="M1784" s="10"/>
      <c r="N1784" s="10"/>
      <c r="O1784" s="10"/>
      <c r="P1784" s="38"/>
    </row>
    <row r="1785" spans="1:16" ht="15" customHeight="1" x14ac:dyDescent="0.35">
      <c r="A1785" s="15"/>
      <c r="B1785" s="65"/>
      <c r="C1785" s="15"/>
      <c r="D1785" s="19"/>
      <c r="E1785" s="40"/>
      <c r="F1785" s="13"/>
      <c r="G1785" s="78"/>
      <c r="H1785" s="16"/>
      <c r="I1785" s="10"/>
      <c r="J1785" s="10"/>
      <c r="K1785" s="10"/>
      <c r="L1785" s="10"/>
      <c r="M1785" s="10"/>
      <c r="N1785" s="10"/>
      <c r="O1785" s="10"/>
      <c r="P1785" s="38"/>
    </row>
    <row r="1786" spans="1:16" ht="15" customHeight="1" x14ac:dyDescent="0.35">
      <c r="A1786" s="15"/>
      <c r="B1786" s="65"/>
      <c r="C1786" s="15"/>
      <c r="D1786" s="19"/>
      <c r="E1786" s="40"/>
      <c r="F1786" s="13"/>
      <c r="G1786" s="78"/>
      <c r="H1786" s="16"/>
      <c r="I1786" s="10"/>
      <c r="J1786" s="10"/>
      <c r="K1786" s="10"/>
      <c r="L1786" s="10"/>
      <c r="M1786" s="10"/>
      <c r="N1786" s="10"/>
      <c r="O1786" s="10"/>
      <c r="P1786" s="38"/>
    </row>
    <row r="1787" spans="1:16" ht="15" customHeight="1" x14ac:dyDescent="0.35">
      <c r="A1787" s="15"/>
      <c r="B1787" s="65"/>
      <c r="C1787" s="15"/>
      <c r="D1787" s="19"/>
      <c r="E1787" s="40"/>
      <c r="F1787" s="13"/>
      <c r="G1787" s="78"/>
      <c r="H1787" s="16"/>
      <c r="I1787" s="10"/>
      <c r="J1787" s="10"/>
      <c r="K1787" s="10"/>
      <c r="L1787" s="10"/>
      <c r="M1787" s="10"/>
      <c r="N1787" s="10"/>
      <c r="O1787" s="10"/>
      <c r="P1787" s="38"/>
    </row>
    <row r="1788" spans="1:16" ht="15" customHeight="1" x14ac:dyDescent="0.35">
      <c r="A1788" s="15"/>
      <c r="B1788" s="65"/>
      <c r="C1788" s="15"/>
      <c r="D1788" s="19"/>
      <c r="E1788" s="40"/>
      <c r="F1788" s="13"/>
      <c r="G1788" s="78"/>
      <c r="H1788" s="16"/>
      <c r="I1788" s="10"/>
      <c r="J1788" s="10"/>
      <c r="K1788" s="10"/>
      <c r="L1788" s="10"/>
      <c r="M1788" s="10"/>
      <c r="N1788" s="10"/>
      <c r="O1788" s="10"/>
      <c r="P1788" s="38"/>
    </row>
    <row r="1789" spans="1:16" ht="15" customHeight="1" x14ac:dyDescent="0.35">
      <c r="A1789" s="15"/>
      <c r="B1789" s="65"/>
      <c r="C1789" s="15"/>
      <c r="D1789" s="19"/>
      <c r="E1789" s="40"/>
      <c r="F1789" s="13"/>
      <c r="G1789" s="78"/>
      <c r="H1789" s="16"/>
      <c r="I1789" s="10"/>
      <c r="J1789" s="10"/>
      <c r="K1789" s="10"/>
      <c r="L1789" s="10"/>
      <c r="M1789" s="10"/>
      <c r="N1789" s="10"/>
      <c r="O1789" s="10"/>
      <c r="P1789" s="38"/>
    </row>
    <row r="1790" spans="1:16" ht="15" customHeight="1" x14ac:dyDescent="0.35">
      <c r="A1790" s="15"/>
      <c r="B1790" s="65"/>
      <c r="C1790" s="15"/>
      <c r="D1790" s="19"/>
      <c r="E1790" s="40"/>
      <c r="F1790" s="13"/>
      <c r="G1790" s="78"/>
      <c r="H1790" s="16"/>
      <c r="I1790" s="10"/>
      <c r="J1790" s="10"/>
      <c r="K1790" s="10"/>
      <c r="L1790" s="10"/>
      <c r="M1790" s="10"/>
      <c r="N1790" s="10"/>
      <c r="O1790" s="10"/>
      <c r="P1790" s="38"/>
    </row>
    <row r="1791" spans="1:16" ht="15" customHeight="1" x14ac:dyDescent="0.35">
      <c r="A1791" s="15"/>
      <c r="B1791" s="65"/>
      <c r="C1791" s="15"/>
      <c r="D1791" s="19"/>
      <c r="E1791" s="40"/>
      <c r="F1791" s="13"/>
      <c r="G1791" s="78"/>
      <c r="H1791" s="16"/>
      <c r="I1791" s="10"/>
      <c r="J1791" s="10"/>
      <c r="K1791" s="10"/>
      <c r="L1791" s="10"/>
      <c r="M1791" s="10"/>
      <c r="N1791" s="10"/>
      <c r="O1791" s="10"/>
      <c r="P1791" s="38"/>
    </row>
    <row r="1792" spans="1:16" ht="15" customHeight="1" x14ac:dyDescent="0.35">
      <c r="A1792" s="15"/>
      <c r="B1792" s="65"/>
      <c r="C1792" s="15"/>
      <c r="D1792" s="19"/>
      <c r="E1792" s="40"/>
      <c r="F1792" s="13"/>
      <c r="G1792" s="78"/>
      <c r="H1792" s="16"/>
      <c r="I1792" s="10"/>
      <c r="J1792" s="10"/>
      <c r="K1792" s="10"/>
      <c r="L1792" s="10"/>
      <c r="M1792" s="10"/>
      <c r="N1792" s="10"/>
      <c r="O1792" s="10"/>
      <c r="P1792" s="38"/>
    </row>
    <row r="1793" spans="1:16" ht="15" customHeight="1" x14ac:dyDescent="0.35">
      <c r="A1793" s="15"/>
      <c r="B1793" s="65"/>
      <c r="C1793" s="15"/>
      <c r="D1793" s="19"/>
      <c r="E1793" s="40"/>
      <c r="F1793" s="13"/>
      <c r="G1793" s="78"/>
      <c r="H1793" s="16"/>
      <c r="I1793" s="10"/>
      <c r="J1793" s="10"/>
      <c r="K1793" s="10"/>
      <c r="L1793" s="10"/>
      <c r="M1793" s="10"/>
      <c r="N1793" s="10"/>
      <c r="O1793" s="10"/>
      <c r="P1793" s="38"/>
    </row>
    <row r="1794" spans="1:16" ht="15" customHeight="1" x14ac:dyDescent="0.35">
      <c r="A1794" s="15"/>
      <c r="B1794" s="65"/>
      <c r="C1794" s="15"/>
      <c r="D1794" s="19"/>
      <c r="E1794" s="40"/>
      <c r="F1794" s="13"/>
      <c r="G1794" s="78"/>
      <c r="H1794" s="16"/>
      <c r="I1794" s="10"/>
      <c r="J1794" s="10"/>
      <c r="K1794" s="10"/>
      <c r="L1794" s="10"/>
      <c r="M1794" s="10"/>
      <c r="N1794" s="10"/>
      <c r="O1794" s="10"/>
      <c r="P1794" s="38"/>
    </row>
    <row r="1795" spans="1:16" ht="15" customHeight="1" x14ac:dyDescent="0.35">
      <c r="A1795" s="15"/>
      <c r="B1795" s="65"/>
      <c r="C1795" s="15"/>
      <c r="D1795" s="19"/>
      <c r="E1795" s="40"/>
      <c r="F1795" s="13"/>
      <c r="G1795" s="78"/>
      <c r="H1795" s="16"/>
      <c r="I1795" s="10"/>
      <c r="J1795" s="10"/>
      <c r="K1795" s="10"/>
      <c r="L1795" s="10"/>
      <c r="M1795" s="10"/>
      <c r="N1795" s="10"/>
      <c r="O1795" s="10"/>
      <c r="P1795" s="38"/>
    </row>
    <row r="1796" spans="1:16" ht="15" customHeight="1" x14ac:dyDescent="0.35">
      <c r="A1796" s="15"/>
      <c r="B1796" s="65"/>
      <c r="C1796" s="15"/>
      <c r="D1796" s="19"/>
      <c r="E1796" s="40"/>
      <c r="F1796" s="13"/>
      <c r="G1796" s="78"/>
      <c r="H1796" s="16"/>
      <c r="I1796" s="10"/>
      <c r="J1796" s="10"/>
      <c r="K1796" s="10"/>
      <c r="L1796" s="10"/>
      <c r="M1796" s="10"/>
      <c r="N1796" s="10"/>
      <c r="O1796" s="10"/>
      <c r="P1796" s="38"/>
    </row>
    <row r="1797" spans="1:16" ht="15" customHeight="1" x14ac:dyDescent="0.35">
      <c r="A1797" s="15"/>
      <c r="B1797" s="65"/>
      <c r="C1797" s="15"/>
      <c r="D1797" s="19"/>
      <c r="E1797" s="40"/>
      <c r="F1797" s="13"/>
      <c r="G1797" s="78"/>
      <c r="H1797" s="16"/>
      <c r="I1797" s="10"/>
      <c r="J1797" s="10"/>
      <c r="K1797" s="10"/>
      <c r="L1797" s="10"/>
      <c r="M1797" s="10"/>
      <c r="N1797" s="10"/>
      <c r="O1797" s="10"/>
      <c r="P1797" s="38"/>
    </row>
    <row r="1798" spans="1:16" ht="15" customHeight="1" x14ac:dyDescent="0.35">
      <c r="A1798" s="15"/>
      <c r="B1798" s="65"/>
      <c r="C1798" s="15"/>
      <c r="D1798" s="19"/>
      <c r="E1798" s="40"/>
      <c r="F1798" s="13"/>
      <c r="G1798" s="78"/>
      <c r="H1798" s="16"/>
      <c r="I1798" s="10"/>
      <c r="J1798" s="10"/>
      <c r="K1798" s="10"/>
      <c r="L1798" s="10"/>
      <c r="M1798" s="10"/>
      <c r="N1798" s="10"/>
      <c r="O1798" s="10"/>
      <c r="P1798" s="38"/>
    </row>
    <row r="1799" spans="1:16" ht="15" customHeight="1" x14ac:dyDescent="0.35">
      <c r="A1799" s="15"/>
      <c r="B1799" s="65"/>
      <c r="C1799" s="15"/>
      <c r="D1799" s="19"/>
      <c r="E1799" s="40"/>
      <c r="F1799" s="13"/>
      <c r="G1799" s="78"/>
      <c r="H1799" s="16"/>
      <c r="I1799" s="10"/>
      <c r="J1799" s="10"/>
      <c r="K1799" s="10"/>
      <c r="L1799" s="10"/>
      <c r="M1799" s="10"/>
      <c r="N1799" s="10"/>
      <c r="O1799" s="10"/>
      <c r="P1799" s="38"/>
    </row>
    <row r="1800" spans="1:16" ht="15" customHeight="1" x14ac:dyDescent="0.35">
      <c r="A1800" s="15"/>
      <c r="B1800" s="65"/>
      <c r="C1800" s="15"/>
      <c r="D1800" s="19"/>
      <c r="E1800" s="40"/>
      <c r="F1800" s="13"/>
      <c r="G1800" s="78"/>
      <c r="H1800" s="16"/>
      <c r="I1800" s="10"/>
      <c r="J1800" s="10"/>
      <c r="K1800" s="10"/>
      <c r="L1800" s="10"/>
      <c r="M1800" s="10"/>
      <c r="N1800" s="10"/>
      <c r="O1800" s="10"/>
      <c r="P1800" s="38"/>
    </row>
    <row r="1801" spans="1:16" ht="15" customHeight="1" x14ac:dyDescent="0.35">
      <c r="A1801" s="15"/>
      <c r="B1801" s="65"/>
      <c r="C1801" s="15"/>
      <c r="D1801" s="19"/>
      <c r="E1801" s="40"/>
      <c r="F1801" s="13"/>
      <c r="G1801" s="78"/>
      <c r="H1801" s="16"/>
      <c r="I1801" s="10"/>
      <c r="J1801" s="10"/>
      <c r="K1801" s="10"/>
      <c r="L1801" s="10"/>
      <c r="M1801" s="10"/>
      <c r="N1801" s="10"/>
      <c r="O1801" s="10"/>
      <c r="P1801" s="38"/>
    </row>
    <row r="1802" spans="1:16" ht="15" customHeight="1" x14ac:dyDescent="0.35">
      <c r="A1802" s="15"/>
      <c r="B1802" s="65"/>
      <c r="C1802" s="15"/>
      <c r="D1802" s="19"/>
      <c r="E1802" s="40"/>
      <c r="F1802" s="13"/>
      <c r="G1802" s="78"/>
      <c r="H1802" s="16"/>
      <c r="I1802" s="10"/>
      <c r="J1802" s="10"/>
      <c r="K1802" s="10"/>
      <c r="L1802" s="10"/>
      <c r="M1802" s="10"/>
      <c r="N1802" s="10"/>
      <c r="O1802" s="10"/>
      <c r="P1802" s="38"/>
    </row>
    <row r="1803" spans="1:16" ht="15" customHeight="1" x14ac:dyDescent="0.35">
      <c r="A1803" s="15"/>
      <c r="B1803" s="65"/>
      <c r="C1803" s="15"/>
      <c r="D1803" s="19"/>
      <c r="E1803" s="40"/>
      <c r="F1803" s="13"/>
      <c r="G1803" s="78"/>
      <c r="H1803" s="16"/>
      <c r="I1803" s="10"/>
      <c r="J1803" s="10"/>
      <c r="K1803" s="10"/>
      <c r="L1803" s="10"/>
      <c r="M1803" s="10"/>
      <c r="N1803" s="10"/>
      <c r="O1803" s="10"/>
      <c r="P1803" s="38"/>
    </row>
    <row r="1804" spans="1:16" ht="15" customHeight="1" x14ac:dyDescent="0.35">
      <c r="A1804" s="15"/>
      <c r="B1804" s="65"/>
      <c r="C1804" s="15"/>
      <c r="D1804" s="19"/>
      <c r="E1804" s="40"/>
      <c r="F1804" s="13"/>
      <c r="G1804" s="78"/>
      <c r="H1804" s="16"/>
      <c r="I1804" s="10"/>
      <c r="J1804" s="10"/>
      <c r="K1804" s="10"/>
      <c r="L1804" s="10"/>
      <c r="M1804" s="10"/>
      <c r="N1804" s="10"/>
      <c r="O1804" s="10"/>
      <c r="P1804" s="38"/>
    </row>
    <row r="1805" spans="1:16" ht="15" customHeight="1" x14ac:dyDescent="0.35">
      <c r="A1805" s="15"/>
      <c r="B1805" s="65"/>
      <c r="C1805" s="15"/>
      <c r="D1805" s="19"/>
      <c r="E1805" s="40"/>
      <c r="F1805" s="13"/>
      <c r="G1805" s="78"/>
      <c r="H1805" s="16"/>
      <c r="I1805" s="10"/>
      <c r="J1805" s="10"/>
      <c r="K1805" s="10"/>
      <c r="L1805" s="10"/>
      <c r="M1805" s="10"/>
      <c r="N1805" s="10"/>
      <c r="O1805" s="10"/>
      <c r="P1805" s="38"/>
    </row>
    <row r="1806" spans="1:16" ht="15" customHeight="1" x14ac:dyDescent="0.35">
      <c r="A1806" s="15"/>
      <c r="B1806" s="65"/>
      <c r="C1806" s="15"/>
      <c r="D1806" s="19"/>
      <c r="E1806" s="40"/>
      <c r="F1806" s="13"/>
      <c r="G1806" s="78"/>
      <c r="H1806" s="16"/>
      <c r="I1806" s="10"/>
      <c r="J1806" s="10"/>
      <c r="K1806" s="10"/>
      <c r="L1806" s="10"/>
      <c r="M1806" s="10"/>
      <c r="N1806" s="10"/>
      <c r="O1806" s="10"/>
      <c r="P1806" s="38"/>
    </row>
    <row r="1807" spans="1:16" ht="15" customHeight="1" x14ac:dyDescent="0.35">
      <c r="A1807" s="15"/>
      <c r="B1807" s="65"/>
      <c r="C1807" s="15"/>
      <c r="D1807" s="19"/>
      <c r="E1807" s="40"/>
      <c r="F1807" s="13"/>
      <c r="G1807" s="78"/>
      <c r="H1807" s="16"/>
      <c r="I1807" s="10"/>
      <c r="J1807" s="10"/>
      <c r="K1807" s="10"/>
      <c r="L1807" s="10"/>
      <c r="M1807" s="10"/>
      <c r="N1807" s="10"/>
      <c r="O1807" s="10"/>
      <c r="P1807" s="38"/>
    </row>
    <row r="1808" spans="1:16" ht="15" customHeight="1" x14ac:dyDescent="0.35">
      <c r="A1808" s="15"/>
      <c r="B1808" s="65"/>
      <c r="C1808" s="15"/>
      <c r="D1808" s="19"/>
      <c r="E1808" s="40"/>
      <c r="F1808" s="13"/>
      <c r="G1808" s="78"/>
      <c r="H1808" s="16"/>
      <c r="I1808" s="10"/>
      <c r="J1808" s="10"/>
      <c r="K1808" s="10"/>
      <c r="L1808" s="10"/>
      <c r="M1808" s="10"/>
      <c r="N1808" s="10"/>
      <c r="O1808" s="10"/>
      <c r="P1808" s="38"/>
    </row>
    <row r="1809" spans="1:16" ht="15" customHeight="1" x14ac:dyDescent="0.35">
      <c r="A1809" s="15"/>
      <c r="B1809" s="65"/>
      <c r="C1809" s="15"/>
      <c r="D1809" s="19"/>
      <c r="E1809" s="40"/>
      <c r="F1809" s="13"/>
      <c r="G1809" s="78"/>
      <c r="H1809" s="16"/>
      <c r="I1809" s="10"/>
      <c r="J1809" s="10"/>
      <c r="K1809" s="10"/>
      <c r="L1809" s="10"/>
      <c r="M1809" s="10"/>
      <c r="N1809" s="10"/>
      <c r="O1809" s="10"/>
      <c r="P1809" s="38"/>
    </row>
    <row r="1810" spans="1:16" ht="15" customHeight="1" x14ac:dyDescent="0.35">
      <c r="A1810" s="15"/>
      <c r="B1810" s="65"/>
      <c r="C1810" s="15"/>
      <c r="D1810" s="19"/>
      <c r="E1810" s="40"/>
      <c r="F1810" s="13"/>
      <c r="G1810" s="78"/>
      <c r="H1810" s="16"/>
      <c r="I1810" s="10"/>
      <c r="J1810" s="10"/>
      <c r="K1810" s="10"/>
      <c r="L1810" s="10"/>
      <c r="M1810" s="10"/>
      <c r="N1810" s="10"/>
      <c r="O1810" s="10"/>
      <c r="P1810" s="38"/>
    </row>
    <row r="1811" spans="1:16" ht="15" customHeight="1" x14ac:dyDescent="0.35">
      <c r="A1811" s="15"/>
      <c r="B1811" s="65"/>
      <c r="C1811" s="15"/>
      <c r="D1811" s="19"/>
      <c r="E1811" s="40"/>
      <c r="F1811" s="13"/>
      <c r="G1811" s="78"/>
      <c r="H1811" s="16"/>
      <c r="I1811" s="10"/>
      <c r="J1811" s="10"/>
      <c r="K1811" s="10"/>
      <c r="L1811" s="10"/>
      <c r="M1811" s="10"/>
      <c r="N1811" s="10"/>
      <c r="O1811" s="10"/>
      <c r="P1811" s="38"/>
    </row>
    <row r="1812" spans="1:16" ht="15" customHeight="1" x14ac:dyDescent="0.35">
      <c r="A1812" s="15"/>
      <c r="B1812" s="65"/>
      <c r="C1812" s="15"/>
      <c r="D1812" s="19"/>
      <c r="E1812" s="40"/>
      <c r="F1812" s="13"/>
      <c r="G1812" s="78"/>
      <c r="H1812" s="16"/>
      <c r="I1812" s="10"/>
      <c r="J1812" s="10"/>
      <c r="K1812" s="10"/>
      <c r="L1812" s="10"/>
      <c r="M1812" s="10"/>
      <c r="N1812" s="10"/>
      <c r="O1812" s="10"/>
      <c r="P1812" s="38"/>
    </row>
    <row r="1813" spans="1:16" ht="15" customHeight="1" x14ac:dyDescent="0.35">
      <c r="A1813" s="15"/>
      <c r="B1813" s="65"/>
      <c r="C1813" s="15"/>
      <c r="D1813" s="19"/>
      <c r="E1813" s="40"/>
      <c r="F1813" s="13"/>
      <c r="G1813" s="78"/>
      <c r="H1813" s="16"/>
      <c r="I1813" s="10"/>
      <c r="J1813" s="10"/>
      <c r="K1813" s="10"/>
      <c r="L1813" s="10"/>
      <c r="M1813" s="10"/>
      <c r="N1813" s="10"/>
      <c r="O1813" s="10"/>
      <c r="P1813" s="38"/>
    </row>
    <row r="1814" spans="1:16" ht="15" customHeight="1" x14ac:dyDescent="0.35">
      <c r="A1814" s="15"/>
      <c r="B1814" s="65"/>
      <c r="C1814" s="15"/>
      <c r="D1814" s="19"/>
      <c r="E1814" s="40"/>
      <c r="F1814" s="13"/>
      <c r="G1814" s="78"/>
      <c r="H1814" s="16"/>
      <c r="I1814" s="10"/>
      <c r="J1814" s="10"/>
      <c r="K1814" s="10"/>
      <c r="L1814" s="10"/>
      <c r="M1814" s="10"/>
      <c r="N1814" s="10"/>
      <c r="O1814" s="10"/>
      <c r="P1814" s="38"/>
    </row>
    <row r="1815" spans="1:16" ht="15" customHeight="1" x14ac:dyDescent="0.35">
      <c r="A1815" s="15"/>
      <c r="B1815" s="65"/>
      <c r="C1815" s="15"/>
      <c r="D1815" s="19"/>
      <c r="E1815" s="40"/>
      <c r="F1815" s="13"/>
      <c r="G1815" s="78"/>
      <c r="H1815" s="16"/>
      <c r="I1815" s="10"/>
      <c r="J1815" s="10"/>
      <c r="K1815" s="10"/>
      <c r="L1815" s="10"/>
      <c r="M1815" s="10"/>
      <c r="N1815" s="10"/>
      <c r="O1815" s="10"/>
      <c r="P1815" s="38"/>
    </row>
    <row r="1816" spans="1:16" ht="15" customHeight="1" x14ac:dyDescent="0.35">
      <c r="A1816" s="15"/>
      <c r="B1816" s="65"/>
      <c r="C1816" s="15"/>
      <c r="D1816" s="19"/>
      <c r="E1816" s="40"/>
      <c r="F1816" s="13"/>
      <c r="G1816" s="78"/>
      <c r="H1816" s="16"/>
      <c r="I1816" s="10"/>
      <c r="J1816" s="10"/>
      <c r="K1816" s="10"/>
      <c r="L1816" s="10"/>
      <c r="M1816" s="10"/>
      <c r="N1816" s="10"/>
      <c r="O1816" s="10"/>
      <c r="P1816" s="38"/>
    </row>
    <row r="1817" spans="1:16" ht="15" customHeight="1" x14ac:dyDescent="0.35">
      <c r="A1817" s="15"/>
      <c r="B1817" s="65"/>
      <c r="C1817" s="15"/>
      <c r="D1817" s="19"/>
      <c r="E1817" s="40"/>
      <c r="F1817" s="13"/>
      <c r="G1817" s="78"/>
      <c r="H1817" s="16"/>
      <c r="I1817" s="10"/>
      <c r="J1817" s="10"/>
      <c r="K1817" s="10"/>
      <c r="L1817" s="10"/>
      <c r="M1817" s="10"/>
      <c r="N1817" s="10"/>
      <c r="O1817" s="10"/>
      <c r="P1817" s="38"/>
    </row>
    <row r="1818" spans="1:16" ht="15" customHeight="1" x14ac:dyDescent="0.35">
      <c r="A1818" s="15"/>
      <c r="B1818" s="65"/>
      <c r="C1818" s="15"/>
      <c r="D1818" s="19"/>
      <c r="E1818" s="40"/>
      <c r="F1818" s="13"/>
      <c r="G1818" s="78"/>
      <c r="H1818" s="16"/>
      <c r="I1818" s="10"/>
      <c r="J1818" s="10"/>
      <c r="K1818" s="10"/>
      <c r="L1818" s="10"/>
      <c r="M1818" s="10"/>
      <c r="N1818" s="10"/>
      <c r="O1818" s="10"/>
      <c r="P1818" s="38"/>
    </row>
    <row r="1819" spans="1:16" ht="15" customHeight="1" x14ac:dyDescent="0.35">
      <c r="A1819" s="15"/>
      <c r="B1819" s="65"/>
      <c r="C1819" s="15"/>
      <c r="D1819" s="19"/>
      <c r="E1819" s="40"/>
      <c r="F1819" s="13"/>
      <c r="G1819" s="78"/>
      <c r="H1819" s="16"/>
      <c r="I1819" s="10"/>
      <c r="J1819" s="10"/>
      <c r="K1819" s="10"/>
      <c r="L1819" s="10"/>
      <c r="M1819" s="10"/>
      <c r="N1819" s="10"/>
      <c r="O1819" s="10"/>
      <c r="P1819" s="38"/>
    </row>
    <row r="1820" spans="1:16" ht="15" customHeight="1" x14ac:dyDescent="0.35">
      <c r="A1820" s="15"/>
      <c r="B1820" s="65"/>
      <c r="C1820" s="15"/>
      <c r="D1820" s="19"/>
      <c r="E1820" s="40"/>
      <c r="F1820" s="13"/>
      <c r="G1820" s="78"/>
      <c r="H1820" s="16"/>
      <c r="I1820" s="10"/>
      <c r="J1820" s="10"/>
      <c r="K1820" s="10"/>
      <c r="L1820" s="10"/>
      <c r="M1820" s="10"/>
      <c r="N1820" s="10"/>
      <c r="O1820" s="10"/>
      <c r="P1820" s="38"/>
    </row>
    <row r="1821" spans="1:16" ht="15" customHeight="1" x14ac:dyDescent="0.35">
      <c r="A1821" s="15"/>
      <c r="B1821" s="65"/>
      <c r="C1821" s="15"/>
      <c r="D1821" s="19"/>
      <c r="E1821" s="40"/>
      <c r="F1821" s="13"/>
      <c r="G1821" s="78"/>
      <c r="H1821" s="16"/>
      <c r="I1821" s="10"/>
      <c r="J1821" s="10"/>
      <c r="K1821" s="10"/>
      <c r="L1821" s="10"/>
      <c r="M1821" s="10"/>
      <c r="N1821" s="10"/>
      <c r="O1821" s="10"/>
      <c r="P1821" s="38"/>
    </row>
    <row r="1822" spans="1:16" ht="15" customHeight="1" x14ac:dyDescent="0.35">
      <c r="A1822" s="15"/>
      <c r="B1822" s="65"/>
      <c r="C1822" s="15"/>
      <c r="D1822" s="19"/>
      <c r="E1822" s="40"/>
      <c r="F1822" s="13"/>
      <c r="G1822" s="78"/>
      <c r="H1822" s="16"/>
      <c r="I1822" s="10"/>
      <c r="J1822" s="10"/>
      <c r="K1822" s="10"/>
      <c r="L1822" s="10"/>
      <c r="M1822" s="10"/>
      <c r="N1822" s="10"/>
      <c r="O1822" s="10"/>
      <c r="P1822" s="38"/>
    </row>
    <row r="1823" spans="1:16" ht="15" customHeight="1" x14ac:dyDescent="0.35">
      <c r="A1823" s="15"/>
      <c r="B1823" s="65"/>
      <c r="C1823" s="15"/>
      <c r="D1823" s="19"/>
      <c r="E1823" s="40"/>
      <c r="F1823" s="13"/>
      <c r="G1823" s="78"/>
      <c r="H1823" s="16"/>
      <c r="I1823" s="10"/>
      <c r="J1823" s="10"/>
      <c r="K1823" s="10"/>
      <c r="L1823" s="10"/>
      <c r="M1823" s="10"/>
      <c r="N1823" s="10"/>
      <c r="O1823" s="10"/>
      <c r="P1823" s="38"/>
    </row>
    <row r="1824" spans="1:16" ht="15" customHeight="1" x14ac:dyDescent="0.35">
      <c r="A1824" s="15"/>
      <c r="B1824" s="65"/>
      <c r="C1824" s="15"/>
      <c r="D1824" s="19"/>
      <c r="E1824" s="40"/>
      <c r="F1824" s="13"/>
      <c r="G1824" s="78"/>
      <c r="H1824" s="16"/>
      <c r="I1824" s="10"/>
      <c r="J1824" s="10"/>
      <c r="K1824" s="10"/>
      <c r="L1824" s="10"/>
      <c r="M1824" s="10"/>
      <c r="N1824" s="10"/>
      <c r="O1824" s="10"/>
      <c r="P1824" s="38"/>
    </row>
    <row r="1825" spans="1:16" ht="15" customHeight="1" x14ac:dyDescent="0.35">
      <c r="A1825" s="15"/>
      <c r="B1825" s="65"/>
      <c r="C1825" s="15"/>
      <c r="D1825" s="19"/>
      <c r="E1825" s="40"/>
      <c r="F1825" s="13"/>
      <c r="G1825" s="78"/>
      <c r="H1825" s="16"/>
      <c r="I1825" s="10"/>
      <c r="J1825" s="10"/>
      <c r="K1825" s="10"/>
      <c r="L1825" s="10"/>
      <c r="M1825" s="10"/>
      <c r="N1825" s="10"/>
      <c r="O1825" s="10"/>
      <c r="P1825" s="38"/>
    </row>
    <row r="1826" spans="1:16" ht="15" customHeight="1" x14ac:dyDescent="0.35">
      <c r="A1826" s="15"/>
      <c r="B1826" s="65"/>
      <c r="C1826" s="15"/>
      <c r="D1826" s="19"/>
      <c r="E1826" s="40"/>
      <c r="F1826" s="13"/>
      <c r="G1826" s="78"/>
      <c r="H1826" s="16"/>
      <c r="I1826" s="10"/>
      <c r="J1826" s="10"/>
      <c r="K1826" s="10"/>
      <c r="L1826" s="10"/>
      <c r="M1826" s="10"/>
      <c r="N1826" s="10"/>
      <c r="O1826" s="10"/>
      <c r="P1826" s="38"/>
    </row>
    <row r="1827" spans="1:16" ht="15" customHeight="1" x14ac:dyDescent="0.35">
      <c r="A1827" s="15"/>
      <c r="B1827" s="65"/>
      <c r="C1827" s="15"/>
      <c r="D1827" s="19"/>
      <c r="E1827" s="40"/>
      <c r="F1827" s="13"/>
      <c r="G1827" s="78"/>
      <c r="H1827" s="16"/>
      <c r="I1827" s="10"/>
      <c r="J1827" s="10"/>
      <c r="K1827" s="10"/>
      <c r="L1827" s="10"/>
      <c r="M1827" s="10"/>
      <c r="N1827" s="10"/>
      <c r="O1827" s="10"/>
      <c r="P1827" s="38"/>
    </row>
    <row r="1828" spans="1:16" ht="15" customHeight="1" x14ac:dyDescent="0.35">
      <c r="A1828" s="15"/>
      <c r="B1828" s="65"/>
      <c r="C1828" s="15"/>
      <c r="D1828" s="19"/>
      <c r="E1828" s="40"/>
      <c r="F1828" s="13"/>
      <c r="G1828" s="78"/>
      <c r="H1828" s="16"/>
      <c r="I1828" s="10"/>
      <c r="J1828" s="10"/>
      <c r="K1828" s="10"/>
      <c r="L1828" s="10"/>
      <c r="M1828" s="10"/>
      <c r="N1828" s="10"/>
      <c r="O1828" s="10"/>
      <c r="P1828" s="38"/>
    </row>
    <row r="1829" spans="1:16" ht="15" customHeight="1" x14ac:dyDescent="0.35">
      <c r="A1829" s="15"/>
      <c r="B1829" s="65"/>
      <c r="C1829" s="15"/>
      <c r="D1829" s="19"/>
      <c r="E1829" s="40"/>
      <c r="F1829" s="13"/>
      <c r="G1829" s="78"/>
      <c r="H1829" s="16"/>
      <c r="I1829" s="10"/>
      <c r="J1829" s="10"/>
      <c r="K1829" s="10"/>
      <c r="L1829" s="10"/>
      <c r="M1829" s="10"/>
      <c r="N1829" s="10"/>
      <c r="O1829" s="10"/>
      <c r="P1829" s="38"/>
    </row>
    <row r="1830" spans="1:16" ht="15" customHeight="1" x14ac:dyDescent="0.35">
      <c r="A1830" s="15"/>
      <c r="B1830" s="65"/>
      <c r="C1830" s="15"/>
      <c r="D1830" s="19"/>
      <c r="E1830" s="40"/>
      <c r="F1830" s="13"/>
      <c r="G1830" s="78"/>
      <c r="H1830" s="16"/>
      <c r="I1830" s="10"/>
      <c r="J1830" s="10"/>
      <c r="K1830" s="10"/>
      <c r="L1830" s="10"/>
      <c r="M1830" s="10"/>
      <c r="N1830" s="10"/>
      <c r="O1830" s="10"/>
      <c r="P1830" s="38"/>
    </row>
    <row r="1831" spans="1:16" ht="15" customHeight="1" x14ac:dyDescent="0.35">
      <c r="A1831" s="15"/>
      <c r="B1831" s="65"/>
      <c r="C1831" s="15"/>
      <c r="D1831" s="19"/>
      <c r="E1831" s="40"/>
      <c r="F1831" s="13"/>
      <c r="G1831" s="78"/>
      <c r="H1831" s="16"/>
      <c r="I1831" s="10"/>
      <c r="J1831" s="10"/>
      <c r="K1831" s="10"/>
      <c r="L1831" s="10"/>
      <c r="M1831" s="10"/>
      <c r="N1831" s="10"/>
      <c r="O1831" s="10"/>
      <c r="P1831" s="38"/>
    </row>
    <row r="1832" spans="1:16" ht="15" customHeight="1" x14ac:dyDescent="0.35">
      <c r="A1832" s="15"/>
      <c r="B1832" s="65"/>
      <c r="C1832" s="15"/>
      <c r="D1832" s="19"/>
      <c r="E1832" s="40"/>
      <c r="F1832" s="13"/>
      <c r="G1832" s="78"/>
      <c r="H1832" s="16"/>
      <c r="I1832" s="10"/>
      <c r="J1832" s="10"/>
      <c r="K1832" s="10"/>
      <c r="L1832" s="10"/>
      <c r="M1832" s="10"/>
      <c r="N1832" s="10"/>
      <c r="O1832" s="10"/>
      <c r="P1832" s="38"/>
    </row>
    <row r="1833" spans="1:16" ht="15" customHeight="1" x14ac:dyDescent="0.35">
      <c r="A1833" s="15"/>
      <c r="B1833" s="65"/>
      <c r="C1833" s="15"/>
      <c r="D1833" s="19"/>
      <c r="E1833" s="40"/>
      <c r="F1833" s="13"/>
      <c r="G1833" s="78"/>
      <c r="H1833" s="16"/>
      <c r="I1833" s="10"/>
      <c r="J1833" s="10"/>
      <c r="K1833" s="10"/>
      <c r="L1833" s="10"/>
      <c r="M1833" s="10"/>
      <c r="N1833" s="10"/>
      <c r="O1833" s="10"/>
      <c r="P1833" s="38"/>
    </row>
    <row r="1834" spans="1:16" ht="15" customHeight="1" x14ac:dyDescent="0.35">
      <c r="A1834" s="15"/>
      <c r="B1834" s="65"/>
      <c r="C1834" s="15"/>
      <c r="D1834" s="19"/>
      <c r="E1834" s="40"/>
      <c r="F1834" s="13"/>
      <c r="G1834" s="78"/>
      <c r="H1834" s="16"/>
      <c r="I1834" s="10"/>
      <c r="J1834" s="10"/>
      <c r="K1834" s="10"/>
      <c r="L1834" s="10"/>
      <c r="M1834" s="10"/>
      <c r="N1834" s="10"/>
      <c r="O1834" s="10"/>
      <c r="P1834" s="38"/>
    </row>
    <row r="1835" spans="1:16" ht="15" customHeight="1" x14ac:dyDescent="0.35">
      <c r="A1835" s="15"/>
      <c r="B1835" s="65"/>
      <c r="C1835" s="15"/>
      <c r="D1835" s="19"/>
      <c r="E1835" s="40"/>
      <c r="F1835" s="13"/>
      <c r="G1835" s="78"/>
      <c r="H1835" s="16"/>
      <c r="I1835" s="10"/>
      <c r="J1835" s="10"/>
      <c r="K1835" s="10"/>
      <c r="L1835" s="10"/>
      <c r="M1835" s="10"/>
      <c r="N1835" s="10"/>
      <c r="O1835" s="10"/>
      <c r="P1835" s="38"/>
    </row>
    <row r="1836" spans="1:16" ht="15" customHeight="1" x14ac:dyDescent="0.35">
      <c r="A1836" s="15"/>
      <c r="B1836" s="65"/>
      <c r="C1836" s="15"/>
      <c r="D1836" s="19"/>
      <c r="E1836" s="40"/>
      <c r="F1836" s="13"/>
      <c r="G1836" s="78"/>
      <c r="H1836" s="16"/>
      <c r="I1836" s="10"/>
      <c r="J1836" s="10"/>
      <c r="K1836" s="10"/>
      <c r="L1836" s="10"/>
      <c r="M1836" s="10"/>
      <c r="N1836" s="10"/>
      <c r="O1836" s="10"/>
      <c r="P1836" s="38"/>
    </row>
    <row r="1837" spans="1:16" ht="15" customHeight="1" x14ac:dyDescent="0.35">
      <c r="A1837" s="15"/>
      <c r="B1837" s="65"/>
      <c r="C1837" s="15"/>
      <c r="D1837" s="19"/>
      <c r="E1837" s="40"/>
      <c r="F1837" s="13"/>
      <c r="G1837" s="78"/>
      <c r="H1837" s="16"/>
      <c r="I1837" s="10"/>
      <c r="J1837" s="10"/>
      <c r="K1837" s="10"/>
      <c r="L1837" s="10"/>
      <c r="M1837" s="10"/>
      <c r="N1837" s="10"/>
      <c r="O1837" s="10"/>
      <c r="P1837" s="38"/>
    </row>
    <row r="1838" spans="1:16" ht="15" customHeight="1" x14ac:dyDescent="0.35">
      <c r="A1838" s="15"/>
      <c r="B1838" s="65"/>
      <c r="C1838" s="15"/>
      <c r="D1838" s="19"/>
      <c r="E1838" s="40"/>
      <c r="F1838" s="13"/>
      <c r="G1838" s="78"/>
      <c r="H1838" s="16"/>
      <c r="I1838" s="10"/>
      <c r="J1838" s="10"/>
      <c r="K1838" s="10"/>
      <c r="L1838" s="10"/>
      <c r="M1838" s="10"/>
      <c r="N1838" s="10"/>
      <c r="O1838" s="10"/>
      <c r="P1838" s="38"/>
    </row>
    <row r="1839" spans="1:16" ht="15" customHeight="1" x14ac:dyDescent="0.35">
      <c r="A1839" s="15"/>
      <c r="B1839" s="65"/>
      <c r="C1839" s="15"/>
      <c r="D1839" s="19"/>
      <c r="E1839" s="40"/>
      <c r="F1839" s="13"/>
      <c r="G1839" s="78"/>
      <c r="H1839" s="16"/>
      <c r="I1839" s="10"/>
      <c r="J1839" s="10"/>
      <c r="K1839" s="10"/>
      <c r="L1839" s="10"/>
      <c r="M1839" s="10"/>
      <c r="N1839" s="10"/>
      <c r="O1839" s="10"/>
      <c r="P1839" s="38"/>
    </row>
    <row r="1840" spans="1:16" ht="15" customHeight="1" x14ac:dyDescent="0.35">
      <c r="A1840" s="15"/>
      <c r="B1840" s="65"/>
      <c r="C1840" s="15"/>
      <c r="D1840" s="19"/>
      <c r="E1840" s="40"/>
      <c r="F1840" s="13"/>
      <c r="G1840" s="78"/>
      <c r="H1840" s="16"/>
      <c r="I1840" s="10"/>
      <c r="J1840" s="10"/>
      <c r="K1840" s="10"/>
      <c r="L1840" s="10"/>
      <c r="M1840" s="10"/>
      <c r="N1840" s="10"/>
      <c r="O1840" s="10"/>
      <c r="P1840" s="38"/>
    </row>
    <row r="1841" spans="1:16" ht="15" customHeight="1" x14ac:dyDescent="0.35">
      <c r="A1841" s="15"/>
      <c r="B1841" s="65"/>
      <c r="C1841" s="15"/>
      <c r="D1841" s="19"/>
      <c r="E1841" s="40"/>
      <c r="F1841" s="13"/>
      <c r="G1841" s="78"/>
      <c r="H1841" s="16"/>
      <c r="I1841" s="10"/>
      <c r="J1841" s="10"/>
      <c r="K1841" s="10"/>
      <c r="L1841" s="10"/>
      <c r="M1841" s="10"/>
      <c r="N1841" s="10"/>
      <c r="O1841" s="10"/>
      <c r="P1841" s="38"/>
    </row>
    <row r="1842" spans="1:16" ht="15" customHeight="1" x14ac:dyDescent="0.35">
      <c r="A1842" s="15"/>
      <c r="B1842" s="65"/>
      <c r="C1842" s="15"/>
      <c r="D1842" s="19"/>
      <c r="E1842" s="40"/>
      <c r="F1842" s="13"/>
      <c r="G1842" s="78"/>
      <c r="H1842" s="16"/>
      <c r="I1842" s="10"/>
      <c r="J1842" s="10"/>
      <c r="K1842" s="10"/>
      <c r="L1842" s="10"/>
      <c r="M1842" s="10"/>
      <c r="N1842" s="10"/>
      <c r="O1842" s="10"/>
      <c r="P1842" s="38"/>
    </row>
    <row r="1843" spans="1:16" ht="15" customHeight="1" x14ac:dyDescent="0.35">
      <c r="A1843" s="15"/>
      <c r="B1843" s="65"/>
      <c r="C1843" s="15"/>
      <c r="D1843" s="19"/>
      <c r="E1843" s="40"/>
      <c r="F1843" s="13"/>
      <c r="G1843" s="78"/>
      <c r="H1843" s="16"/>
      <c r="I1843" s="10"/>
      <c r="J1843" s="10"/>
      <c r="K1843" s="10"/>
      <c r="L1843" s="10"/>
      <c r="M1843" s="10"/>
      <c r="N1843" s="10"/>
      <c r="O1843" s="10"/>
      <c r="P1843" s="38"/>
    </row>
    <row r="1844" spans="1:16" ht="15" customHeight="1" x14ac:dyDescent="0.35">
      <c r="A1844" s="15"/>
      <c r="B1844" s="65"/>
      <c r="C1844" s="15"/>
      <c r="D1844" s="19"/>
      <c r="E1844" s="40"/>
      <c r="F1844" s="13"/>
      <c r="G1844" s="78"/>
      <c r="H1844" s="16"/>
      <c r="I1844" s="10"/>
      <c r="J1844" s="10"/>
      <c r="K1844" s="10"/>
      <c r="L1844" s="10"/>
      <c r="M1844" s="10"/>
      <c r="N1844" s="10"/>
      <c r="O1844" s="10"/>
      <c r="P1844" s="38"/>
    </row>
    <row r="1845" spans="1:16" ht="15" customHeight="1" x14ac:dyDescent="0.35">
      <c r="A1845" s="15"/>
      <c r="B1845" s="65"/>
      <c r="C1845" s="15"/>
      <c r="D1845" s="19"/>
      <c r="E1845" s="40"/>
      <c r="F1845" s="13"/>
      <c r="G1845" s="78"/>
      <c r="H1845" s="16"/>
      <c r="I1845" s="10"/>
      <c r="J1845" s="10"/>
      <c r="K1845" s="10"/>
      <c r="L1845" s="10"/>
      <c r="M1845" s="10"/>
      <c r="N1845" s="10"/>
      <c r="O1845" s="10"/>
      <c r="P1845" s="38"/>
    </row>
    <row r="1846" spans="1:16" ht="15" customHeight="1" x14ac:dyDescent="0.35">
      <c r="A1846" s="15"/>
      <c r="B1846" s="65"/>
      <c r="C1846" s="15"/>
      <c r="D1846" s="19"/>
      <c r="E1846" s="40"/>
      <c r="F1846" s="13"/>
      <c r="G1846" s="78"/>
      <c r="H1846" s="16"/>
      <c r="I1846" s="10"/>
      <c r="J1846" s="10"/>
      <c r="K1846" s="10"/>
      <c r="L1846" s="10"/>
      <c r="M1846" s="10"/>
      <c r="N1846" s="10"/>
      <c r="O1846" s="10"/>
      <c r="P1846" s="38"/>
    </row>
    <row r="1847" spans="1:16" ht="15" customHeight="1" x14ac:dyDescent="0.35">
      <c r="A1847" s="15"/>
      <c r="B1847" s="65"/>
      <c r="C1847" s="15"/>
      <c r="D1847" s="19"/>
      <c r="E1847" s="40"/>
      <c r="F1847" s="13"/>
      <c r="G1847" s="78"/>
      <c r="H1847" s="16"/>
      <c r="I1847" s="10"/>
      <c r="J1847" s="10"/>
      <c r="K1847" s="10"/>
      <c r="L1847" s="10"/>
      <c r="M1847" s="10"/>
      <c r="N1847" s="10"/>
      <c r="O1847" s="10"/>
      <c r="P1847" s="38"/>
    </row>
    <row r="1848" spans="1:16" ht="15" customHeight="1" x14ac:dyDescent="0.35">
      <c r="A1848" s="15"/>
      <c r="B1848" s="65"/>
      <c r="C1848" s="15"/>
      <c r="D1848" s="19"/>
      <c r="E1848" s="40"/>
      <c r="F1848" s="13"/>
      <c r="G1848" s="78"/>
      <c r="H1848" s="16"/>
      <c r="I1848" s="10"/>
      <c r="J1848" s="10"/>
      <c r="K1848" s="10"/>
      <c r="L1848" s="10"/>
      <c r="M1848" s="10"/>
      <c r="N1848" s="10"/>
      <c r="O1848" s="10"/>
      <c r="P1848" s="38"/>
    </row>
    <row r="1849" spans="1:16" ht="15" customHeight="1" x14ac:dyDescent="0.35">
      <c r="A1849" s="15"/>
      <c r="B1849" s="65"/>
      <c r="C1849" s="15"/>
      <c r="D1849" s="19"/>
      <c r="E1849" s="40"/>
      <c r="F1849" s="13"/>
      <c r="G1849" s="78"/>
      <c r="H1849" s="16"/>
      <c r="I1849" s="10"/>
      <c r="J1849" s="10"/>
      <c r="K1849" s="10"/>
      <c r="L1849" s="10"/>
      <c r="M1849" s="10"/>
      <c r="N1849" s="10"/>
      <c r="O1849" s="10"/>
      <c r="P1849" s="38"/>
    </row>
    <row r="1850" spans="1:16" ht="15" customHeight="1" x14ac:dyDescent="0.35">
      <c r="A1850" s="15"/>
      <c r="B1850" s="65"/>
      <c r="C1850" s="15"/>
      <c r="D1850" s="19"/>
      <c r="E1850" s="40"/>
      <c r="F1850" s="13"/>
      <c r="G1850" s="78"/>
      <c r="H1850" s="16"/>
      <c r="I1850" s="10"/>
      <c r="J1850" s="10"/>
      <c r="K1850" s="10"/>
      <c r="L1850" s="10"/>
      <c r="M1850" s="10"/>
      <c r="N1850" s="10"/>
      <c r="O1850" s="10"/>
      <c r="P1850" s="38"/>
    </row>
    <row r="1851" spans="1:16" ht="15" customHeight="1" x14ac:dyDescent="0.35">
      <c r="A1851" s="15"/>
      <c r="B1851" s="65"/>
      <c r="C1851" s="15"/>
      <c r="D1851" s="19"/>
      <c r="E1851" s="40"/>
      <c r="F1851" s="13"/>
      <c r="G1851" s="78"/>
      <c r="H1851" s="16"/>
      <c r="I1851" s="10"/>
      <c r="J1851" s="10"/>
      <c r="K1851" s="10"/>
      <c r="L1851" s="10"/>
      <c r="M1851" s="10"/>
      <c r="N1851" s="10"/>
      <c r="O1851" s="10"/>
      <c r="P1851" s="38"/>
    </row>
    <row r="1852" spans="1:16" ht="15" customHeight="1" x14ac:dyDescent="0.35">
      <c r="A1852" s="15"/>
      <c r="B1852" s="65"/>
      <c r="C1852" s="15"/>
      <c r="D1852" s="19"/>
      <c r="E1852" s="40"/>
      <c r="F1852" s="13"/>
      <c r="G1852" s="78"/>
      <c r="H1852" s="16"/>
      <c r="I1852" s="10"/>
      <c r="J1852" s="10"/>
      <c r="K1852" s="10"/>
      <c r="L1852" s="10"/>
      <c r="M1852" s="10"/>
      <c r="N1852" s="10"/>
      <c r="O1852" s="10"/>
      <c r="P1852" s="38"/>
    </row>
    <row r="1853" spans="1:16" ht="15" customHeight="1" x14ac:dyDescent="0.35">
      <c r="A1853" s="15"/>
      <c r="B1853" s="65"/>
      <c r="C1853" s="15"/>
      <c r="D1853" s="19"/>
      <c r="E1853" s="40"/>
      <c r="F1853" s="13"/>
      <c r="G1853" s="78"/>
      <c r="H1853" s="16"/>
      <c r="I1853" s="10"/>
      <c r="J1853" s="10"/>
      <c r="K1853" s="10"/>
      <c r="L1853" s="10"/>
      <c r="M1853" s="10"/>
      <c r="N1853" s="10"/>
      <c r="O1853" s="10"/>
      <c r="P1853" s="38"/>
    </row>
    <row r="1854" spans="1:16" ht="15" customHeight="1" x14ac:dyDescent="0.35">
      <c r="A1854" s="15"/>
      <c r="B1854" s="65"/>
      <c r="C1854" s="15"/>
      <c r="D1854" s="19"/>
      <c r="E1854" s="40"/>
      <c r="F1854" s="13"/>
      <c r="G1854" s="78"/>
      <c r="H1854" s="16"/>
      <c r="I1854" s="10"/>
      <c r="J1854" s="10"/>
      <c r="K1854" s="10"/>
      <c r="L1854" s="10"/>
      <c r="M1854" s="10"/>
      <c r="N1854" s="10"/>
      <c r="O1854" s="10"/>
      <c r="P1854" s="38"/>
    </row>
    <row r="1855" spans="1:16" ht="15" customHeight="1" x14ac:dyDescent="0.35">
      <c r="A1855" s="15"/>
      <c r="B1855" s="65"/>
      <c r="C1855" s="15"/>
      <c r="D1855" s="19"/>
      <c r="E1855" s="40"/>
      <c r="F1855" s="13"/>
      <c r="G1855" s="78"/>
      <c r="H1855" s="16"/>
      <c r="I1855" s="10"/>
      <c r="J1855" s="10"/>
      <c r="K1855" s="10"/>
      <c r="L1855" s="10"/>
      <c r="M1855" s="10"/>
      <c r="N1855" s="10"/>
      <c r="O1855" s="10"/>
      <c r="P1855" s="38"/>
    </row>
    <row r="1856" spans="1:16" ht="15" customHeight="1" x14ac:dyDescent="0.35">
      <c r="A1856" s="15"/>
      <c r="B1856" s="65"/>
      <c r="C1856" s="15"/>
      <c r="D1856" s="19"/>
      <c r="E1856" s="40"/>
      <c r="F1856" s="13"/>
      <c r="G1856" s="78"/>
      <c r="H1856" s="16"/>
      <c r="I1856" s="10"/>
      <c r="J1856" s="10"/>
      <c r="K1856" s="10"/>
      <c r="L1856" s="10"/>
      <c r="M1856" s="10"/>
      <c r="N1856" s="10"/>
      <c r="O1856" s="10"/>
      <c r="P1856" s="38"/>
    </row>
    <row r="1857" spans="1:16" ht="15" customHeight="1" x14ac:dyDescent="0.35">
      <c r="A1857" s="15"/>
      <c r="B1857" s="65"/>
      <c r="C1857" s="15"/>
      <c r="D1857" s="19"/>
      <c r="E1857" s="40"/>
      <c r="F1857" s="13"/>
      <c r="G1857" s="78"/>
      <c r="H1857" s="16"/>
      <c r="I1857" s="10"/>
      <c r="J1857" s="10"/>
      <c r="K1857" s="10"/>
      <c r="L1857" s="10"/>
      <c r="M1857" s="10"/>
      <c r="N1857" s="10"/>
      <c r="O1857" s="10"/>
      <c r="P1857" s="38"/>
    </row>
    <row r="1858" spans="1:16" ht="15" customHeight="1" x14ac:dyDescent="0.35">
      <c r="A1858" s="15"/>
      <c r="B1858" s="65"/>
      <c r="C1858" s="15"/>
      <c r="D1858" s="19"/>
      <c r="E1858" s="40"/>
      <c r="F1858" s="13"/>
      <c r="G1858" s="78"/>
      <c r="H1858" s="16"/>
      <c r="I1858" s="10"/>
      <c r="J1858" s="10"/>
      <c r="K1858" s="10"/>
      <c r="L1858" s="10"/>
      <c r="M1858" s="10"/>
      <c r="N1858" s="10"/>
      <c r="O1858" s="10"/>
      <c r="P1858" s="38"/>
    </row>
    <row r="1859" spans="1:16" ht="15" customHeight="1" x14ac:dyDescent="0.35">
      <c r="A1859" s="15"/>
      <c r="B1859" s="65"/>
      <c r="C1859" s="15"/>
      <c r="D1859" s="19"/>
      <c r="E1859" s="40"/>
      <c r="F1859" s="13"/>
      <c r="G1859" s="78"/>
      <c r="H1859" s="16"/>
      <c r="I1859" s="10"/>
      <c r="J1859" s="10"/>
      <c r="K1859" s="10"/>
      <c r="L1859" s="10"/>
      <c r="M1859" s="10"/>
      <c r="N1859" s="10"/>
      <c r="O1859" s="10"/>
      <c r="P1859" s="38"/>
    </row>
    <row r="1860" spans="1:16" ht="15" customHeight="1" x14ac:dyDescent="0.35">
      <c r="A1860" s="15"/>
      <c r="B1860" s="65"/>
      <c r="C1860" s="15"/>
      <c r="D1860" s="19"/>
      <c r="E1860" s="40"/>
      <c r="F1860" s="13"/>
      <c r="G1860" s="78"/>
      <c r="H1860" s="16"/>
      <c r="I1860" s="10"/>
      <c r="J1860" s="10"/>
      <c r="K1860" s="10"/>
      <c r="L1860" s="10"/>
      <c r="M1860" s="10"/>
      <c r="N1860" s="10"/>
      <c r="O1860" s="10"/>
      <c r="P1860" s="38"/>
    </row>
    <row r="1861" spans="1:16" ht="15" customHeight="1" x14ac:dyDescent="0.35">
      <c r="A1861" s="15"/>
      <c r="B1861" s="65"/>
      <c r="C1861" s="15"/>
      <c r="D1861" s="19"/>
      <c r="E1861" s="40"/>
      <c r="F1861" s="13"/>
      <c r="G1861" s="78"/>
      <c r="H1861" s="16"/>
      <c r="I1861" s="10"/>
      <c r="J1861" s="10"/>
      <c r="K1861" s="10"/>
      <c r="L1861" s="10"/>
      <c r="M1861" s="10"/>
      <c r="N1861" s="10"/>
      <c r="O1861" s="10"/>
      <c r="P1861" s="38"/>
    </row>
    <row r="1862" spans="1:16" ht="15" customHeight="1" x14ac:dyDescent="0.35">
      <c r="A1862" s="15"/>
      <c r="B1862" s="65"/>
      <c r="C1862" s="15"/>
      <c r="D1862" s="19"/>
      <c r="E1862" s="40"/>
      <c r="F1862" s="13"/>
      <c r="G1862" s="78"/>
      <c r="H1862" s="16"/>
      <c r="I1862" s="10"/>
      <c r="J1862" s="10"/>
      <c r="K1862" s="10"/>
      <c r="L1862" s="10"/>
      <c r="M1862" s="10"/>
      <c r="N1862" s="10"/>
      <c r="O1862" s="10"/>
      <c r="P1862" s="38"/>
    </row>
    <row r="1863" spans="1:16" ht="15" customHeight="1" x14ac:dyDescent="0.35">
      <c r="A1863" s="15"/>
      <c r="B1863" s="65"/>
      <c r="C1863" s="15"/>
      <c r="D1863" s="19"/>
      <c r="E1863" s="40"/>
      <c r="F1863" s="13"/>
      <c r="G1863" s="78"/>
      <c r="H1863" s="16"/>
      <c r="I1863" s="10"/>
      <c r="J1863" s="10"/>
      <c r="K1863" s="10"/>
      <c r="L1863" s="10"/>
      <c r="M1863" s="10"/>
      <c r="N1863" s="10"/>
      <c r="O1863" s="10"/>
      <c r="P1863" s="38"/>
    </row>
    <row r="1864" spans="1:16" ht="15" customHeight="1" x14ac:dyDescent="0.35">
      <c r="A1864" s="15"/>
      <c r="B1864" s="65"/>
      <c r="C1864" s="15"/>
      <c r="D1864" s="19"/>
      <c r="E1864" s="40"/>
      <c r="F1864" s="13"/>
      <c r="G1864" s="78"/>
      <c r="H1864" s="16"/>
      <c r="I1864" s="10"/>
      <c r="J1864" s="10"/>
      <c r="K1864" s="10"/>
      <c r="L1864" s="10"/>
      <c r="M1864" s="10"/>
      <c r="N1864" s="10"/>
      <c r="O1864" s="10"/>
      <c r="P1864" s="38"/>
    </row>
    <row r="1865" spans="1:16" ht="15" customHeight="1" x14ac:dyDescent="0.35">
      <c r="A1865" s="15"/>
      <c r="B1865" s="65"/>
      <c r="C1865" s="15"/>
      <c r="D1865" s="19"/>
      <c r="E1865" s="40"/>
      <c r="F1865" s="13"/>
      <c r="G1865" s="78"/>
      <c r="H1865" s="16"/>
      <c r="I1865" s="10"/>
      <c r="J1865" s="10"/>
      <c r="K1865" s="10"/>
      <c r="L1865" s="10"/>
      <c r="M1865" s="10"/>
      <c r="N1865" s="10"/>
      <c r="O1865" s="10"/>
      <c r="P1865" s="38"/>
    </row>
    <row r="1866" spans="1:16" ht="15" customHeight="1" x14ac:dyDescent="0.35">
      <c r="A1866" s="15"/>
      <c r="B1866" s="65"/>
      <c r="C1866" s="15"/>
      <c r="D1866" s="19"/>
      <c r="E1866" s="40"/>
      <c r="F1866" s="13"/>
      <c r="G1866" s="78"/>
      <c r="H1866" s="16"/>
      <c r="I1866" s="10"/>
      <c r="J1866" s="10"/>
      <c r="K1866" s="10"/>
      <c r="L1866" s="10"/>
      <c r="M1866" s="10"/>
      <c r="N1866" s="10"/>
      <c r="O1866" s="10"/>
      <c r="P1866" s="38"/>
    </row>
    <row r="1867" spans="1:16" ht="15" customHeight="1" x14ac:dyDescent="0.35">
      <c r="A1867" s="15"/>
      <c r="B1867" s="65"/>
      <c r="C1867" s="15"/>
      <c r="D1867" s="19"/>
      <c r="E1867" s="40"/>
      <c r="F1867" s="13"/>
      <c r="G1867" s="78"/>
      <c r="H1867" s="16"/>
      <c r="I1867" s="10"/>
      <c r="J1867" s="10"/>
      <c r="K1867" s="10"/>
      <c r="L1867" s="10"/>
      <c r="M1867" s="10"/>
      <c r="N1867" s="10"/>
      <c r="O1867" s="10"/>
      <c r="P1867" s="38"/>
    </row>
    <row r="1868" spans="1:16" ht="15" customHeight="1" x14ac:dyDescent="0.35">
      <c r="A1868" s="15"/>
      <c r="B1868" s="65"/>
      <c r="C1868" s="15"/>
      <c r="D1868" s="19"/>
      <c r="E1868" s="40"/>
      <c r="F1868" s="13"/>
      <c r="G1868" s="78"/>
      <c r="H1868" s="16"/>
      <c r="I1868" s="10"/>
      <c r="J1868" s="10"/>
      <c r="K1868" s="10"/>
      <c r="L1868" s="10"/>
      <c r="M1868" s="10"/>
      <c r="N1868" s="10"/>
      <c r="O1868" s="10"/>
      <c r="P1868" s="38"/>
    </row>
    <row r="1869" spans="1:16" ht="15" customHeight="1" x14ac:dyDescent="0.35">
      <c r="A1869" s="15"/>
      <c r="B1869" s="65"/>
      <c r="C1869" s="15"/>
      <c r="D1869" s="19"/>
      <c r="E1869" s="40"/>
      <c r="F1869" s="13"/>
      <c r="G1869" s="78"/>
      <c r="H1869" s="16"/>
      <c r="I1869" s="10"/>
      <c r="J1869" s="10"/>
      <c r="K1869" s="10"/>
      <c r="L1869" s="10"/>
      <c r="M1869" s="10"/>
      <c r="N1869" s="10"/>
      <c r="O1869" s="10"/>
      <c r="P1869" s="38"/>
    </row>
    <row r="1870" spans="1:16" ht="15" customHeight="1" x14ac:dyDescent="0.35">
      <c r="A1870" s="15"/>
      <c r="B1870" s="65"/>
      <c r="C1870" s="15"/>
      <c r="D1870" s="19"/>
      <c r="E1870" s="40"/>
      <c r="F1870" s="13"/>
      <c r="G1870" s="78"/>
      <c r="H1870" s="16"/>
      <c r="I1870" s="10"/>
      <c r="J1870" s="10"/>
      <c r="K1870" s="10"/>
      <c r="L1870" s="10"/>
      <c r="M1870" s="10"/>
      <c r="N1870" s="10"/>
      <c r="O1870" s="10"/>
      <c r="P1870" s="38"/>
    </row>
    <row r="1871" spans="1:16" ht="15" customHeight="1" x14ac:dyDescent="0.35">
      <c r="A1871" s="15"/>
      <c r="B1871" s="65"/>
      <c r="C1871" s="15"/>
      <c r="D1871" s="19"/>
      <c r="E1871" s="40"/>
      <c r="F1871" s="13"/>
      <c r="G1871" s="78"/>
      <c r="H1871" s="16"/>
      <c r="I1871" s="10"/>
      <c r="J1871" s="10"/>
      <c r="K1871" s="10"/>
      <c r="L1871" s="10"/>
      <c r="M1871" s="10"/>
      <c r="N1871" s="10"/>
      <c r="O1871" s="10"/>
      <c r="P1871" s="38"/>
    </row>
    <row r="1872" spans="1:16" ht="15" customHeight="1" x14ac:dyDescent="0.35">
      <c r="A1872" s="15"/>
      <c r="B1872" s="65"/>
      <c r="C1872" s="15"/>
      <c r="D1872" s="19"/>
      <c r="E1872" s="40"/>
      <c r="F1872" s="13"/>
      <c r="G1872" s="78"/>
      <c r="H1872" s="16"/>
      <c r="I1872" s="10"/>
      <c r="J1872" s="10"/>
      <c r="K1872" s="10"/>
      <c r="L1872" s="10"/>
      <c r="M1872" s="10"/>
      <c r="N1872" s="10"/>
      <c r="O1872" s="10"/>
      <c r="P1872" s="38"/>
    </row>
    <row r="1873" spans="1:16" ht="15" customHeight="1" x14ac:dyDescent="0.35">
      <c r="A1873" s="15"/>
      <c r="B1873" s="65"/>
      <c r="C1873" s="15"/>
      <c r="D1873" s="19"/>
      <c r="E1873" s="40"/>
      <c r="F1873" s="13"/>
      <c r="G1873" s="78"/>
      <c r="H1873" s="16"/>
      <c r="I1873" s="10"/>
      <c r="J1873" s="10"/>
      <c r="K1873" s="10"/>
      <c r="L1873" s="10"/>
      <c r="M1873" s="10"/>
      <c r="N1873" s="10"/>
      <c r="O1873" s="10"/>
      <c r="P1873" s="38"/>
    </row>
    <row r="1874" spans="1:16" ht="15" customHeight="1" x14ac:dyDescent="0.35">
      <c r="A1874" s="15"/>
      <c r="B1874" s="65"/>
      <c r="C1874" s="15"/>
      <c r="D1874" s="19"/>
      <c r="E1874" s="40"/>
      <c r="F1874" s="13"/>
      <c r="G1874" s="78"/>
      <c r="H1874" s="16"/>
      <c r="I1874" s="10"/>
      <c r="J1874" s="10"/>
      <c r="K1874" s="10"/>
      <c r="L1874" s="10"/>
      <c r="M1874" s="10"/>
      <c r="N1874" s="10"/>
      <c r="O1874" s="10"/>
      <c r="P1874" s="38"/>
    </row>
    <row r="1875" spans="1:16" ht="15" customHeight="1" x14ac:dyDescent="0.35">
      <c r="A1875" s="15"/>
      <c r="B1875" s="65"/>
      <c r="C1875" s="15"/>
      <c r="D1875" s="19"/>
      <c r="E1875" s="40"/>
      <c r="F1875" s="13"/>
      <c r="G1875" s="78"/>
      <c r="H1875" s="16"/>
      <c r="I1875" s="10"/>
      <c r="J1875" s="10"/>
      <c r="K1875" s="10"/>
      <c r="L1875" s="10"/>
      <c r="M1875" s="10"/>
      <c r="N1875" s="10"/>
      <c r="O1875" s="10"/>
      <c r="P1875" s="38"/>
    </row>
    <row r="1876" spans="1:16" ht="15" customHeight="1" x14ac:dyDescent="0.35">
      <c r="A1876" s="15"/>
      <c r="B1876" s="65"/>
      <c r="C1876" s="15"/>
      <c r="D1876" s="19"/>
      <c r="E1876" s="40"/>
      <c r="F1876" s="13"/>
      <c r="G1876" s="78"/>
      <c r="H1876" s="16"/>
      <c r="I1876" s="10"/>
      <c r="J1876" s="10"/>
      <c r="K1876" s="10"/>
      <c r="L1876" s="10"/>
      <c r="M1876" s="10"/>
      <c r="N1876" s="10"/>
      <c r="O1876" s="10"/>
      <c r="P1876" s="38"/>
    </row>
    <row r="1877" spans="1:16" ht="15" customHeight="1" x14ac:dyDescent="0.35">
      <c r="A1877" s="15"/>
      <c r="B1877" s="65"/>
      <c r="C1877" s="15"/>
      <c r="D1877" s="19"/>
      <c r="E1877" s="40"/>
      <c r="F1877" s="13"/>
      <c r="G1877" s="78"/>
      <c r="H1877" s="16"/>
      <c r="I1877" s="10"/>
      <c r="J1877" s="10"/>
      <c r="K1877" s="10"/>
      <c r="L1877" s="10"/>
      <c r="M1877" s="10"/>
      <c r="N1877" s="10"/>
      <c r="O1877" s="10"/>
      <c r="P1877" s="38"/>
    </row>
    <row r="1878" spans="1:16" ht="15" customHeight="1" x14ac:dyDescent="0.35">
      <c r="A1878" s="15"/>
      <c r="B1878" s="65"/>
      <c r="C1878" s="15"/>
      <c r="D1878" s="19"/>
      <c r="E1878" s="40"/>
      <c r="F1878" s="13"/>
      <c r="G1878" s="78"/>
      <c r="H1878" s="16"/>
      <c r="I1878" s="10"/>
      <c r="J1878" s="10"/>
      <c r="K1878" s="10"/>
      <c r="L1878" s="10"/>
      <c r="M1878" s="10"/>
      <c r="N1878" s="10"/>
      <c r="O1878" s="10"/>
      <c r="P1878" s="38"/>
    </row>
    <row r="1879" spans="1:16" ht="15" customHeight="1" x14ac:dyDescent="0.35">
      <c r="A1879" s="15"/>
      <c r="B1879" s="65"/>
      <c r="C1879" s="15"/>
      <c r="D1879" s="19"/>
      <c r="E1879" s="40"/>
      <c r="F1879" s="13"/>
      <c r="G1879" s="78"/>
      <c r="H1879" s="16"/>
      <c r="I1879" s="10"/>
      <c r="J1879" s="10"/>
      <c r="K1879" s="10"/>
      <c r="L1879" s="10"/>
      <c r="M1879" s="10"/>
      <c r="N1879" s="10"/>
      <c r="O1879" s="10"/>
      <c r="P1879" s="38"/>
    </row>
    <row r="1880" spans="1:16" ht="15" customHeight="1" x14ac:dyDescent="0.35">
      <c r="A1880" s="15"/>
      <c r="B1880" s="65"/>
      <c r="C1880" s="15"/>
      <c r="D1880" s="19"/>
      <c r="E1880" s="40"/>
      <c r="F1880" s="13"/>
      <c r="G1880" s="78"/>
      <c r="H1880" s="16"/>
      <c r="I1880" s="10"/>
      <c r="J1880" s="10"/>
      <c r="K1880" s="10"/>
      <c r="L1880" s="10"/>
      <c r="M1880" s="10"/>
      <c r="N1880" s="10"/>
      <c r="O1880" s="10"/>
      <c r="P1880" s="38"/>
    </row>
    <row r="1881" spans="1:16" ht="15" customHeight="1" x14ac:dyDescent="0.35">
      <c r="A1881" s="15"/>
      <c r="B1881" s="65"/>
      <c r="C1881" s="15"/>
      <c r="D1881" s="19"/>
      <c r="E1881" s="40"/>
      <c r="F1881" s="13"/>
      <c r="G1881" s="78"/>
      <c r="H1881" s="16"/>
      <c r="I1881" s="10"/>
      <c r="J1881" s="10"/>
      <c r="K1881" s="10"/>
      <c r="L1881" s="10"/>
      <c r="M1881" s="10"/>
      <c r="N1881" s="10"/>
      <c r="O1881" s="10"/>
      <c r="P1881" s="38"/>
    </row>
    <row r="1882" spans="1:16" ht="15" customHeight="1" x14ac:dyDescent="0.35">
      <c r="A1882" s="15"/>
      <c r="B1882" s="65"/>
      <c r="C1882" s="15"/>
      <c r="D1882" s="19"/>
      <c r="E1882" s="40"/>
      <c r="F1882" s="13"/>
      <c r="G1882" s="78"/>
      <c r="H1882" s="16"/>
      <c r="I1882" s="10"/>
      <c r="J1882" s="10"/>
      <c r="K1882" s="10"/>
      <c r="L1882" s="10"/>
      <c r="M1882" s="10"/>
      <c r="N1882" s="10"/>
      <c r="O1882" s="10"/>
      <c r="P1882" s="38"/>
    </row>
    <row r="1883" spans="1:16" ht="15" customHeight="1" x14ac:dyDescent="0.35">
      <c r="A1883" s="15"/>
      <c r="B1883" s="65"/>
      <c r="C1883" s="15"/>
      <c r="D1883" s="19"/>
      <c r="E1883" s="40"/>
      <c r="F1883" s="13"/>
      <c r="G1883" s="78"/>
      <c r="H1883" s="16"/>
      <c r="I1883" s="10"/>
      <c r="J1883" s="10"/>
      <c r="K1883" s="10"/>
      <c r="L1883" s="10"/>
      <c r="M1883" s="10"/>
      <c r="N1883" s="10"/>
      <c r="O1883" s="10"/>
      <c r="P1883" s="38"/>
    </row>
    <row r="1884" spans="1:16" ht="15" customHeight="1" x14ac:dyDescent="0.35">
      <c r="A1884" s="15"/>
      <c r="B1884" s="65"/>
      <c r="C1884" s="15"/>
      <c r="D1884" s="19"/>
      <c r="E1884" s="40"/>
      <c r="F1884" s="13"/>
      <c r="G1884" s="78"/>
      <c r="H1884" s="16"/>
      <c r="I1884" s="10"/>
      <c r="J1884" s="10"/>
      <c r="K1884" s="10"/>
      <c r="L1884" s="10"/>
      <c r="M1884" s="10"/>
      <c r="N1884" s="10"/>
      <c r="O1884" s="10"/>
      <c r="P1884" s="38"/>
    </row>
    <row r="1885" spans="1:16" ht="15" customHeight="1" x14ac:dyDescent="0.35">
      <c r="A1885" s="15"/>
      <c r="B1885" s="65"/>
      <c r="C1885" s="15"/>
      <c r="D1885" s="19"/>
      <c r="E1885" s="40"/>
      <c r="F1885" s="13"/>
      <c r="G1885" s="78"/>
      <c r="H1885" s="16"/>
      <c r="I1885" s="10"/>
      <c r="J1885" s="10"/>
      <c r="K1885" s="10"/>
      <c r="L1885" s="10"/>
      <c r="M1885" s="10"/>
      <c r="N1885" s="10"/>
      <c r="O1885" s="10"/>
      <c r="P1885" s="38"/>
    </row>
    <row r="1886" spans="1:16" ht="15" customHeight="1" x14ac:dyDescent="0.35">
      <c r="A1886" s="15"/>
      <c r="B1886" s="65"/>
      <c r="C1886" s="15"/>
      <c r="D1886" s="19"/>
      <c r="E1886" s="40"/>
      <c r="F1886" s="13"/>
      <c r="G1886" s="78"/>
      <c r="H1886" s="16"/>
      <c r="I1886" s="10"/>
      <c r="J1886" s="10"/>
      <c r="K1886" s="10"/>
      <c r="L1886" s="10"/>
      <c r="M1886" s="10"/>
      <c r="N1886" s="10"/>
      <c r="O1886" s="10"/>
      <c r="P1886" s="38"/>
    </row>
    <row r="1887" spans="1:16" ht="15" customHeight="1" x14ac:dyDescent="0.35">
      <c r="A1887" s="15"/>
      <c r="B1887" s="65"/>
      <c r="C1887" s="15"/>
      <c r="D1887" s="19"/>
      <c r="E1887" s="40"/>
      <c r="F1887" s="13"/>
      <c r="G1887" s="78"/>
      <c r="H1887" s="16"/>
      <c r="I1887" s="10"/>
      <c r="J1887" s="10"/>
      <c r="K1887" s="10"/>
      <c r="L1887" s="10"/>
      <c r="M1887" s="10"/>
      <c r="N1887" s="10"/>
      <c r="O1887" s="10"/>
      <c r="P1887" s="38"/>
    </row>
    <row r="1888" spans="1:16" ht="15" customHeight="1" x14ac:dyDescent="0.35">
      <c r="A1888" s="15"/>
      <c r="B1888" s="65"/>
      <c r="C1888" s="15"/>
      <c r="D1888" s="19"/>
      <c r="E1888" s="40"/>
      <c r="F1888" s="13"/>
      <c r="G1888" s="78"/>
      <c r="H1888" s="16"/>
      <c r="I1888" s="10"/>
      <c r="J1888" s="10"/>
      <c r="K1888" s="10"/>
      <c r="L1888" s="10"/>
      <c r="M1888" s="10"/>
      <c r="N1888" s="10"/>
      <c r="O1888" s="10"/>
      <c r="P1888" s="38"/>
    </row>
    <row r="1889" spans="1:16" ht="15" customHeight="1" x14ac:dyDescent="0.35">
      <c r="A1889" s="15"/>
      <c r="B1889" s="65"/>
      <c r="C1889" s="15"/>
      <c r="D1889" s="19"/>
      <c r="E1889" s="40"/>
      <c r="F1889" s="13"/>
      <c r="G1889" s="78"/>
      <c r="H1889" s="16"/>
      <c r="I1889" s="10"/>
      <c r="J1889" s="10"/>
      <c r="K1889" s="10"/>
      <c r="L1889" s="10"/>
      <c r="M1889" s="10"/>
      <c r="N1889" s="10"/>
      <c r="O1889" s="10"/>
      <c r="P1889" s="38"/>
    </row>
    <row r="1890" spans="1:16" ht="15" customHeight="1" x14ac:dyDescent="0.35">
      <c r="A1890" s="15"/>
      <c r="B1890" s="65"/>
      <c r="C1890" s="15"/>
      <c r="D1890" s="19"/>
      <c r="E1890" s="40"/>
      <c r="F1890" s="13"/>
      <c r="G1890" s="78"/>
      <c r="H1890" s="16"/>
      <c r="I1890" s="10"/>
      <c r="J1890" s="10"/>
      <c r="K1890" s="10"/>
      <c r="L1890" s="10"/>
      <c r="M1890" s="10"/>
      <c r="N1890" s="10"/>
      <c r="O1890" s="10"/>
      <c r="P1890" s="38"/>
    </row>
    <row r="1891" spans="1:16" ht="15" customHeight="1" x14ac:dyDescent="0.35">
      <c r="A1891" s="15"/>
      <c r="B1891" s="65"/>
      <c r="C1891" s="15"/>
      <c r="D1891" s="19"/>
      <c r="E1891" s="40"/>
      <c r="F1891" s="13"/>
      <c r="G1891" s="78"/>
      <c r="H1891" s="16"/>
      <c r="I1891" s="10"/>
      <c r="J1891" s="10"/>
      <c r="K1891" s="10"/>
      <c r="L1891" s="10"/>
      <c r="M1891" s="10"/>
      <c r="N1891" s="10"/>
      <c r="O1891" s="10"/>
      <c r="P1891" s="38"/>
    </row>
    <row r="1892" spans="1:16" ht="15" customHeight="1" x14ac:dyDescent="0.35">
      <c r="A1892" s="15"/>
      <c r="B1892" s="65"/>
      <c r="C1892" s="15"/>
      <c r="D1892" s="19"/>
      <c r="E1892" s="40"/>
      <c r="F1892" s="13"/>
      <c r="G1892" s="78"/>
      <c r="H1892" s="16"/>
      <c r="I1892" s="10"/>
      <c r="J1892" s="10"/>
      <c r="K1892" s="10"/>
      <c r="L1892" s="10"/>
      <c r="M1892" s="10"/>
      <c r="N1892" s="10"/>
      <c r="O1892" s="10"/>
      <c r="P1892" s="38"/>
    </row>
    <row r="1893" spans="1:16" ht="15" customHeight="1" x14ac:dyDescent="0.35">
      <c r="A1893" s="15"/>
      <c r="B1893" s="65"/>
      <c r="C1893" s="15"/>
      <c r="D1893" s="19"/>
      <c r="E1893" s="40"/>
      <c r="F1893" s="13"/>
      <c r="G1893" s="78"/>
      <c r="H1893" s="16"/>
      <c r="I1893" s="10"/>
      <c r="J1893" s="10"/>
      <c r="K1893" s="10"/>
      <c r="L1893" s="10"/>
      <c r="M1893" s="10"/>
      <c r="N1893" s="10"/>
      <c r="O1893" s="10"/>
      <c r="P1893" s="38"/>
    </row>
    <row r="1894" spans="1:16" ht="15" customHeight="1" x14ac:dyDescent="0.35">
      <c r="A1894" s="15"/>
      <c r="B1894" s="65"/>
      <c r="C1894" s="15"/>
      <c r="D1894" s="19"/>
      <c r="E1894" s="40"/>
      <c r="F1894" s="13"/>
      <c r="G1894" s="78"/>
      <c r="H1894" s="16"/>
      <c r="I1894" s="10"/>
      <c r="J1894" s="10"/>
      <c r="K1894" s="10"/>
      <c r="L1894" s="10"/>
      <c r="M1894" s="10"/>
      <c r="N1894" s="10"/>
      <c r="O1894" s="10"/>
      <c r="P1894" s="38"/>
    </row>
    <row r="1895" spans="1:16" ht="15" customHeight="1" x14ac:dyDescent="0.35">
      <c r="A1895" s="15"/>
      <c r="B1895" s="65"/>
      <c r="C1895" s="15"/>
      <c r="D1895" s="19"/>
      <c r="E1895" s="40"/>
      <c r="F1895" s="13"/>
      <c r="G1895" s="78"/>
      <c r="H1895" s="16"/>
      <c r="I1895" s="10"/>
      <c r="J1895" s="10"/>
      <c r="K1895" s="10"/>
      <c r="L1895" s="10"/>
      <c r="M1895" s="10"/>
      <c r="N1895" s="10"/>
      <c r="O1895" s="10"/>
      <c r="P1895" s="38"/>
    </row>
    <row r="1896" spans="1:16" ht="15" customHeight="1" x14ac:dyDescent="0.35">
      <c r="A1896" s="15"/>
      <c r="B1896" s="65"/>
      <c r="C1896" s="15"/>
      <c r="D1896" s="19"/>
      <c r="E1896" s="40"/>
      <c r="F1896" s="13"/>
      <c r="G1896" s="78"/>
      <c r="H1896" s="16"/>
      <c r="I1896" s="10"/>
      <c r="J1896" s="10"/>
      <c r="K1896" s="10"/>
      <c r="L1896" s="10"/>
      <c r="M1896" s="10"/>
      <c r="N1896" s="10"/>
      <c r="O1896" s="10"/>
      <c r="P1896" s="38"/>
    </row>
    <row r="1897" spans="1:16" ht="15" customHeight="1" x14ac:dyDescent="0.35">
      <c r="A1897" s="15"/>
      <c r="B1897" s="65"/>
      <c r="C1897" s="15"/>
      <c r="D1897" s="19"/>
      <c r="E1897" s="40"/>
      <c r="F1897" s="13"/>
      <c r="G1897" s="78"/>
      <c r="H1897" s="16"/>
      <c r="I1897" s="10"/>
      <c r="J1897" s="10"/>
      <c r="K1897" s="10"/>
      <c r="L1897" s="10"/>
      <c r="M1897" s="10"/>
      <c r="N1897" s="10"/>
      <c r="O1897" s="10"/>
      <c r="P1897" s="38"/>
    </row>
    <row r="1898" spans="1:16" ht="15" customHeight="1" x14ac:dyDescent="0.35">
      <c r="A1898" s="15"/>
      <c r="B1898" s="65"/>
      <c r="C1898" s="15"/>
      <c r="D1898" s="19"/>
      <c r="E1898" s="40"/>
      <c r="F1898" s="13"/>
      <c r="G1898" s="78"/>
      <c r="H1898" s="16"/>
      <c r="I1898" s="10"/>
      <c r="J1898" s="10"/>
      <c r="K1898" s="10"/>
      <c r="L1898" s="10"/>
      <c r="M1898" s="10"/>
      <c r="N1898" s="10"/>
      <c r="O1898" s="10"/>
      <c r="P1898" s="38"/>
    </row>
    <row r="1899" spans="1:16" ht="15" customHeight="1" x14ac:dyDescent="0.35">
      <c r="A1899" s="15"/>
      <c r="B1899" s="65"/>
      <c r="C1899" s="15"/>
      <c r="D1899" s="19"/>
      <c r="E1899" s="40"/>
      <c r="F1899" s="13"/>
      <c r="G1899" s="78"/>
      <c r="H1899" s="16"/>
      <c r="I1899" s="10"/>
      <c r="J1899" s="10"/>
      <c r="K1899" s="10"/>
      <c r="L1899" s="10"/>
      <c r="M1899" s="10"/>
      <c r="N1899" s="10"/>
      <c r="O1899" s="10"/>
      <c r="P1899" s="38"/>
    </row>
    <row r="1900" spans="1:16" ht="15" customHeight="1" x14ac:dyDescent="0.35">
      <c r="A1900" s="15"/>
      <c r="B1900" s="65"/>
      <c r="C1900" s="15"/>
      <c r="D1900" s="19"/>
      <c r="E1900" s="40"/>
      <c r="F1900" s="13"/>
      <c r="G1900" s="78"/>
      <c r="H1900" s="16"/>
      <c r="I1900" s="10"/>
      <c r="J1900" s="10"/>
      <c r="K1900" s="10"/>
      <c r="L1900" s="10"/>
      <c r="M1900" s="10"/>
      <c r="N1900" s="10"/>
      <c r="O1900" s="10"/>
      <c r="P1900" s="38"/>
    </row>
    <row r="1901" spans="1:16" ht="15" customHeight="1" x14ac:dyDescent="0.35">
      <c r="A1901" s="15"/>
      <c r="B1901" s="65"/>
      <c r="C1901" s="15"/>
      <c r="D1901" s="19"/>
      <c r="E1901" s="40"/>
      <c r="F1901" s="13"/>
      <c r="G1901" s="78"/>
      <c r="H1901" s="16"/>
      <c r="I1901" s="10"/>
      <c r="J1901" s="10"/>
      <c r="K1901" s="10"/>
      <c r="L1901" s="10"/>
      <c r="M1901" s="10"/>
      <c r="N1901" s="10"/>
      <c r="O1901" s="10"/>
      <c r="P1901" s="38"/>
    </row>
    <row r="1902" spans="1:16" ht="15" customHeight="1" x14ac:dyDescent="0.35">
      <c r="A1902" s="15"/>
      <c r="B1902" s="65"/>
      <c r="C1902" s="15"/>
      <c r="D1902" s="19"/>
      <c r="E1902" s="40"/>
      <c r="F1902" s="13"/>
      <c r="G1902" s="78"/>
      <c r="H1902" s="16"/>
      <c r="I1902" s="10"/>
      <c r="J1902" s="10"/>
      <c r="K1902" s="10"/>
      <c r="L1902" s="10"/>
      <c r="M1902" s="10"/>
      <c r="N1902" s="10"/>
      <c r="O1902" s="10"/>
      <c r="P1902" s="38"/>
    </row>
    <row r="1903" spans="1:16" ht="15" customHeight="1" x14ac:dyDescent="0.35">
      <c r="A1903" s="15"/>
      <c r="B1903" s="65"/>
      <c r="C1903" s="15"/>
      <c r="D1903" s="19"/>
      <c r="E1903" s="40"/>
      <c r="F1903" s="13"/>
      <c r="G1903" s="78"/>
      <c r="H1903" s="16"/>
      <c r="I1903" s="10"/>
      <c r="J1903" s="10"/>
      <c r="K1903" s="10"/>
      <c r="L1903" s="10"/>
      <c r="M1903" s="10"/>
      <c r="N1903" s="10"/>
      <c r="O1903" s="10"/>
      <c r="P1903" s="38"/>
    </row>
    <row r="1904" spans="1:16" ht="15" customHeight="1" x14ac:dyDescent="0.35">
      <c r="A1904" s="15"/>
      <c r="B1904" s="65"/>
      <c r="C1904" s="15"/>
      <c r="D1904" s="19"/>
      <c r="E1904" s="40"/>
      <c r="F1904" s="13"/>
      <c r="G1904" s="78"/>
      <c r="H1904" s="16"/>
      <c r="I1904" s="10"/>
      <c r="J1904" s="10"/>
      <c r="K1904" s="10"/>
      <c r="L1904" s="10"/>
      <c r="M1904" s="10"/>
      <c r="N1904" s="10"/>
      <c r="O1904" s="10"/>
      <c r="P1904" s="38"/>
    </row>
    <row r="1905" spans="1:16" ht="15" customHeight="1" x14ac:dyDescent="0.35">
      <c r="A1905" s="15"/>
      <c r="B1905" s="65"/>
      <c r="C1905" s="15"/>
      <c r="D1905" s="19"/>
      <c r="E1905" s="40"/>
      <c r="F1905" s="13"/>
      <c r="G1905" s="78"/>
      <c r="H1905" s="16"/>
      <c r="I1905" s="10"/>
      <c r="J1905" s="10"/>
      <c r="K1905" s="10"/>
      <c r="L1905" s="10"/>
      <c r="M1905" s="10"/>
      <c r="N1905" s="10"/>
      <c r="O1905" s="10"/>
      <c r="P1905" s="38"/>
    </row>
    <row r="1906" spans="1:16" ht="15" customHeight="1" x14ac:dyDescent="0.35">
      <c r="A1906" s="15"/>
      <c r="B1906" s="65"/>
      <c r="C1906" s="15"/>
      <c r="D1906" s="19"/>
      <c r="E1906" s="40"/>
      <c r="F1906" s="13"/>
      <c r="G1906" s="78"/>
      <c r="H1906" s="16"/>
      <c r="I1906" s="10"/>
      <c r="J1906" s="10"/>
      <c r="K1906" s="10"/>
      <c r="L1906" s="10"/>
      <c r="M1906" s="10"/>
      <c r="N1906" s="10"/>
      <c r="O1906" s="10"/>
      <c r="P1906" s="38"/>
    </row>
    <row r="1907" spans="1:16" ht="15" customHeight="1" x14ac:dyDescent="0.35">
      <c r="A1907" s="15"/>
      <c r="B1907" s="65"/>
      <c r="C1907" s="15"/>
      <c r="D1907" s="19"/>
      <c r="E1907" s="40"/>
      <c r="F1907" s="13"/>
      <c r="G1907" s="78"/>
      <c r="H1907" s="16"/>
      <c r="I1907" s="10"/>
      <c r="J1907" s="10"/>
      <c r="K1907" s="10"/>
      <c r="L1907" s="10"/>
      <c r="M1907" s="10"/>
      <c r="N1907" s="10"/>
      <c r="O1907" s="10"/>
      <c r="P1907" s="38"/>
    </row>
    <row r="1908" spans="1:16" ht="15" customHeight="1" x14ac:dyDescent="0.35">
      <c r="A1908" s="15"/>
      <c r="B1908" s="65"/>
      <c r="C1908" s="15"/>
      <c r="D1908" s="19"/>
      <c r="E1908" s="40"/>
      <c r="F1908" s="13"/>
      <c r="G1908" s="78"/>
      <c r="H1908" s="16"/>
      <c r="I1908" s="10"/>
      <c r="J1908" s="10"/>
      <c r="K1908" s="10"/>
      <c r="L1908" s="10"/>
      <c r="M1908" s="10"/>
      <c r="N1908" s="10"/>
      <c r="O1908" s="10"/>
      <c r="P1908" s="38"/>
    </row>
    <row r="1909" spans="1:16" ht="15" customHeight="1" x14ac:dyDescent="0.35">
      <c r="A1909" s="15"/>
      <c r="B1909" s="65"/>
      <c r="C1909" s="15"/>
      <c r="D1909" s="19"/>
      <c r="E1909" s="40"/>
      <c r="F1909" s="13"/>
      <c r="G1909" s="78"/>
      <c r="H1909" s="16"/>
      <c r="I1909" s="10"/>
      <c r="J1909" s="10"/>
      <c r="K1909" s="10"/>
      <c r="L1909" s="10"/>
      <c r="M1909" s="10"/>
      <c r="N1909" s="10"/>
      <c r="O1909" s="10"/>
      <c r="P1909" s="38"/>
    </row>
    <row r="1910" spans="1:16" ht="15" customHeight="1" x14ac:dyDescent="0.35">
      <c r="A1910" s="15"/>
      <c r="B1910" s="65"/>
      <c r="C1910" s="15"/>
      <c r="D1910" s="19"/>
      <c r="E1910" s="40"/>
      <c r="F1910" s="13"/>
      <c r="G1910" s="78"/>
      <c r="H1910" s="16"/>
      <c r="I1910" s="10"/>
      <c r="J1910" s="10"/>
      <c r="K1910" s="10"/>
      <c r="L1910" s="10"/>
      <c r="M1910" s="10"/>
      <c r="N1910" s="10"/>
      <c r="O1910" s="10"/>
      <c r="P1910" s="38"/>
    </row>
    <row r="1911" spans="1:16" ht="15" customHeight="1" x14ac:dyDescent="0.35">
      <c r="A1911" s="15"/>
      <c r="B1911" s="65"/>
      <c r="C1911" s="15"/>
      <c r="D1911" s="19"/>
      <c r="E1911" s="40"/>
      <c r="F1911" s="13"/>
      <c r="G1911" s="78"/>
      <c r="H1911" s="16"/>
      <c r="I1911" s="10"/>
      <c r="J1911" s="10"/>
      <c r="K1911" s="10"/>
      <c r="L1911" s="10"/>
      <c r="M1911" s="10"/>
      <c r="N1911" s="10"/>
      <c r="O1911" s="10"/>
      <c r="P1911" s="38"/>
    </row>
    <row r="1912" spans="1:16" ht="15" customHeight="1" x14ac:dyDescent="0.35">
      <c r="A1912" s="15"/>
      <c r="B1912" s="65"/>
      <c r="C1912" s="15"/>
      <c r="D1912" s="19"/>
      <c r="E1912" s="40"/>
      <c r="F1912" s="13"/>
      <c r="G1912" s="78"/>
      <c r="H1912" s="16"/>
      <c r="I1912" s="10"/>
      <c r="J1912" s="10"/>
      <c r="K1912" s="10"/>
      <c r="L1912" s="10"/>
      <c r="M1912" s="10"/>
      <c r="N1912" s="10"/>
      <c r="O1912" s="10"/>
      <c r="P1912" s="38"/>
    </row>
    <row r="1913" spans="1:16" ht="15" customHeight="1" x14ac:dyDescent="0.35">
      <c r="A1913" s="15"/>
      <c r="B1913" s="65"/>
      <c r="C1913" s="15"/>
      <c r="D1913" s="19"/>
      <c r="E1913" s="40"/>
      <c r="F1913" s="13"/>
      <c r="G1913" s="78"/>
      <c r="H1913" s="16"/>
      <c r="I1913" s="10"/>
      <c r="J1913" s="10"/>
      <c r="K1913" s="10"/>
      <c r="L1913" s="10"/>
      <c r="M1913" s="10"/>
      <c r="N1913" s="10"/>
      <c r="O1913" s="10"/>
      <c r="P1913" s="38"/>
    </row>
    <row r="1914" spans="1:16" ht="15" customHeight="1" x14ac:dyDescent="0.35">
      <c r="A1914" s="15"/>
      <c r="B1914" s="65"/>
      <c r="C1914" s="15"/>
      <c r="D1914" s="19"/>
      <c r="E1914" s="40"/>
      <c r="F1914" s="13"/>
      <c r="G1914" s="78"/>
      <c r="H1914" s="16"/>
      <c r="I1914" s="10"/>
      <c r="J1914" s="10"/>
      <c r="K1914" s="10"/>
      <c r="L1914" s="10"/>
      <c r="M1914" s="10"/>
      <c r="N1914" s="10"/>
      <c r="O1914" s="10"/>
      <c r="P1914" s="38"/>
    </row>
    <row r="1915" spans="1:16" ht="15" customHeight="1" x14ac:dyDescent="0.35">
      <c r="A1915" s="15"/>
      <c r="B1915" s="65"/>
      <c r="C1915" s="15"/>
      <c r="D1915" s="19"/>
      <c r="E1915" s="40"/>
      <c r="F1915" s="13"/>
      <c r="G1915" s="78"/>
      <c r="H1915" s="16"/>
      <c r="I1915" s="10"/>
      <c r="J1915" s="10"/>
      <c r="K1915" s="10"/>
      <c r="L1915" s="10"/>
      <c r="M1915" s="10"/>
      <c r="N1915" s="10"/>
      <c r="O1915" s="10"/>
      <c r="P1915" s="38"/>
    </row>
    <row r="1916" spans="1:16" ht="15" customHeight="1" x14ac:dyDescent="0.35">
      <c r="A1916" s="15"/>
      <c r="B1916" s="65"/>
      <c r="C1916" s="15"/>
      <c r="D1916" s="19"/>
      <c r="E1916" s="40"/>
      <c r="F1916" s="13"/>
      <c r="G1916" s="78"/>
      <c r="H1916" s="16"/>
      <c r="I1916" s="10"/>
      <c r="J1916" s="10"/>
      <c r="K1916" s="10"/>
      <c r="L1916" s="10"/>
      <c r="M1916" s="10"/>
      <c r="N1916" s="10"/>
      <c r="O1916" s="10"/>
      <c r="P1916" s="38"/>
    </row>
    <row r="1917" spans="1:16" ht="15" customHeight="1" x14ac:dyDescent="0.35">
      <c r="A1917" s="15"/>
      <c r="B1917" s="65"/>
      <c r="C1917" s="15"/>
      <c r="D1917" s="19"/>
      <c r="E1917" s="40"/>
      <c r="F1917" s="13"/>
      <c r="G1917" s="78"/>
      <c r="H1917" s="16"/>
      <c r="I1917" s="10"/>
      <c r="J1917" s="10"/>
      <c r="K1917" s="10"/>
      <c r="L1917" s="10"/>
      <c r="M1917" s="10"/>
      <c r="N1917" s="10"/>
      <c r="O1917" s="10"/>
      <c r="P1917" s="38"/>
    </row>
    <row r="1918" spans="1:16" ht="15" customHeight="1" x14ac:dyDescent="0.35">
      <c r="A1918" s="15"/>
      <c r="B1918" s="65"/>
      <c r="C1918" s="15"/>
      <c r="D1918" s="19"/>
      <c r="E1918" s="40"/>
      <c r="F1918" s="13"/>
      <c r="G1918" s="78"/>
      <c r="H1918" s="16"/>
      <c r="I1918" s="10"/>
      <c r="J1918" s="10"/>
      <c r="K1918" s="10"/>
      <c r="L1918" s="10"/>
      <c r="M1918" s="10"/>
      <c r="N1918" s="10"/>
      <c r="O1918" s="10"/>
      <c r="P1918" s="38"/>
    </row>
    <row r="1919" spans="1:16" ht="15" customHeight="1" x14ac:dyDescent="0.35">
      <c r="A1919" s="15"/>
      <c r="B1919" s="65"/>
      <c r="C1919" s="15"/>
      <c r="D1919" s="19"/>
      <c r="E1919" s="40"/>
      <c r="F1919" s="13"/>
      <c r="G1919" s="78"/>
      <c r="H1919" s="16"/>
      <c r="I1919" s="10"/>
      <c r="J1919" s="10"/>
      <c r="K1919" s="10"/>
      <c r="L1919" s="10"/>
      <c r="M1919" s="10"/>
      <c r="N1919" s="10"/>
      <c r="O1919" s="10"/>
      <c r="P1919" s="38"/>
    </row>
    <row r="1920" spans="1:16" ht="15" customHeight="1" x14ac:dyDescent="0.35">
      <c r="A1920" s="15"/>
      <c r="B1920" s="65"/>
      <c r="C1920" s="15"/>
      <c r="D1920" s="19"/>
      <c r="E1920" s="40"/>
      <c r="F1920" s="13"/>
      <c r="G1920" s="78"/>
      <c r="H1920" s="16"/>
      <c r="I1920" s="10"/>
      <c r="J1920" s="10"/>
      <c r="K1920" s="10"/>
      <c r="L1920" s="10"/>
      <c r="M1920" s="10"/>
      <c r="N1920" s="10"/>
      <c r="O1920" s="10"/>
      <c r="P1920" s="38"/>
    </row>
    <row r="1921" spans="1:16" ht="15" customHeight="1" x14ac:dyDescent="0.35">
      <c r="A1921" s="15"/>
      <c r="B1921" s="65"/>
      <c r="C1921" s="15"/>
      <c r="D1921" s="19"/>
      <c r="E1921" s="40"/>
      <c r="F1921" s="13"/>
      <c r="G1921" s="78"/>
      <c r="H1921" s="16"/>
      <c r="I1921" s="10"/>
      <c r="J1921" s="10"/>
      <c r="K1921" s="10"/>
      <c r="L1921" s="10"/>
      <c r="M1921" s="10"/>
      <c r="N1921" s="10"/>
      <c r="O1921" s="10"/>
      <c r="P1921" s="38"/>
    </row>
    <row r="1922" spans="1:16" ht="15" customHeight="1" x14ac:dyDescent="0.35">
      <c r="A1922" s="15"/>
      <c r="B1922" s="65"/>
      <c r="C1922" s="15"/>
      <c r="D1922" s="19"/>
      <c r="E1922" s="40"/>
      <c r="F1922" s="13"/>
      <c r="G1922" s="78"/>
      <c r="H1922" s="16"/>
      <c r="I1922" s="10"/>
      <c r="J1922" s="10"/>
      <c r="K1922" s="10"/>
      <c r="L1922" s="10"/>
      <c r="M1922" s="10"/>
      <c r="N1922" s="10"/>
      <c r="O1922" s="10"/>
      <c r="P1922" s="38"/>
    </row>
    <row r="1923" spans="1:16" ht="15" customHeight="1" x14ac:dyDescent="0.35">
      <c r="A1923" s="15"/>
      <c r="B1923" s="65"/>
      <c r="C1923" s="15"/>
      <c r="D1923" s="19"/>
      <c r="E1923" s="40"/>
      <c r="F1923" s="13"/>
      <c r="G1923" s="78"/>
      <c r="H1923" s="16"/>
      <c r="I1923" s="10"/>
      <c r="J1923" s="10"/>
      <c r="K1923" s="10"/>
      <c r="L1923" s="10"/>
      <c r="M1923" s="10"/>
      <c r="N1923" s="10"/>
      <c r="O1923" s="10"/>
      <c r="P1923" s="38"/>
    </row>
    <row r="1924" spans="1:16" ht="15" customHeight="1" x14ac:dyDescent="0.35">
      <c r="A1924" s="15"/>
      <c r="B1924" s="65"/>
      <c r="C1924" s="15"/>
      <c r="D1924" s="19"/>
      <c r="E1924" s="40"/>
      <c r="F1924" s="13"/>
      <c r="G1924" s="78"/>
      <c r="H1924" s="16"/>
      <c r="I1924" s="10"/>
      <c r="J1924" s="10"/>
      <c r="K1924" s="10"/>
      <c r="L1924" s="10"/>
      <c r="M1924" s="10"/>
      <c r="N1924" s="10"/>
      <c r="O1924" s="10"/>
      <c r="P1924" s="38"/>
    </row>
    <row r="1925" spans="1:16" ht="15" customHeight="1" x14ac:dyDescent="0.35">
      <c r="A1925" s="15"/>
      <c r="B1925" s="65"/>
      <c r="C1925" s="15"/>
      <c r="D1925" s="19"/>
      <c r="E1925" s="40"/>
      <c r="F1925" s="13"/>
      <c r="G1925" s="78"/>
      <c r="H1925" s="16"/>
      <c r="I1925" s="10"/>
      <c r="J1925" s="10"/>
      <c r="K1925" s="10"/>
      <c r="L1925" s="10"/>
      <c r="M1925" s="10"/>
      <c r="N1925" s="10"/>
      <c r="O1925" s="10"/>
      <c r="P1925" s="38"/>
    </row>
    <row r="1926" spans="1:16" ht="15" customHeight="1" x14ac:dyDescent="0.35">
      <c r="A1926" s="15"/>
      <c r="B1926" s="65"/>
      <c r="C1926" s="15"/>
      <c r="D1926" s="19"/>
      <c r="E1926" s="40"/>
      <c r="F1926" s="13"/>
      <c r="G1926" s="78"/>
      <c r="H1926" s="16"/>
      <c r="I1926" s="10"/>
      <c r="J1926" s="10"/>
      <c r="K1926" s="10"/>
      <c r="L1926" s="10"/>
      <c r="M1926" s="10"/>
      <c r="N1926" s="10"/>
      <c r="O1926" s="10"/>
      <c r="P1926" s="38"/>
    </row>
    <row r="1927" spans="1:16" ht="15" customHeight="1" x14ac:dyDescent="0.35">
      <c r="A1927" s="15"/>
      <c r="B1927" s="65"/>
      <c r="C1927" s="15"/>
      <c r="D1927" s="19"/>
      <c r="E1927" s="40"/>
      <c r="F1927" s="13"/>
      <c r="G1927" s="78"/>
      <c r="H1927" s="16"/>
      <c r="I1927" s="10"/>
      <c r="J1927" s="10"/>
      <c r="K1927" s="10"/>
      <c r="L1927" s="10"/>
      <c r="M1927" s="10"/>
      <c r="N1927" s="10"/>
      <c r="O1927" s="10"/>
      <c r="P1927" s="38"/>
    </row>
    <row r="1928" spans="1:16" ht="15" customHeight="1" x14ac:dyDescent="0.35">
      <c r="A1928" s="15"/>
      <c r="B1928" s="65"/>
      <c r="C1928" s="15"/>
      <c r="D1928" s="19"/>
      <c r="E1928" s="40"/>
      <c r="F1928" s="13"/>
      <c r="G1928" s="78"/>
      <c r="H1928" s="16"/>
      <c r="I1928" s="10"/>
      <c r="J1928" s="10"/>
      <c r="K1928" s="10"/>
      <c r="L1928" s="10"/>
      <c r="M1928" s="10"/>
      <c r="N1928" s="10"/>
      <c r="O1928" s="10"/>
      <c r="P1928" s="38"/>
    </row>
    <row r="1929" spans="1:16" ht="15" customHeight="1" x14ac:dyDescent="0.35">
      <c r="A1929" s="15"/>
      <c r="B1929" s="65"/>
      <c r="C1929" s="15"/>
      <c r="D1929" s="19"/>
      <c r="E1929" s="40"/>
      <c r="F1929" s="13"/>
      <c r="G1929" s="78"/>
      <c r="H1929" s="16"/>
      <c r="I1929" s="10"/>
      <c r="J1929" s="10"/>
      <c r="K1929" s="10"/>
      <c r="L1929" s="10"/>
      <c r="M1929" s="10"/>
      <c r="N1929" s="10"/>
      <c r="O1929" s="10"/>
      <c r="P1929" s="38"/>
    </row>
    <row r="1930" spans="1:16" ht="15" customHeight="1" x14ac:dyDescent="0.35">
      <c r="A1930" s="15"/>
      <c r="B1930" s="65"/>
      <c r="C1930" s="15"/>
      <c r="D1930" s="19"/>
      <c r="E1930" s="40"/>
      <c r="F1930" s="13"/>
      <c r="G1930" s="78"/>
      <c r="H1930" s="16"/>
      <c r="I1930" s="10"/>
      <c r="J1930" s="10"/>
      <c r="K1930" s="10"/>
      <c r="L1930" s="10"/>
      <c r="M1930" s="10"/>
      <c r="N1930" s="10"/>
      <c r="O1930" s="10"/>
      <c r="P1930" s="38"/>
    </row>
    <row r="1931" spans="1:16" ht="15" customHeight="1" x14ac:dyDescent="0.35">
      <c r="A1931" s="15"/>
      <c r="B1931" s="65"/>
      <c r="C1931" s="15"/>
      <c r="D1931" s="19"/>
      <c r="E1931" s="40"/>
      <c r="F1931" s="13"/>
      <c r="G1931" s="78"/>
      <c r="H1931" s="16"/>
      <c r="I1931" s="10"/>
      <c r="J1931" s="10"/>
      <c r="K1931" s="10"/>
      <c r="L1931" s="10"/>
      <c r="M1931" s="10"/>
      <c r="N1931" s="10"/>
      <c r="O1931" s="10"/>
      <c r="P1931" s="38"/>
    </row>
    <row r="1932" spans="1:16" ht="15" customHeight="1" x14ac:dyDescent="0.35">
      <c r="A1932" s="15"/>
      <c r="B1932" s="65"/>
      <c r="C1932" s="15"/>
      <c r="D1932" s="19"/>
      <c r="E1932" s="40"/>
      <c r="F1932" s="13"/>
      <c r="G1932" s="78"/>
      <c r="H1932" s="16"/>
      <c r="I1932" s="10"/>
      <c r="J1932" s="10"/>
      <c r="K1932" s="10"/>
      <c r="L1932" s="10"/>
      <c r="M1932" s="10"/>
      <c r="N1932" s="10"/>
      <c r="O1932" s="10"/>
      <c r="P1932" s="38"/>
    </row>
    <row r="1933" spans="1:16" ht="15" customHeight="1" x14ac:dyDescent="0.35">
      <c r="A1933" s="15"/>
      <c r="B1933" s="65"/>
      <c r="C1933" s="15"/>
      <c r="D1933" s="19"/>
      <c r="E1933" s="40"/>
      <c r="F1933" s="13"/>
      <c r="G1933" s="78"/>
      <c r="H1933" s="16"/>
      <c r="I1933" s="10"/>
      <c r="J1933" s="10"/>
      <c r="K1933" s="10"/>
      <c r="L1933" s="10"/>
      <c r="M1933" s="10"/>
      <c r="N1933" s="10"/>
      <c r="O1933" s="10"/>
      <c r="P1933" s="38"/>
    </row>
    <row r="1934" spans="1:16" ht="15" customHeight="1" x14ac:dyDescent="0.35">
      <c r="A1934" s="15"/>
      <c r="B1934" s="65"/>
      <c r="C1934" s="15"/>
      <c r="D1934" s="19"/>
      <c r="E1934" s="40"/>
      <c r="F1934" s="13"/>
      <c r="G1934" s="78"/>
      <c r="H1934" s="16"/>
      <c r="I1934" s="10"/>
      <c r="J1934" s="10"/>
      <c r="K1934" s="10"/>
      <c r="L1934" s="10"/>
      <c r="M1934" s="10"/>
      <c r="N1934" s="10"/>
      <c r="O1934" s="10"/>
      <c r="P1934" s="38"/>
    </row>
    <row r="1935" spans="1:16" ht="15" customHeight="1" x14ac:dyDescent="0.35">
      <c r="A1935" s="15"/>
      <c r="B1935" s="65"/>
      <c r="C1935" s="15"/>
      <c r="D1935" s="19"/>
      <c r="E1935" s="40"/>
      <c r="F1935" s="13"/>
      <c r="G1935" s="78"/>
      <c r="H1935" s="16"/>
      <c r="I1935" s="10"/>
      <c r="J1935" s="10"/>
      <c r="K1935" s="10"/>
      <c r="L1935" s="10"/>
      <c r="M1935" s="10"/>
      <c r="N1935" s="10"/>
      <c r="O1935" s="10"/>
      <c r="P1935" s="38"/>
    </row>
    <row r="1936" spans="1:16" ht="15" customHeight="1" x14ac:dyDescent="0.35">
      <c r="A1936" s="15"/>
      <c r="B1936" s="65"/>
      <c r="C1936" s="15"/>
      <c r="D1936" s="19"/>
      <c r="E1936" s="40"/>
      <c r="F1936" s="13"/>
      <c r="G1936" s="78"/>
      <c r="H1936" s="16"/>
      <c r="I1936" s="10"/>
      <c r="J1936" s="10"/>
      <c r="K1936" s="10"/>
      <c r="L1936" s="10"/>
      <c r="M1936" s="10"/>
      <c r="N1936" s="10"/>
      <c r="O1936" s="10"/>
      <c r="P1936" s="38"/>
    </row>
    <row r="1937" spans="1:16" ht="15" customHeight="1" x14ac:dyDescent="0.35">
      <c r="A1937" s="15"/>
      <c r="B1937" s="65"/>
      <c r="C1937" s="15"/>
      <c r="D1937" s="19"/>
      <c r="E1937" s="40"/>
      <c r="F1937" s="13"/>
      <c r="G1937" s="78"/>
      <c r="H1937" s="16"/>
      <c r="I1937" s="10"/>
      <c r="J1937" s="10"/>
      <c r="K1937" s="10"/>
      <c r="L1937" s="10"/>
      <c r="M1937" s="10"/>
      <c r="N1937" s="10"/>
      <c r="O1937" s="10"/>
      <c r="P1937" s="38"/>
    </row>
    <row r="1938" spans="1:16" ht="15" customHeight="1" x14ac:dyDescent="0.35">
      <c r="A1938" s="15"/>
      <c r="B1938" s="65"/>
      <c r="C1938" s="15"/>
      <c r="D1938" s="19"/>
      <c r="E1938" s="40"/>
      <c r="F1938" s="13"/>
      <c r="G1938" s="78"/>
      <c r="H1938" s="16"/>
      <c r="I1938" s="10"/>
      <c r="J1938" s="10"/>
      <c r="K1938" s="10"/>
      <c r="L1938" s="10"/>
      <c r="M1938" s="10"/>
      <c r="N1938" s="10"/>
      <c r="O1938" s="10"/>
      <c r="P1938" s="38"/>
    </row>
    <row r="1939" spans="1:16" ht="15" customHeight="1" x14ac:dyDescent="0.35">
      <c r="A1939" s="15"/>
      <c r="B1939" s="65"/>
      <c r="C1939" s="15"/>
      <c r="D1939" s="19"/>
      <c r="E1939" s="40"/>
      <c r="F1939" s="13"/>
      <c r="G1939" s="78"/>
      <c r="H1939" s="16"/>
      <c r="I1939" s="10"/>
      <c r="J1939" s="10"/>
      <c r="K1939" s="10"/>
      <c r="L1939" s="10"/>
      <c r="M1939" s="10"/>
      <c r="N1939" s="10"/>
      <c r="O1939" s="10"/>
      <c r="P1939" s="38"/>
    </row>
    <row r="1940" spans="1:16" ht="15" customHeight="1" x14ac:dyDescent="0.35">
      <c r="A1940" s="15"/>
      <c r="B1940" s="65"/>
      <c r="C1940" s="15"/>
      <c r="D1940" s="19"/>
      <c r="E1940" s="40"/>
      <c r="F1940" s="13"/>
      <c r="G1940" s="78"/>
      <c r="H1940" s="16"/>
      <c r="I1940" s="10"/>
      <c r="J1940" s="10"/>
      <c r="K1940" s="10"/>
      <c r="L1940" s="10"/>
      <c r="M1940" s="10"/>
      <c r="N1940" s="10"/>
      <c r="O1940" s="10"/>
      <c r="P1940" s="38"/>
    </row>
    <row r="1941" spans="1:16" ht="15" customHeight="1" x14ac:dyDescent="0.35">
      <c r="A1941" s="15"/>
      <c r="B1941" s="65"/>
      <c r="C1941" s="15"/>
      <c r="D1941" s="19"/>
      <c r="E1941" s="40"/>
      <c r="F1941" s="13"/>
      <c r="G1941" s="78"/>
      <c r="H1941" s="16"/>
      <c r="I1941" s="10"/>
      <c r="J1941" s="10"/>
      <c r="K1941" s="10"/>
      <c r="L1941" s="10"/>
      <c r="M1941" s="10"/>
      <c r="N1941" s="10"/>
      <c r="O1941" s="10"/>
      <c r="P1941" s="38"/>
    </row>
    <row r="1942" spans="1:16" ht="15" customHeight="1" x14ac:dyDescent="0.35">
      <c r="A1942" s="15"/>
      <c r="B1942" s="65"/>
      <c r="C1942" s="15"/>
      <c r="D1942" s="19"/>
      <c r="E1942" s="40"/>
      <c r="F1942" s="13"/>
      <c r="G1942" s="78"/>
      <c r="H1942" s="16"/>
      <c r="I1942" s="10"/>
      <c r="J1942" s="10"/>
      <c r="K1942" s="10"/>
      <c r="L1942" s="10"/>
      <c r="M1942" s="10"/>
      <c r="N1942" s="10"/>
      <c r="O1942" s="10"/>
      <c r="P1942" s="38"/>
    </row>
    <row r="1943" spans="1:16" ht="15" customHeight="1" x14ac:dyDescent="0.35">
      <c r="A1943" s="15"/>
      <c r="B1943" s="65"/>
      <c r="C1943" s="15"/>
      <c r="D1943" s="19"/>
      <c r="E1943" s="40"/>
      <c r="F1943" s="13"/>
      <c r="G1943" s="78"/>
      <c r="H1943" s="16"/>
      <c r="I1943" s="10"/>
      <c r="J1943" s="10"/>
      <c r="K1943" s="10"/>
      <c r="L1943" s="10"/>
      <c r="M1943" s="10"/>
      <c r="N1943" s="10"/>
      <c r="O1943" s="10"/>
      <c r="P1943" s="38"/>
    </row>
    <row r="1944" spans="1:16" ht="15" customHeight="1" x14ac:dyDescent="0.35">
      <c r="A1944" s="15"/>
      <c r="B1944" s="65"/>
      <c r="C1944" s="15"/>
      <c r="D1944" s="19"/>
      <c r="E1944" s="40"/>
      <c r="F1944" s="13"/>
      <c r="G1944" s="78"/>
      <c r="H1944" s="16"/>
      <c r="I1944" s="10"/>
      <c r="J1944" s="10"/>
      <c r="K1944" s="10"/>
      <c r="L1944" s="10"/>
      <c r="M1944" s="10"/>
      <c r="N1944" s="10"/>
      <c r="O1944" s="10"/>
      <c r="P1944" s="38"/>
    </row>
    <row r="1945" spans="1:16" ht="15" customHeight="1" x14ac:dyDescent="0.35">
      <c r="A1945" s="15"/>
      <c r="B1945" s="65"/>
      <c r="C1945" s="15"/>
      <c r="D1945" s="19"/>
      <c r="E1945" s="40"/>
      <c r="F1945" s="13"/>
      <c r="G1945" s="78"/>
      <c r="H1945" s="16"/>
      <c r="I1945" s="10"/>
      <c r="J1945" s="10"/>
      <c r="K1945" s="10"/>
      <c r="L1945" s="10"/>
      <c r="M1945" s="10"/>
      <c r="N1945" s="10"/>
      <c r="O1945" s="10"/>
      <c r="P1945" s="38"/>
    </row>
    <row r="1946" spans="1:16" ht="15" customHeight="1" x14ac:dyDescent="0.35">
      <c r="A1946" s="15"/>
      <c r="B1946" s="65"/>
      <c r="C1946" s="15"/>
      <c r="D1946" s="19"/>
      <c r="E1946" s="40"/>
      <c r="F1946" s="13"/>
      <c r="G1946" s="78"/>
      <c r="H1946" s="16"/>
      <c r="I1946" s="10"/>
      <c r="J1946" s="10"/>
      <c r="K1946" s="10"/>
      <c r="L1946" s="10"/>
      <c r="M1946" s="10"/>
      <c r="N1946" s="10"/>
      <c r="O1946" s="10"/>
      <c r="P1946" s="38"/>
    </row>
    <row r="1947" spans="1:16" ht="15" customHeight="1" x14ac:dyDescent="0.35">
      <c r="A1947" s="15"/>
      <c r="B1947" s="65"/>
      <c r="C1947" s="15"/>
      <c r="D1947" s="19"/>
      <c r="E1947" s="40"/>
      <c r="F1947" s="13"/>
      <c r="G1947" s="78"/>
      <c r="H1947" s="16"/>
      <c r="I1947" s="10"/>
      <c r="J1947" s="10"/>
      <c r="K1947" s="10"/>
      <c r="L1947" s="10"/>
      <c r="M1947" s="10"/>
      <c r="N1947" s="10"/>
      <c r="O1947" s="10"/>
      <c r="P1947" s="38"/>
    </row>
    <row r="1948" spans="1:16" ht="15" customHeight="1" x14ac:dyDescent="0.35">
      <c r="A1948" s="15"/>
      <c r="B1948" s="65"/>
      <c r="C1948" s="15"/>
      <c r="D1948" s="19"/>
      <c r="E1948" s="40"/>
      <c r="F1948" s="13"/>
      <c r="G1948" s="78"/>
      <c r="H1948" s="16"/>
      <c r="I1948" s="10"/>
      <c r="J1948" s="10"/>
      <c r="K1948" s="10"/>
      <c r="L1948" s="10"/>
      <c r="M1948" s="10"/>
      <c r="N1948" s="10"/>
      <c r="O1948" s="10"/>
      <c r="P1948" s="38"/>
    </row>
    <row r="1949" spans="1:16" ht="15" customHeight="1" x14ac:dyDescent="0.35">
      <c r="A1949" s="15"/>
      <c r="B1949" s="65"/>
      <c r="C1949" s="15"/>
      <c r="D1949" s="19"/>
      <c r="E1949" s="40"/>
      <c r="F1949" s="13"/>
      <c r="G1949" s="78"/>
      <c r="H1949" s="16"/>
      <c r="I1949" s="10"/>
      <c r="J1949" s="10"/>
      <c r="K1949" s="10"/>
      <c r="L1949" s="10"/>
      <c r="M1949" s="10"/>
      <c r="N1949" s="10"/>
      <c r="O1949" s="10"/>
      <c r="P1949" s="38"/>
    </row>
    <row r="1950" spans="1:16" ht="15" customHeight="1" x14ac:dyDescent="0.35">
      <c r="A1950" s="15"/>
      <c r="B1950" s="65"/>
      <c r="C1950" s="15"/>
      <c r="D1950" s="19"/>
      <c r="E1950" s="40"/>
      <c r="F1950" s="13"/>
      <c r="G1950" s="78"/>
      <c r="H1950" s="16"/>
      <c r="I1950" s="10"/>
      <c r="J1950" s="10"/>
      <c r="K1950" s="10"/>
      <c r="L1950" s="10"/>
      <c r="M1950" s="10"/>
      <c r="N1950" s="10"/>
      <c r="O1950" s="10"/>
      <c r="P1950" s="38"/>
    </row>
    <row r="1951" spans="1:16" ht="15" customHeight="1" x14ac:dyDescent="0.35">
      <c r="A1951" s="15"/>
      <c r="B1951" s="65"/>
      <c r="C1951" s="15"/>
      <c r="D1951" s="19"/>
      <c r="E1951" s="40"/>
      <c r="F1951" s="13"/>
      <c r="G1951" s="78"/>
      <c r="H1951" s="16"/>
      <c r="I1951" s="10"/>
      <c r="J1951" s="10"/>
      <c r="K1951" s="10"/>
      <c r="L1951" s="10"/>
      <c r="M1951" s="10"/>
      <c r="N1951" s="10"/>
      <c r="O1951" s="10"/>
      <c r="P1951" s="38"/>
    </row>
    <row r="1952" spans="1:16" ht="15" customHeight="1" x14ac:dyDescent="0.35">
      <c r="A1952" s="15"/>
      <c r="B1952" s="65"/>
      <c r="C1952" s="15"/>
      <c r="D1952" s="19"/>
      <c r="E1952" s="40"/>
      <c r="F1952" s="13"/>
      <c r="G1952" s="78"/>
      <c r="H1952" s="16"/>
      <c r="I1952" s="10"/>
      <c r="J1952" s="10"/>
      <c r="K1952" s="10"/>
      <c r="L1952" s="10"/>
      <c r="M1952" s="10"/>
      <c r="N1952" s="10"/>
      <c r="O1952" s="10"/>
      <c r="P1952" s="38"/>
    </row>
    <row r="1953" spans="1:16" ht="15" customHeight="1" x14ac:dyDescent="0.35">
      <c r="A1953" s="15"/>
      <c r="B1953" s="65"/>
      <c r="C1953" s="15"/>
      <c r="D1953" s="19"/>
      <c r="E1953" s="40"/>
      <c r="F1953" s="13"/>
      <c r="G1953" s="78"/>
      <c r="H1953" s="16"/>
      <c r="I1953" s="10"/>
      <c r="J1953" s="10"/>
      <c r="K1953" s="10"/>
      <c r="L1953" s="10"/>
      <c r="M1953" s="10"/>
      <c r="N1953" s="10"/>
      <c r="O1953" s="10"/>
      <c r="P1953" s="38"/>
    </row>
    <row r="1954" spans="1:16" ht="15" customHeight="1" x14ac:dyDescent="0.35">
      <c r="A1954" s="15"/>
      <c r="B1954" s="65"/>
      <c r="C1954" s="15"/>
      <c r="D1954" s="19"/>
      <c r="E1954" s="40"/>
      <c r="F1954" s="13"/>
      <c r="G1954" s="78"/>
      <c r="H1954" s="16"/>
      <c r="I1954" s="10"/>
      <c r="J1954" s="10"/>
      <c r="K1954" s="10"/>
      <c r="L1954" s="10"/>
      <c r="M1954" s="10"/>
      <c r="N1954" s="10"/>
      <c r="O1954" s="10"/>
      <c r="P1954" s="38"/>
    </row>
    <row r="1955" spans="1:16" ht="15" customHeight="1" x14ac:dyDescent="0.35">
      <c r="A1955" s="15"/>
      <c r="B1955" s="65"/>
      <c r="C1955" s="15"/>
      <c r="D1955" s="19"/>
      <c r="E1955" s="40"/>
      <c r="F1955" s="13"/>
      <c r="G1955" s="78"/>
      <c r="H1955" s="16"/>
      <c r="I1955" s="10"/>
      <c r="J1955" s="10"/>
      <c r="K1955" s="10"/>
      <c r="L1955" s="10"/>
      <c r="M1955" s="10"/>
      <c r="N1955" s="10"/>
      <c r="O1955" s="10"/>
      <c r="P1955" s="38"/>
    </row>
    <row r="1956" spans="1:16" ht="15" customHeight="1" x14ac:dyDescent="0.35">
      <c r="A1956" s="15"/>
      <c r="B1956" s="65"/>
      <c r="C1956" s="15"/>
      <c r="D1956" s="19"/>
      <c r="E1956" s="40"/>
      <c r="F1956" s="13"/>
      <c r="G1956" s="78"/>
      <c r="H1956" s="16"/>
      <c r="I1956" s="10"/>
      <c r="J1956" s="10"/>
      <c r="K1956" s="10"/>
      <c r="L1956" s="10"/>
      <c r="M1956" s="10"/>
      <c r="N1956" s="10"/>
      <c r="O1956" s="10"/>
      <c r="P1956" s="38"/>
    </row>
    <row r="1957" spans="1:16" ht="15" customHeight="1" x14ac:dyDescent="0.35">
      <c r="A1957" s="15"/>
      <c r="B1957" s="65"/>
      <c r="C1957" s="15"/>
      <c r="D1957" s="19"/>
      <c r="E1957" s="40"/>
      <c r="F1957" s="13"/>
      <c r="G1957" s="78"/>
      <c r="H1957" s="16"/>
      <c r="I1957" s="10"/>
      <c r="J1957" s="10"/>
      <c r="K1957" s="10"/>
      <c r="L1957" s="10"/>
      <c r="M1957" s="10"/>
      <c r="N1957" s="10"/>
      <c r="O1957" s="10"/>
      <c r="P1957" s="38"/>
    </row>
    <row r="1958" spans="1:16" ht="15" customHeight="1" x14ac:dyDescent="0.35">
      <c r="A1958" s="15"/>
      <c r="B1958" s="65"/>
      <c r="C1958" s="15"/>
      <c r="D1958" s="19"/>
      <c r="E1958" s="40"/>
      <c r="F1958" s="13"/>
      <c r="G1958" s="78"/>
      <c r="H1958" s="16"/>
      <c r="I1958" s="10"/>
      <c r="J1958" s="10"/>
      <c r="K1958" s="10"/>
      <c r="L1958" s="10"/>
      <c r="M1958" s="10"/>
      <c r="N1958" s="10"/>
      <c r="O1958" s="10"/>
      <c r="P1958" s="38"/>
    </row>
    <row r="1959" spans="1:16" ht="15" customHeight="1" x14ac:dyDescent="0.35">
      <c r="A1959" s="15"/>
      <c r="B1959" s="65"/>
      <c r="C1959" s="15"/>
      <c r="D1959" s="19"/>
      <c r="E1959" s="40"/>
      <c r="F1959" s="13"/>
      <c r="G1959" s="78"/>
      <c r="H1959" s="16"/>
      <c r="I1959" s="10"/>
      <c r="J1959" s="10"/>
      <c r="K1959" s="10"/>
      <c r="L1959" s="10"/>
      <c r="M1959" s="10"/>
      <c r="N1959" s="10"/>
      <c r="O1959" s="10"/>
      <c r="P1959" s="38"/>
    </row>
    <row r="1960" spans="1:16" ht="15" customHeight="1" x14ac:dyDescent="0.35">
      <c r="A1960" s="15"/>
      <c r="B1960" s="65"/>
      <c r="C1960" s="15"/>
      <c r="D1960" s="19"/>
      <c r="E1960" s="40"/>
      <c r="F1960" s="13"/>
      <c r="G1960" s="78"/>
      <c r="H1960" s="16"/>
      <c r="I1960" s="10"/>
      <c r="J1960" s="10"/>
      <c r="K1960" s="10"/>
      <c r="L1960" s="10"/>
      <c r="M1960" s="10"/>
      <c r="N1960" s="10"/>
      <c r="O1960" s="10"/>
      <c r="P1960" s="38"/>
    </row>
    <row r="1961" spans="1:16" ht="15" customHeight="1" x14ac:dyDescent="0.35">
      <c r="A1961" s="15"/>
      <c r="B1961" s="65"/>
      <c r="C1961" s="15"/>
      <c r="D1961" s="19"/>
      <c r="E1961" s="40"/>
      <c r="F1961" s="13"/>
      <c r="G1961" s="78"/>
      <c r="H1961" s="16"/>
      <c r="I1961" s="10"/>
      <c r="J1961" s="10"/>
      <c r="K1961" s="10"/>
      <c r="L1961" s="10"/>
      <c r="M1961" s="10"/>
      <c r="N1961" s="10"/>
      <c r="O1961" s="10"/>
      <c r="P1961" s="38"/>
    </row>
    <row r="1962" spans="1:16" ht="15" customHeight="1" x14ac:dyDescent="0.35">
      <c r="A1962" s="15"/>
      <c r="B1962" s="65"/>
      <c r="C1962" s="15"/>
      <c r="D1962" s="19"/>
      <c r="E1962" s="40"/>
      <c r="F1962" s="13"/>
      <c r="G1962" s="78"/>
      <c r="H1962" s="16"/>
      <c r="I1962" s="10"/>
      <c r="J1962" s="10"/>
      <c r="K1962" s="10"/>
      <c r="L1962" s="10"/>
      <c r="M1962" s="10"/>
      <c r="N1962" s="10"/>
      <c r="O1962" s="10"/>
      <c r="P1962" s="38"/>
    </row>
    <row r="1963" spans="1:16" ht="15" customHeight="1" x14ac:dyDescent="0.35">
      <c r="A1963" s="15"/>
      <c r="B1963" s="65"/>
      <c r="C1963" s="15"/>
      <c r="D1963" s="19"/>
      <c r="E1963" s="40"/>
      <c r="F1963" s="13"/>
      <c r="G1963" s="78"/>
      <c r="H1963" s="16"/>
      <c r="I1963" s="10"/>
      <c r="J1963" s="10"/>
      <c r="K1963" s="10"/>
      <c r="L1963" s="10"/>
      <c r="M1963" s="10"/>
      <c r="N1963" s="10"/>
      <c r="O1963" s="10"/>
      <c r="P1963" s="38"/>
    </row>
    <row r="1964" spans="1:16" ht="15" customHeight="1" x14ac:dyDescent="0.35">
      <c r="A1964" s="15"/>
      <c r="B1964" s="65"/>
      <c r="C1964" s="15"/>
      <c r="D1964" s="19"/>
      <c r="E1964" s="40"/>
      <c r="F1964" s="13"/>
      <c r="G1964" s="78"/>
      <c r="H1964" s="16"/>
      <c r="I1964" s="10"/>
      <c r="J1964" s="10"/>
      <c r="K1964" s="10"/>
      <c r="L1964" s="10"/>
      <c r="M1964" s="10"/>
      <c r="N1964" s="10"/>
      <c r="O1964" s="10"/>
      <c r="P1964" s="38"/>
    </row>
    <row r="1965" spans="1:16" ht="15" customHeight="1" x14ac:dyDescent="0.35">
      <c r="A1965" s="15"/>
      <c r="B1965" s="65"/>
      <c r="C1965" s="15"/>
      <c r="D1965" s="19"/>
      <c r="E1965" s="40"/>
      <c r="F1965" s="13"/>
      <c r="G1965" s="78"/>
      <c r="H1965" s="16"/>
      <c r="I1965" s="10"/>
      <c r="J1965" s="10"/>
      <c r="K1965" s="10"/>
      <c r="L1965" s="10"/>
      <c r="M1965" s="10"/>
      <c r="N1965" s="10"/>
      <c r="O1965" s="10"/>
      <c r="P1965" s="38"/>
    </row>
    <row r="1966" spans="1:16" ht="15" customHeight="1" x14ac:dyDescent="0.35">
      <c r="A1966" s="15"/>
      <c r="B1966" s="65"/>
      <c r="C1966" s="15"/>
      <c r="D1966" s="19"/>
      <c r="E1966" s="40"/>
      <c r="F1966" s="13"/>
      <c r="G1966" s="78"/>
      <c r="H1966" s="16"/>
      <c r="I1966" s="10"/>
      <c r="J1966" s="10"/>
      <c r="K1966" s="10"/>
      <c r="L1966" s="10"/>
      <c r="M1966" s="10"/>
      <c r="N1966" s="10"/>
      <c r="O1966" s="10"/>
      <c r="P1966" s="38"/>
    </row>
    <row r="1967" spans="1:16" ht="15" customHeight="1" x14ac:dyDescent="0.35">
      <c r="A1967" s="15"/>
      <c r="B1967" s="65"/>
      <c r="C1967" s="15"/>
      <c r="D1967" s="19"/>
      <c r="E1967" s="40"/>
      <c r="F1967" s="13"/>
      <c r="G1967" s="78"/>
      <c r="H1967" s="16"/>
      <c r="I1967" s="10"/>
      <c r="J1967" s="10"/>
      <c r="K1967" s="10"/>
      <c r="L1967" s="10"/>
      <c r="M1967" s="10"/>
      <c r="N1967" s="10"/>
      <c r="O1967" s="10"/>
      <c r="P1967" s="38"/>
    </row>
    <row r="1968" spans="1:16" ht="15" customHeight="1" x14ac:dyDescent="0.35">
      <c r="A1968" s="15"/>
      <c r="B1968" s="65"/>
      <c r="C1968" s="15"/>
      <c r="D1968" s="19"/>
      <c r="E1968" s="40"/>
      <c r="F1968" s="13"/>
      <c r="G1968" s="78"/>
      <c r="H1968" s="16"/>
      <c r="I1968" s="10"/>
      <c r="J1968" s="10"/>
      <c r="K1968" s="10"/>
      <c r="L1968" s="10"/>
      <c r="M1968" s="10"/>
      <c r="N1968" s="10"/>
      <c r="O1968" s="10"/>
      <c r="P1968" s="38"/>
    </row>
    <row r="1969" spans="1:16" ht="15" customHeight="1" x14ac:dyDescent="0.35">
      <c r="A1969" s="15"/>
      <c r="B1969" s="65"/>
      <c r="C1969" s="15"/>
      <c r="D1969" s="19"/>
      <c r="E1969" s="40"/>
      <c r="F1969" s="13"/>
      <c r="G1969" s="78"/>
      <c r="H1969" s="16"/>
      <c r="I1969" s="10"/>
      <c r="J1969" s="10"/>
      <c r="K1969" s="10"/>
      <c r="L1969" s="10"/>
      <c r="M1969" s="10"/>
      <c r="N1969" s="10"/>
      <c r="O1969" s="10"/>
      <c r="P1969" s="38"/>
    </row>
    <row r="1970" spans="1:16" ht="15" customHeight="1" x14ac:dyDescent="0.35">
      <c r="A1970" s="15"/>
      <c r="B1970" s="65"/>
      <c r="C1970" s="15"/>
      <c r="D1970" s="19"/>
      <c r="E1970" s="40"/>
      <c r="F1970" s="13"/>
      <c r="G1970" s="78"/>
      <c r="H1970" s="16"/>
      <c r="I1970" s="10"/>
      <c r="J1970" s="10"/>
      <c r="K1970" s="10"/>
      <c r="L1970" s="10"/>
      <c r="M1970" s="10"/>
      <c r="N1970" s="10"/>
      <c r="O1970" s="10"/>
      <c r="P1970" s="38"/>
    </row>
    <row r="1971" spans="1:16" ht="15" customHeight="1" x14ac:dyDescent="0.35">
      <c r="A1971" s="15"/>
      <c r="B1971" s="65"/>
      <c r="C1971" s="15"/>
      <c r="D1971" s="19"/>
      <c r="E1971" s="40"/>
      <c r="F1971" s="13"/>
      <c r="G1971" s="78"/>
      <c r="H1971" s="16"/>
      <c r="I1971" s="10"/>
      <c r="J1971" s="10"/>
      <c r="K1971" s="10"/>
      <c r="L1971" s="10"/>
      <c r="M1971" s="10"/>
      <c r="N1971" s="10"/>
      <c r="O1971" s="10"/>
      <c r="P1971" s="38"/>
    </row>
    <row r="1972" spans="1:16" ht="15" customHeight="1" x14ac:dyDescent="0.35">
      <c r="A1972" s="15"/>
      <c r="B1972" s="65"/>
      <c r="C1972" s="15"/>
      <c r="D1972" s="19"/>
      <c r="E1972" s="40"/>
      <c r="F1972" s="13"/>
      <c r="G1972" s="78"/>
      <c r="H1972" s="16"/>
      <c r="I1972" s="10"/>
      <c r="J1972" s="10"/>
      <c r="K1972" s="10"/>
      <c r="L1972" s="10"/>
      <c r="M1972" s="10"/>
      <c r="N1972" s="10"/>
      <c r="O1972" s="10"/>
      <c r="P1972" s="38"/>
    </row>
    <row r="1973" spans="1:16" ht="15" customHeight="1" x14ac:dyDescent="0.35">
      <c r="A1973" s="15"/>
      <c r="B1973" s="65"/>
      <c r="C1973" s="15"/>
      <c r="D1973" s="19"/>
      <c r="E1973" s="40"/>
      <c r="F1973" s="13"/>
      <c r="G1973" s="78"/>
      <c r="H1973" s="16"/>
      <c r="I1973" s="10"/>
      <c r="J1973" s="10"/>
      <c r="K1973" s="10"/>
      <c r="L1973" s="10"/>
      <c r="M1973" s="10"/>
      <c r="N1973" s="10"/>
      <c r="O1973" s="10"/>
      <c r="P1973" s="38"/>
    </row>
    <row r="1974" spans="1:16" ht="15" customHeight="1" x14ac:dyDescent="0.35">
      <c r="A1974" s="15"/>
      <c r="B1974" s="65"/>
      <c r="C1974" s="15"/>
      <c r="D1974" s="19"/>
      <c r="E1974" s="40"/>
      <c r="F1974" s="13"/>
      <c r="G1974" s="78"/>
      <c r="H1974" s="16"/>
      <c r="I1974" s="10"/>
      <c r="J1974" s="10"/>
      <c r="K1974" s="10"/>
      <c r="L1974" s="10"/>
      <c r="M1974" s="10"/>
      <c r="N1974" s="10"/>
      <c r="O1974" s="10"/>
      <c r="P1974" s="38"/>
    </row>
    <row r="1975" spans="1:16" ht="15" customHeight="1" x14ac:dyDescent="0.35">
      <c r="A1975" s="15"/>
      <c r="B1975" s="65"/>
      <c r="C1975" s="15"/>
      <c r="D1975" s="19"/>
      <c r="E1975" s="40"/>
      <c r="F1975" s="13"/>
      <c r="G1975" s="78"/>
      <c r="H1975" s="16"/>
      <c r="I1975" s="10"/>
      <c r="J1975" s="10"/>
      <c r="K1975" s="10"/>
      <c r="L1975" s="10"/>
      <c r="M1975" s="10"/>
      <c r="N1975" s="10"/>
      <c r="O1975" s="10"/>
      <c r="P1975" s="38"/>
    </row>
    <row r="1976" spans="1:16" ht="15" customHeight="1" x14ac:dyDescent="0.35">
      <c r="A1976" s="15"/>
      <c r="B1976" s="65"/>
      <c r="C1976" s="15"/>
      <c r="D1976" s="19"/>
      <c r="E1976" s="40"/>
      <c r="F1976" s="13"/>
      <c r="G1976" s="78"/>
      <c r="H1976" s="16"/>
      <c r="I1976" s="10"/>
      <c r="J1976" s="10"/>
      <c r="K1976" s="10"/>
      <c r="L1976" s="10"/>
      <c r="M1976" s="10"/>
      <c r="N1976" s="10"/>
      <c r="O1976" s="10"/>
      <c r="P1976" s="38"/>
    </row>
    <row r="1977" spans="1:16" ht="15" customHeight="1" x14ac:dyDescent="0.35">
      <c r="A1977" s="15"/>
      <c r="B1977" s="65"/>
      <c r="C1977" s="15"/>
      <c r="D1977" s="19"/>
      <c r="E1977" s="40"/>
      <c r="F1977" s="13"/>
      <c r="G1977" s="78"/>
      <c r="H1977" s="16"/>
      <c r="I1977" s="10"/>
      <c r="J1977" s="10"/>
      <c r="K1977" s="10"/>
      <c r="L1977" s="10"/>
      <c r="M1977" s="10"/>
      <c r="N1977" s="10"/>
      <c r="O1977" s="10"/>
      <c r="P1977" s="38"/>
    </row>
    <row r="1978" spans="1:16" ht="15" customHeight="1" x14ac:dyDescent="0.35">
      <c r="A1978" s="15"/>
      <c r="B1978" s="65"/>
      <c r="C1978" s="15"/>
      <c r="D1978" s="19"/>
      <c r="E1978" s="40"/>
      <c r="F1978" s="13"/>
      <c r="G1978" s="78"/>
      <c r="H1978" s="16"/>
      <c r="I1978" s="10"/>
      <c r="J1978" s="10"/>
      <c r="K1978" s="10"/>
      <c r="L1978" s="10"/>
      <c r="M1978" s="10"/>
      <c r="N1978" s="10"/>
      <c r="O1978" s="10"/>
      <c r="P1978" s="38"/>
    </row>
    <row r="1979" spans="1:16" ht="15" customHeight="1" x14ac:dyDescent="0.35">
      <c r="A1979" s="15"/>
      <c r="B1979" s="65"/>
      <c r="C1979" s="15"/>
      <c r="D1979" s="19"/>
      <c r="E1979" s="40"/>
      <c r="F1979" s="13"/>
      <c r="G1979" s="78"/>
      <c r="H1979" s="16"/>
      <c r="I1979" s="10"/>
      <c r="J1979" s="10"/>
      <c r="K1979" s="10"/>
      <c r="L1979" s="10"/>
      <c r="M1979" s="10"/>
      <c r="N1979" s="10"/>
      <c r="O1979" s="10"/>
      <c r="P1979" s="38"/>
    </row>
    <row r="1980" spans="1:16" ht="15" customHeight="1" x14ac:dyDescent="0.35">
      <c r="A1980" s="15"/>
      <c r="B1980" s="65"/>
      <c r="C1980" s="15"/>
      <c r="D1980" s="19"/>
      <c r="E1980" s="40"/>
      <c r="F1980" s="13"/>
      <c r="G1980" s="78"/>
      <c r="H1980" s="16"/>
      <c r="I1980" s="10"/>
      <c r="J1980" s="10"/>
      <c r="K1980" s="10"/>
      <c r="L1980" s="10"/>
      <c r="M1980" s="10"/>
      <c r="N1980" s="10"/>
      <c r="O1980" s="10"/>
      <c r="P1980" s="38"/>
    </row>
    <row r="1981" spans="1:16" ht="15" customHeight="1" x14ac:dyDescent="0.35">
      <c r="A1981" s="15"/>
      <c r="B1981" s="65"/>
      <c r="C1981" s="15"/>
      <c r="D1981" s="19"/>
      <c r="E1981" s="40"/>
      <c r="F1981" s="13"/>
      <c r="G1981" s="78"/>
      <c r="H1981" s="16"/>
      <c r="I1981" s="10"/>
      <c r="J1981" s="10"/>
      <c r="K1981" s="10"/>
      <c r="L1981" s="10"/>
      <c r="M1981" s="10"/>
      <c r="N1981" s="10"/>
      <c r="O1981" s="10"/>
      <c r="P1981" s="38"/>
    </row>
    <row r="1982" spans="1:16" ht="15" customHeight="1" x14ac:dyDescent="0.35">
      <c r="A1982" s="15"/>
      <c r="B1982" s="65"/>
      <c r="C1982" s="15"/>
      <c r="D1982" s="19"/>
      <c r="E1982" s="40"/>
      <c r="F1982" s="13"/>
      <c r="G1982" s="78"/>
      <c r="H1982" s="16"/>
      <c r="I1982" s="10"/>
      <c r="J1982" s="10"/>
      <c r="K1982" s="10"/>
      <c r="L1982" s="10"/>
      <c r="M1982" s="10"/>
      <c r="N1982" s="10"/>
      <c r="O1982" s="10"/>
      <c r="P1982" s="38"/>
    </row>
    <row r="1983" spans="1:16" ht="15" customHeight="1" x14ac:dyDescent="0.35">
      <c r="A1983" s="15"/>
      <c r="B1983" s="65"/>
      <c r="C1983" s="15"/>
      <c r="D1983" s="19"/>
      <c r="E1983" s="40"/>
      <c r="F1983" s="13"/>
      <c r="G1983" s="78"/>
      <c r="H1983" s="16"/>
      <c r="I1983" s="10"/>
      <c r="J1983" s="10"/>
      <c r="K1983" s="10"/>
      <c r="L1983" s="10"/>
      <c r="M1983" s="10"/>
      <c r="N1983" s="10"/>
      <c r="O1983" s="10"/>
      <c r="P1983" s="38"/>
    </row>
    <row r="1984" spans="1:16" ht="15" customHeight="1" x14ac:dyDescent="0.35">
      <c r="A1984" s="15"/>
      <c r="B1984" s="65"/>
      <c r="C1984" s="15"/>
      <c r="D1984" s="19"/>
      <c r="E1984" s="40"/>
      <c r="F1984" s="13"/>
      <c r="G1984" s="78"/>
      <c r="H1984" s="16"/>
      <c r="I1984" s="10"/>
      <c r="J1984" s="10"/>
      <c r="K1984" s="10"/>
      <c r="L1984" s="10"/>
      <c r="M1984" s="10"/>
      <c r="N1984" s="10"/>
      <c r="O1984" s="10"/>
      <c r="P1984" s="38"/>
    </row>
    <row r="1985" spans="1:16" ht="15" customHeight="1" x14ac:dyDescent="0.35">
      <c r="A1985" s="15"/>
      <c r="B1985" s="65"/>
      <c r="C1985" s="15"/>
      <c r="D1985" s="19"/>
      <c r="E1985" s="40"/>
      <c r="F1985" s="13"/>
      <c r="G1985" s="78"/>
      <c r="H1985" s="16"/>
      <c r="I1985" s="10"/>
      <c r="J1985" s="10"/>
      <c r="K1985" s="10"/>
      <c r="L1985" s="10"/>
      <c r="M1985" s="10"/>
      <c r="N1985" s="10"/>
      <c r="O1985" s="10"/>
      <c r="P1985" s="38"/>
    </row>
    <row r="1986" spans="1:16" ht="15" customHeight="1" x14ac:dyDescent="0.35">
      <c r="A1986" s="15"/>
      <c r="B1986" s="65"/>
      <c r="C1986" s="15"/>
      <c r="D1986" s="19"/>
      <c r="E1986" s="40"/>
      <c r="F1986" s="13"/>
      <c r="G1986" s="78"/>
      <c r="H1986" s="16"/>
      <c r="I1986" s="10"/>
      <c r="J1986" s="10"/>
      <c r="K1986" s="10"/>
      <c r="L1986" s="10"/>
      <c r="M1986" s="10"/>
      <c r="N1986" s="10"/>
      <c r="O1986" s="10"/>
      <c r="P1986" s="38"/>
    </row>
    <row r="1987" spans="1:16" ht="15" customHeight="1" x14ac:dyDescent="0.35">
      <c r="A1987" s="15"/>
      <c r="B1987" s="65"/>
      <c r="C1987" s="15"/>
      <c r="D1987" s="19"/>
      <c r="E1987" s="40"/>
      <c r="F1987" s="13"/>
      <c r="G1987" s="78"/>
      <c r="H1987" s="16"/>
      <c r="I1987" s="10"/>
      <c r="J1987" s="10"/>
      <c r="K1987" s="10"/>
      <c r="L1987" s="10"/>
      <c r="M1987" s="10"/>
      <c r="N1987" s="10"/>
      <c r="O1987" s="10"/>
      <c r="P1987" s="38"/>
    </row>
    <row r="1988" spans="1:16" ht="15" customHeight="1" x14ac:dyDescent="0.35">
      <c r="A1988" s="15"/>
      <c r="B1988" s="65"/>
      <c r="C1988" s="15"/>
      <c r="D1988" s="19"/>
      <c r="E1988" s="40"/>
      <c r="F1988" s="13"/>
      <c r="G1988" s="78"/>
      <c r="H1988" s="16"/>
      <c r="I1988" s="10"/>
      <c r="J1988" s="10"/>
      <c r="K1988" s="10"/>
      <c r="L1988" s="10"/>
      <c r="M1988" s="10"/>
      <c r="N1988" s="10"/>
      <c r="O1988" s="10"/>
      <c r="P1988" s="38"/>
    </row>
    <row r="1989" spans="1:16" ht="15" customHeight="1" x14ac:dyDescent="0.35">
      <c r="A1989" s="15"/>
      <c r="B1989" s="65"/>
      <c r="C1989" s="15"/>
      <c r="D1989" s="19"/>
      <c r="E1989" s="40"/>
      <c r="F1989" s="13"/>
      <c r="G1989" s="78"/>
      <c r="H1989" s="16"/>
      <c r="I1989" s="10"/>
      <c r="J1989" s="10"/>
      <c r="K1989" s="10"/>
      <c r="L1989" s="10"/>
      <c r="M1989" s="10"/>
      <c r="N1989" s="10"/>
      <c r="O1989" s="10"/>
      <c r="P1989" s="38"/>
    </row>
    <row r="1990" spans="1:16" ht="15" customHeight="1" x14ac:dyDescent="0.35">
      <c r="A1990" s="15"/>
      <c r="B1990" s="65"/>
      <c r="C1990" s="15"/>
      <c r="D1990" s="19"/>
      <c r="E1990" s="40"/>
      <c r="F1990" s="13"/>
      <c r="G1990" s="78"/>
      <c r="H1990" s="16"/>
      <c r="I1990" s="10"/>
      <c r="J1990" s="10"/>
      <c r="K1990" s="10"/>
      <c r="L1990" s="10"/>
      <c r="M1990" s="10"/>
      <c r="N1990" s="10"/>
      <c r="O1990" s="10"/>
      <c r="P1990" s="38"/>
    </row>
    <row r="1991" spans="1:16" ht="15" customHeight="1" x14ac:dyDescent="0.35">
      <c r="A1991" s="15"/>
      <c r="B1991" s="65"/>
      <c r="C1991" s="15"/>
      <c r="D1991" s="19"/>
      <c r="E1991" s="40"/>
      <c r="F1991" s="13"/>
      <c r="G1991" s="78"/>
      <c r="H1991" s="16"/>
      <c r="I1991" s="10"/>
      <c r="J1991" s="10"/>
      <c r="K1991" s="10"/>
      <c r="L1991" s="10"/>
      <c r="M1991" s="10"/>
      <c r="N1991" s="10"/>
      <c r="O1991" s="10"/>
      <c r="P1991" s="38"/>
    </row>
    <row r="1992" spans="1:16" ht="15" customHeight="1" x14ac:dyDescent="0.35">
      <c r="A1992" s="15"/>
      <c r="B1992" s="65"/>
      <c r="C1992" s="15"/>
      <c r="D1992" s="19"/>
      <c r="E1992" s="40"/>
      <c r="F1992" s="13"/>
      <c r="G1992" s="78"/>
      <c r="H1992" s="16"/>
      <c r="I1992" s="10"/>
      <c r="J1992" s="10"/>
      <c r="K1992" s="10"/>
      <c r="L1992" s="10"/>
      <c r="M1992" s="10"/>
      <c r="N1992" s="10"/>
      <c r="O1992" s="10"/>
      <c r="P1992" s="38"/>
    </row>
    <row r="1993" spans="1:16" ht="15" customHeight="1" x14ac:dyDescent="0.35">
      <c r="A1993" s="15"/>
      <c r="B1993" s="65"/>
      <c r="C1993" s="15"/>
      <c r="D1993" s="19"/>
      <c r="E1993" s="40"/>
      <c r="F1993" s="13"/>
      <c r="G1993" s="78"/>
      <c r="H1993" s="16"/>
      <c r="I1993" s="10"/>
      <c r="J1993" s="10"/>
      <c r="K1993" s="10"/>
      <c r="L1993" s="10"/>
      <c r="M1993" s="10"/>
      <c r="N1993" s="10"/>
      <c r="O1993" s="10"/>
      <c r="P1993" s="38"/>
    </row>
    <row r="1994" spans="1:16" ht="15" customHeight="1" x14ac:dyDescent="0.35">
      <c r="A1994" s="15"/>
      <c r="B1994" s="65"/>
      <c r="C1994" s="15"/>
      <c r="D1994" s="19"/>
      <c r="E1994" s="40"/>
      <c r="F1994" s="13"/>
      <c r="G1994" s="78"/>
      <c r="H1994" s="16"/>
      <c r="I1994" s="10"/>
      <c r="J1994" s="10"/>
      <c r="K1994" s="10"/>
      <c r="L1994" s="10"/>
      <c r="M1994" s="10"/>
      <c r="N1994" s="10"/>
      <c r="O1994" s="10"/>
      <c r="P1994" s="38"/>
    </row>
    <row r="1995" spans="1:16" ht="15" customHeight="1" x14ac:dyDescent="0.35">
      <c r="A1995" s="15"/>
      <c r="B1995" s="65"/>
      <c r="C1995" s="15"/>
      <c r="D1995" s="19"/>
      <c r="E1995" s="40"/>
      <c r="F1995" s="13"/>
      <c r="G1995" s="78"/>
      <c r="H1995" s="16"/>
      <c r="I1995" s="10"/>
      <c r="J1995" s="10"/>
      <c r="K1995" s="10"/>
      <c r="L1995" s="10"/>
      <c r="M1995" s="10"/>
      <c r="N1995" s="10"/>
      <c r="O1995" s="10"/>
      <c r="P1995" s="38"/>
    </row>
    <row r="1996" spans="1:16" ht="15" customHeight="1" x14ac:dyDescent="0.35">
      <c r="A1996" s="15"/>
      <c r="B1996" s="65"/>
      <c r="C1996" s="15"/>
      <c r="D1996" s="19"/>
      <c r="E1996" s="40"/>
      <c r="F1996" s="13"/>
      <c r="G1996" s="78"/>
      <c r="H1996" s="16"/>
      <c r="I1996" s="10"/>
      <c r="J1996" s="10"/>
      <c r="K1996" s="10"/>
      <c r="L1996" s="10"/>
      <c r="M1996" s="10"/>
      <c r="N1996" s="10"/>
      <c r="O1996" s="10"/>
      <c r="P1996" s="38"/>
    </row>
    <row r="1997" spans="1:16" ht="15" customHeight="1" x14ac:dyDescent="0.35">
      <c r="A1997" s="15"/>
      <c r="B1997" s="65"/>
      <c r="C1997" s="15"/>
      <c r="D1997" s="19"/>
      <c r="E1997" s="40"/>
      <c r="F1997" s="13"/>
      <c r="G1997" s="78"/>
      <c r="H1997" s="16"/>
      <c r="I1997" s="10"/>
      <c r="J1997" s="10"/>
      <c r="K1997" s="10"/>
      <c r="L1997" s="10"/>
      <c r="M1997" s="10"/>
      <c r="N1997" s="10"/>
      <c r="O1997" s="10"/>
      <c r="P1997" s="38"/>
    </row>
    <row r="1998" spans="1:16" ht="15" customHeight="1" x14ac:dyDescent="0.35">
      <c r="A1998" s="15"/>
      <c r="B1998" s="65"/>
      <c r="C1998" s="15"/>
      <c r="D1998" s="19"/>
      <c r="E1998" s="40"/>
      <c r="F1998" s="13"/>
      <c r="G1998" s="78"/>
      <c r="H1998" s="16"/>
      <c r="I1998" s="10"/>
      <c r="J1998" s="10"/>
      <c r="K1998" s="10"/>
      <c r="L1998" s="10"/>
      <c r="M1998" s="10"/>
      <c r="N1998" s="10"/>
      <c r="O1998" s="10"/>
      <c r="P1998" s="38"/>
    </row>
    <row r="1999" spans="1:16" ht="15" customHeight="1" x14ac:dyDescent="0.35">
      <c r="A1999" s="15"/>
      <c r="B1999" s="65"/>
      <c r="C1999" s="15"/>
      <c r="D1999" s="19"/>
      <c r="E1999" s="40"/>
      <c r="F1999" s="13"/>
      <c r="G1999" s="78"/>
      <c r="H1999" s="16"/>
      <c r="I1999" s="10"/>
      <c r="J1999" s="10"/>
      <c r="K1999" s="10"/>
      <c r="L1999" s="10"/>
      <c r="M1999" s="10"/>
      <c r="N1999" s="10"/>
      <c r="O1999" s="10"/>
      <c r="P1999" s="38"/>
    </row>
    <row r="2000" spans="1:16" ht="15" customHeight="1" x14ac:dyDescent="0.35">
      <c r="A2000" s="15"/>
      <c r="B2000" s="65"/>
      <c r="C2000" s="15"/>
      <c r="D2000" s="19"/>
      <c r="E2000" s="40"/>
      <c r="F2000" s="13"/>
      <c r="G2000" s="78"/>
      <c r="H2000" s="16"/>
      <c r="I2000" s="10"/>
      <c r="J2000" s="10"/>
      <c r="K2000" s="10"/>
      <c r="L2000" s="10"/>
      <c r="M2000" s="10"/>
      <c r="N2000" s="10"/>
      <c r="O2000" s="10"/>
      <c r="P2000" s="38"/>
    </row>
    <row r="2001" spans="1:16" ht="15" customHeight="1" x14ac:dyDescent="0.35">
      <c r="A2001" s="15"/>
      <c r="B2001" s="65"/>
      <c r="C2001" s="15"/>
      <c r="D2001" s="19"/>
      <c r="E2001" s="40"/>
      <c r="F2001" s="13"/>
      <c r="G2001" s="78"/>
      <c r="H2001" s="16"/>
      <c r="I2001" s="10"/>
      <c r="J2001" s="10"/>
      <c r="K2001" s="10"/>
      <c r="L2001" s="10"/>
      <c r="M2001" s="10"/>
      <c r="N2001" s="10"/>
      <c r="O2001" s="10"/>
      <c r="P2001" s="38"/>
    </row>
    <row r="2002" spans="1:16" ht="15" customHeight="1" x14ac:dyDescent="0.35">
      <c r="A2002" s="15"/>
      <c r="B2002" s="65"/>
      <c r="C2002" s="15"/>
      <c r="D2002" s="19"/>
      <c r="E2002" s="40"/>
      <c r="F2002" s="13"/>
      <c r="G2002" s="78"/>
      <c r="H2002" s="16"/>
      <c r="I2002" s="10"/>
      <c r="J2002" s="10"/>
      <c r="K2002" s="10"/>
      <c r="L2002" s="10"/>
      <c r="M2002" s="10"/>
      <c r="N2002" s="10"/>
      <c r="O2002" s="10"/>
      <c r="P2002" s="38"/>
    </row>
    <row r="2003" spans="1:16" ht="15" customHeight="1" x14ac:dyDescent="0.35">
      <c r="A2003" s="15"/>
      <c r="B2003" s="65"/>
      <c r="C2003" s="15"/>
      <c r="D2003" s="19"/>
      <c r="E2003" s="40"/>
      <c r="F2003" s="13"/>
      <c r="G2003" s="78"/>
      <c r="H2003" s="16"/>
      <c r="I2003" s="10"/>
      <c r="J2003" s="10"/>
      <c r="K2003" s="10"/>
      <c r="L2003" s="10"/>
      <c r="M2003" s="10"/>
      <c r="N2003" s="10"/>
      <c r="O2003" s="10"/>
      <c r="P2003" s="38"/>
    </row>
    <row r="2004" spans="1:16" ht="15" customHeight="1" x14ac:dyDescent="0.35">
      <c r="A2004" s="15"/>
      <c r="B2004" s="65"/>
      <c r="C2004" s="15"/>
      <c r="D2004" s="19"/>
      <c r="E2004" s="40"/>
      <c r="F2004" s="13"/>
      <c r="G2004" s="78"/>
      <c r="H2004" s="16"/>
      <c r="I2004" s="10"/>
      <c r="J2004" s="10"/>
      <c r="K2004" s="10"/>
      <c r="L2004" s="10"/>
      <c r="M2004" s="10"/>
      <c r="N2004" s="10"/>
      <c r="O2004" s="10"/>
      <c r="P2004" s="38"/>
    </row>
    <row r="2005" spans="1:16" ht="15" customHeight="1" x14ac:dyDescent="0.35">
      <c r="A2005" s="15"/>
      <c r="B2005" s="65"/>
      <c r="C2005" s="15"/>
      <c r="D2005" s="19"/>
      <c r="E2005" s="40"/>
      <c r="F2005" s="13"/>
      <c r="G2005" s="78"/>
      <c r="H2005" s="16"/>
      <c r="I2005" s="10"/>
      <c r="J2005" s="10"/>
      <c r="K2005" s="10"/>
      <c r="L2005" s="10"/>
      <c r="M2005" s="10"/>
      <c r="N2005" s="10"/>
      <c r="O2005" s="10"/>
      <c r="P2005" s="38"/>
    </row>
    <row r="2006" spans="1:16" ht="15" customHeight="1" x14ac:dyDescent="0.35">
      <c r="A2006" s="15"/>
      <c r="B2006" s="65"/>
      <c r="C2006" s="15"/>
      <c r="D2006" s="19"/>
      <c r="E2006" s="40"/>
      <c r="F2006" s="13"/>
      <c r="G2006" s="78"/>
      <c r="H2006" s="16"/>
      <c r="I2006" s="10"/>
      <c r="J2006" s="10"/>
      <c r="K2006" s="10"/>
      <c r="L2006" s="10"/>
      <c r="M2006" s="10"/>
      <c r="N2006" s="10"/>
      <c r="O2006" s="10"/>
      <c r="P2006" s="38"/>
    </row>
    <row r="2007" spans="1:16" ht="15" customHeight="1" x14ac:dyDescent="0.35">
      <c r="A2007" s="15"/>
      <c r="B2007" s="65"/>
      <c r="C2007" s="15"/>
      <c r="D2007" s="19"/>
      <c r="E2007" s="40"/>
      <c r="F2007" s="13"/>
      <c r="G2007" s="78"/>
      <c r="H2007" s="16"/>
      <c r="I2007" s="10"/>
      <c r="J2007" s="10"/>
      <c r="K2007" s="10"/>
      <c r="L2007" s="10"/>
      <c r="M2007" s="10"/>
      <c r="N2007" s="10"/>
      <c r="O2007" s="10"/>
      <c r="P2007" s="38"/>
    </row>
    <row r="2008" spans="1:16" ht="15" customHeight="1" x14ac:dyDescent="0.35">
      <c r="A2008" s="15"/>
      <c r="B2008" s="65"/>
      <c r="C2008" s="15"/>
      <c r="D2008" s="19"/>
      <c r="E2008" s="40"/>
      <c r="F2008" s="13"/>
      <c r="G2008" s="78"/>
      <c r="H2008" s="16"/>
      <c r="I2008" s="10"/>
      <c r="J2008" s="10"/>
      <c r="K2008" s="10"/>
      <c r="L2008" s="10"/>
      <c r="M2008" s="10"/>
      <c r="N2008" s="10"/>
      <c r="O2008" s="10"/>
      <c r="P2008" s="38"/>
    </row>
    <row r="2009" spans="1:16" ht="15" customHeight="1" x14ac:dyDescent="0.35">
      <c r="A2009" s="15"/>
      <c r="B2009" s="65"/>
      <c r="C2009" s="15"/>
      <c r="D2009" s="19"/>
      <c r="E2009" s="40"/>
      <c r="F2009" s="13"/>
      <c r="G2009" s="78"/>
      <c r="H2009" s="16"/>
      <c r="I2009" s="10"/>
      <c r="J2009" s="10"/>
      <c r="K2009" s="10"/>
      <c r="L2009" s="10"/>
      <c r="M2009" s="10"/>
      <c r="N2009" s="10"/>
      <c r="O2009" s="10"/>
      <c r="P2009" s="38"/>
    </row>
    <row r="2010" spans="1:16" ht="15" customHeight="1" x14ac:dyDescent="0.35">
      <c r="A2010" s="15"/>
      <c r="B2010" s="65"/>
      <c r="C2010" s="15"/>
      <c r="D2010" s="19"/>
      <c r="E2010" s="40"/>
      <c r="F2010" s="13"/>
      <c r="G2010" s="78"/>
      <c r="H2010" s="16"/>
      <c r="I2010" s="10"/>
      <c r="J2010" s="10"/>
      <c r="K2010" s="10"/>
      <c r="L2010" s="10"/>
      <c r="M2010" s="10"/>
      <c r="N2010" s="10"/>
      <c r="O2010" s="10"/>
      <c r="P2010" s="38"/>
    </row>
    <row r="2011" spans="1:16" ht="15" customHeight="1" x14ac:dyDescent="0.35">
      <c r="A2011" s="15"/>
      <c r="B2011" s="65"/>
      <c r="C2011" s="15"/>
      <c r="D2011" s="19"/>
      <c r="E2011" s="40"/>
      <c r="F2011" s="13"/>
      <c r="G2011" s="78"/>
      <c r="H2011" s="16"/>
      <c r="I2011" s="10"/>
      <c r="J2011" s="10"/>
      <c r="K2011" s="10"/>
      <c r="L2011" s="10"/>
      <c r="M2011" s="10"/>
      <c r="N2011" s="10"/>
      <c r="O2011" s="10"/>
      <c r="P2011" s="38"/>
    </row>
    <row r="2012" spans="1:16" ht="15" customHeight="1" x14ac:dyDescent="0.35">
      <c r="A2012" s="15"/>
      <c r="B2012" s="65"/>
      <c r="C2012" s="15"/>
      <c r="D2012" s="19"/>
      <c r="E2012" s="40"/>
      <c r="F2012" s="13"/>
      <c r="G2012" s="78"/>
      <c r="H2012" s="16"/>
      <c r="I2012" s="10"/>
      <c r="J2012" s="10"/>
      <c r="K2012" s="10"/>
      <c r="L2012" s="10"/>
      <c r="M2012" s="10"/>
      <c r="N2012" s="10"/>
      <c r="O2012" s="10"/>
      <c r="P2012" s="38"/>
    </row>
    <row r="2013" spans="1:16" ht="15" customHeight="1" x14ac:dyDescent="0.35">
      <c r="A2013" s="15"/>
      <c r="B2013" s="65"/>
      <c r="C2013" s="15"/>
      <c r="D2013" s="19"/>
      <c r="E2013" s="40"/>
      <c r="F2013" s="13"/>
      <c r="G2013" s="78"/>
      <c r="H2013" s="16"/>
      <c r="I2013" s="10"/>
      <c r="J2013" s="10"/>
      <c r="K2013" s="10"/>
      <c r="L2013" s="10"/>
      <c r="M2013" s="10"/>
      <c r="N2013" s="10"/>
      <c r="O2013" s="10"/>
      <c r="P2013" s="38"/>
    </row>
    <row r="2014" spans="1:16" ht="15" customHeight="1" x14ac:dyDescent="0.35">
      <c r="A2014" s="15"/>
      <c r="B2014" s="65"/>
      <c r="C2014" s="15"/>
      <c r="D2014" s="19"/>
      <c r="E2014" s="40"/>
      <c r="F2014" s="13"/>
      <c r="G2014" s="78"/>
      <c r="H2014" s="16"/>
      <c r="I2014" s="10"/>
      <c r="J2014" s="10"/>
      <c r="K2014" s="10"/>
      <c r="L2014" s="10"/>
      <c r="M2014" s="10"/>
      <c r="N2014" s="10"/>
      <c r="O2014" s="10"/>
      <c r="P2014" s="38"/>
    </row>
    <row r="2015" spans="1:16" ht="15" customHeight="1" x14ac:dyDescent="0.35">
      <c r="A2015" s="15"/>
      <c r="B2015" s="65"/>
      <c r="C2015" s="15"/>
      <c r="D2015" s="19"/>
      <c r="E2015" s="40"/>
      <c r="F2015" s="13"/>
      <c r="G2015" s="78"/>
      <c r="H2015" s="16"/>
      <c r="I2015" s="10"/>
      <c r="J2015" s="10"/>
      <c r="K2015" s="10"/>
      <c r="L2015" s="10"/>
      <c r="M2015" s="10"/>
      <c r="N2015" s="10"/>
      <c r="O2015" s="10"/>
      <c r="P2015" s="38"/>
    </row>
    <row r="2016" spans="1:16" ht="15" customHeight="1" x14ac:dyDescent="0.35">
      <c r="A2016" s="15"/>
      <c r="B2016" s="65"/>
      <c r="C2016" s="15"/>
      <c r="D2016" s="19"/>
      <c r="E2016" s="40"/>
      <c r="F2016" s="13"/>
      <c r="G2016" s="78"/>
      <c r="H2016" s="16"/>
      <c r="I2016" s="10"/>
      <c r="J2016" s="10"/>
      <c r="K2016" s="10"/>
      <c r="L2016" s="10"/>
      <c r="M2016" s="10"/>
      <c r="N2016" s="10"/>
      <c r="O2016" s="10"/>
      <c r="P2016" s="38"/>
    </row>
    <row r="2017" spans="1:16" ht="15" customHeight="1" x14ac:dyDescent="0.35">
      <c r="A2017" s="15"/>
      <c r="B2017" s="65"/>
      <c r="C2017" s="15"/>
      <c r="D2017" s="19"/>
      <c r="E2017" s="40"/>
      <c r="F2017" s="13"/>
      <c r="G2017" s="78"/>
      <c r="H2017" s="16"/>
      <c r="I2017" s="10"/>
      <c r="J2017" s="10"/>
      <c r="K2017" s="10"/>
      <c r="L2017" s="10"/>
      <c r="M2017" s="10"/>
      <c r="N2017" s="10"/>
      <c r="O2017" s="10"/>
      <c r="P2017" s="38"/>
    </row>
    <row r="2018" spans="1:16" ht="15" customHeight="1" x14ac:dyDescent="0.35">
      <c r="A2018" s="15"/>
      <c r="B2018" s="65"/>
      <c r="C2018" s="15"/>
      <c r="D2018" s="19"/>
      <c r="E2018" s="40"/>
      <c r="F2018" s="13"/>
      <c r="G2018" s="78"/>
      <c r="H2018" s="16"/>
      <c r="I2018" s="10"/>
      <c r="J2018" s="10"/>
      <c r="K2018" s="10"/>
      <c r="L2018" s="10"/>
      <c r="M2018" s="10"/>
      <c r="N2018" s="10"/>
      <c r="O2018" s="10"/>
      <c r="P2018" s="38"/>
    </row>
    <row r="2019" spans="1:16" ht="15" customHeight="1" x14ac:dyDescent="0.35">
      <c r="A2019" s="15"/>
      <c r="B2019" s="65"/>
      <c r="C2019" s="15"/>
      <c r="D2019" s="19"/>
      <c r="E2019" s="40"/>
      <c r="F2019" s="13"/>
      <c r="G2019" s="78"/>
      <c r="H2019" s="16"/>
      <c r="I2019" s="10"/>
      <c r="J2019" s="10"/>
      <c r="K2019" s="10"/>
      <c r="L2019" s="10"/>
      <c r="M2019" s="10"/>
      <c r="N2019" s="10"/>
      <c r="O2019" s="10"/>
      <c r="P2019" s="38"/>
    </row>
    <row r="2020" spans="1:16" ht="15" customHeight="1" x14ac:dyDescent="0.35">
      <c r="A2020" s="15"/>
      <c r="B2020" s="65"/>
      <c r="C2020" s="15"/>
      <c r="D2020" s="19"/>
      <c r="E2020" s="40"/>
      <c r="F2020" s="13"/>
      <c r="G2020" s="78"/>
      <c r="H2020" s="16"/>
      <c r="I2020" s="10"/>
      <c r="J2020" s="10"/>
      <c r="K2020" s="10"/>
      <c r="L2020" s="10"/>
      <c r="M2020" s="10"/>
      <c r="N2020" s="10"/>
      <c r="O2020" s="10"/>
      <c r="P2020" s="38"/>
    </row>
    <row r="2021" spans="1:16" ht="15" customHeight="1" x14ac:dyDescent="0.35">
      <c r="A2021" s="15"/>
      <c r="B2021" s="65"/>
      <c r="C2021" s="15"/>
      <c r="D2021" s="19"/>
      <c r="E2021" s="40"/>
      <c r="F2021" s="13"/>
      <c r="G2021" s="78"/>
      <c r="H2021" s="16"/>
      <c r="I2021" s="10"/>
      <c r="J2021" s="10"/>
      <c r="K2021" s="10"/>
      <c r="L2021" s="10"/>
      <c r="M2021" s="10"/>
      <c r="N2021" s="10"/>
      <c r="O2021" s="10"/>
      <c r="P2021" s="38"/>
    </row>
    <row r="2022" spans="1:16" ht="15" customHeight="1" x14ac:dyDescent="0.35">
      <c r="A2022" s="15"/>
      <c r="B2022" s="65"/>
      <c r="C2022" s="15"/>
      <c r="D2022" s="19"/>
      <c r="E2022" s="40"/>
      <c r="F2022" s="13"/>
      <c r="G2022" s="78"/>
      <c r="H2022" s="16"/>
      <c r="I2022" s="10"/>
      <c r="J2022" s="10"/>
      <c r="K2022" s="10"/>
      <c r="L2022" s="10"/>
      <c r="M2022" s="10"/>
      <c r="N2022" s="10"/>
      <c r="O2022" s="10"/>
      <c r="P2022" s="38"/>
    </row>
    <row r="2023" spans="1:16" ht="15" customHeight="1" x14ac:dyDescent="0.35">
      <c r="A2023" s="15"/>
      <c r="B2023" s="65"/>
      <c r="C2023" s="15"/>
      <c r="D2023" s="19"/>
      <c r="E2023" s="40"/>
      <c r="F2023" s="13"/>
      <c r="G2023" s="78"/>
      <c r="H2023" s="16"/>
      <c r="I2023" s="10"/>
      <c r="J2023" s="10"/>
      <c r="K2023" s="10"/>
      <c r="L2023" s="10"/>
      <c r="M2023" s="10"/>
      <c r="N2023" s="10"/>
      <c r="O2023" s="10"/>
      <c r="P2023" s="38"/>
    </row>
    <row r="2024" spans="1:16" ht="15" customHeight="1" x14ac:dyDescent="0.35">
      <c r="A2024" s="15"/>
      <c r="B2024" s="65"/>
      <c r="C2024" s="15"/>
      <c r="D2024" s="19"/>
      <c r="E2024" s="40"/>
      <c r="F2024" s="13"/>
      <c r="G2024" s="78"/>
      <c r="H2024" s="16"/>
      <c r="I2024" s="10"/>
      <c r="J2024" s="10"/>
      <c r="K2024" s="10"/>
      <c r="L2024" s="10"/>
      <c r="M2024" s="10"/>
      <c r="N2024" s="10"/>
      <c r="O2024" s="10"/>
      <c r="P2024" s="38"/>
    </row>
    <row r="2025" spans="1:16" ht="15" customHeight="1" x14ac:dyDescent="0.35">
      <c r="A2025" s="15"/>
      <c r="B2025" s="65"/>
      <c r="C2025" s="15"/>
      <c r="D2025" s="19"/>
      <c r="E2025" s="40"/>
      <c r="F2025" s="13"/>
      <c r="G2025" s="78"/>
      <c r="H2025" s="16"/>
      <c r="I2025" s="10"/>
      <c r="J2025" s="10"/>
      <c r="K2025" s="10"/>
      <c r="L2025" s="10"/>
      <c r="M2025" s="10"/>
      <c r="N2025" s="10"/>
      <c r="O2025" s="10"/>
      <c r="P2025" s="38"/>
    </row>
    <row r="2026" spans="1:16" ht="15" customHeight="1" x14ac:dyDescent="0.35">
      <c r="A2026" s="15"/>
      <c r="B2026" s="65"/>
      <c r="C2026" s="15"/>
      <c r="D2026" s="19"/>
      <c r="E2026" s="40"/>
      <c r="F2026" s="13"/>
      <c r="G2026" s="78"/>
      <c r="H2026" s="16"/>
      <c r="I2026" s="10"/>
      <c r="J2026" s="10"/>
      <c r="K2026" s="10"/>
      <c r="L2026" s="10"/>
      <c r="M2026" s="10"/>
      <c r="N2026" s="10"/>
      <c r="O2026" s="10"/>
      <c r="P2026" s="38"/>
    </row>
    <row r="2027" spans="1:16" ht="15" customHeight="1" x14ac:dyDescent="0.35">
      <c r="A2027" s="15"/>
      <c r="B2027" s="65"/>
      <c r="C2027" s="15"/>
      <c r="D2027" s="19"/>
      <c r="E2027" s="40"/>
      <c r="F2027" s="13"/>
      <c r="G2027" s="78"/>
      <c r="H2027" s="16"/>
      <c r="I2027" s="10"/>
      <c r="J2027" s="10"/>
      <c r="K2027" s="10"/>
      <c r="L2027" s="10"/>
      <c r="M2027" s="10"/>
      <c r="N2027" s="10"/>
      <c r="O2027" s="10"/>
      <c r="P2027" s="38"/>
    </row>
    <row r="2028" spans="1:16" ht="15" customHeight="1" x14ac:dyDescent="0.35">
      <c r="A2028" s="15"/>
      <c r="B2028" s="65"/>
      <c r="C2028" s="15"/>
      <c r="D2028" s="19"/>
      <c r="E2028" s="40"/>
      <c r="F2028" s="13"/>
      <c r="G2028" s="78"/>
      <c r="H2028" s="16"/>
      <c r="I2028" s="10"/>
      <c r="J2028" s="10"/>
      <c r="K2028" s="10"/>
      <c r="L2028" s="10"/>
      <c r="M2028" s="10"/>
      <c r="N2028" s="10"/>
      <c r="O2028" s="10"/>
      <c r="P2028" s="38"/>
    </row>
    <row r="2029" spans="1:16" ht="15" customHeight="1" x14ac:dyDescent="0.35">
      <c r="A2029" s="15"/>
      <c r="B2029" s="65"/>
      <c r="C2029" s="15"/>
      <c r="D2029" s="19"/>
      <c r="E2029" s="40"/>
      <c r="F2029" s="13"/>
      <c r="G2029" s="78"/>
      <c r="H2029" s="16"/>
      <c r="I2029" s="10"/>
      <c r="J2029" s="10"/>
      <c r="K2029" s="10"/>
      <c r="L2029" s="10"/>
      <c r="M2029" s="10"/>
      <c r="N2029" s="10"/>
      <c r="O2029" s="10"/>
      <c r="P2029" s="38"/>
    </row>
    <row r="2030" spans="1:16" ht="15" customHeight="1" x14ac:dyDescent="0.35">
      <c r="A2030" s="15"/>
      <c r="B2030" s="65"/>
      <c r="C2030" s="15"/>
      <c r="D2030" s="19"/>
      <c r="E2030" s="40"/>
      <c r="F2030" s="13"/>
      <c r="G2030" s="78"/>
      <c r="H2030" s="16"/>
      <c r="I2030" s="10"/>
      <c r="J2030" s="10"/>
      <c r="K2030" s="10"/>
      <c r="L2030" s="10"/>
      <c r="M2030" s="10"/>
      <c r="N2030" s="10"/>
      <c r="O2030" s="10"/>
      <c r="P2030" s="38"/>
    </row>
    <row r="2031" spans="1:16" ht="15" customHeight="1" x14ac:dyDescent="0.35">
      <c r="A2031" s="15"/>
      <c r="B2031" s="65"/>
      <c r="C2031" s="15"/>
      <c r="D2031" s="19"/>
      <c r="E2031" s="40"/>
      <c r="F2031" s="13"/>
      <c r="G2031" s="78"/>
      <c r="H2031" s="16"/>
      <c r="I2031" s="10"/>
      <c r="J2031" s="10"/>
      <c r="K2031" s="10"/>
      <c r="L2031" s="10"/>
      <c r="M2031" s="10"/>
      <c r="N2031" s="10"/>
      <c r="O2031" s="10"/>
      <c r="P2031" s="38"/>
    </row>
    <row r="2032" spans="1:16" ht="15" customHeight="1" x14ac:dyDescent="0.35">
      <c r="A2032" s="15"/>
      <c r="B2032" s="65"/>
      <c r="C2032" s="15"/>
      <c r="D2032" s="19"/>
      <c r="E2032" s="40"/>
      <c r="F2032" s="13"/>
      <c r="G2032" s="78"/>
      <c r="H2032" s="16"/>
      <c r="I2032" s="10"/>
      <c r="J2032" s="10"/>
      <c r="K2032" s="10"/>
      <c r="L2032" s="10"/>
      <c r="M2032" s="10"/>
      <c r="N2032" s="10"/>
      <c r="O2032" s="10"/>
      <c r="P2032" s="38"/>
    </row>
    <row r="2033" spans="1:16" ht="15" customHeight="1" x14ac:dyDescent="0.35">
      <c r="A2033" s="15"/>
      <c r="B2033" s="65"/>
      <c r="C2033" s="15"/>
      <c r="D2033" s="19"/>
      <c r="E2033" s="40"/>
      <c r="F2033" s="13"/>
      <c r="G2033" s="78"/>
      <c r="H2033" s="16"/>
      <c r="I2033" s="10"/>
      <c r="J2033" s="10"/>
      <c r="K2033" s="10"/>
      <c r="L2033" s="10"/>
      <c r="M2033" s="10"/>
      <c r="N2033" s="10"/>
      <c r="O2033" s="10"/>
      <c r="P2033" s="38"/>
    </row>
    <row r="2034" spans="1:16" ht="15" customHeight="1" x14ac:dyDescent="0.35">
      <c r="A2034" s="15"/>
      <c r="B2034" s="65"/>
      <c r="C2034" s="15"/>
      <c r="D2034" s="19"/>
      <c r="E2034" s="40"/>
      <c r="F2034" s="13"/>
      <c r="G2034" s="78"/>
      <c r="H2034" s="16"/>
      <c r="I2034" s="10"/>
      <c r="J2034" s="10"/>
      <c r="K2034" s="10"/>
      <c r="L2034" s="10"/>
      <c r="M2034" s="10"/>
      <c r="N2034" s="10"/>
      <c r="O2034" s="10"/>
      <c r="P2034" s="38"/>
    </row>
    <row r="2035" spans="1:16" ht="15" customHeight="1" x14ac:dyDescent="0.35">
      <c r="A2035" s="15"/>
      <c r="B2035" s="65"/>
      <c r="C2035" s="15"/>
      <c r="D2035" s="19"/>
      <c r="E2035" s="40"/>
      <c r="F2035" s="13"/>
      <c r="G2035" s="78"/>
      <c r="H2035" s="16"/>
      <c r="I2035" s="10"/>
      <c r="J2035" s="10"/>
      <c r="K2035" s="10"/>
      <c r="L2035" s="10"/>
      <c r="M2035" s="10"/>
      <c r="N2035" s="10"/>
      <c r="O2035" s="10"/>
      <c r="P2035" s="38"/>
    </row>
    <row r="2036" spans="1:16" ht="15" customHeight="1" x14ac:dyDescent="0.35">
      <c r="A2036" s="15"/>
      <c r="B2036" s="65"/>
      <c r="C2036" s="15"/>
      <c r="D2036" s="19"/>
      <c r="E2036" s="40"/>
      <c r="F2036" s="13"/>
      <c r="G2036" s="78"/>
      <c r="H2036" s="16"/>
      <c r="I2036" s="10"/>
      <c r="J2036" s="10"/>
      <c r="K2036" s="10"/>
      <c r="L2036" s="10"/>
      <c r="M2036" s="10"/>
      <c r="N2036" s="10"/>
      <c r="O2036" s="10"/>
      <c r="P2036" s="38"/>
    </row>
    <row r="2037" spans="1:16" ht="15" customHeight="1" x14ac:dyDescent="0.35">
      <c r="A2037" s="15"/>
      <c r="B2037" s="65"/>
      <c r="C2037" s="15"/>
      <c r="D2037" s="19"/>
      <c r="E2037" s="40"/>
      <c r="F2037" s="13"/>
      <c r="G2037" s="78"/>
      <c r="H2037" s="16"/>
      <c r="I2037" s="10"/>
      <c r="J2037" s="10"/>
      <c r="K2037" s="10"/>
      <c r="L2037" s="10"/>
      <c r="M2037" s="10"/>
      <c r="N2037" s="10"/>
      <c r="O2037" s="10"/>
      <c r="P2037" s="38"/>
    </row>
    <row r="2038" spans="1:16" ht="15" customHeight="1" x14ac:dyDescent="0.35">
      <c r="A2038" s="15"/>
      <c r="B2038" s="65"/>
      <c r="C2038" s="15"/>
      <c r="D2038" s="19"/>
      <c r="E2038" s="40"/>
      <c r="F2038" s="13"/>
      <c r="G2038" s="78"/>
      <c r="H2038" s="16"/>
      <c r="I2038" s="10"/>
      <c r="J2038" s="10"/>
      <c r="K2038" s="10"/>
      <c r="L2038" s="10"/>
      <c r="M2038" s="10"/>
      <c r="N2038" s="10"/>
      <c r="O2038" s="10"/>
      <c r="P2038" s="38"/>
    </row>
    <row r="2039" spans="1:16" ht="15" customHeight="1" x14ac:dyDescent="0.35">
      <c r="A2039" s="15"/>
      <c r="B2039" s="65"/>
      <c r="C2039" s="15"/>
      <c r="D2039" s="19"/>
      <c r="E2039" s="40"/>
      <c r="F2039" s="13"/>
      <c r="G2039" s="78"/>
      <c r="H2039" s="16"/>
      <c r="I2039" s="10"/>
      <c r="J2039" s="10"/>
      <c r="K2039" s="10"/>
      <c r="L2039" s="10"/>
      <c r="M2039" s="10"/>
      <c r="N2039" s="10"/>
      <c r="O2039" s="10"/>
      <c r="P2039" s="38"/>
    </row>
    <row r="2040" spans="1:16" ht="15" customHeight="1" x14ac:dyDescent="0.35">
      <c r="A2040" s="15"/>
      <c r="B2040" s="65"/>
      <c r="C2040" s="15"/>
      <c r="D2040" s="19"/>
      <c r="E2040" s="40"/>
      <c r="F2040" s="13"/>
      <c r="G2040" s="78"/>
      <c r="H2040" s="16"/>
      <c r="I2040" s="10"/>
      <c r="J2040" s="10"/>
      <c r="K2040" s="10"/>
      <c r="L2040" s="10"/>
      <c r="M2040" s="10"/>
      <c r="N2040" s="10"/>
      <c r="O2040" s="10"/>
      <c r="P2040" s="38"/>
    </row>
    <row r="2041" spans="1:16" ht="15" customHeight="1" x14ac:dyDescent="0.35">
      <c r="A2041" s="15"/>
      <c r="B2041" s="65"/>
      <c r="C2041" s="15"/>
      <c r="D2041" s="19"/>
      <c r="E2041" s="40"/>
      <c r="F2041" s="13"/>
      <c r="G2041" s="78"/>
      <c r="H2041" s="16"/>
      <c r="I2041" s="10"/>
      <c r="J2041" s="10"/>
      <c r="K2041" s="10"/>
      <c r="L2041" s="10"/>
      <c r="M2041" s="10"/>
      <c r="N2041" s="10"/>
      <c r="O2041" s="10"/>
      <c r="P2041" s="38"/>
    </row>
    <row r="2042" spans="1:16" ht="15" customHeight="1" x14ac:dyDescent="0.35">
      <c r="A2042" s="15"/>
      <c r="B2042" s="65"/>
      <c r="C2042" s="15"/>
      <c r="D2042" s="19"/>
      <c r="E2042" s="40"/>
      <c r="F2042" s="13"/>
      <c r="G2042" s="78"/>
      <c r="H2042" s="16"/>
      <c r="I2042" s="10"/>
      <c r="J2042" s="10"/>
      <c r="K2042" s="10"/>
      <c r="L2042" s="10"/>
      <c r="M2042" s="10"/>
      <c r="N2042" s="10"/>
      <c r="O2042" s="10"/>
      <c r="P2042" s="38"/>
    </row>
    <row r="2043" spans="1:16" ht="15" customHeight="1" x14ac:dyDescent="0.35">
      <c r="A2043" s="15"/>
      <c r="B2043" s="65"/>
      <c r="C2043" s="15"/>
      <c r="D2043" s="19"/>
      <c r="E2043" s="40"/>
      <c r="F2043" s="13"/>
      <c r="G2043" s="78"/>
      <c r="H2043" s="16"/>
      <c r="I2043" s="10"/>
      <c r="J2043" s="10"/>
      <c r="K2043" s="10"/>
      <c r="L2043" s="10"/>
      <c r="M2043" s="10"/>
      <c r="N2043" s="10"/>
      <c r="O2043" s="10"/>
      <c r="P2043" s="38"/>
    </row>
    <row r="2044" spans="1:16" ht="15" customHeight="1" x14ac:dyDescent="0.35">
      <c r="A2044" s="15"/>
      <c r="B2044" s="65"/>
      <c r="C2044" s="15"/>
      <c r="D2044" s="19"/>
      <c r="E2044" s="40"/>
      <c r="F2044" s="13"/>
      <c r="G2044" s="78"/>
      <c r="H2044" s="16"/>
      <c r="I2044" s="10"/>
      <c r="J2044" s="10"/>
      <c r="K2044" s="10"/>
      <c r="L2044" s="10"/>
      <c r="M2044" s="10"/>
      <c r="N2044" s="10"/>
      <c r="O2044" s="10"/>
      <c r="P2044" s="38"/>
    </row>
    <row r="2045" spans="1:16" ht="15" customHeight="1" x14ac:dyDescent="0.35">
      <c r="A2045" s="15"/>
      <c r="B2045" s="65"/>
      <c r="C2045" s="15"/>
      <c r="D2045" s="19"/>
      <c r="E2045" s="40"/>
      <c r="F2045" s="13"/>
      <c r="G2045" s="78"/>
      <c r="H2045" s="16"/>
      <c r="I2045" s="10"/>
      <c r="J2045" s="10"/>
      <c r="K2045" s="10"/>
      <c r="L2045" s="10"/>
      <c r="M2045" s="10"/>
      <c r="N2045" s="10"/>
      <c r="O2045" s="10"/>
      <c r="P2045" s="38"/>
    </row>
    <row r="2046" spans="1:16" ht="15" customHeight="1" x14ac:dyDescent="0.35">
      <c r="A2046" s="15"/>
      <c r="B2046" s="65"/>
      <c r="C2046" s="15"/>
      <c r="D2046" s="19"/>
      <c r="E2046" s="40"/>
      <c r="F2046" s="13"/>
      <c r="G2046" s="78"/>
      <c r="H2046" s="16"/>
      <c r="I2046" s="10"/>
      <c r="J2046" s="10"/>
      <c r="K2046" s="10"/>
      <c r="L2046" s="10"/>
      <c r="M2046" s="10"/>
      <c r="N2046" s="10"/>
      <c r="O2046" s="10"/>
      <c r="P2046" s="38"/>
    </row>
    <row r="2047" spans="1:16" ht="15" customHeight="1" x14ac:dyDescent="0.35">
      <c r="A2047" s="15"/>
      <c r="B2047" s="65"/>
      <c r="C2047" s="15"/>
      <c r="D2047" s="19"/>
      <c r="E2047" s="40"/>
      <c r="F2047" s="13"/>
      <c r="G2047" s="78"/>
      <c r="H2047" s="16"/>
      <c r="I2047" s="10"/>
      <c r="J2047" s="10"/>
      <c r="K2047" s="10"/>
      <c r="L2047" s="10"/>
      <c r="M2047" s="10"/>
      <c r="N2047" s="10"/>
      <c r="O2047" s="10"/>
      <c r="P2047" s="38"/>
    </row>
    <row r="2048" spans="1:16" ht="15" customHeight="1" x14ac:dyDescent="0.35">
      <c r="A2048" s="15"/>
      <c r="B2048" s="65"/>
      <c r="C2048" s="15"/>
      <c r="D2048" s="19"/>
      <c r="E2048" s="40"/>
      <c r="F2048" s="13"/>
      <c r="G2048" s="78"/>
      <c r="H2048" s="16"/>
      <c r="I2048" s="10"/>
      <c r="J2048" s="10"/>
      <c r="K2048" s="10"/>
      <c r="L2048" s="10"/>
      <c r="M2048" s="10"/>
      <c r="N2048" s="10"/>
      <c r="O2048" s="10"/>
      <c r="P2048" s="38"/>
    </row>
    <row r="2049" spans="1:16" ht="15" customHeight="1" x14ac:dyDescent="0.35">
      <c r="A2049" s="15"/>
      <c r="B2049" s="65"/>
      <c r="C2049" s="15"/>
      <c r="D2049" s="19"/>
      <c r="E2049" s="40"/>
      <c r="F2049" s="13"/>
      <c r="G2049" s="78"/>
      <c r="H2049" s="16"/>
      <c r="I2049" s="10"/>
      <c r="J2049" s="10"/>
      <c r="K2049" s="10"/>
      <c r="L2049" s="10"/>
      <c r="M2049" s="10"/>
      <c r="N2049" s="10"/>
      <c r="O2049" s="10"/>
      <c r="P2049" s="38"/>
    </row>
    <row r="2050" spans="1:16" ht="15" customHeight="1" x14ac:dyDescent="0.35">
      <c r="A2050" s="15"/>
      <c r="B2050" s="65"/>
      <c r="C2050" s="15"/>
      <c r="D2050" s="19"/>
      <c r="E2050" s="40"/>
      <c r="F2050" s="13"/>
      <c r="G2050" s="78"/>
      <c r="H2050" s="16"/>
      <c r="I2050" s="10"/>
      <c r="J2050" s="10"/>
      <c r="K2050" s="10"/>
      <c r="L2050" s="10"/>
      <c r="M2050" s="10"/>
      <c r="N2050" s="10"/>
      <c r="O2050" s="10"/>
      <c r="P2050" s="38"/>
    </row>
    <row r="2051" spans="1:16" ht="15" customHeight="1" x14ac:dyDescent="0.35">
      <c r="A2051" s="15"/>
      <c r="B2051" s="65"/>
      <c r="C2051" s="15"/>
      <c r="D2051" s="19"/>
      <c r="E2051" s="40"/>
      <c r="F2051" s="13"/>
      <c r="G2051" s="78"/>
      <c r="H2051" s="16"/>
      <c r="I2051" s="10"/>
      <c r="J2051" s="10"/>
      <c r="K2051" s="10"/>
      <c r="L2051" s="10"/>
      <c r="M2051" s="10"/>
      <c r="N2051" s="10"/>
      <c r="O2051" s="10"/>
      <c r="P2051" s="38"/>
    </row>
    <row r="2052" spans="1:16" ht="15" customHeight="1" x14ac:dyDescent="0.35">
      <c r="A2052" s="15"/>
      <c r="B2052" s="65"/>
      <c r="C2052" s="15"/>
      <c r="D2052" s="19"/>
      <c r="E2052" s="40"/>
      <c r="F2052" s="13"/>
      <c r="G2052" s="78"/>
      <c r="H2052" s="16"/>
      <c r="I2052" s="10"/>
      <c r="J2052" s="10"/>
      <c r="K2052" s="10"/>
      <c r="L2052" s="10"/>
      <c r="M2052" s="10"/>
      <c r="N2052" s="10"/>
      <c r="O2052" s="10"/>
      <c r="P2052" s="38"/>
    </row>
    <row r="2053" spans="1:16" ht="15" customHeight="1" x14ac:dyDescent="0.35">
      <c r="A2053" s="15"/>
      <c r="B2053" s="65"/>
      <c r="C2053" s="15"/>
      <c r="D2053" s="19"/>
      <c r="E2053" s="40"/>
      <c r="F2053" s="13"/>
      <c r="G2053" s="78"/>
      <c r="H2053" s="16"/>
      <c r="I2053" s="10"/>
      <c r="J2053" s="10"/>
      <c r="K2053" s="10"/>
      <c r="L2053" s="10"/>
      <c r="M2053" s="10"/>
      <c r="N2053" s="10"/>
      <c r="O2053" s="10"/>
      <c r="P2053" s="38"/>
    </row>
    <row r="2054" spans="1:16" ht="15" customHeight="1" x14ac:dyDescent="0.35">
      <c r="A2054" s="15"/>
      <c r="B2054" s="65"/>
      <c r="C2054" s="15"/>
      <c r="D2054" s="19"/>
      <c r="E2054" s="40"/>
      <c r="F2054" s="13"/>
      <c r="G2054" s="78"/>
      <c r="H2054" s="16"/>
      <c r="I2054" s="10"/>
      <c r="J2054" s="10"/>
      <c r="K2054" s="10"/>
      <c r="L2054" s="10"/>
      <c r="M2054" s="10"/>
      <c r="N2054" s="10"/>
      <c r="O2054" s="10"/>
      <c r="P2054" s="38"/>
    </row>
    <row r="2055" spans="1:16" ht="15" customHeight="1" x14ac:dyDescent="0.35">
      <c r="A2055" s="15"/>
      <c r="B2055" s="65"/>
      <c r="C2055" s="15"/>
      <c r="D2055" s="19"/>
      <c r="E2055" s="40"/>
      <c r="F2055" s="13"/>
      <c r="G2055" s="78"/>
      <c r="H2055" s="16"/>
      <c r="I2055" s="10"/>
      <c r="J2055" s="10"/>
      <c r="K2055" s="10"/>
      <c r="L2055" s="10"/>
      <c r="M2055" s="10"/>
      <c r="N2055" s="10"/>
      <c r="O2055" s="10"/>
      <c r="P2055" s="38"/>
    </row>
    <row r="2056" spans="1:16" ht="15" customHeight="1" x14ac:dyDescent="0.35">
      <c r="A2056" s="15"/>
      <c r="B2056" s="65"/>
      <c r="C2056" s="15"/>
      <c r="D2056" s="19"/>
      <c r="E2056" s="40"/>
      <c r="F2056" s="13"/>
      <c r="G2056" s="78"/>
      <c r="H2056" s="16"/>
      <c r="I2056" s="10"/>
      <c r="J2056" s="10"/>
      <c r="K2056" s="10"/>
      <c r="L2056" s="10"/>
      <c r="M2056" s="10"/>
      <c r="N2056" s="10"/>
      <c r="O2056" s="10"/>
      <c r="P2056" s="38"/>
    </row>
    <row r="2057" spans="1:16" ht="15" customHeight="1" x14ac:dyDescent="0.35">
      <c r="A2057" s="15"/>
      <c r="B2057" s="65"/>
      <c r="C2057" s="15"/>
      <c r="D2057" s="19"/>
      <c r="E2057" s="40"/>
      <c r="F2057" s="13"/>
      <c r="G2057" s="78"/>
      <c r="H2057" s="16"/>
      <c r="I2057" s="10"/>
      <c r="J2057" s="10"/>
      <c r="K2057" s="10"/>
      <c r="L2057" s="10"/>
      <c r="M2057" s="10"/>
      <c r="N2057" s="10"/>
      <c r="O2057" s="10"/>
      <c r="P2057" s="38"/>
    </row>
    <row r="2058" spans="1:16" ht="15" customHeight="1" x14ac:dyDescent="0.35">
      <c r="A2058" s="15"/>
      <c r="B2058" s="65"/>
      <c r="C2058" s="15"/>
      <c r="D2058" s="19"/>
      <c r="E2058" s="40"/>
      <c r="F2058" s="13"/>
      <c r="G2058" s="78"/>
      <c r="H2058" s="16"/>
      <c r="I2058" s="10"/>
      <c r="J2058" s="10"/>
      <c r="K2058" s="10"/>
      <c r="L2058" s="10"/>
      <c r="M2058" s="10"/>
      <c r="N2058" s="10"/>
      <c r="O2058" s="10"/>
      <c r="P2058" s="38"/>
    </row>
    <row r="2059" spans="1:16" ht="15" customHeight="1" x14ac:dyDescent="0.35">
      <c r="A2059" s="15"/>
      <c r="B2059" s="65"/>
      <c r="C2059" s="15"/>
      <c r="D2059" s="19"/>
      <c r="E2059" s="40"/>
      <c r="F2059" s="13"/>
      <c r="G2059" s="78"/>
      <c r="H2059" s="16"/>
      <c r="I2059" s="10"/>
      <c r="J2059" s="10"/>
      <c r="K2059" s="10"/>
      <c r="L2059" s="10"/>
      <c r="M2059" s="10"/>
      <c r="N2059" s="10"/>
      <c r="O2059" s="10"/>
      <c r="P2059" s="38"/>
    </row>
    <row r="2060" spans="1:16" ht="15" customHeight="1" x14ac:dyDescent="0.35">
      <c r="A2060" s="15"/>
      <c r="B2060" s="65"/>
      <c r="C2060" s="15"/>
      <c r="D2060" s="19"/>
      <c r="E2060" s="40"/>
      <c r="F2060" s="13"/>
      <c r="G2060" s="78"/>
      <c r="H2060" s="16"/>
      <c r="I2060" s="10"/>
      <c r="J2060" s="10"/>
      <c r="K2060" s="10"/>
      <c r="L2060" s="10"/>
      <c r="M2060" s="10"/>
      <c r="N2060" s="10"/>
      <c r="O2060" s="10"/>
      <c r="P2060" s="38"/>
    </row>
    <row r="2061" spans="1:16" ht="15" customHeight="1" x14ac:dyDescent="0.35">
      <c r="A2061" s="15"/>
      <c r="B2061" s="65"/>
      <c r="C2061" s="15"/>
      <c r="D2061" s="19"/>
      <c r="E2061" s="40"/>
      <c r="F2061" s="13"/>
      <c r="G2061" s="78"/>
      <c r="H2061" s="16"/>
      <c r="I2061" s="10"/>
      <c r="J2061" s="10"/>
      <c r="K2061" s="10"/>
      <c r="L2061" s="10"/>
      <c r="M2061" s="10"/>
      <c r="N2061" s="10"/>
      <c r="O2061" s="10"/>
      <c r="P2061" s="38"/>
    </row>
    <row r="2062" spans="1:16" ht="15" customHeight="1" x14ac:dyDescent="0.35">
      <c r="A2062" s="15"/>
      <c r="B2062" s="65"/>
      <c r="C2062" s="15"/>
      <c r="D2062" s="19"/>
      <c r="E2062" s="40"/>
      <c r="F2062" s="13"/>
      <c r="G2062" s="78"/>
      <c r="H2062" s="16"/>
      <c r="I2062" s="10"/>
      <c r="J2062" s="10"/>
      <c r="K2062" s="10"/>
      <c r="L2062" s="10"/>
      <c r="M2062" s="10"/>
      <c r="N2062" s="10"/>
      <c r="O2062" s="10"/>
      <c r="P2062" s="38"/>
    </row>
    <row r="2063" spans="1:16" ht="15" customHeight="1" x14ac:dyDescent="0.35">
      <c r="A2063" s="15"/>
      <c r="B2063" s="65"/>
      <c r="C2063" s="15"/>
      <c r="D2063" s="19"/>
      <c r="E2063" s="40"/>
      <c r="F2063" s="13"/>
      <c r="G2063" s="78"/>
      <c r="H2063" s="16"/>
      <c r="I2063" s="10"/>
      <c r="J2063" s="10"/>
      <c r="K2063" s="10"/>
      <c r="L2063" s="10"/>
      <c r="M2063" s="10"/>
      <c r="N2063" s="10"/>
      <c r="O2063" s="10"/>
      <c r="P2063" s="38"/>
    </row>
    <row r="2064" spans="1:16" ht="15" customHeight="1" x14ac:dyDescent="0.35">
      <c r="A2064" s="15"/>
      <c r="B2064" s="65"/>
      <c r="C2064" s="15"/>
      <c r="D2064" s="19"/>
      <c r="E2064" s="40"/>
      <c r="F2064" s="13"/>
      <c r="G2064" s="78"/>
      <c r="H2064" s="16"/>
      <c r="I2064" s="10"/>
      <c r="J2064" s="10"/>
      <c r="K2064" s="10"/>
      <c r="L2064" s="10"/>
      <c r="M2064" s="10"/>
      <c r="N2064" s="10"/>
      <c r="O2064" s="10"/>
      <c r="P2064" s="38"/>
    </row>
    <row r="2065" spans="1:16" ht="15" customHeight="1" x14ac:dyDescent="0.35">
      <c r="A2065" s="15"/>
      <c r="B2065" s="65"/>
      <c r="C2065" s="15"/>
      <c r="D2065" s="19"/>
      <c r="E2065" s="40"/>
      <c r="F2065" s="13"/>
      <c r="G2065" s="78"/>
      <c r="H2065" s="16"/>
      <c r="I2065" s="10"/>
      <c r="J2065" s="10"/>
      <c r="K2065" s="10"/>
      <c r="L2065" s="10"/>
      <c r="M2065" s="10"/>
      <c r="N2065" s="10"/>
      <c r="O2065" s="10"/>
      <c r="P2065" s="38"/>
    </row>
    <row r="2066" spans="1:16" ht="15" customHeight="1" x14ac:dyDescent="0.35">
      <c r="A2066" s="15"/>
      <c r="B2066" s="65"/>
      <c r="C2066" s="15"/>
      <c r="D2066" s="19"/>
      <c r="E2066" s="40"/>
      <c r="F2066" s="13"/>
      <c r="G2066" s="78"/>
      <c r="H2066" s="16"/>
      <c r="I2066" s="10"/>
      <c r="J2066" s="10"/>
      <c r="K2066" s="10"/>
      <c r="L2066" s="10"/>
      <c r="M2066" s="10"/>
      <c r="N2066" s="10"/>
      <c r="O2066" s="10"/>
      <c r="P2066" s="38"/>
    </row>
    <row r="2067" spans="1:16" ht="15" customHeight="1" x14ac:dyDescent="0.35">
      <c r="A2067" s="15"/>
      <c r="B2067" s="65"/>
      <c r="C2067" s="15"/>
      <c r="D2067" s="19"/>
      <c r="E2067" s="40"/>
      <c r="F2067" s="13"/>
      <c r="G2067" s="78"/>
      <c r="H2067" s="16"/>
      <c r="I2067" s="10"/>
      <c r="J2067" s="10"/>
      <c r="K2067" s="10"/>
      <c r="L2067" s="10"/>
      <c r="M2067" s="10"/>
      <c r="N2067" s="10"/>
      <c r="O2067" s="10"/>
      <c r="P2067" s="38"/>
    </row>
    <row r="2068" spans="1:16" ht="15" customHeight="1" x14ac:dyDescent="0.35">
      <c r="A2068" s="15"/>
      <c r="B2068" s="65"/>
      <c r="C2068" s="15"/>
      <c r="D2068" s="19"/>
      <c r="E2068" s="40"/>
      <c r="F2068" s="13"/>
      <c r="G2068" s="78"/>
      <c r="H2068" s="16"/>
      <c r="I2068" s="10"/>
      <c r="J2068" s="10"/>
      <c r="K2068" s="10"/>
      <c r="L2068" s="10"/>
      <c r="M2068" s="10"/>
      <c r="N2068" s="10"/>
      <c r="O2068" s="10"/>
      <c r="P2068" s="38"/>
    </row>
    <row r="2069" spans="1:16" ht="15" customHeight="1" x14ac:dyDescent="0.35">
      <c r="A2069" s="15"/>
      <c r="B2069" s="65"/>
      <c r="C2069" s="15"/>
      <c r="D2069" s="19"/>
      <c r="E2069" s="40"/>
      <c r="F2069" s="13"/>
      <c r="G2069" s="78"/>
      <c r="H2069" s="16"/>
      <c r="I2069" s="10"/>
      <c r="J2069" s="10"/>
      <c r="K2069" s="10"/>
      <c r="L2069" s="10"/>
      <c r="M2069" s="10"/>
      <c r="N2069" s="10"/>
      <c r="O2069" s="10"/>
      <c r="P2069" s="38"/>
    </row>
    <row r="2070" spans="1:16" ht="15" customHeight="1" x14ac:dyDescent="0.35">
      <c r="A2070" s="15"/>
      <c r="B2070" s="65"/>
      <c r="C2070" s="15"/>
      <c r="D2070" s="19"/>
      <c r="E2070" s="40"/>
      <c r="F2070" s="13"/>
      <c r="G2070" s="78"/>
      <c r="H2070" s="16"/>
      <c r="I2070" s="10"/>
      <c r="J2070" s="10"/>
      <c r="K2070" s="10"/>
      <c r="L2070" s="10"/>
      <c r="M2070" s="10"/>
      <c r="N2070" s="10"/>
      <c r="O2070" s="10"/>
      <c r="P2070" s="38"/>
    </row>
    <row r="2071" spans="1:16" ht="15" customHeight="1" x14ac:dyDescent="0.35">
      <c r="A2071" s="15"/>
      <c r="B2071" s="65"/>
      <c r="C2071" s="15"/>
      <c r="D2071" s="19"/>
      <c r="E2071" s="40"/>
      <c r="F2071" s="13"/>
      <c r="G2071" s="78"/>
      <c r="H2071" s="16"/>
      <c r="I2071" s="10"/>
      <c r="J2071" s="10"/>
      <c r="K2071" s="10"/>
      <c r="L2071" s="10"/>
      <c r="M2071" s="10"/>
      <c r="N2071" s="10"/>
      <c r="O2071" s="10"/>
      <c r="P2071" s="38"/>
    </row>
    <row r="2072" spans="1:16" ht="15" customHeight="1" x14ac:dyDescent="0.35">
      <c r="A2072" s="15"/>
      <c r="B2072" s="65"/>
      <c r="C2072" s="15"/>
      <c r="D2072" s="19"/>
      <c r="E2072" s="40"/>
      <c r="F2072" s="13"/>
      <c r="G2072" s="78"/>
      <c r="H2072" s="16"/>
      <c r="I2072" s="10"/>
      <c r="J2072" s="10"/>
      <c r="K2072" s="10"/>
      <c r="L2072" s="10"/>
      <c r="M2072" s="10"/>
      <c r="N2072" s="10"/>
      <c r="O2072" s="10"/>
      <c r="P2072" s="38"/>
    </row>
    <row r="2073" spans="1:16" ht="15" customHeight="1" x14ac:dyDescent="0.35">
      <c r="A2073" s="15"/>
      <c r="B2073" s="65"/>
      <c r="C2073" s="15"/>
      <c r="D2073" s="19"/>
      <c r="E2073" s="40"/>
      <c r="F2073" s="13"/>
      <c r="G2073" s="78"/>
      <c r="H2073" s="16"/>
      <c r="I2073" s="10"/>
      <c r="J2073" s="10"/>
      <c r="K2073" s="10"/>
      <c r="L2073" s="10"/>
      <c r="M2073" s="10"/>
      <c r="N2073" s="10"/>
      <c r="O2073" s="10"/>
      <c r="P2073" s="38"/>
    </row>
    <row r="2074" spans="1:16" ht="15" customHeight="1" x14ac:dyDescent="0.35">
      <c r="A2074" s="15"/>
      <c r="B2074" s="65"/>
      <c r="C2074" s="15"/>
      <c r="D2074" s="19"/>
      <c r="E2074" s="40"/>
      <c r="F2074" s="13"/>
      <c r="G2074" s="78"/>
      <c r="H2074" s="16"/>
      <c r="I2074" s="10"/>
      <c r="J2074" s="10"/>
      <c r="K2074" s="10"/>
      <c r="L2074" s="10"/>
      <c r="M2074" s="10"/>
      <c r="N2074" s="10"/>
      <c r="O2074" s="10"/>
      <c r="P2074" s="38"/>
    </row>
    <row r="2075" spans="1:16" ht="15" customHeight="1" x14ac:dyDescent="0.35">
      <c r="A2075" s="15"/>
      <c r="B2075" s="65"/>
      <c r="C2075" s="15"/>
      <c r="D2075" s="19"/>
      <c r="E2075" s="40"/>
      <c r="F2075" s="13"/>
      <c r="G2075" s="78"/>
      <c r="H2075" s="16"/>
      <c r="I2075" s="10"/>
      <c r="J2075" s="10"/>
      <c r="K2075" s="10"/>
      <c r="L2075" s="10"/>
      <c r="M2075" s="10"/>
      <c r="N2075" s="10"/>
      <c r="O2075" s="10"/>
      <c r="P2075" s="38"/>
    </row>
    <row r="2076" spans="1:16" ht="15" customHeight="1" x14ac:dyDescent="0.35">
      <c r="A2076" s="15"/>
      <c r="B2076" s="65"/>
      <c r="C2076" s="15"/>
      <c r="D2076" s="19"/>
      <c r="E2076" s="40"/>
      <c r="F2076" s="13"/>
      <c r="G2076" s="78"/>
      <c r="H2076" s="16"/>
      <c r="I2076" s="10"/>
      <c r="J2076" s="10"/>
      <c r="K2076" s="10"/>
      <c r="L2076" s="10"/>
      <c r="M2076" s="10"/>
      <c r="N2076" s="10"/>
      <c r="O2076" s="10"/>
      <c r="P2076" s="38"/>
    </row>
    <row r="2077" spans="1:16" ht="15" customHeight="1" x14ac:dyDescent="0.35">
      <c r="A2077" s="15"/>
      <c r="B2077" s="65"/>
      <c r="C2077" s="15"/>
      <c r="D2077" s="19"/>
      <c r="E2077" s="40"/>
      <c r="F2077" s="13"/>
      <c r="G2077" s="78"/>
      <c r="H2077" s="16"/>
      <c r="I2077" s="10"/>
      <c r="J2077" s="10"/>
      <c r="K2077" s="10"/>
      <c r="L2077" s="10"/>
      <c r="M2077" s="10"/>
      <c r="N2077" s="10"/>
      <c r="O2077" s="10"/>
      <c r="P2077" s="38"/>
    </row>
    <row r="2078" spans="1:16" ht="15" customHeight="1" x14ac:dyDescent="0.35">
      <c r="A2078" s="15"/>
      <c r="B2078" s="65"/>
      <c r="C2078" s="15"/>
      <c r="D2078" s="19"/>
      <c r="E2078" s="40"/>
      <c r="F2078" s="13"/>
      <c r="G2078" s="78"/>
      <c r="H2078" s="16"/>
      <c r="I2078" s="10"/>
      <c r="J2078" s="10"/>
      <c r="K2078" s="10"/>
      <c r="L2078" s="10"/>
      <c r="M2078" s="10"/>
      <c r="N2078" s="10"/>
      <c r="O2078" s="10"/>
      <c r="P2078" s="38"/>
    </row>
    <row r="2079" spans="1:16" ht="15" customHeight="1" x14ac:dyDescent="0.35">
      <c r="A2079" s="15"/>
      <c r="B2079" s="65"/>
      <c r="C2079" s="15"/>
      <c r="D2079" s="19"/>
      <c r="E2079" s="40"/>
      <c r="F2079" s="13"/>
      <c r="G2079" s="78"/>
      <c r="H2079" s="16"/>
      <c r="I2079" s="10"/>
      <c r="J2079" s="10"/>
      <c r="K2079" s="10"/>
      <c r="L2079" s="10"/>
      <c r="M2079" s="10"/>
      <c r="N2079" s="10"/>
      <c r="O2079" s="10"/>
      <c r="P2079" s="38"/>
    </row>
    <row r="2080" spans="1:16" ht="15" customHeight="1" x14ac:dyDescent="0.35">
      <c r="A2080" s="15"/>
      <c r="B2080" s="65"/>
      <c r="C2080" s="15"/>
      <c r="D2080" s="19"/>
      <c r="E2080" s="40"/>
      <c r="F2080" s="13"/>
      <c r="G2080" s="78"/>
      <c r="H2080" s="16"/>
      <c r="I2080" s="10"/>
      <c r="J2080" s="10"/>
      <c r="K2080" s="10"/>
      <c r="L2080" s="10"/>
      <c r="M2080" s="10"/>
      <c r="N2080" s="10"/>
      <c r="O2080" s="10"/>
      <c r="P2080" s="38"/>
    </row>
    <row r="2081" spans="1:16" ht="15" customHeight="1" x14ac:dyDescent="0.35">
      <c r="A2081" s="15"/>
      <c r="B2081" s="65"/>
      <c r="C2081" s="15"/>
      <c r="D2081" s="19"/>
      <c r="E2081" s="40"/>
      <c r="F2081" s="13"/>
      <c r="G2081" s="78"/>
      <c r="H2081" s="16"/>
      <c r="I2081" s="10"/>
      <c r="J2081" s="10"/>
      <c r="K2081" s="10"/>
      <c r="L2081" s="10"/>
      <c r="M2081" s="10"/>
      <c r="N2081" s="10"/>
      <c r="O2081" s="10"/>
      <c r="P2081" s="38"/>
    </row>
    <row r="2082" spans="1:16" ht="15" customHeight="1" x14ac:dyDescent="0.35">
      <c r="A2082" s="15"/>
      <c r="B2082" s="65"/>
      <c r="C2082" s="15"/>
      <c r="D2082" s="19"/>
      <c r="E2082" s="40"/>
      <c r="F2082" s="13"/>
      <c r="G2082" s="78"/>
      <c r="H2082" s="16"/>
      <c r="I2082" s="10"/>
      <c r="J2082" s="10"/>
      <c r="K2082" s="10"/>
      <c r="L2082" s="10"/>
      <c r="M2082" s="10"/>
      <c r="N2082" s="10"/>
      <c r="O2082" s="10"/>
      <c r="P2082" s="38"/>
    </row>
    <row r="2083" spans="1:16" ht="15" customHeight="1" x14ac:dyDescent="0.35">
      <c r="A2083" s="15"/>
      <c r="B2083" s="65"/>
      <c r="C2083" s="15"/>
      <c r="D2083" s="19"/>
      <c r="E2083" s="40"/>
      <c r="F2083" s="13"/>
      <c r="G2083" s="78"/>
      <c r="H2083" s="16"/>
      <c r="I2083" s="10"/>
      <c r="J2083" s="10"/>
      <c r="K2083" s="10"/>
      <c r="L2083" s="10"/>
      <c r="M2083" s="10"/>
      <c r="N2083" s="10"/>
      <c r="O2083" s="10"/>
      <c r="P2083" s="38"/>
    </row>
    <row r="2084" spans="1:16" ht="15" customHeight="1" x14ac:dyDescent="0.35">
      <c r="A2084" s="15"/>
      <c r="B2084" s="65"/>
      <c r="C2084" s="15"/>
      <c r="D2084" s="19"/>
      <c r="E2084" s="40"/>
      <c r="F2084" s="13"/>
      <c r="G2084" s="78"/>
      <c r="H2084" s="16"/>
      <c r="I2084" s="10"/>
      <c r="J2084" s="10"/>
      <c r="K2084" s="10"/>
      <c r="L2084" s="10"/>
      <c r="M2084" s="10"/>
      <c r="N2084" s="10"/>
      <c r="O2084" s="10"/>
      <c r="P2084" s="38"/>
    </row>
    <row r="2085" spans="1:16" ht="15" customHeight="1" x14ac:dyDescent="0.35">
      <c r="A2085" s="15"/>
      <c r="B2085" s="65"/>
      <c r="C2085" s="15"/>
      <c r="D2085" s="19"/>
      <c r="E2085" s="40"/>
      <c r="F2085" s="13"/>
      <c r="G2085" s="78"/>
      <c r="H2085" s="16"/>
      <c r="I2085" s="10"/>
      <c r="J2085" s="10"/>
      <c r="K2085" s="10"/>
      <c r="L2085" s="10"/>
      <c r="M2085" s="10"/>
      <c r="N2085" s="10"/>
      <c r="O2085" s="10"/>
      <c r="P2085" s="38"/>
    </row>
    <row r="2086" spans="1:16" ht="15" customHeight="1" x14ac:dyDescent="0.35">
      <c r="A2086" s="15"/>
      <c r="B2086" s="65"/>
      <c r="C2086" s="15"/>
      <c r="D2086" s="19"/>
      <c r="E2086" s="40"/>
      <c r="F2086" s="13"/>
      <c r="G2086" s="78"/>
      <c r="H2086" s="16"/>
      <c r="I2086" s="10"/>
      <c r="J2086" s="10"/>
      <c r="K2086" s="10"/>
      <c r="L2086" s="10"/>
      <c r="M2086" s="10"/>
      <c r="N2086" s="10"/>
      <c r="O2086" s="10"/>
      <c r="P2086" s="38"/>
    </row>
    <row r="2087" spans="1:16" ht="15" customHeight="1" x14ac:dyDescent="0.35">
      <c r="A2087" s="15"/>
      <c r="B2087" s="65"/>
      <c r="C2087" s="15"/>
      <c r="D2087" s="19"/>
      <c r="E2087" s="40"/>
      <c r="F2087" s="13"/>
      <c r="G2087" s="78"/>
      <c r="H2087" s="16"/>
      <c r="I2087" s="10"/>
      <c r="J2087" s="10"/>
      <c r="K2087" s="10"/>
      <c r="L2087" s="10"/>
      <c r="M2087" s="10"/>
      <c r="N2087" s="10"/>
      <c r="O2087" s="10"/>
      <c r="P2087" s="38"/>
    </row>
    <row r="2088" spans="1:16" ht="15" customHeight="1" x14ac:dyDescent="0.35">
      <c r="A2088" s="15"/>
      <c r="B2088" s="65"/>
      <c r="C2088" s="15"/>
      <c r="D2088" s="19"/>
      <c r="E2088" s="40"/>
      <c r="F2088" s="13"/>
      <c r="G2088" s="78"/>
      <c r="H2088" s="16"/>
      <c r="I2088" s="10"/>
      <c r="J2088" s="10"/>
      <c r="K2088" s="10"/>
      <c r="L2088" s="10"/>
      <c r="M2088" s="10"/>
      <c r="N2088" s="10"/>
      <c r="O2088" s="10"/>
      <c r="P2088" s="38"/>
    </row>
    <row r="2089" spans="1:16" ht="15" customHeight="1" x14ac:dyDescent="0.35">
      <c r="A2089" s="15"/>
      <c r="B2089" s="65"/>
      <c r="C2089" s="15"/>
      <c r="D2089" s="19"/>
      <c r="E2089" s="40"/>
      <c r="F2089" s="13"/>
      <c r="G2089" s="78"/>
      <c r="H2089" s="16"/>
      <c r="I2089" s="10"/>
      <c r="J2089" s="10"/>
      <c r="K2089" s="10"/>
      <c r="L2089" s="10"/>
      <c r="M2089" s="10"/>
      <c r="N2089" s="10"/>
      <c r="O2089" s="10"/>
      <c r="P2089" s="38"/>
    </row>
    <row r="2090" spans="1:16" ht="15" customHeight="1" x14ac:dyDescent="0.35">
      <c r="A2090" s="15"/>
      <c r="B2090" s="65"/>
      <c r="C2090" s="15"/>
      <c r="D2090" s="19"/>
      <c r="E2090" s="40"/>
      <c r="F2090" s="13"/>
      <c r="G2090" s="78"/>
      <c r="H2090" s="16"/>
      <c r="I2090" s="10"/>
      <c r="J2090" s="10"/>
      <c r="K2090" s="10"/>
      <c r="L2090" s="10"/>
      <c r="M2090" s="10"/>
      <c r="N2090" s="10"/>
      <c r="O2090" s="10"/>
      <c r="P2090" s="38"/>
    </row>
    <row r="2091" spans="1:16" ht="15" customHeight="1" x14ac:dyDescent="0.35">
      <c r="A2091" s="15"/>
      <c r="B2091" s="65"/>
      <c r="C2091" s="15"/>
      <c r="D2091" s="19"/>
      <c r="E2091" s="40"/>
      <c r="F2091" s="13"/>
      <c r="G2091" s="78"/>
      <c r="H2091" s="16"/>
      <c r="I2091" s="10"/>
      <c r="J2091" s="10"/>
      <c r="K2091" s="10"/>
      <c r="L2091" s="10"/>
      <c r="M2091" s="10"/>
      <c r="N2091" s="10"/>
      <c r="O2091" s="10"/>
      <c r="P2091" s="38"/>
    </row>
    <row r="2092" spans="1:16" ht="15" customHeight="1" x14ac:dyDescent="0.35">
      <c r="A2092" s="15"/>
      <c r="B2092" s="65"/>
      <c r="C2092" s="15"/>
      <c r="D2092" s="19"/>
      <c r="E2092" s="40"/>
      <c r="F2092" s="13"/>
      <c r="G2092" s="78"/>
      <c r="H2092" s="16"/>
      <c r="I2092" s="10"/>
      <c r="J2092" s="10"/>
      <c r="K2092" s="10"/>
      <c r="L2092" s="10"/>
      <c r="M2092" s="10"/>
      <c r="N2092" s="10"/>
      <c r="O2092" s="10"/>
      <c r="P2092" s="38"/>
    </row>
    <row r="2093" spans="1:16" ht="15" customHeight="1" x14ac:dyDescent="0.35">
      <c r="A2093" s="15"/>
      <c r="B2093" s="65"/>
      <c r="C2093" s="15"/>
      <c r="D2093" s="19"/>
      <c r="E2093" s="40"/>
      <c r="F2093" s="13"/>
      <c r="G2093" s="78"/>
      <c r="H2093" s="16"/>
      <c r="I2093" s="10"/>
      <c r="J2093" s="10"/>
      <c r="K2093" s="10"/>
      <c r="L2093" s="10"/>
      <c r="M2093" s="10"/>
      <c r="N2093" s="10"/>
      <c r="O2093" s="10"/>
      <c r="P2093" s="38"/>
    </row>
    <row r="2094" spans="1:16" ht="15" customHeight="1" x14ac:dyDescent="0.35">
      <c r="A2094" s="15"/>
      <c r="B2094" s="65"/>
      <c r="C2094" s="15"/>
      <c r="D2094" s="19"/>
      <c r="E2094" s="40"/>
      <c r="F2094" s="13"/>
      <c r="G2094" s="78"/>
      <c r="H2094" s="16"/>
      <c r="I2094" s="10"/>
      <c r="J2094" s="10"/>
      <c r="K2094" s="10"/>
      <c r="L2094" s="10"/>
      <c r="M2094" s="10"/>
      <c r="N2094" s="10"/>
      <c r="O2094" s="10"/>
      <c r="P2094" s="38"/>
    </row>
    <row r="2095" spans="1:16" ht="15" customHeight="1" x14ac:dyDescent="0.35">
      <c r="A2095" s="15"/>
      <c r="B2095" s="65"/>
      <c r="C2095" s="15"/>
      <c r="D2095" s="19"/>
      <c r="E2095" s="40"/>
      <c r="F2095" s="13"/>
      <c r="G2095" s="78"/>
      <c r="H2095" s="16"/>
      <c r="I2095" s="10"/>
      <c r="J2095" s="10"/>
      <c r="K2095" s="10"/>
      <c r="L2095" s="10"/>
      <c r="M2095" s="10"/>
      <c r="N2095" s="10"/>
      <c r="O2095" s="10"/>
      <c r="P2095" s="38"/>
    </row>
    <row r="2096" spans="1:16" ht="15" customHeight="1" x14ac:dyDescent="0.35">
      <c r="A2096" s="15"/>
      <c r="B2096" s="65"/>
      <c r="C2096" s="15"/>
      <c r="D2096" s="19"/>
      <c r="E2096" s="40"/>
      <c r="F2096" s="13"/>
      <c r="G2096" s="78"/>
      <c r="H2096" s="16"/>
      <c r="I2096" s="10"/>
      <c r="J2096" s="10"/>
      <c r="K2096" s="10"/>
      <c r="L2096" s="10"/>
      <c r="M2096" s="10"/>
      <c r="N2096" s="10"/>
      <c r="O2096" s="10"/>
      <c r="P2096" s="38"/>
    </row>
    <row r="2097" spans="1:16" ht="15" customHeight="1" x14ac:dyDescent="0.35">
      <c r="A2097" s="15"/>
      <c r="B2097" s="65"/>
      <c r="C2097" s="15"/>
      <c r="D2097" s="19"/>
      <c r="E2097" s="40"/>
      <c r="F2097" s="13"/>
      <c r="G2097" s="78"/>
      <c r="H2097" s="16"/>
      <c r="I2097" s="10"/>
      <c r="J2097" s="10"/>
      <c r="K2097" s="10"/>
      <c r="L2097" s="10"/>
      <c r="M2097" s="10"/>
      <c r="N2097" s="10"/>
      <c r="O2097" s="10"/>
      <c r="P2097" s="38"/>
    </row>
    <row r="2098" spans="1:16" ht="15" customHeight="1" x14ac:dyDescent="0.35">
      <c r="A2098" s="15"/>
      <c r="B2098" s="65"/>
      <c r="C2098" s="15"/>
      <c r="D2098" s="19"/>
      <c r="E2098" s="40"/>
      <c r="F2098" s="13"/>
      <c r="G2098" s="78"/>
      <c r="H2098" s="16"/>
      <c r="I2098" s="10"/>
      <c r="J2098" s="10"/>
      <c r="K2098" s="10"/>
      <c r="L2098" s="10"/>
      <c r="M2098" s="10"/>
      <c r="N2098" s="10"/>
      <c r="O2098" s="10"/>
      <c r="P2098" s="38"/>
    </row>
    <row r="2099" spans="1:16" ht="15" customHeight="1" x14ac:dyDescent="0.35">
      <c r="A2099" s="15"/>
      <c r="B2099" s="65"/>
      <c r="C2099" s="15"/>
      <c r="D2099" s="19"/>
      <c r="E2099" s="40"/>
      <c r="F2099" s="13"/>
      <c r="G2099" s="78"/>
      <c r="H2099" s="16"/>
      <c r="I2099" s="10"/>
      <c r="J2099" s="10"/>
      <c r="K2099" s="10"/>
      <c r="L2099" s="10"/>
      <c r="M2099" s="10"/>
      <c r="N2099" s="10"/>
      <c r="O2099" s="10"/>
      <c r="P2099" s="38"/>
    </row>
    <row r="2100" spans="1:16" ht="15" customHeight="1" x14ac:dyDescent="0.35">
      <c r="A2100" s="15"/>
      <c r="B2100" s="65"/>
      <c r="C2100" s="15"/>
      <c r="D2100" s="19"/>
      <c r="E2100" s="40"/>
      <c r="F2100" s="13"/>
      <c r="G2100" s="78"/>
      <c r="H2100" s="16"/>
      <c r="I2100" s="10"/>
      <c r="J2100" s="10"/>
      <c r="K2100" s="10"/>
      <c r="L2100" s="10"/>
      <c r="M2100" s="10"/>
      <c r="N2100" s="10"/>
      <c r="O2100" s="10"/>
      <c r="P2100" s="38"/>
    </row>
    <row r="2101" spans="1:16" ht="15" customHeight="1" x14ac:dyDescent="0.35">
      <c r="A2101" s="15"/>
      <c r="B2101" s="65"/>
      <c r="C2101" s="15"/>
      <c r="D2101" s="19"/>
      <c r="E2101" s="40"/>
      <c r="F2101" s="13"/>
      <c r="G2101" s="78"/>
      <c r="H2101" s="16"/>
      <c r="I2101" s="10"/>
      <c r="J2101" s="10"/>
      <c r="K2101" s="10"/>
      <c r="L2101" s="10"/>
      <c r="M2101" s="10"/>
      <c r="N2101" s="10"/>
      <c r="O2101" s="10"/>
      <c r="P2101" s="38"/>
    </row>
    <row r="2102" spans="1:16" ht="15" customHeight="1" x14ac:dyDescent="0.35">
      <c r="A2102" s="15"/>
      <c r="B2102" s="65"/>
      <c r="C2102" s="15"/>
      <c r="D2102" s="19"/>
      <c r="E2102" s="40"/>
      <c r="F2102" s="13"/>
      <c r="G2102" s="78"/>
      <c r="H2102" s="16"/>
      <c r="I2102" s="10"/>
      <c r="J2102" s="10"/>
      <c r="K2102" s="10"/>
      <c r="L2102" s="10"/>
      <c r="M2102" s="10"/>
      <c r="N2102" s="10"/>
      <c r="O2102" s="10"/>
      <c r="P2102" s="38"/>
    </row>
    <row r="2103" spans="1:16" ht="15" customHeight="1" x14ac:dyDescent="0.35">
      <c r="A2103" s="15"/>
      <c r="B2103" s="65"/>
      <c r="C2103" s="15"/>
      <c r="D2103" s="19"/>
      <c r="E2103" s="40"/>
      <c r="F2103" s="13"/>
      <c r="G2103" s="78"/>
      <c r="H2103" s="16"/>
      <c r="I2103" s="10"/>
      <c r="J2103" s="10"/>
      <c r="K2103" s="10"/>
      <c r="L2103" s="10"/>
      <c r="M2103" s="10"/>
      <c r="N2103" s="10"/>
      <c r="O2103" s="10"/>
      <c r="P2103" s="38"/>
    </row>
    <row r="2104" spans="1:16" ht="15" customHeight="1" x14ac:dyDescent="0.35">
      <c r="A2104" s="15"/>
      <c r="B2104" s="65"/>
      <c r="C2104" s="15"/>
      <c r="D2104" s="19"/>
      <c r="E2104" s="40"/>
      <c r="F2104" s="13"/>
      <c r="G2104" s="78"/>
      <c r="H2104" s="16"/>
      <c r="I2104" s="10"/>
      <c r="J2104" s="10"/>
      <c r="K2104" s="10"/>
      <c r="L2104" s="10"/>
      <c r="M2104" s="10"/>
      <c r="N2104" s="10"/>
      <c r="O2104" s="10"/>
      <c r="P2104" s="38"/>
    </row>
    <row r="2105" spans="1:16" ht="15" customHeight="1" x14ac:dyDescent="0.35">
      <c r="A2105" s="15"/>
      <c r="B2105" s="65"/>
      <c r="C2105" s="15"/>
      <c r="D2105" s="19"/>
      <c r="E2105" s="40"/>
      <c r="F2105" s="13"/>
      <c r="G2105" s="78"/>
      <c r="H2105" s="16"/>
      <c r="I2105" s="10"/>
      <c r="J2105" s="10"/>
      <c r="K2105" s="10"/>
      <c r="L2105" s="10"/>
      <c r="M2105" s="10"/>
      <c r="N2105" s="10"/>
      <c r="O2105" s="10"/>
      <c r="P2105" s="38"/>
    </row>
    <row r="2106" spans="1:16" ht="15" customHeight="1" x14ac:dyDescent="0.35">
      <c r="A2106" s="15"/>
      <c r="B2106" s="65"/>
      <c r="C2106" s="15"/>
      <c r="D2106" s="19"/>
      <c r="E2106" s="40"/>
      <c r="F2106" s="13"/>
      <c r="G2106" s="78"/>
      <c r="H2106" s="16"/>
      <c r="I2106" s="10"/>
      <c r="J2106" s="10"/>
      <c r="K2106" s="10"/>
      <c r="L2106" s="10"/>
      <c r="M2106" s="10"/>
      <c r="N2106" s="10"/>
      <c r="O2106" s="10"/>
      <c r="P2106" s="38"/>
    </row>
    <row r="2107" spans="1:16" ht="15" customHeight="1" x14ac:dyDescent="0.35">
      <c r="A2107" s="15"/>
      <c r="B2107" s="65"/>
      <c r="C2107" s="15"/>
      <c r="D2107" s="19"/>
      <c r="E2107" s="40"/>
      <c r="F2107" s="13"/>
      <c r="G2107" s="78"/>
      <c r="H2107" s="16"/>
      <c r="I2107" s="10"/>
      <c r="J2107" s="10"/>
      <c r="K2107" s="10"/>
      <c r="L2107" s="10"/>
      <c r="M2107" s="10"/>
      <c r="N2107" s="10"/>
      <c r="O2107" s="10"/>
      <c r="P2107" s="38"/>
    </row>
    <row r="2108" spans="1:16" ht="15" customHeight="1" x14ac:dyDescent="0.35">
      <c r="A2108" s="15"/>
      <c r="B2108" s="65"/>
      <c r="C2108" s="15"/>
      <c r="D2108" s="19"/>
      <c r="E2108" s="40"/>
      <c r="F2108" s="13"/>
      <c r="G2108" s="78"/>
      <c r="H2108" s="16"/>
      <c r="I2108" s="10"/>
      <c r="J2108" s="10"/>
      <c r="K2108" s="10"/>
      <c r="L2108" s="10"/>
      <c r="M2108" s="10"/>
      <c r="N2108" s="10"/>
      <c r="O2108" s="10"/>
      <c r="P2108" s="38"/>
    </row>
    <row r="2109" spans="1:16" ht="15" customHeight="1" x14ac:dyDescent="0.35">
      <c r="A2109" s="15"/>
      <c r="B2109" s="65"/>
      <c r="C2109" s="15"/>
      <c r="D2109" s="19"/>
      <c r="E2109" s="40"/>
      <c r="F2109" s="13"/>
      <c r="G2109" s="78"/>
      <c r="H2109" s="16"/>
      <c r="I2109" s="10"/>
      <c r="J2109" s="10"/>
      <c r="K2109" s="10"/>
      <c r="L2109" s="10"/>
      <c r="M2109" s="10"/>
      <c r="N2109" s="10"/>
      <c r="O2109" s="10"/>
      <c r="P2109" s="38"/>
    </row>
    <row r="2110" spans="1:16" ht="15" customHeight="1" x14ac:dyDescent="0.35">
      <c r="A2110" s="15"/>
      <c r="B2110" s="65"/>
      <c r="C2110" s="15"/>
      <c r="D2110" s="19"/>
      <c r="E2110" s="40"/>
      <c r="F2110" s="13"/>
      <c r="G2110" s="78"/>
      <c r="H2110" s="16"/>
      <c r="I2110" s="10"/>
      <c r="J2110" s="10"/>
      <c r="K2110" s="10"/>
      <c r="L2110" s="10"/>
      <c r="M2110" s="10"/>
      <c r="N2110" s="10"/>
      <c r="O2110" s="10"/>
      <c r="P2110" s="38"/>
    </row>
    <row r="2111" spans="1:16" ht="15" customHeight="1" x14ac:dyDescent="0.35">
      <c r="A2111" s="15"/>
      <c r="B2111" s="65"/>
      <c r="C2111" s="15"/>
      <c r="D2111" s="19"/>
      <c r="E2111" s="40"/>
      <c r="F2111" s="13"/>
      <c r="G2111" s="78"/>
      <c r="H2111" s="16"/>
      <c r="I2111" s="10"/>
      <c r="J2111" s="10"/>
      <c r="K2111" s="10"/>
      <c r="L2111" s="10"/>
      <c r="M2111" s="10"/>
      <c r="N2111" s="10"/>
      <c r="O2111" s="10"/>
      <c r="P2111" s="38"/>
    </row>
    <row r="2112" spans="1:16" ht="15" customHeight="1" x14ac:dyDescent="0.35">
      <c r="A2112" s="15"/>
      <c r="B2112" s="65"/>
      <c r="C2112" s="15"/>
      <c r="D2112" s="19"/>
      <c r="E2112" s="40"/>
      <c r="F2112" s="13"/>
      <c r="G2112" s="78"/>
      <c r="H2112" s="16"/>
      <c r="I2112" s="10"/>
      <c r="J2112" s="10"/>
      <c r="K2112" s="10"/>
      <c r="L2112" s="10"/>
      <c r="M2112" s="10"/>
      <c r="N2112" s="10"/>
      <c r="O2112" s="10"/>
      <c r="P2112" s="38"/>
    </row>
    <row r="2113" spans="1:16" ht="15" customHeight="1" x14ac:dyDescent="0.35">
      <c r="A2113" s="15"/>
      <c r="B2113" s="65"/>
      <c r="C2113" s="15"/>
      <c r="D2113" s="19"/>
      <c r="E2113" s="40"/>
      <c r="F2113" s="13"/>
      <c r="G2113" s="78"/>
      <c r="H2113" s="16"/>
      <c r="I2113" s="10"/>
      <c r="J2113" s="10"/>
      <c r="K2113" s="10"/>
      <c r="L2113" s="10"/>
      <c r="M2113" s="10"/>
      <c r="N2113" s="10"/>
      <c r="O2113" s="10"/>
      <c r="P2113" s="38"/>
    </row>
    <row r="2114" spans="1:16" ht="15" customHeight="1" x14ac:dyDescent="0.35">
      <c r="A2114" s="15"/>
      <c r="B2114" s="65"/>
      <c r="C2114" s="15"/>
      <c r="D2114" s="19"/>
      <c r="E2114" s="40"/>
      <c r="F2114" s="13"/>
      <c r="G2114" s="78"/>
      <c r="H2114" s="16"/>
      <c r="I2114" s="10"/>
      <c r="J2114" s="10"/>
      <c r="K2114" s="10"/>
      <c r="L2114" s="10"/>
      <c r="M2114" s="10"/>
      <c r="N2114" s="10"/>
      <c r="O2114" s="10"/>
      <c r="P2114" s="38"/>
    </row>
    <row r="2115" spans="1:16" ht="15" customHeight="1" x14ac:dyDescent="0.35">
      <c r="A2115" s="15"/>
      <c r="B2115" s="65"/>
      <c r="C2115" s="15"/>
      <c r="D2115" s="19"/>
      <c r="E2115" s="40"/>
      <c r="F2115" s="13"/>
      <c r="G2115" s="78"/>
      <c r="H2115" s="16"/>
      <c r="I2115" s="10"/>
      <c r="J2115" s="10"/>
      <c r="K2115" s="10"/>
      <c r="L2115" s="10"/>
      <c r="M2115" s="10"/>
      <c r="N2115" s="10"/>
      <c r="O2115" s="10"/>
      <c r="P2115" s="38"/>
    </row>
    <row r="2116" spans="1:16" ht="15" customHeight="1" x14ac:dyDescent="0.35">
      <c r="A2116" s="15"/>
      <c r="B2116" s="65"/>
      <c r="C2116" s="15"/>
      <c r="D2116" s="19"/>
      <c r="E2116" s="40"/>
      <c r="F2116" s="13"/>
      <c r="G2116" s="78"/>
      <c r="H2116" s="16"/>
      <c r="I2116" s="10"/>
      <c r="J2116" s="10"/>
      <c r="K2116" s="10"/>
      <c r="L2116" s="10"/>
      <c r="M2116" s="10"/>
      <c r="N2116" s="10"/>
      <c r="O2116" s="10"/>
      <c r="P2116" s="38"/>
    </row>
    <row r="2117" spans="1:16" ht="15" customHeight="1" x14ac:dyDescent="0.35">
      <c r="A2117" s="15"/>
      <c r="B2117" s="65"/>
      <c r="C2117" s="15"/>
      <c r="D2117" s="19"/>
      <c r="E2117" s="40"/>
      <c r="F2117" s="13"/>
      <c r="G2117" s="78"/>
      <c r="H2117" s="16"/>
      <c r="I2117" s="10"/>
      <c r="J2117" s="10"/>
      <c r="K2117" s="10"/>
      <c r="L2117" s="10"/>
      <c r="M2117" s="10"/>
      <c r="N2117" s="10"/>
      <c r="O2117" s="10"/>
      <c r="P2117" s="38"/>
    </row>
    <row r="2118" spans="1:16" ht="15" customHeight="1" x14ac:dyDescent="0.35">
      <c r="A2118" s="15"/>
      <c r="B2118" s="65"/>
      <c r="C2118" s="15"/>
      <c r="D2118" s="19"/>
      <c r="E2118" s="40"/>
      <c r="F2118" s="13"/>
      <c r="G2118" s="78"/>
      <c r="H2118" s="16"/>
      <c r="I2118" s="10"/>
      <c r="J2118" s="10"/>
      <c r="K2118" s="10"/>
      <c r="L2118" s="10"/>
      <c r="M2118" s="10"/>
      <c r="N2118" s="10"/>
      <c r="O2118" s="10"/>
      <c r="P2118" s="38"/>
    </row>
    <row r="2119" spans="1:16" ht="15" customHeight="1" x14ac:dyDescent="0.35">
      <c r="A2119" s="15"/>
      <c r="B2119" s="65"/>
      <c r="C2119" s="15"/>
      <c r="D2119" s="19"/>
      <c r="E2119" s="40"/>
      <c r="F2119" s="13"/>
      <c r="G2119" s="78"/>
      <c r="H2119" s="16"/>
      <c r="I2119" s="10"/>
      <c r="J2119" s="10"/>
      <c r="K2119" s="10"/>
      <c r="L2119" s="10"/>
      <c r="M2119" s="10"/>
      <c r="N2119" s="10"/>
      <c r="O2119" s="10"/>
      <c r="P2119" s="38"/>
    </row>
    <row r="2120" spans="1:16" ht="15" customHeight="1" x14ac:dyDescent="0.35">
      <c r="A2120" s="15"/>
      <c r="B2120" s="65"/>
      <c r="C2120" s="15"/>
      <c r="D2120" s="19"/>
      <c r="E2120" s="40"/>
      <c r="F2120" s="13"/>
      <c r="G2120" s="78"/>
      <c r="H2120" s="16"/>
      <c r="I2120" s="10"/>
      <c r="J2120" s="10"/>
      <c r="K2120" s="10"/>
      <c r="L2120" s="10"/>
      <c r="M2120" s="10"/>
      <c r="N2120" s="10"/>
      <c r="O2120" s="10"/>
      <c r="P2120" s="38"/>
    </row>
    <row r="2121" spans="1:16" ht="15" customHeight="1" x14ac:dyDescent="0.35">
      <c r="A2121" s="15"/>
      <c r="B2121" s="65"/>
      <c r="C2121" s="15"/>
      <c r="D2121" s="19"/>
      <c r="E2121" s="40"/>
      <c r="F2121" s="13"/>
      <c r="G2121" s="78"/>
      <c r="H2121" s="16"/>
      <c r="I2121" s="10"/>
      <c r="J2121" s="10"/>
      <c r="K2121" s="10"/>
      <c r="L2121" s="10"/>
      <c r="M2121" s="10"/>
      <c r="N2121" s="10"/>
      <c r="O2121" s="10"/>
      <c r="P2121" s="38"/>
    </row>
    <row r="2122" spans="1:16" ht="15" customHeight="1" x14ac:dyDescent="0.35">
      <c r="A2122" s="15"/>
      <c r="B2122" s="65"/>
      <c r="C2122" s="15"/>
      <c r="D2122" s="19"/>
      <c r="E2122" s="40"/>
      <c r="F2122" s="13"/>
      <c r="G2122" s="78"/>
      <c r="H2122" s="16"/>
      <c r="I2122" s="10"/>
      <c r="J2122" s="10"/>
      <c r="K2122" s="10"/>
      <c r="L2122" s="10"/>
      <c r="M2122" s="10"/>
      <c r="N2122" s="10"/>
      <c r="O2122" s="10"/>
      <c r="P2122" s="38"/>
    </row>
    <row r="2123" spans="1:16" ht="15" customHeight="1" x14ac:dyDescent="0.35">
      <c r="A2123" s="15"/>
      <c r="B2123" s="65"/>
      <c r="C2123" s="15"/>
      <c r="D2123" s="19"/>
      <c r="E2123" s="40"/>
      <c r="F2123" s="13"/>
      <c r="G2123" s="78"/>
      <c r="H2123" s="16"/>
      <c r="I2123" s="10"/>
      <c r="J2123" s="10"/>
      <c r="K2123" s="10"/>
      <c r="L2123" s="10"/>
      <c r="M2123" s="10"/>
      <c r="N2123" s="10"/>
      <c r="O2123" s="10"/>
      <c r="P2123" s="38"/>
    </row>
    <row r="2124" spans="1:16" ht="15" customHeight="1" x14ac:dyDescent="0.35">
      <c r="A2124" s="15"/>
      <c r="B2124" s="65"/>
      <c r="C2124" s="15"/>
      <c r="D2124" s="19"/>
      <c r="E2124" s="40"/>
      <c r="F2124" s="13"/>
      <c r="G2124" s="78"/>
      <c r="H2124" s="16"/>
      <c r="I2124" s="10"/>
      <c r="J2124" s="10"/>
      <c r="K2124" s="10"/>
      <c r="L2124" s="10"/>
      <c r="M2124" s="10"/>
      <c r="N2124" s="10"/>
      <c r="O2124" s="10"/>
      <c r="P2124" s="38"/>
    </row>
    <row r="2125" spans="1:16" ht="15" customHeight="1" x14ac:dyDescent="0.35">
      <c r="A2125" s="15"/>
      <c r="B2125" s="65"/>
      <c r="C2125" s="15"/>
      <c r="D2125" s="19"/>
      <c r="E2125" s="40"/>
      <c r="F2125" s="13"/>
      <c r="G2125" s="78"/>
      <c r="H2125" s="16"/>
      <c r="I2125" s="10"/>
      <c r="J2125" s="10"/>
      <c r="K2125" s="10"/>
      <c r="L2125" s="10"/>
      <c r="M2125" s="10"/>
      <c r="N2125" s="10"/>
      <c r="O2125" s="10"/>
      <c r="P2125" s="38"/>
    </row>
    <row r="2126" spans="1:16" ht="15" customHeight="1" x14ac:dyDescent="0.35">
      <c r="A2126" s="15"/>
      <c r="B2126" s="65"/>
      <c r="C2126" s="15"/>
      <c r="D2126" s="19"/>
      <c r="E2126" s="40"/>
      <c r="F2126" s="13"/>
      <c r="G2126" s="78"/>
      <c r="H2126" s="16"/>
      <c r="I2126" s="10"/>
      <c r="J2126" s="10"/>
      <c r="K2126" s="10"/>
      <c r="L2126" s="10"/>
      <c r="M2126" s="10"/>
      <c r="N2126" s="10"/>
      <c r="O2126" s="10"/>
      <c r="P2126" s="38"/>
    </row>
    <row r="2127" spans="1:16" ht="15" customHeight="1" x14ac:dyDescent="0.35">
      <c r="A2127" s="15"/>
      <c r="B2127" s="65"/>
      <c r="C2127" s="15"/>
      <c r="D2127" s="19"/>
      <c r="E2127" s="40"/>
      <c r="F2127" s="13"/>
      <c r="G2127" s="78"/>
      <c r="H2127" s="16"/>
      <c r="I2127" s="10"/>
      <c r="J2127" s="10"/>
      <c r="K2127" s="10"/>
      <c r="L2127" s="10"/>
      <c r="M2127" s="10"/>
      <c r="N2127" s="10"/>
      <c r="O2127" s="10"/>
      <c r="P2127" s="38"/>
    </row>
    <row r="2128" spans="1:16" ht="15" customHeight="1" x14ac:dyDescent="0.35">
      <c r="A2128" s="15"/>
      <c r="B2128" s="65"/>
      <c r="C2128" s="15"/>
      <c r="D2128" s="19"/>
      <c r="E2128" s="40"/>
      <c r="F2128" s="13"/>
      <c r="G2128" s="78"/>
      <c r="H2128" s="16"/>
      <c r="I2128" s="10"/>
      <c r="J2128" s="10"/>
      <c r="K2128" s="10"/>
      <c r="L2128" s="10"/>
      <c r="M2128" s="10"/>
      <c r="N2128" s="10"/>
      <c r="O2128" s="10"/>
      <c r="P2128" s="38"/>
    </row>
    <row r="2129" spans="1:16" ht="15" customHeight="1" x14ac:dyDescent="0.35">
      <c r="A2129" s="15"/>
      <c r="B2129" s="65"/>
      <c r="C2129" s="15"/>
      <c r="D2129" s="19"/>
      <c r="E2129" s="40"/>
      <c r="F2129" s="13"/>
      <c r="G2129" s="78"/>
      <c r="H2129" s="16"/>
      <c r="I2129" s="10"/>
      <c r="J2129" s="10"/>
      <c r="K2129" s="10"/>
      <c r="L2129" s="10"/>
      <c r="M2129" s="10"/>
      <c r="N2129" s="10"/>
      <c r="O2129" s="10"/>
      <c r="P2129" s="38"/>
    </row>
    <row r="2130" spans="1:16" ht="15" customHeight="1" x14ac:dyDescent="0.35">
      <c r="A2130" s="15"/>
      <c r="B2130" s="65"/>
      <c r="C2130" s="15"/>
      <c r="D2130" s="19"/>
      <c r="E2130" s="40"/>
      <c r="F2130" s="13"/>
      <c r="G2130" s="78"/>
      <c r="H2130" s="16"/>
      <c r="I2130" s="10"/>
      <c r="J2130" s="10"/>
      <c r="K2130" s="10"/>
      <c r="L2130" s="10"/>
      <c r="M2130" s="10"/>
      <c r="N2130" s="10"/>
      <c r="O2130" s="10"/>
      <c r="P2130" s="38"/>
    </row>
    <row r="2131" spans="1:16" ht="15" customHeight="1" x14ac:dyDescent="0.35">
      <c r="A2131" s="15"/>
      <c r="B2131" s="65"/>
      <c r="C2131" s="15"/>
      <c r="D2131" s="19"/>
      <c r="E2131" s="40"/>
      <c r="F2131" s="13"/>
      <c r="G2131" s="78"/>
      <c r="H2131" s="16"/>
      <c r="I2131" s="10"/>
      <c r="J2131" s="10"/>
      <c r="K2131" s="10"/>
      <c r="L2131" s="10"/>
      <c r="M2131" s="10"/>
      <c r="N2131" s="10"/>
      <c r="O2131" s="10"/>
      <c r="P2131" s="38"/>
    </row>
    <row r="2132" spans="1:16" ht="15" customHeight="1" x14ac:dyDescent="0.35">
      <c r="A2132" s="15"/>
      <c r="B2132" s="65"/>
      <c r="C2132" s="15"/>
      <c r="D2132" s="19"/>
      <c r="E2132" s="40"/>
      <c r="F2132" s="13"/>
      <c r="G2132" s="78"/>
      <c r="H2132" s="16"/>
      <c r="I2132" s="10"/>
      <c r="J2132" s="10"/>
      <c r="K2132" s="10"/>
      <c r="L2132" s="10"/>
      <c r="M2132" s="10"/>
      <c r="N2132" s="10"/>
      <c r="O2132" s="10"/>
      <c r="P2132" s="38"/>
    </row>
    <row r="2133" spans="1:16" ht="15" customHeight="1" x14ac:dyDescent="0.35">
      <c r="A2133" s="15"/>
      <c r="B2133" s="65"/>
      <c r="C2133" s="15"/>
      <c r="D2133" s="19"/>
      <c r="E2133" s="40"/>
      <c r="F2133" s="13"/>
      <c r="G2133" s="78"/>
      <c r="H2133" s="16"/>
      <c r="I2133" s="10"/>
      <c r="J2133" s="10"/>
      <c r="K2133" s="10"/>
      <c r="L2133" s="10"/>
      <c r="M2133" s="10"/>
      <c r="N2133" s="10"/>
      <c r="O2133" s="10"/>
      <c r="P2133" s="38"/>
    </row>
    <row r="2134" spans="1:16" ht="15" customHeight="1" x14ac:dyDescent="0.35">
      <c r="A2134" s="15"/>
      <c r="B2134" s="65"/>
      <c r="C2134" s="15"/>
      <c r="D2134" s="19"/>
      <c r="E2134" s="40"/>
      <c r="F2134" s="13"/>
      <c r="G2134" s="78"/>
      <c r="H2134" s="16"/>
      <c r="I2134" s="10"/>
      <c r="J2134" s="10"/>
      <c r="K2134" s="10"/>
      <c r="L2134" s="10"/>
      <c r="M2134" s="10"/>
      <c r="N2134" s="10"/>
      <c r="O2134" s="10"/>
      <c r="P2134" s="38"/>
    </row>
    <row r="2135" spans="1:16" ht="15" customHeight="1" x14ac:dyDescent="0.35">
      <c r="A2135" s="15"/>
      <c r="B2135" s="65"/>
      <c r="C2135" s="15"/>
      <c r="D2135" s="19"/>
      <c r="E2135" s="40"/>
      <c r="F2135" s="13"/>
      <c r="G2135" s="78"/>
      <c r="H2135" s="16"/>
      <c r="I2135" s="10"/>
      <c r="J2135" s="10"/>
      <c r="K2135" s="10"/>
      <c r="L2135" s="10"/>
      <c r="M2135" s="10"/>
      <c r="N2135" s="10"/>
      <c r="O2135" s="10"/>
      <c r="P2135" s="38"/>
    </row>
    <row r="2136" spans="1:16" ht="15" customHeight="1" x14ac:dyDescent="0.35">
      <c r="A2136" s="15"/>
      <c r="B2136" s="65"/>
      <c r="C2136" s="15"/>
      <c r="D2136" s="19"/>
      <c r="E2136" s="40"/>
      <c r="F2136" s="13"/>
      <c r="G2136" s="78"/>
      <c r="H2136" s="16"/>
      <c r="I2136" s="10"/>
      <c r="J2136" s="10"/>
      <c r="K2136" s="10"/>
      <c r="L2136" s="10"/>
      <c r="M2136" s="10"/>
      <c r="N2136" s="10"/>
      <c r="O2136" s="10"/>
      <c r="P2136" s="38"/>
    </row>
    <row r="2137" spans="1:16" ht="15" customHeight="1" x14ac:dyDescent="0.35">
      <c r="A2137" s="15"/>
      <c r="B2137" s="65"/>
      <c r="C2137" s="15"/>
      <c r="D2137" s="19"/>
      <c r="E2137" s="40"/>
      <c r="F2137" s="13"/>
      <c r="G2137" s="78"/>
      <c r="H2137" s="16"/>
      <c r="I2137" s="10"/>
      <c r="J2137" s="10"/>
      <c r="K2137" s="10"/>
      <c r="L2137" s="10"/>
      <c r="M2137" s="10"/>
      <c r="N2137" s="10"/>
      <c r="O2137" s="10"/>
      <c r="P2137" s="38"/>
    </row>
    <row r="2138" spans="1:16" ht="15" customHeight="1" x14ac:dyDescent="0.35">
      <c r="A2138" s="15"/>
      <c r="B2138" s="65"/>
      <c r="C2138" s="15"/>
      <c r="D2138" s="19"/>
      <c r="E2138" s="40"/>
      <c r="F2138" s="13"/>
      <c r="G2138" s="78"/>
      <c r="H2138" s="16"/>
      <c r="I2138" s="10"/>
      <c r="J2138" s="10"/>
      <c r="K2138" s="10"/>
      <c r="L2138" s="10"/>
      <c r="M2138" s="10"/>
      <c r="N2138" s="10"/>
      <c r="O2138" s="10"/>
      <c r="P2138" s="38"/>
    </row>
    <row r="2139" spans="1:16" ht="15" customHeight="1" x14ac:dyDescent="0.35">
      <c r="A2139" s="15"/>
      <c r="B2139" s="65"/>
      <c r="C2139" s="15"/>
      <c r="D2139" s="19"/>
      <c r="E2139" s="40"/>
      <c r="F2139" s="13"/>
      <c r="G2139" s="78"/>
      <c r="H2139" s="16"/>
      <c r="I2139" s="10"/>
      <c r="J2139" s="10"/>
      <c r="K2139" s="10"/>
      <c r="L2139" s="10"/>
      <c r="M2139" s="10"/>
      <c r="N2139" s="10"/>
      <c r="O2139" s="10"/>
      <c r="P2139" s="38"/>
    </row>
    <row r="2140" spans="1:16" ht="15" customHeight="1" x14ac:dyDescent="0.35">
      <c r="A2140" s="15"/>
      <c r="B2140" s="65"/>
      <c r="C2140" s="15"/>
      <c r="D2140" s="19"/>
      <c r="E2140" s="40"/>
      <c r="F2140" s="13"/>
      <c r="G2140" s="78"/>
      <c r="H2140" s="16"/>
      <c r="I2140" s="10"/>
      <c r="J2140" s="10"/>
      <c r="K2140" s="10"/>
      <c r="L2140" s="10"/>
      <c r="M2140" s="10"/>
      <c r="N2140" s="10"/>
      <c r="O2140" s="10"/>
      <c r="P2140" s="38"/>
    </row>
    <row r="2141" spans="1:16" ht="15" customHeight="1" x14ac:dyDescent="0.35">
      <c r="A2141" s="15"/>
      <c r="B2141" s="65"/>
      <c r="C2141" s="15"/>
      <c r="D2141" s="19"/>
      <c r="E2141" s="40"/>
      <c r="F2141" s="13"/>
      <c r="G2141" s="78"/>
      <c r="H2141" s="16"/>
      <c r="I2141" s="10"/>
      <c r="J2141" s="10"/>
      <c r="K2141" s="10"/>
      <c r="L2141" s="10"/>
      <c r="M2141" s="10"/>
      <c r="N2141" s="10"/>
      <c r="O2141" s="10"/>
      <c r="P2141" s="38"/>
    </row>
    <row r="2142" spans="1:16" ht="15" customHeight="1" x14ac:dyDescent="0.35">
      <c r="A2142" s="15"/>
      <c r="B2142" s="65"/>
      <c r="C2142" s="15"/>
      <c r="D2142" s="19"/>
      <c r="E2142" s="40"/>
      <c r="F2142" s="13"/>
      <c r="G2142" s="78"/>
      <c r="H2142" s="16"/>
      <c r="I2142" s="10"/>
      <c r="J2142" s="10"/>
      <c r="K2142" s="10"/>
      <c r="L2142" s="10"/>
      <c r="M2142" s="10"/>
      <c r="N2142" s="10"/>
      <c r="O2142" s="10"/>
      <c r="P2142" s="38"/>
    </row>
    <row r="2143" spans="1:16" ht="15" customHeight="1" x14ac:dyDescent="0.35">
      <c r="A2143" s="15"/>
      <c r="B2143" s="65"/>
      <c r="C2143" s="15"/>
      <c r="D2143" s="19"/>
      <c r="E2143" s="40"/>
      <c r="F2143" s="13"/>
      <c r="G2143" s="78"/>
      <c r="H2143" s="16"/>
      <c r="I2143" s="10"/>
      <c r="J2143" s="10"/>
      <c r="K2143" s="10"/>
      <c r="L2143" s="10"/>
      <c r="M2143" s="10"/>
      <c r="N2143" s="10"/>
      <c r="O2143" s="10"/>
      <c r="P2143" s="38"/>
    </row>
    <row r="2144" spans="1:16" ht="15" customHeight="1" x14ac:dyDescent="0.35">
      <c r="A2144" s="15"/>
      <c r="B2144" s="65"/>
      <c r="C2144" s="15"/>
      <c r="D2144" s="19"/>
      <c r="E2144" s="40"/>
      <c r="F2144" s="13"/>
      <c r="G2144" s="78"/>
      <c r="H2144" s="16"/>
      <c r="I2144" s="10"/>
      <c r="J2144" s="10"/>
      <c r="K2144" s="10"/>
      <c r="L2144" s="10"/>
      <c r="M2144" s="10"/>
      <c r="N2144" s="10"/>
      <c r="O2144" s="10"/>
      <c r="P2144" s="38"/>
    </row>
    <row r="2145" spans="1:16" ht="15" customHeight="1" x14ac:dyDescent="0.35">
      <c r="A2145" s="15"/>
      <c r="B2145" s="65"/>
      <c r="C2145" s="15"/>
      <c r="D2145" s="19"/>
      <c r="E2145" s="40"/>
      <c r="F2145" s="13"/>
      <c r="G2145" s="78"/>
      <c r="H2145" s="16"/>
      <c r="I2145" s="10"/>
      <c r="J2145" s="10"/>
      <c r="K2145" s="10"/>
      <c r="L2145" s="10"/>
      <c r="M2145" s="10"/>
      <c r="N2145" s="10"/>
      <c r="O2145" s="10"/>
      <c r="P2145" s="38"/>
    </row>
    <row r="2146" spans="1:16" ht="15" customHeight="1" x14ac:dyDescent="0.35">
      <c r="A2146" s="15"/>
      <c r="B2146" s="65"/>
      <c r="C2146" s="15"/>
      <c r="D2146" s="19"/>
      <c r="E2146" s="40"/>
      <c r="F2146" s="13"/>
      <c r="G2146" s="78"/>
      <c r="H2146" s="16"/>
      <c r="I2146" s="10"/>
      <c r="J2146" s="10"/>
      <c r="K2146" s="10"/>
      <c r="L2146" s="10"/>
      <c r="M2146" s="10"/>
      <c r="N2146" s="10"/>
      <c r="O2146" s="10"/>
      <c r="P2146" s="38"/>
    </row>
    <row r="2147" spans="1:16" ht="15" customHeight="1" x14ac:dyDescent="0.35">
      <c r="A2147" s="15"/>
      <c r="B2147" s="65"/>
      <c r="C2147" s="15"/>
      <c r="D2147" s="19"/>
      <c r="E2147" s="40"/>
      <c r="F2147" s="13"/>
      <c r="G2147" s="78"/>
      <c r="H2147" s="16"/>
      <c r="I2147" s="10"/>
      <c r="J2147" s="10"/>
      <c r="K2147" s="10"/>
      <c r="L2147" s="10"/>
      <c r="M2147" s="10"/>
      <c r="N2147" s="10"/>
      <c r="O2147" s="10"/>
      <c r="P2147" s="38"/>
    </row>
    <row r="2148" spans="1:16" ht="15" customHeight="1" x14ac:dyDescent="0.35">
      <c r="A2148" s="15"/>
      <c r="B2148" s="65"/>
      <c r="C2148" s="15"/>
      <c r="D2148" s="19"/>
      <c r="E2148" s="40"/>
      <c r="F2148" s="13"/>
      <c r="G2148" s="78"/>
      <c r="H2148" s="16"/>
      <c r="I2148" s="10"/>
      <c r="J2148" s="10"/>
      <c r="K2148" s="10"/>
      <c r="L2148" s="10"/>
      <c r="M2148" s="10"/>
      <c r="N2148" s="10"/>
      <c r="O2148" s="10"/>
      <c r="P2148" s="38"/>
    </row>
    <row r="2149" spans="1:16" ht="15" customHeight="1" x14ac:dyDescent="0.35">
      <c r="A2149" s="15"/>
      <c r="B2149" s="65"/>
      <c r="C2149" s="15"/>
      <c r="D2149" s="19"/>
      <c r="E2149" s="40"/>
      <c r="F2149" s="13"/>
      <c r="G2149" s="78"/>
      <c r="H2149" s="16"/>
      <c r="I2149" s="10"/>
      <c r="J2149" s="10"/>
      <c r="K2149" s="10"/>
      <c r="L2149" s="10"/>
      <c r="M2149" s="10"/>
      <c r="N2149" s="10"/>
      <c r="O2149" s="10"/>
      <c r="P2149" s="38"/>
    </row>
    <row r="2150" spans="1:16" ht="15" customHeight="1" x14ac:dyDescent="0.35">
      <c r="A2150" s="15"/>
      <c r="B2150" s="65"/>
      <c r="C2150" s="15"/>
      <c r="D2150" s="19"/>
      <c r="E2150" s="40"/>
      <c r="F2150" s="13"/>
      <c r="G2150" s="78"/>
      <c r="H2150" s="16"/>
      <c r="I2150" s="10"/>
      <c r="J2150" s="10"/>
      <c r="K2150" s="10"/>
      <c r="L2150" s="10"/>
      <c r="M2150" s="10"/>
      <c r="N2150" s="10"/>
      <c r="O2150" s="10"/>
      <c r="P2150" s="38"/>
    </row>
    <row r="2151" spans="1:16" ht="15" customHeight="1" x14ac:dyDescent="0.35">
      <c r="A2151" s="15"/>
      <c r="B2151" s="65"/>
      <c r="C2151" s="15"/>
      <c r="D2151" s="19"/>
      <c r="E2151" s="40"/>
      <c r="F2151" s="13"/>
      <c r="G2151" s="78"/>
      <c r="H2151" s="16"/>
      <c r="I2151" s="10"/>
      <c r="J2151" s="10"/>
      <c r="K2151" s="10"/>
      <c r="L2151" s="10"/>
      <c r="M2151" s="10"/>
      <c r="N2151" s="10"/>
      <c r="O2151" s="10"/>
      <c r="P2151" s="38"/>
    </row>
    <row r="2152" spans="1:16" ht="15" customHeight="1" x14ac:dyDescent="0.35">
      <c r="A2152" s="15"/>
      <c r="B2152" s="65"/>
      <c r="C2152" s="15"/>
      <c r="D2152" s="19"/>
      <c r="E2152" s="40"/>
      <c r="F2152" s="13"/>
      <c r="G2152" s="78"/>
      <c r="H2152" s="16"/>
      <c r="I2152" s="10"/>
      <c r="J2152" s="10"/>
      <c r="K2152" s="10"/>
      <c r="L2152" s="10"/>
      <c r="M2152" s="10"/>
      <c r="N2152" s="10"/>
      <c r="O2152" s="10"/>
      <c r="P2152" s="38"/>
    </row>
    <row r="2153" spans="1:16" ht="15" customHeight="1" x14ac:dyDescent="0.35">
      <c r="A2153" s="15"/>
      <c r="B2153" s="65"/>
      <c r="C2153" s="15"/>
      <c r="D2153" s="19"/>
      <c r="E2153" s="40"/>
      <c r="F2153" s="13"/>
      <c r="G2153" s="78"/>
      <c r="H2153" s="16"/>
      <c r="I2153" s="10"/>
      <c r="J2153" s="10"/>
      <c r="K2153" s="10"/>
      <c r="L2153" s="10"/>
      <c r="M2153" s="10"/>
      <c r="N2153" s="10"/>
      <c r="O2153" s="10"/>
      <c r="P2153" s="38"/>
    </row>
    <row r="2154" spans="1:16" ht="15" customHeight="1" x14ac:dyDescent="0.35">
      <c r="A2154" s="15"/>
      <c r="B2154" s="65"/>
      <c r="C2154" s="15"/>
      <c r="D2154" s="19"/>
      <c r="E2154" s="40"/>
      <c r="F2154" s="13"/>
      <c r="G2154" s="78"/>
      <c r="H2154" s="16"/>
      <c r="I2154" s="10"/>
      <c r="J2154" s="10"/>
      <c r="K2154" s="10"/>
      <c r="L2154" s="10"/>
      <c r="M2154" s="10"/>
      <c r="N2154" s="10"/>
      <c r="O2154" s="10"/>
      <c r="P2154" s="38"/>
    </row>
    <row r="2155" spans="1:16" ht="15" customHeight="1" x14ac:dyDescent="0.35">
      <c r="A2155" s="15"/>
      <c r="B2155" s="65"/>
      <c r="C2155" s="15"/>
      <c r="D2155" s="19"/>
      <c r="E2155" s="40"/>
      <c r="F2155" s="13"/>
      <c r="G2155" s="78"/>
      <c r="H2155" s="16"/>
      <c r="I2155" s="10"/>
      <c r="J2155" s="10"/>
      <c r="K2155" s="10"/>
      <c r="L2155" s="10"/>
      <c r="M2155" s="10"/>
      <c r="N2155" s="10"/>
      <c r="O2155" s="10"/>
      <c r="P2155" s="38"/>
    </row>
    <row r="2156" spans="1:16" ht="15" customHeight="1" x14ac:dyDescent="0.35">
      <c r="A2156" s="15"/>
      <c r="B2156" s="65"/>
      <c r="C2156" s="15"/>
      <c r="D2156" s="19"/>
      <c r="E2156" s="40"/>
      <c r="F2156" s="13"/>
      <c r="G2156" s="78"/>
      <c r="H2156" s="16"/>
      <c r="I2156" s="10"/>
      <c r="J2156" s="10"/>
      <c r="K2156" s="10"/>
      <c r="L2156" s="10"/>
      <c r="M2156" s="10"/>
      <c r="N2156" s="10"/>
      <c r="O2156" s="10"/>
      <c r="P2156" s="38"/>
    </row>
    <row r="2157" spans="1:16" ht="15" customHeight="1" x14ac:dyDescent="0.35">
      <c r="A2157" s="15"/>
      <c r="B2157" s="65"/>
      <c r="C2157" s="15"/>
      <c r="D2157" s="19"/>
      <c r="E2157" s="40"/>
      <c r="F2157" s="13"/>
      <c r="G2157" s="78"/>
      <c r="H2157" s="16"/>
      <c r="I2157" s="10"/>
      <c r="J2157" s="10"/>
      <c r="K2157" s="10"/>
      <c r="L2157" s="10"/>
      <c r="M2157" s="10"/>
      <c r="N2157" s="10"/>
      <c r="O2157" s="10"/>
      <c r="P2157" s="38"/>
    </row>
    <row r="2158" spans="1:16" ht="15" customHeight="1" x14ac:dyDescent="0.35">
      <c r="A2158" s="15"/>
      <c r="B2158" s="65"/>
      <c r="C2158" s="15"/>
      <c r="D2158" s="19"/>
      <c r="E2158" s="40"/>
      <c r="F2158" s="13"/>
      <c r="G2158" s="78"/>
      <c r="H2158" s="16"/>
      <c r="I2158" s="10"/>
      <c r="J2158" s="10"/>
      <c r="K2158" s="10"/>
      <c r="L2158" s="10"/>
      <c r="M2158" s="10"/>
      <c r="N2158" s="10"/>
      <c r="O2158" s="10"/>
      <c r="P2158" s="38"/>
    </row>
    <row r="2159" spans="1:16" ht="15" customHeight="1" x14ac:dyDescent="0.35">
      <c r="A2159" s="15"/>
      <c r="B2159" s="65"/>
      <c r="C2159" s="15"/>
      <c r="D2159" s="19"/>
      <c r="E2159" s="40"/>
      <c r="F2159" s="13"/>
      <c r="G2159" s="78"/>
      <c r="H2159" s="16"/>
      <c r="I2159" s="10"/>
      <c r="J2159" s="10"/>
      <c r="K2159" s="10"/>
      <c r="L2159" s="10"/>
      <c r="M2159" s="10"/>
      <c r="N2159" s="10"/>
      <c r="O2159" s="10"/>
      <c r="P2159" s="38"/>
    </row>
    <row r="2160" spans="1:16" ht="15" customHeight="1" x14ac:dyDescent="0.35">
      <c r="A2160" s="15"/>
      <c r="B2160" s="65"/>
      <c r="C2160" s="15"/>
      <c r="D2160" s="19"/>
      <c r="E2160" s="40"/>
      <c r="F2160" s="13"/>
      <c r="G2160" s="78"/>
      <c r="H2160" s="16"/>
      <c r="I2160" s="10"/>
      <c r="J2160" s="10"/>
      <c r="K2160" s="10"/>
      <c r="L2160" s="10"/>
      <c r="M2160" s="10"/>
      <c r="N2160" s="10"/>
      <c r="O2160" s="10"/>
      <c r="P2160" s="38"/>
    </row>
    <row r="2161" spans="1:16" ht="15" customHeight="1" x14ac:dyDescent="0.35">
      <c r="A2161" s="15"/>
      <c r="B2161" s="65"/>
      <c r="C2161" s="15"/>
      <c r="D2161" s="19"/>
      <c r="E2161" s="40"/>
      <c r="F2161" s="13"/>
      <c r="G2161" s="78"/>
      <c r="H2161" s="16"/>
      <c r="I2161" s="10"/>
      <c r="J2161" s="10"/>
      <c r="K2161" s="10"/>
      <c r="L2161" s="10"/>
      <c r="M2161" s="10"/>
      <c r="N2161" s="10"/>
      <c r="O2161" s="10"/>
      <c r="P2161" s="38"/>
    </row>
    <row r="2162" spans="1:16" ht="15" customHeight="1" x14ac:dyDescent="0.35">
      <c r="A2162" s="15"/>
      <c r="B2162" s="65"/>
      <c r="C2162" s="15"/>
      <c r="D2162" s="19"/>
      <c r="E2162" s="40"/>
      <c r="F2162" s="13"/>
      <c r="G2162" s="78"/>
      <c r="H2162" s="16"/>
      <c r="I2162" s="10"/>
      <c r="J2162" s="10"/>
      <c r="K2162" s="10"/>
      <c r="L2162" s="10"/>
      <c r="M2162" s="10"/>
      <c r="N2162" s="10"/>
      <c r="O2162" s="10"/>
      <c r="P2162" s="38"/>
    </row>
    <row r="2163" spans="1:16" ht="15" customHeight="1" x14ac:dyDescent="0.35">
      <c r="A2163" s="15"/>
      <c r="B2163" s="65"/>
      <c r="C2163" s="15"/>
      <c r="D2163" s="19"/>
      <c r="E2163" s="40"/>
      <c r="F2163" s="13"/>
      <c r="G2163" s="78"/>
      <c r="H2163" s="16"/>
      <c r="I2163" s="10"/>
      <c r="J2163" s="10"/>
      <c r="K2163" s="10"/>
      <c r="L2163" s="10"/>
      <c r="M2163" s="10"/>
      <c r="N2163" s="10"/>
      <c r="O2163" s="10"/>
      <c r="P2163" s="38"/>
    </row>
    <row r="2164" spans="1:16" ht="15" customHeight="1" x14ac:dyDescent="0.35">
      <c r="A2164" s="15"/>
      <c r="B2164" s="65"/>
      <c r="C2164" s="15"/>
      <c r="D2164" s="19"/>
      <c r="E2164" s="40"/>
      <c r="F2164" s="13"/>
      <c r="G2164" s="78"/>
      <c r="H2164" s="16"/>
      <c r="I2164" s="10"/>
      <c r="J2164" s="10"/>
      <c r="K2164" s="10"/>
      <c r="L2164" s="10"/>
      <c r="M2164" s="10"/>
      <c r="N2164" s="10"/>
      <c r="O2164" s="10"/>
      <c r="P2164" s="38"/>
    </row>
    <row r="2165" spans="1:16" ht="15" customHeight="1" x14ac:dyDescent="0.35">
      <c r="A2165" s="15"/>
      <c r="B2165" s="65"/>
      <c r="C2165" s="15"/>
      <c r="D2165" s="19"/>
      <c r="E2165" s="40"/>
      <c r="F2165" s="13"/>
      <c r="G2165" s="78"/>
      <c r="H2165" s="16"/>
      <c r="I2165" s="10"/>
      <c r="J2165" s="10"/>
      <c r="K2165" s="10"/>
      <c r="L2165" s="10"/>
      <c r="M2165" s="10"/>
      <c r="N2165" s="10"/>
      <c r="O2165" s="10"/>
      <c r="P2165" s="38"/>
    </row>
    <row r="2166" spans="1:16" ht="15" customHeight="1" x14ac:dyDescent="0.35">
      <c r="A2166" s="15"/>
      <c r="B2166" s="65"/>
      <c r="C2166" s="15"/>
      <c r="D2166" s="19"/>
      <c r="E2166" s="40"/>
      <c r="F2166" s="13"/>
      <c r="G2166" s="78"/>
      <c r="H2166" s="16"/>
      <c r="I2166" s="10"/>
      <c r="J2166" s="10"/>
      <c r="K2166" s="10"/>
      <c r="L2166" s="10"/>
      <c r="M2166" s="10"/>
      <c r="N2166" s="10"/>
      <c r="O2166" s="10"/>
      <c r="P2166" s="38"/>
    </row>
    <row r="2167" spans="1:16" ht="15" customHeight="1" x14ac:dyDescent="0.35">
      <c r="A2167" s="15"/>
      <c r="B2167" s="65"/>
      <c r="C2167" s="15"/>
      <c r="D2167" s="19"/>
      <c r="E2167" s="40"/>
      <c r="F2167" s="13"/>
      <c r="G2167" s="78"/>
      <c r="H2167" s="16"/>
      <c r="I2167" s="10"/>
      <c r="J2167" s="10"/>
      <c r="K2167" s="10"/>
      <c r="L2167" s="10"/>
      <c r="M2167" s="10"/>
      <c r="N2167" s="10"/>
      <c r="O2167" s="10"/>
      <c r="P2167" s="38"/>
    </row>
    <row r="2168" spans="1:16" ht="15" customHeight="1" x14ac:dyDescent="0.35">
      <c r="A2168" s="15"/>
      <c r="B2168" s="65"/>
      <c r="C2168" s="15"/>
      <c r="D2168" s="19"/>
      <c r="E2168" s="40"/>
      <c r="F2168" s="13"/>
      <c r="G2168" s="78"/>
      <c r="H2168" s="16"/>
      <c r="I2168" s="10"/>
      <c r="J2168" s="10"/>
      <c r="K2168" s="10"/>
      <c r="L2168" s="10"/>
      <c r="M2168" s="10"/>
      <c r="N2168" s="10"/>
      <c r="O2168" s="10"/>
      <c r="P2168" s="38"/>
    </row>
    <row r="2169" spans="1:16" ht="15" customHeight="1" x14ac:dyDescent="0.35">
      <c r="A2169" s="15"/>
      <c r="B2169" s="65"/>
      <c r="C2169" s="15"/>
      <c r="D2169" s="19"/>
      <c r="E2169" s="40"/>
      <c r="F2169" s="13"/>
      <c r="G2169" s="78"/>
      <c r="H2169" s="16"/>
      <c r="I2169" s="10"/>
      <c r="J2169" s="10"/>
      <c r="K2169" s="10"/>
      <c r="L2169" s="10"/>
      <c r="M2169" s="10"/>
      <c r="N2169" s="10"/>
      <c r="O2169" s="10"/>
      <c r="P2169" s="38"/>
    </row>
    <row r="2170" spans="1:16" ht="15" customHeight="1" x14ac:dyDescent="0.35">
      <c r="A2170" s="15"/>
      <c r="B2170" s="65"/>
      <c r="C2170" s="15"/>
      <c r="D2170" s="19"/>
      <c r="E2170" s="40"/>
      <c r="F2170" s="13"/>
      <c r="G2170" s="78"/>
      <c r="H2170" s="16"/>
      <c r="I2170" s="10"/>
      <c r="J2170" s="10"/>
      <c r="K2170" s="10"/>
      <c r="L2170" s="10"/>
      <c r="M2170" s="10"/>
      <c r="N2170" s="10"/>
      <c r="O2170" s="10"/>
      <c r="P2170" s="38"/>
    </row>
    <row r="2171" spans="1:16" ht="15" customHeight="1" x14ac:dyDescent="0.35">
      <c r="A2171" s="15"/>
      <c r="B2171" s="65"/>
      <c r="C2171" s="15"/>
      <c r="D2171" s="19"/>
      <c r="E2171" s="40"/>
      <c r="F2171" s="13"/>
      <c r="G2171" s="78"/>
      <c r="H2171" s="16"/>
      <c r="I2171" s="10"/>
      <c r="J2171" s="10"/>
      <c r="K2171" s="10"/>
      <c r="L2171" s="10"/>
      <c r="M2171" s="10"/>
      <c r="N2171" s="10"/>
      <c r="O2171" s="10"/>
      <c r="P2171" s="38"/>
    </row>
    <row r="2172" spans="1:16" ht="15" customHeight="1" x14ac:dyDescent="0.35">
      <c r="A2172" s="15"/>
      <c r="B2172" s="65"/>
      <c r="C2172" s="15"/>
      <c r="D2172" s="19"/>
      <c r="E2172" s="40"/>
      <c r="F2172" s="13"/>
      <c r="G2172" s="78"/>
      <c r="H2172" s="16"/>
      <c r="I2172" s="10"/>
      <c r="J2172" s="10"/>
      <c r="K2172" s="10"/>
      <c r="L2172" s="10"/>
      <c r="M2172" s="10"/>
      <c r="N2172" s="10"/>
      <c r="O2172" s="10"/>
      <c r="P2172" s="38"/>
    </row>
    <row r="2173" spans="1:16" ht="15" customHeight="1" x14ac:dyDescent="0.35">
      <c r="A2173" s="15"/>
      <c r="B2173" s="65"/>
      <c r="C2173" s="15"/>
      <c r="D2173" s="19"/>
      <c r="E2173" s="40"/>
      <c r="F2173" s="13"/>
      <c r="G2173" s="78"/>
      <c r="H2173" s="16"/>
      <c r="I2173" s="10"/>
      <c r="J2173" s="10"/>
      <c r="K2173" s="10"/>
      <c r="L2173" s="10"/>
      <c r="M2173" s="10"/>
      <c r="N2173" s="10"/>
      <c r="O2173" s="10"/>
      <c r="P2173" s="38"/>
    </row>
    <row r="2174" spans="1:16" ht="15" customHeight="1" x14ac:dyDescent="0.35">
      <c r="A2174" s="15"/>
      <c r="B2174" s="65"/>
      <c r="C2174" s="15"/>
      <c r="D2174" s="19"/>
      <c r="E2174" s="40"/>
      <c r="F2174" s="13"/>
      <c r="G2174" s="78"/>
      <c r="H2174" s="16"/>
      <c r="I2174" s="10"/>
      <c r="J2174" s="10"/>
      <c r="K2174" s="10"/>
      <c r="L2174" s="10"/>
      <c r="M2174" s="10"/>
      <c r="N2174" s="10"/>
      <c r="O2174" s="10"/>
      <c r="P2174" s="38"/>
    </row>
    <row r="2175" spans="1:16" ht="15" customHeight="1" x14ac:dyDescent="0.35">
      <c r="A2175" s="15"/>
      <c r="B2175" s="65"/>
      <c r="C2175" s="15"/>
      <c r="D2175" s="19"/>
      <c r="E2175" s="40"/>
      <c r="F2175" s="13"/>
      <c r="G2175" s="78"/>
      <c r="H2175" s="16"/>
      <c r="I2175" s="10"/>
      <c r="J2175" s="10"/>
      <c r="K2175" s="10"/>
      <c r="L2175" s="10"/>
      <c r="M2175" s="10"/>
      <c r="N2175" s="10"/>
      <c r="O2175" s="10"/>
      <c r="P2175" s="38"/>
    </row>
    <row r="2176" spans="1:16" ht="15" customHeight="1" x14ac:dyDescent="0.35">
      <c r="A2176" s="15"/>
      <c r="B2176" s="65"/>
      <c r="C2176" s="15"/>
      <c r="D2176" s="19"/>
      <c r="E2176" s="40"/>
      <c r="F2176" s="13"/>
      <c r="G2176" s="78"/>
      <c r="H2176" s="16"/>
      <c r="I2176" s="10"/>
      <c r="J2176" s="10"/>
      <c r="K2176" s="10"/>
      <c r="L2176" s="10"/>
      <c r="M2176" s="10"/>
      <c r="N2176" s="10"/>
      <c r="O2176" s="10"/>
      <c r="P2176" s="38"/>
    </row>
    <row r="2177" spans="1:16" ht="15" customHeight="1" x14ac:dyDescent="0.35">
      <c r="A2177" s="15"/>
      <c r="B2177" s="65"/>
      <c r="C2177" s="15"/>
      <c r="D2177" s="19"/>
      <c r="E2177" s="40"/>
      <c r="F2177" s="13"/>
      <c r="G2177" s="78"/>
      <c r="H2177" s="16"/>
      <c r="I2177" s="10"/>
      <c r="J2177" s="10"/>
      <c r="K2177" s="10"/>
      <c r="L2177" s="10"/>
      <c r="M2177" s="10"/>
      <c r="N2177" s="10"/>
      <c r="O2177" s="10"/>
      <c r="P2177" s="38"/>
    </row>
    <row r="2178" spans="1:16" ht="15" customHeight="1" x14ac:dyDescent="0.35">
      <c r="A2178" s="15"/>
      <c r="B2178" s="65"/>
      <c r="C2178" s="15"/>
      <c r="D2178" s="19"/>
      <c r="E2178" s="40"/>
      <c r="F2178" s="13"/>
      <c r="G2178" s="78"/>
      <c r="H2178" s="16"/>
      <c r="I2178" s="10"/>
      <c r="J2178" s="10"/>
      <c r="K2178" s="10"/>
      <c r="L2178" s="10"/>
      <c r="M2178" s="10"/>
      <c r="N2178" s="10"/>
      <c r="O2178" s="10"/>
      <c r="P2178" s="38"/>
    </row>
    <row r="2179" spans="1:16" ht="15" customHeight="1" x14ac:dyDescent="0.35">
      <c r="A2179" s="15"/>
      <c r="B2179" s="65"/>
      <c r="C2179" s="15"/>
      <c r="D2179" s="19"/>
      <c r="E2179" s="40"/>
      <c r="F2179" s="13"/>
      <c r="G2179" s="78"/>
      <c r="H2179" s="16"/>
      <c r="I2179" s="10"/>
      <c r="J2179" s="10"/>
      <c r="K2179" s="10"/>
      <c r="L2179" s="10"/>
      <c r="M2179" s="10"/>
      <c r="N2179" s="10"/>
      <c r="O2179" s="10"/>
      <c r="P2179" s="38"/>
    </row>
    <row r="2180" spans="1:16" ht="15" customHeight="1" x14ac:dyDescent="0.35">
      <c r="A2180" s="15"/>
      <c r="B2180" s="65"/>
      <c r="C2180" s="15"/>
      <c r="D2180" s="19"/>
      <c r="E2180" s="40"/>
      <c r="F2180" s="13"/>
      <c r="G2180" s="78"/>
      <c r="H2180" s="16"/>
      <c r="I2180" s="10"/>
      <c r="J2180" s="10"/>
      <c r="K2180" s="10"/>
      <c r="L2180" s="10"/>
      <c r="M2180" s="10"/>
      <c r="N2180" s="10"/>
      <c r="O2180" s="10"/>
      <c r="P2180" s="38"/>
    </row>
    <row r="2181" spans="1:16" ht="15" customHeight="1" x14ac:dyDescent="0.35">
      <c r="A2181" s="15"/>
      <c r="B2181" s="65"/>
      <c r="C2181" s="15"/>
      <c r="D2181" s="19"/>
      <c r="E2181" s="40"/>
      <c r="F2181" s="13"/>
      <c r="G2181" s="78"/>
      <c r="H2181" s="16"/>
      <c r="I2181" s="10"/>
      <c r="J2181" s="10"/>
      <c r="K2181" s="10"/>
      <c r="L2181" s="10"/>
      <c r="M2181" s="10"/>
      <c r="N2181" s="10"/>
      <c r="O2181" s="10"/>
      <c r="P2181" s="38"/>
    </row>
    <row r="2182" spans="1:16" ht="15" customHeight="1" x14ac:dyDescent="0.35">
      <c r="A2182" s="15"/>
      <c r="B2182" s="65"/>
      <c r="C2182" s="15"/>
      <c r="D2182" s="19"/>
      <c r="E2182" s="40"/>
      <c r="F2182" s="13"/>
      <c r="G2182" s="78"/>
      <c r="H2182" s="16"/>
      <c r="I2182" s="10"/>
      <c r="J2182" s="10"/>
      <c r="K2182" s="10"/>
      <c r="L2182" s="10"/>
      <c r="M2182" s="10"/>
      <c r="N2182" s="10"/>
      <c r="O2182" s="10"/>
      <c r="P2182" s="38"/>
    </row>
    <row r="2183" spans="1:16" ht="15" customHeight="1" x14ac:dyDescent="0.35">
      <c r="A2183" s="15"/>
      <c r="B2183" s="65"/>
      <c r="C2183" s="15"/>
      <c r="D2183" s="19"/>
      <c r="E2183" s="40"/>
      <c r="F2183" s="13"/>
      <c r="G2183" s="78"/>
      <c r="H2183" s="16"/>
      <c r="I2183" s="10"/>
      <c r="J2183" s="10"/>
      <c r="K2183" s="10"/>
      <c r="L2183" s="10"/>
      <c r="M2183" s="10"/>
      <c r="N2183" s="10"/>
      <c r="O2183" s="10"/>
      <c r="P2183" s="38"/>
    </row>
    <row r="2184" spans="1:16" ht="15" customHeight="1" x14ac:dyDescent="0.35">
      <c r="A2184" s="15"/>
      <c r="B2184" s="65"/>
      <c r="C2184" s="15"/>
      <c r="D2184" s="19"/>
      <c r="E2184" s="40"/>
      <c r="F2184" s="13"/>
      <c r="G2184" s="78"/>
      <c r="H2184" s="16"/>
      <c r="I2184" s="10"/>
      <c r="J2184" s="10"/>
      <c r="K2184" s="10"/>
      <c r="L2184" s="10"/>
      <c r="M2184" s="10"/>
      <c r="N2184" s="10"/>
      <c r="O2184" s="10"/>
      <c r="P2184" s="38"/>
    </row>
    <row r="2185" spans="1:16" ht="15" customHeight="1" x14ac:dyDescent="0.35">
      <c r="A2185" s="15"/>
      <c r="B2185" s="65"/>
      <c r="C2185" s="15"/>
      <c r="D2185" s="19"/>
      <c r="E2185" s="40"/>
      <c r="F2185" s="13"/>
      <c r="G2185" s="78"/>
      <c r="H2185" s="16"/>
      <c r="I2185" s="10"/>
      <c r="J2185" s="10"/>
      <c r="K2185" s="10"/>
      <c r="L2185" s="10"/>
      <c r="M2185" s="10"/>
      <c r="N2185" s="10"/>
      <c r="O2185" s="10"/>
      <c r="P2185" s="38"/>
    </row>
    <row r="2186" spans="1:16" ht="15" customHeight="1" x14ac:dyDescent="0.35">
      <c r="A2186" s="15"/>
      <c r="B2186" s="65"/>
      <c r="C2186" s="15"/>
      <c r="D2186" s="19"/>
      <c r="E2186" s="40"/>
      <c r="F2186" s="13"/>
      <c r="G2186" s="78"/>
      <c r="H2186" s="16"/>
      <c r="I2186" s="10"/>
      <c r="J2186" s="10"/>
      <c r="K2186" s="10"/>
      <c r="L2186" s="10"/>
      <c r="M2186" s="10"/>
      <c r="N2186" s="10"/>
      <c r="O2186" s="10"/>
      <c r="P2186" s="38"/>
    </row>
    <row r="2187" spans="1:16" ht="15" customHeight="1" x14ac:dyDescent="0.35">
      <c r="A2187" s="15"/>
      <c r="B2187" s="65"/>
      <c r="C2187" s="15"/>
      <c r="D2187" s="19"/>
      <c r="E2187" s="40"/>
      <c r="F2187" s="13"/>
      <c r="G2187" s="78"/>
      <c r="H2187" s="16"/>
      <c r="I2187" s="10"/>
      <c r="J2187" s="10"/>
      <c r="K2187" s="10"/>
      <c r="L2187" s="10"/>
      <c r="M2187" s="10"/>
      <c r="N2187" s="10"/>
      <c r="O2187" s="10"/>
      <c r="P2187" s="38"/>
    </row>
    <row r="2188" spans="1:16" ht="15" customHeight="1" x14ac:dyDescent="0.35">
      <c r="A2188" s="15"/>
      <c r="B2188" s="65"/>
      <c r="C2188" s="15"/>
      <c r="D2188" s="19"/>
      <c r="E2188" s="40"/>
      <c r="F2188" s="13"/>
      <c r="G2188" s="78"/>
      <c r="H2188" s="16"/>
      <c r="I2188" s="10"/>
      <c r="J2188" s="10"/>
      <c r="K2188" s="10"/>
      <c r="L2188" s="10"/>
      <c r="M2188" s="10"/>
      <c r="N2188" s="10"/>
      <c r="O2188" s="10"/>
      <c r="P2188" s="38"/>
    </row>
    <row r="2189" spans="1:16" ht="15" customHeight="1" x14ac:dyDescent="0.35">
      <c r="A2189" s="15"/>
      <c r="B2189" s="65"/>
      <c r="C2189" s="15"/>
      <c r="D2189" s="19"/>
      <c r="E2189" s="40"/>
      <c r="F2189" s="13"/>
      <c r="G2189" s="78"/>
      <c r="H2189" s="16"/>
      <c r="I2189" s="10"/>
      <c r="J2189" s="10"/>
      <c r="K2189" s="10"/>
      <c r="L2189" s="10"/>
      <c r="M2189" s="10"/>
      <c r="N2189" s="10"/>
      <c r="O2189" s="10"/>
      <c r="P2189" s="38"/>
    </row>
    <row r="2190" spans="1:16" ht="15" customHeight="1" x14ac:dyDescent="0.35">
      <c r="A2190" s="15"/>
      <c r="B2190" s="65"/>
      <c r="C2190" s="15"/>
      <c r="D2190" s="19"/>
      <c r="E2190" s="40"/>
      <c r="F2190" s="13"/>
      <c r="G2190" s="78"/>
      <c r="H2190" s="16"/>
      <c r="I2190" s="10"/>
      <c r="J2190" s="10"/>
      <c r="K2190" s="10"/>
      <c r="L2190" s="10"/>
      <c r="M2190" s="10"/>
      <c r="N2190" s="10"/>
      <c r="O2190" s="10"/>
      <c r="P2190" s="38"/>
    </row>
    <row r="2191" spans="1:16" ht="15" customHeight="1" x14ac:dyDescent="0.35">
      <c r="A2191" s="15"/>
      <c r="B2191" s="65"/>
      <c r="C2191" s="15"/>
      <c r="D2191" s="19"/>
      <c r="E2191" s="40"/>
      <c r="F2191" s="13"/>
      <c r="G2191" s="78"/>
      <c r="H2191" s="16"/>
      <c r="I2191" s="10"/>
      <c r="J2191" s="10"/>
      <c r="K2191" s="10"/>
      <c r="L2191" s="10"/>
      <c r="M2191" s="10"/>
      <c r="N2191" s="10"/>
      <c r="O2191" s="10"/>
      <c r="P2191" s="38"/>
    </row>
    <row r="2192" spans="1:16" ht="15" customHeight="1" x14ac:dyDescent="0.35">
      <c r="A2192" s="15"/>
      <c r="B2192" s="65"/>
      <c r="C2192" s="15"/>
      <c r="D2192" s="19"/>
      <c r="E2192" s="40"/>
      <c r="F2192" s="13"/>
      <c r="G2192" s="78"/>
      <c r="H2192" s="16"/>
      <c r="I2192" s="10"/>
      <c r="J2192" s="10"/>
      <c r="K2192" s="10"/>
      <c r="L2192" s="10"/>
      <c r="M2192" s="10"/>
      <c r="N2192" s="10"/>
      <c r="O2192" s="10"/>
      <c r="P2192" s="38"/>
    </row>
    <row r="2193" spans="1:16" ht="15" customHeight="1" x14ac:dyDescent="0.35">
      <c r="A2193" s="15"/>
      <c r="B2193" s="65"/>
      <c r="C2193" s="15"/>
      <c r="D2193" s="19"/>
      <c r="E2193" s="40"/>
      <c r="F2193" s="13"/>
      <c r="G2193" s="78"/>
      <c r="H2193" s="16"/>
      <c r="I2193" s="10"/>
      <c r="J2193" s="10"/>
      <c r="K2193" s="10"/>
      <c r="L2193" s="10"/>
      <c r="M2193" s="10"/>
      <c r="N2193" s="10"/>
      <c r="O2193" s="10"/>
      <c r="P2193" s="38"/>
    </row>
    <row r="2194" spans="1:16" ht="15" customHeight="1" x14ac:dyDescent="0.35">
      <c r="A2194" s="15"/>
      <c r="B2194" s="65"/>
      <c r="C2194" s="15"/>
      <c r="D2194" s="19"/>
      <c r="E2194" s="40"/>
      <c r="F2194" s="13"/>
      <c r="G2194" s="78"/>
      <c r="H2194" s="16"/>
      <c r="I2194" s="10"/>
      <c r="J2194" s="10"/>
      <c r="K2194" s="10"/>
      <c r="L2194" s="10"/>
      <c r="M2194" s="10"/>
      <c r="N2194" s="10"/>
      <c r="O2194" s="10"/>
      <c r="P2194" s="38"/>
    </row>
    <row r="2195" spans="1:16" ht="15" customHeight="1" x14ac:dyDescent="0.35">
      <c r="A2195" s="15"/>
      <c r="B2195" s="65"/>
      <c r="C2195" s="15"/>
      <c r="D2195" s="19"/>
      <c r="E2195" s="40"/>
      <c r="F2195" s="13"/>
      <c r="G2195" s="78"/>
      <c r="H2195" s="16"/>
      <c r="I2195" s="10"/>
      <c r="J2195" s="10"/>
      <c r="K2195" s="10"/>
      <c r="L2195" s="10"/>
      <c r="M2195" s="10"/>
      <c r="N2195" s="10"/>
      <c r="O2195" s="10"/>
      <c r="P2195" s="38"/>
    </row>
    <row r="2196" spans="1:16" ht="15" customHeight="1" x14ac:dyDescent="0.35">
      <c r="A2196" s="15"/>
      <c r="B2196" s="65"/>
      <c r="C2196" s="15"/>
      <c r="D2196" s="19"/>
      <c r="E2196" s="40"/>
      <c r="F2196" s="13"/>
      <c r="G2196" s="78"/>
      <c r="H2196" s="16"/>
      <c r="I2196" s="10"/>
      <c r="J2196" s="10"/>
      <c r="K2196" s="10"/>
      <c r="L2196" s="10"/>
      <c r="M2196" s="10"/>
      <c r="N2196" s="10"/>
      <c r="O2196" s="10"/>
      <c r="P2196" s="38"/>
    </row>
    <row r="2197" spans="1:16" ht="15" customHeight="1" x14ac:dyDescent="0.35">
      <c r="A2197" s="15"/>
      <c r="B2197" s="65"/>
      <c r="C2197" s="15"/>
      <c r="D2197" s="19"/>
      <c r="E2197" s="40"/>
      <c r="F2197" s="13"/>
      <c r="G2197" s="78"/>
      <c r="H2197" s="16"/>
      <c r="I2197" s="10"/>
      <c r="J2197" s="10"/>
      <c r="K2197" s="10"/>
      <c r="L2197" s="10"/>
      <c r="M2197" s="10"/>
      <c r="N2197" s="10"/>
      <c r="O2197" s="10"/>
      <c r="P2197" s="38"/>
    </row>
    <row r="2198" spans="1:16" ht="15" customHeight="1" x14ac:dyDescent="0.35">
      <c r="A2198" s="15"/>
      <c r="B2198" s="65"/>
      <c r="C2198" s="15"/>
      <c r="D2198" s="19"/>
      <c r="E2198" s="40"/>
      <c r="F2198" s="13"/>
      <c r="G2198" s="78"/>
      <c r="H2198" s="16"/>
      <c r="I2198" s="10"/>
      <c r="J2198" s="10"/>
      <c r="K2198" s="10"/>
      <c r="L2198" s="10"/>
      <c r="M2198" s="10"/>
      <c r="N2198" s="10"/>
      <c r="O2198" s="10"/>
      <c r="P2198" s="38"/>
    </row>
    <row r="2199" spans="1:16" ht="15" customHeight="1" x14ac:dyDescent="0.35">
      <c r="A2199" s="15"/>
      <c r="B2199" s="65"/>
      <c r="C2199" s="15"/>
      <c r="D2199" s="19"/>
      <c r="E2199" s="40"/>
      <c r="F2199" s="13"/>
      <c r="G2199" s="78"/>
      <c r="H2199" s="16"/>
      <c r="I2199" s="10"/>
      <c r="J2199" s="10"/>
      <c r="K2199" s="10"/>
      <c r="L2199" s="10"/>
      <c r="M2199" s="10"/>
      <c r="N2199" s="10"/>
      <c r="O2199" s="10"/>
      <c r="P2199" s="38"/>
    </row>
    <row r="2200" spans="1:16" ht="15" customHeight="1" x14ac:dyDescent="0.35">
      <c r="A2200" s="15"/>
      <c r="B2200" s="65"/>
      <c r="C2200" s="15"/>
      <c r="D2200" s="19"/>
      <c r="E2200" s="40"/>
      <c r="F2200" s="13"/>
      <c r="G2200" s="78"/>
      <c r="H2200" s="16"/>
      <c r="I2200" s="10"/>
      <c r="J2200" s="10"/>
      <c r="K2200" s="10"/>
      <c r="L2200" s="10"/>
      <c r="M2200" s="10"/>
      <c r="N2200" s="10"/>
      <c r="O2200" s="10"/>
      <c r="P2200" s="38"/>
    </row>
    <row r="2201" spans="1:16" ht="15" customHeight="1" x14ac:dyDescent="0.35">
      <c r="A2201" s="15"/>
      <c r="B2201" s="65"/>
      <c r="C2201" s="15"/>
      <c r="D2201" s="19"/>
      <c r="E2201" s="40"/>
      <c r="F2201" s="13"/>
      <c r="G2201" s="78"/>
      <c r="H2201" s="16"/>
      <c r="I2201" s="10"/>
      <c r="J2201" s="10"/>
      <c r="K2201" s="10"/>
      <c r="L2201" s="10"/>
      <c r="M2201" s="10"/>
      <c r="N2201" s="10"/>
      <c r="O2201" s="10"/>
      <c r="P2201" s="38"/>
    </row>
    <row r="2202" spans="1:16" ht="15" customHeight="1" x14ac:dyDescent="0.35">
      <c r="A2202" s="15"/>
      <c r="B2202" s="65"/>
      <c r="C2202" s="15"/>
      <c r="D2202" s="19"/>
      <c r="E2202" s="40"/>
      <c r="F2202" s="13"/>
      <c r="G2202" s="78"/>
      <c r="H2202" s="16"/>
      <c r="I2202" s="10"/>
      <c r="J2202" s="10"/>
      <c r="K2202" s="10"/>
      <c r="L2202" s="10"/>
      <c r="M2202" s="10"/>
      <c r="N2202" s="10"/>
      <c r="O2202" s="10"/>
      <c r="P2202" s="38"/>
    </row>
    <row r="2203" spans="1:16" ht="15" customHeight="1" x14ac:dyDescent="0.35">
      <c r="A2203" s="15"/>
      <c r="B2203" s="65"/>
      <c r="C2203" s="15"/>
      <c r="D2203" s="19"/>
      <c r="E2203" s="40"/>
      <c r="F2203" s="13"/>
      <c r="G2203" s="78"/>
      <c r="H2203" s="16"/>
      <c r="I2203" s="10"/>
      <c r="J2203" s="10"/>
      <c r="K2203" s="10"/>
      <c r="L2203" s="10"/>
      <c r="M2203" s="10"/>
      <c r="N2203" s="10"/>
      <c r="O2203" s="10"/>
      <c r="P2203" s="38"/>
    </row>
    <row r="2204" spans="1:16" ht="15" customHeight="1" x14ac:dyDescent="0.35">
      <c r="A2204" s="15"/>
      <c r="B2204" s="65"/>
      <c r="C2204" s="15"/>
      <c r="D2204" s="19"/>
      <c r="E2204" s="40"/>
      <c r="F2204" s="13"/>
      <c r="G2204" s="78"/>
      <c r="H2204" s="16"/>
      <c r="I2204" s="10"/>
      <c r="J2204" s="10"/>
      <c r="K2204" s="10"/>
      <c r="L2204" s="10"/>
      <c r="M2204" s="10"/>
      <c r="N2204" s="10"/>
      <c r="O2204" s="10"/>
      <c r="P2204" s="38"/>
    </row>
    <row r="2205" spans="1:16" ht="15" customHeight="1" x14ac:dyDescent="0.35">
      <c r="A2205" s="15"/>
      <c r="B2205" s="65"/>
      <c r="C2205" s="15"/>
      <c r="D2205" s="19"/>
      <c r="E2205" s="40"/>
      <c r="F2205" s="13"/>
      <c r="G2205" s="78"/>
      <c r="H2205" s="16"/>
      <c r="I2205" s="10"/>
      <c r="J2205" s="10"/>
      <c r="K2205" s="10"/>
      <c r="L2205" s="10"/>
      <c r="M2205" s="10"/>
      <c r="N2205" s="10"/>
      <c r="O2205" s="10"/>
      <c r="P2205" s="38"/>
    </row>
    <row r="2206" spans="1:16" ht="15" customHeight="1" x14ac:dyDescent="0.35">
      <c r="A2206" s="15"/>
      <c r="B2206" s="65"/>
      <c r="C2206" s="15"/>
      <c r="D2206" s="19"/>
      <c r="E2206" s="40"/>
      <c r="F2206" s="13"/>
      <c r="G2206" s="78"/>
      <c r="H2206" s="16"/>
      <c r="I2206" s="10"/>
      <c r="J2206" s="10"/>
      <c r="K2206" s="10"/>
      <c r="L2206" s="10"/>
      <c r="M2206" s="10"/>
      <c r="N2206" s="10"/>
      <c r="O2206" s="10"/>
      <c r="P2206" s="38"/>
    </row>
    <row r="2207" spans="1:16" ht="15" customHeight="1" x14ac:dyDescent="0.35">
      <c r="A2207" s="15"/>
      <c r="B2207" s="65"/>
      <c r="C2207" s="15"/>
      <c r="D2207" s="19"/>
      <c r="E2207" s="40"/>
      <c r="F2207" s="13"/>
      <c r="G2207" s="78"/>
      <c r="H2207" s="16"/>
      <c r="I2207" s="10"/>
      <c r="J2207" s="10"/>
      <c r="K2207" s="10"/>
      <c r="L2207" s="10"/>
      <c r="M2207" s="10"/>
      <c r="N2207" s="10"/>
      <c r="O2207" s="10"/>
      <c r="P2207" s="38"/>
    </row>
    <row r="2208" spans="1:16" ht="15" customHeight="1" x14ac:dyDescent="0.35">
      <c r="A2208" s="15"/>
      <c r="B2208" s="65"/>
      <c r="C2208" s="15"/>
      <c r="D2208" s="19"/>
      <c r="E2208" s="40"/>
      <c r="F2208" s="13"/>
      <c r="G2208" s="78"/>
      <c r="H2208" s="16"/>
      <c r="I2208" s="10"/>
      <c r="J2208" s="10"/>
      <c r="K2208" s="10"/>
      <c r="L2208" s="10"/>
      <c r="M2208" s="10"/>
      <c r="N2208" s="10"/>
      <c r="O2208" s="10"/>
      <c r="P2208" s="38"/>
    </row>
    <row r="2209" spans="1:16" ht="15" customHeight="1" x14ac:dyDescent="0.35">
      <c r="A2209" s="15"/>
      <c r="B2209" s="65"/>
      <c r="C2209" s="15"/>
      <c r="D2209" s="19"/>
      <c r="E2209" s="40"/>
      <c r="F2209" s="13"/>
      <c r="G2209" s="78"/>
      <c r="H2209" s="16"/>
      <c r="I2209" s="10"/>
      <c r="J2209" s="10"/>
      <c r="K2209" s="10"/>
      <c r="L2209" s="10"/>
      <c r="M2209" s="10"/>
      <c r="N2209" s="10"/>
      <c r="O2209" s="10"/>
      <c r="P2209" s="38"/>
    </row>
  </sheetData>
  <pageMargins left="0.7" right="0.7" top="0.75" bottom="0.75" header="0" footer="0"/>
  <pageSetup scale="90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B2688"/>
  <sheetViews>
    <sheetView showGridLines="0"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D23" sqref="D23"/>
    </sheetView>
  </sheetViews>
  <sheetFormatPr baseColWidth="10" defaultColWidth="14.453125" defaultRowHeight="15" customHeight="1" x14ac:dyDescent="0.35"/>
  <cols>
    <col min="1" max="1" width="12.26953125" style="24" customWidth="1"/>
    <col min="2" max="2" width="39.08984375" style="62" bestFit="1" customWidth="1"/>
    <col min="3" max="3" width="14.26953125" style="24" customWidth="1"/>
    <col min="4" max="4" width="11.26953125" style="28" customWidth="1"/>
    <col min="5" max="5" width="11.26953125" style="24" customWidth="1"/>
    <col min="6" max="6" width="12.08984375" style="29" customWidth="1"/>
    <col min="7" max="8" width="17.08984375" style="29" customWidth="1"/>
    <col min="9" max="9" width="19.6328125" style="29" customWidth="1"/>
    <col min="10" max="10" width="20.81640625" style="24" customWidth="1"/>
    <col min="11" max="11" width="1.1796875" style="24" customWidth="1"/>
    <col min="12" max="28" width="10.7265625" style="24" customWidth="1"/>
    <col min="29" max="16384" width="14.453125" style="24"/>
  </cols>
  <sheetData>
    <row r="1" spans="1:28" ht="14.25" customHeight="1" x14ac:dyDescent="0.35">
      <c r="A1" s="11" t="s">
        <v>0</v>
      </c>
      <c r="B1" s="59" t="s">
        <v>1</v>
      </c>
      <c r="C1" s="12" t="s">
        <v>2</v>
      </c>
      <c r="D1" s="13" t="s">
        <v>3</v>
      </c>
      <c r="E1" s="12" t="s">
        <v>9</v>
      </c>
      <c r="F1" s="14" t="s">
        <v>4</v>
      </c>
      <c r="G1" s="34" t="s">
        <v>214</v>
      </c>
      <c r="H1" s="34" t="s">
        <v>227</v>
      </c>
      <c r="I1" s="34" t="s">
        <v>233</v>
      </c>
      <c r="J1" s="36" t="s">
        <v>172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</row>
    <row r="2" spans="1:28" ht="14.25" customHeight="1" x14ac:dyDescent="0.35">
      <c r="A2" s="12">
        <v>2002262</v>
      </c>
      <c r="B2" s="59" t="str">
        <f>IFERROR(VLOOKUP(Tabla1[[#This Row],[CODIGO]],INVENTARIO!A:B,2,0)," ")</f>
        <v>Tubería PE80 050mm Rollo</v>
      </c>
      <c r="C2" s="12">
        <v>100</v>
      </c>
      <c r="D2" s="13"/>
      <c r="E2" s="12">
        <v>256</v>
      </c>
      <c r="F2" s="14">
        <v>46099</v>
      </c>
      <c r="G2" s="34"/>
      <c r="H2" s="34" t="s">
        <v>223</v>
      </c>
      <c r="I2" s="34"/>
      <c r="J2" s="9" t="s">
        <v>207</v>
      </c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</row>
    <row r="3" spans="1:28" ht="14.25" customHeight="1" x14ac:dyDescent="0.35">
      <c r="A3" s="12">
        <v>303368</v>
      </c>
      <c r="B3" s="59" t="str">
        <f>IFERROR(VLOOKUP(Tabla1[[#This Row],[CODIGO]],INVENTARIO!A:B,2,0)," ")</f>
        <v>Cinta Plástica "Línea GN", 30 x 0.1</v>
      </c>
      <c r="C3" s="12">
        <v>100</v>
      </c>
      <c r="D3" s="13"/>
      <c r="E3" s="12">
        <v>256</v>
      </c>
      <c r="F3" s="14">
        <v>46099</v>
      </c>
      <c r="G3" s="34"/>
      <c r="H3" s="34" t="s">
        <v>223</v>
      </c>
      <c r="I3" s="34"/>
      <c r="J3" s="9" t="s">
        <v>207</v>
      </c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</row>
    <row r="4" spans="1:28" ht="14.25" customHeight="1" x14ac:dyDescent="0.35">
      <c r="A4" s="12">
        <v>1002167</v>
      </c>
      <c r="B4" s="59" t="str">
        <f>IFERROR(VLOOKUP(Tabla1[[#This Row],[CODIGO]],INVENTARIO!A:B,2,0)," ")</f>
        <v>Cable Trazador Cu 14 AWG Aisl. THW Roj</v>
      </c>
      <c r="C4" s="12">
        <v>100</v>
      </c>
      <c r="D4" s="13"/>
      <c r="E4" s="12">
        <v>256</v>
      </c>
      <c r="F4" s="14">
        <v>46099</v>
      </c>
      <c r="G4" s="34"/>
      <c r="H4" s="34" t="s">
        <v>223</v>
      </c>
      <c r="I4" s="34"/>
      <c r="J4" s="9" t="s">
        <v>207</v>
      </c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</row>
    <row r="5" spans="1:28" ht="14.25" customHeight="1" x14ac:dyDescent="0.35">
      <c r="A5" s="12">
        <v>303345</v>
      </c>
      <c r="B5" s="59" t="str">
        <f>IFERROR(VLOOKUP(Tabla1[[#This Row],[CODIGO]],INVENTARIO!A:B,2,0)," ")</f>
        <v>Copla PE100 050mm EF</v>
      </c>
      <c r="C5" s="12">
        <v>3</v>
      </c>
      <c r="D5" s="13"/>
      <c r="E5" s="12">
        <v>256</v>
      </c>
      <c r="F5" s="14">
        <v>46099</v>
      </c>
      <c r="G5" s="34"/>
      <c r="H5" s="34" t="s">
        <v>223</v>
      </c>
      <c r="I5" s="34"/>
      <c r="J5" s="9" t="s">
        <v>207</v>
      </c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</row>
    <row r="6" spans="1:28" ht="14.25" customHeight="1" x14ac:dyDescent="0.35">
      <c r="A6" s="12">
        <v>301327</v>
      </c>
      <c r="B6" s="59" t="str">
        <f>IFERROR(VLOOKUP(Tabla1[[#This Row],[CODIGO]],INVENTARIO!A:B,2,0)," ")</f>
        <v>Tapa PE  050 mm Termo F.</v>
      </c>
      <c r="C6" s="12">
        <v>2</v>
      </c>
      <c r="D6" s="13"/>
      <c r="E6" s="12">
        <v>256</v>
      </c>
      <c r="F6" s="14">
        <v>46099</v>
      </c>
      <c r="G6" s="34"/>
      <c r="H6" s="34" t="s">
        <v>223</v>
      </c>
      <c r="I6" s="34"/>
      <c r="J6" s="9" t="s">
        <v>207</v>
      </c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</row>
    <row r="7" spans="1:28" ht="14.25" customHeight="1" x14ac:dyDescent="0.35">
      <c r="A7" s="12">
        <v>101624</v>
      </c>
      <c r="B7" s="59" t="str">
        <f>IFERROR(VLOOKUP(Tabla1[[#This Row],[CODIGO]],INVENTARIO!A:B,2,0)," ")</f>
        <v>Tapping Tee PE 50-25 mm</v>
      </c>
      <c r="C7" s="12">
        <v>5</v>
      </c>
      <c r="D7" s="13"/>
      <c r="E7" s="12">
        <v>256</v>
      </c>
      <c r="F7" s="14">
        <v>46099</v>
      </c>
      <c r="G7" s="34"/>
      <c r="H7" s="34" t="s">
        <v>223</v>
      </c>
      <c r="I7" s="34"/>
      <c r="J7" s="9" t="s">
        <v>207</v>
      </c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</row>
    <row r="8" spans="1:28" ht="14.25" customHeight="1" x14ac:dyDescent="0.35">
      <c r="A8" s="12">
        <v>2000350</v>
      </c>
      <c r="B8" s="59" t="str">
        <f>IFERROR(VLOOKUP(Tabla1[[#This Row],[CODIGO]],INVENTARIO!A:B,2,0)," ")</f>
        <v>Codo PE 90º  25 mm EF.</v>
      </c>
      <c r="C8" s="12">
        <v>8</v>
      </c>
      <c r="D8" s="13"/>
      <c r="E8" s="12">
        <v>256</v>
      </c>
      <c r="F8" s="14">
        <v>46099</v>
      </c>
      <c r="G8" s="34"/>
      <c r="H8" s="34" t="s">
        <v>223</v>
      </c>
      <c r="I8" s="34"/>
      <c r="J8" s="9" t="s">
        <v>207</v>
      </c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</row>
    <row r="9" spans="1:28" ht="14.25" customHeight="1" x14ac:dyDescent="0.35">
      <c r="A9" s="12">
        <v>301329</v>
      </c>
      <c r="B9" s="59" t="str">
        <f>IFERROR(VLOOKUP(Tabla1[[#This Row],[CODIGO]],INVENTARIO!A:B,2,0)," ")</f>
        <v>Copla PE100 025mm EF</v>
      </c>
      <c r="C9" s="12">
        <v>15</v>
      </c>
      <c r="D9" s="13"/>
      <c r="E9" s="12">
        <v>256</v>
      </c>
      <c r="F9" s="14">
        <v>46099</v>
      </c>
      <c r="G9" s="34"/>
      <c r="H9" s="34" t="s">
        <v>223</v>
      </c>
      <c r="I9" s="34"/>
      <c r="J9" s="9" t="s">
        <v>207</v>
      </c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ht="14.25" customHeight="1" x14ac:dyDescent="0.35">
      <c r="A10" s="12">
        <v>2003911</v>
      </c>
      <c r="B10" s="59" t="str">
        <f>IFERROR(VLOOKUP(Tabla1[[#This Row],[CODIGO]],INVENTARIO!A:B,2,0)," ")</f>
        <v>Válvula EFv PE 25 mm Para Tap. Tee</v>
      </c>
      <c r="C10" s="12">
        <v>5</v>
      </c>
      <c r="D10" s="13"/>
      <c r="E10" s="12">
        <v>256</v>
      </c>
      <c r="F10" s="14">
        <v>46099</v>
      </c>
      <c r="G10" s="34"/>
      <c r="H10" s="34" t="s">
        <v>223</v>
      </c>
      <c r="I10" s="34"/>
      <c r="J10" s="9" t="s">
        <v>207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ht="14.25" customHeight="1" x14ac:dyDescent="0.35">
      <c r="A11" s="12">
        <v>301099</v>
      </c>
      <c r="B11" s="59" t="str">
        <f>IFERROR(VLOOKUP(Tabla1[[#This Row],[CODIGO]],INVENTARIO!A:B,2,0)," ")</f>
        <v>Válvula PE100 Dn 25mm</v>
      </c>
      <c r="C11" s="12">
        <v>5</v>
      </c>
      <c r="D11" s="13"/>
      <c r="E11" s="12">
        <v>256</v>
      </c>
      <c r="F11" s="14">
        <v>46099</v>
      </c>
      <c r="G11" s="34"/>
      <c r="H11" s="34" t="s">
        <v>223</v>
      </c>
      <c r="I11" s="34"/>
      <c r="J11" s="9" t="s">
        <v>207</v>
      </c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spans="1:28" ht="14.25" customHeight="1" x14ac:dyDescent="0.35">
      <c r="A12" s="12">
        <v>300109</v>
      </c>
      <c r="B12" s="59" t="str">
        <f>IFERROR(VLOOKUP(Tabla1[[#This Row],[CODIGO]],INVENTARIO!A:B,2,0)," ")</f>
        <v>Risers de Acero 3/4" Bsp x 25 mm</v>
      </c>
      <c r="C12" s="12">
        <v>5</v>
      </c>
      <c r="D12" s="13"/>
      <c r="E12" s="12">
        <v>256</v>
      </c>
      <c r="F12" s="14">
        <v>46099</v>
      </c>
      <c r="G12" s="34"/>
      <c r="H12" s="34" t="s">
        <v>223</v>
      </c>
      <c r="I12" s="34"/>
      <c r="J12" s="9" t="s">
        <v>207</v>
      </c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 ht="14.25" customHeight="1" x14ac:dyDescent="0.35">
      <c r="A13" s="12">
        <v>302737</v>
      </c>
      <c r="B13" s="59" t="str">
        <f>IFERROR(VLOOKUP(Tabla1[[#This Row],[CODIGO]],INVENTARIO!A:B,2,0)," ")</f>
        <v>Válvula Bola 3/4" Hi Un Cuerpo Pn5 Arco</v>
      </c>
      <c r="C13" s="12">
        <v>5</v>
      </c>
      <c r="D13" s="13"/>
      <c r="E13" s="12">
        <v>256</v>
      </c>
      <c r="F13" s="14">
        <v>46099</v>
      </c>
      <c r="G13" s="34"/>
      <c r="H13" s="34" t="s">
        <v>223</v>
      </c>
      <c r="I13" s="34"/>
      <c r="J13" s="9" t="s">
        <v>207</v>
      </c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spans="1:28" ht="14.25" customHeight="1" x14ac:dyDescent="0.35">
      <c r="A14" s="12">
        <v>2008481</v>
      </c>
      <c r="B14" s="59" t="str">
        <f>IFERROR(VLOOKUP(Tabla1[[#This Row],[CODIGO]],INVENTARIO!A:B,2,0)," ")</f>
        <v>Tapa Tornillo Bronce 3/4" HE Bspt.</v>
      </c>
      <c r="C14" s="12">
        <v>5</v>
      </c>
      <c r="D14" s="13"/>
      <c r="E14" s="12">
        <v>256</v>
      </c>
      <c r="F14" s="14">
        <v>46099</v>
      </c>
      <c r="G14" s="34"/>
      <c r="H14" s="34" t="s">
        <v>223</v>
      </c>
      <c r="I14" s="34"/>
      <c r="J14" s="9" t="s">
        <v>207</v>
      </c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</row>
    <row r="15" spans="1:28" ht="14.25" customHeight="1" x14ac:dyDescent="0.35">
      <c r="A15" s="12">
        <v>2007948</v>
      </c>
      <c r="B15" s="59" t="str">
        <f>IFERROR(VLOOKUP(Tabla1[[#This Row],[CODIGO]],INVENTARIO!A:B,2,0)," ")</f>
        <v>Tubo PVC Hidraulico 110 mm Pn6 Celeste</v>
      </c>
      <c r="C15" s="12">
        <v>5</v>
      </c>
      <c r="D15" s="13"/>
      <c r="E15" s="12">
        <v>256</v>
      </c>
      <c r="F15" s="14">
        <v>46099</v>
      </c>
      <c r="G15" s="34"/>
      <c r="H15" s="34" t="s">
        <v>223</v>
      </c>
      <c r="I15" s="34"/>
      <c r="J15" s="9" t="s">
        <v>207</v>
      </c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ht="14.25" customHeight="1" x14ac:dyDescent="0.35">
      <c r="A16" s="12">
        <v>2006391</v>
      </c>
      <c r="B16" s="59" t="str">
        <f>IFERROR(VLOOKUP(Tabla1[[#This Row],[CODIGO]],INVENTARIO!A:B,2,0)," ")</f>
        <v>Guardallave Fierro Fundido C/Tapa</v>
      </c>
      <c r="C16" s="12">
        <v>5</v>
      </c>
      <c r="D16" s="13"/>
      <c r="E16" s="12">
        <v>256</v>
      </c>
      <c r="F16" s="14">
        <v>46099</v>
      </c>
      <c r="G16" s="34"/>
      <c r="H16" s="34" t="s">
        <v>223</v>
      </c>
      <c r="I16" s="34"/>
      <c r="J16" s="9" t="s">
        <v>207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</row>
    <row r="17" spans="1:28" ht="14.25" customHeight="1" x14ac:dyDescent="0.35">
      <c r="A17" s="12">
        <v>303510</v>
      </c>
      <c r="B17" s="59" t="str">
        <f>IFERROR(VLOOKUP(Tabla1[[#This Row],[CODIGO]],INVENTARIO!A:B,2,0)," ")</f>
        <v>Guardallave Hormigón 125 mm con Tapa</v>
      </c>
      <c r="C17" s="12">
        <v>1</v>
      </c>
      <c r="D17" s="13"/>
      <c r="E17" s="12">
        <v>441</v>
      </c>
      <c r="F17" s="14">
        <v>46099</v>
      </c>
      <c r="G17" s="34"/>
      <c r="H17" s="34" t="s">
        <v>225</v>
      </c>
      <c r="I17" s="34"/>
      <c r="J17" s="9" t="s">
        <v>358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</row>
    <row r="18" spans="1:28" ht="14.25" customHeight="1" x14ac:dyDescent="0.35">
      <c r="A18" s="12">
        <v>303347</v>
      </c>
      <c r="B18" s="59" t="str">
        <f>IFERROR(VLOOKUP(Tabla1[[#This Row],[CODIGO]],INVENTARIO!A:B,2,0)," ")</f>
        <v>Tapa PE  063 mm Termo F.</v>
      </c>
      <c r="C18" s="12">
        <v>1</v>
      </c>
      <c r="D18" s="13"/>
      <c r="E18" s="12">
        <v>441</v>
      </c>
      <c r="F18" s="14">
        <v>46099</v>
      </c>
      <c r="G18" s="34"/>
      <c r="H18" s="34" t="s">
        <v>225</v>
      </c>
      <c r="I18" s="34"/>
      <c r="J18" s="9" t="s">
        <v>358</v>
      </c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</row>
    <row r="19" spans="1:28" ht="14.25" customHeight="1" x14ac:dyDescent="0.35">
      <c r="A19" s="12">
        <v>300130</v>
      </c>
      <c r="B19" s="59" t="str">
        <f>IFERROR(VLOOKUP(Tabla1[[#This Row],[CODIGO]],INVENTARIO!A:B,2,0)," ")</f>
        <v>Tee PE  63 mm Electro F.</v>
      </c>
      <c r="C19" s="12">
        <v>1</v>
      </c>
      <c r="D19" s="13"/>
      <c r="E19" s="12">
        <v>441</v>
      </c>
      <c r="F19" s="14">
        <v>46099</v>
      </c>
      <c r="G19" s="34"/>
      <c r="H19" s="34" t="s">
        <v>225</v>
      </c>
      <c r="I19" s="34"/>
      <c r="J19" s="9" t="s">
        <v>358</v>
      </c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</row>
    <row r="20" spans="1:28" ht="14.25" customHeight="1" x14ac:dyDescent="0.35">
      <c r="A20" s="12">
        <v>303345</v>
      </c>
      <c r="B20" s="59" t="str">
        <f>IFERROR(VLOOKUP(Tabla1[[#This Row],[CODIGO]],INVENTARIO!A:B,2,0)," ")</f>
        <v>Copla PE100 050mm EF</v>
      </c>
      <c r="C20" s="12">
        <v>2</v>
      </c>
      <c r="D20" s="13"/>
      <c r="E20" s="12">
        <v>431</v>
      </c>
      <c r="F20" s="14">
        <v>46100</v>
      </c>
      <c r="G20" s="34"/>
      <c r="H20" s="34" t="s">
        <v>232</v>
      </c>
      <c r="I20" s="34"/>
      <c r="J20" s="9" t="s">
        <v>334</v>
      </c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1:28" ht="14.25" customHeight="1" x14ac:dyDescent="0.35">
      <c r="A21" s="12">
        <v>101624</v>
      </c>
      <c r="B21" s="59" t="str">
        <f>IFERROR(VLOOKUP(Tabla1[[#This Row],[CODIGO]],INVENTARIO!A:B,2,0)," ")</f>
        <v>Tapping Tee PE 50-25 mm</v>
      </c>
      <c r="C21" s="12">
        <v>1</v>
      </c>
      <c r="D21" s="13"/>
      <c r="E21" s="12">
        <v>431</v>
      </c>
      <c r="F21" s="14">
        <v>46100</v>
      </c>
      <c r="G21" s="34"/>
      <c r="H21" s="34" t="s">
        <v>232</v>
      </c>
      <c r="I21" s="34"/>
      <c r="J21" s="9" t="s">
        <v>334</v>
      </c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</row>
    <row r="22" spans="1:28" ht="14.25" customHeight="1" x14ac:dyDescent="0.35">
      <c r="A22" s="12">
        <v>301329</v>
      </c>
      <c r="B22" s="59" t="str">
        <f>IFERROR(VLOOKUP(Tabla1[[#This Row],[CODIGO]],INVENTARIO!A:B,2,0)," ")</f>
        <v>Copla PE100 025mm EF</v>
      </c>
      <c r="C22" s="12">
        <v>2</v>
      </c>
      <c r="D22" s="13"/>
      <c r="E22" s="12">
        <v>431</v>
      </c>
      <c r="F22" s="14">
        <v>46100</v>
      </c>
      <c r="G22" s="34"/>
      <c r="H22" s="34" t="s">
        <v>232</v>
      </c>
      <c r="I22" s="34"/>
      <c r="J22" s="9" t="s">
        <v>334</v>
      </c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</row>
    <row r="23" spans="1:28" ht="14.25" customHeight="1" x14ac:dyDescent="0.35">
      <c r="A23" s="12">
        <v>302065</v>
      </c>
      <c r="B23" s="59" t="str">
        <f>IFERROR(VLOOKUP(Tabla1[[#This Row],[CODIGO]],INVENTARIO!A:B,2,0)," ")</f>
        <v>Tubería PE80 110mm Tira</v>
      </c>
      <c r="C23" s="12">
        <v>120</v>
      </c>
      <c r="D23" s="13"/>
      <c r="E23" s="12">
        <v>463</v>
      </c>
      <c r="F23" s="14">
        <v>46100</v>
      </c>
      <c r="G23" s="34"/>
      <c r="H23" s="34" t="s">
        <v>354</v>
      </c>
      <c r="I23" s="34"/>
      <c r="J23" s="9" t="s">
        <v>274</v>
      </c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</row>
    <row r="24" spans="1:28" ht="14.25" customHeight="1" x14ac:dyDescent="0.35">
      <c r="A24" s="12">
        <v>2002262</v>
      </c>
      <c r="B24" s="59" t="str">
        <f>IFERROR(VLOOKUP(Tabla1[[#This Row],[CODIGO]],INVENTARIO!A:B,2,0)," ")</f>
        <v>Tubería PE80 050mm Rollo</v>
      </c>
      <c r="C24" s="12">
        <v>100</v>
      </c>
      <c r="D24" s="13"/>
      <c r="E24" s="12">
        <v>457</v>
      </c>
      <c r="F24" s="14">
        <v>46100</v>
      </c>
      <c r="G24" s="34"/>
      <c r="H24" s="34" t="s">
        <v>314</v>
      </c>
      <c r="I24" s="34"/>
      <c r="J24" s="9" t="s">
        <v>274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</row>
    <row r="25" spans="1:28" ht="14.25" customHeight="1" x14ac:dyDescent="0.35">
      <c r="A25" s="12">
        <v>303345</v>
      </c>
      <c r="B25" s="59" t="str">
        <f>IFERROR(VLOOKUP(Tabla1[[#This Row],[CODIGO]],INVENTARIO!A:B,2,0)," ")</f>
        <v>Copla PE100 050mm EF</v>
      </c>
      <c r="C25" s="12">
        <v>4</v>
      </c>
      <c r="D25" s="13"/>
      <c r="E25" s="12">
        <v>457</v>
      </c>
      <c r="F25" s="14">
        <v>46100</v>
      </c>
      <c r="G25" s="34"/>
      <c r="H25" s="34" t="s">
        <v>314</v>
      </c>
      <c r="I25" s="34"/>
      <c r="J25" s="9" t="s">
        <v>274</v>
      </c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</row>
    <row r="26" spans="1:28" ht="14.25" customHeight="1" x14ac:dyDescent="0.35">
      <c r="A26" s="12">
        <v>301327</v>
      </c>
      <c r="B26" s="59" t="str">
        <f>IFERROR(VLOOKUP(Tabla1[[#This Row],[CODIGO]],INVENTARIO!A:B,2,0)," ")</f>
        <v>Tapa PE  050 mm Termo F.</v>
      </c>
      <c r="C26" s="12">
        <v>2</v>
      </c>
      <c r="D26" s="13"/>
      <c r="E26" s="12">
        <v>457</v>
      </c>
      <c r="F26" s="14">
        <v>46100</v>
      </c>
      <c r="G26" s="34"/>
      <c r="H26" s="34" t="s">
        <v>314</v>
      </c>
      <c r="I26" s="34"/>
      <c r="J26" s="9" t="s">
        <v>274</v>
      </c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</row>
    <row r="27" spans="1:28" ht="14.25" customHeight="1" x14ac:dyDescent="0.35">
      <c r="A27" s="12">
        <v>101624</v>
      </c>
      <c r="B27" s="59" t="str">
        <f>IFERROR(VLOOKUP(Tabla1[[#This Row],[CODIGO]],INVENTARIO!A:B,2,0)," ")</f>
        <v>Tapping Tee PE 50-25 mm</v>
      </c>
      <c r="C27" s="12">
        <v>1</v>
      </c>
      <c r="D27" s="13"/>
      <c r="E27" s="12">
        <v>457</v>
      </c>
      <c r="F27" s="14">
        <v>46100</v>
      </c>
      <c r="G27" s="34"/>
      <c r="H27" s="34" t="s">
        <v>314</v>
      </c>
      <c r="I27" s="34"/>
      <c r="J27" s="9" t="s">
        <v>274</v>
      </c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</row>
    <row r="28" spans="1:28" ht="14.25" customHeight="1" x14ac:dyDescent="0.35">
      <c r="A28" s="12">
        <v>301099</v>
      </c>
      <c r="B28" s="59" t="str">
        <f>IFERROR(VLOOKUP(Tabla1[[#This Row],[CODIGO]],INVENTARIO!A:B,2,0)," ")</f>
        <v>Válvula PE100 Dn 25mm</v>
      </c>
      <c r="C28" s="12">
        <v>1</v>
      </c>
      <c r="D28" s="13"/>
      <c r="E28" s="12">
        <v>457</v>
      </c>
      <c r="F28" s="14">
        <v>46100</v>
      </c>
      <c r="G28" s="34"/>
      <c r="H28" s="34" t="s">
        <v>314</v>
      </c>
      <c r="I28" s="34"/>
      <c r="J28" s="9" t="s">
        <v>274</v>
      </c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</row>
    <row r="29" spans="1:28" ht="14.25" customHeight="1" x14ac:dyDescent="0.35">
      <c r="A29" s="12">
        <v>2006391</v>
      </c>
      <c r="B29" s="59" t="str">
        <f>IFERROR(VLOOKUP(Tabla1[[#This Row],[CODIGO]],INVENTARIO!A:B,2,0)," ")</f>
        <v>Guardallave Fierro Fundido C/Tapa</v>
      </c>
      <c r="C29" s="12">
        <v>1</v>
      </c>
      <c r="D29" s="13"/>
      <c r="E29" s="12">
        <v>457</v>
      </c>
      <c r="F29" s="14">
        <v>46100</v>
      </c>
      <c r="G29" s="34"/>
      <c r="H29" s="34" t="s">
        <v>314</v>
      </c>
      <c r="I29" s="34"/>
      <c r="J29" s="9" t="s">
        <v>274</v>
      </c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</row>
    <row r="30" spans="1:28" ht="14.25" customHeight="1" x14ac:dyDescent="0.35">
      <c r="A30" s="12">
        <v>300109</v>
      </c>
      <c r="B30" s="59" t="str">
        <f>IFERROR(VLOOKUP(Tabla1[[#This Row],[CODIGO]],INVENTARIO!A:B,2,0)," ")</f>
        <v>Risers de Acero 3/4" Bsp x 25 mm</v>
      </c>
      <c r="C30" s="12">
        <v>1</v>
      </c>
      <c r="D30" s="13"/>
      <c r="E30" s="12">
        <v>457</v>
      </c>
      <c r="F30" s="14">
        <v>46100</v>
      </c>
      <c r="G30" s="34"/>
      <c r="H30" s="34" t="s">
        <v>314</v>
      </c>
      <c r="I30" s="34"/>
      <c r="J30" s="9" t="s">
        <v>274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</row>
    <row r="31" spans="1:28" ht="14.25" customHeight="1" x14ac:dyDescent="0.35">
      <c r="A31" s="12">
        <v>2008481</v>
      </c>
      <c r="B31" s="59" t="str">
        <f>IFERROR(VLOOKUP(Tabla1[[#This Row],[CODIGO]],INVENTARIO!A:B,2,0)," ")</f>
        <v>Tapa Tornillo Bronce 3/4" HE Bspt.</v>
      </c>
      <c r="C31" s="12">
        <v>1</v>
      </c>
      <c r="D31" s="13"/>
      <c r="E31" s="12">
        <v>457</v>
      </c>
      <c r="F31" s="14">
        <v>46100</v>
      </c>
      <c r="G31" s="34"/>
      <c r="H31" s="34" t="s">
        <v>314</v>
      </c>
      <c r="I31" s="34"/>
      <c r="J31" s="9" t="s">
        <v>274</v>
      </c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ht="14.25" customHeight="1" x14ac:dyDescent="0.35">
      <c r="A32" s="12">
        <v>302737</v>
      </c>
      <c r="B32" s="59" t="str">
        <f>IFERROR(VLOOKUP(Tabla1[[#This Row],[CODIGO]],INVENTARIO!A:B,2,0)," ")</f>
        <v>Válvula Bola 3/4" Hi Un Cuerpo Pn5 Arco</v>
      </c>
      <c r="C32" s="12">
        <v>1</v>
      </c>
      <c r="D32" s="13"/>
      <c r="E32" s="12">
        <v>457</v>
      </c>
      <c r="F32" s="14">
        <v>46100</v>
      </c>
      <c r="G32" s="34"/>
      <c r="H32" s="34" t="s">
        <v>314</v>
      </c>
      <c r="I32" s="34"/>
      <c r="J32" s="9" t="s">
        <v>274</v>
      </c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ht="14.25" customHeight="1" x14ac:dyDescent="0.35">
      <c r="A33" s="12">
        <v>303368</v>
      </c>
      <c r="B33" s="59" t="str">
        <f>IFERROR(VLOOKUP(Tabla1[[#This Row],[CODIGO]],INVENTARIO!A:B,2,0)," ")</f>
        <v>Cinta Plástica "Línea GN", 30 x 0.1</v>
      </c>
      <c r="C33" s="12">
        <v>100</v>
      </c>
      <c r="D33" s="13"/>
      <c r="E33" s="12">
        <v>457</v>
      </c>
      <c r="F33" s="14">
        <v>46100</v>
      </c>
      <c r="G33" s="34"/>
      <c r="H33" s="34" t="s">
        <v>314</v>
      </c>
      <c r="I33" s="34"/>
      <c r="J33" s="9" t="s">
        <v>274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ht="14.25" customHeight="1" x14ac:dyDescent="0.35">
      <c r="A34" s="12">
        <v>1002167</v>
      </c>
      <c r="B34" s="59" t="str">
        <f>IFERROR(VLOOKUP(Tabla1[[#This Row],[CODIGO]],INVENTARIO!A:B,2,0)," ")</f>
        <v>Cable Trazador Cu 14 AWG Aisl. THW Roj</v>
      </c>
      <c r="C34" s="12">
        <v>100</v>
      </c>
      <c r="D34" s="13"/>
      <c r="E34" s="12">
        <v>457</v>
      </c>
      <c r="F34" s="14">
        <v>46100</v>
      </c>
      <c r="G34" s="34"/>
      <c r="H34" s="34" t="s">
        <v>314</v>
      </c>
      <c r="I34" s="34"/>
      <c r="J34" s="9" t="s">
        <v>274</v>
      </c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</row>
    <row r="35" spans="1:28" ht="14.25" customHeight="1" x14ac:dyDescent="0.35">
      <c r="A35" s="9" t="s">
        <v>292</v>
      </c>
      <c r="B35" s="59" t="str">
        <f>IFERROR(VLOOKUP(Tabla1[[#This Row],[CODIGO]],INVENTARIO!A:B,2,0)," ")</f>
        <v>Toalla Nova Clasica</v>
      </c>
      <c r="C35" s="12">
        <v>2</v>
      </c>
      <c r="D35" s="13"/>
      <c r="E35" s="12">
        <v>457</v>
      </c>
      <c r="F35" s="14">
        <v>46100</v>
      </c>
      <c r="G35" s="34"/>
      <c r="H35" s="34" t="s">
        <v>314</v>
      </c>
      <c r="I35" s="34"/>
      <c r="J35" s="9" t="s">
        <v>274</v>
      </c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</row>
    <row r="36" spans="1:28" ht="14.25" customHeight="1" x14ac:dyDescent="0.35">
      <c r="A36" s="12">
        <v>2000350</v>
      </c>
      <c r="B36" s="59" t="str">
        <f>IFERROR(VLOOKUP(Tabla1[[#This Row],[CODIGO]],INVENTARIO!A:B,2,0)," ")</f>
        <v>Codo PE 90º  25 mm EF.</v>
      </c>
      <c r="C36" s="12">
        <v>2</v>
      </c>
      <c r="D36" s="13"/>
      <c r="E36" s="12">
        <v>457</v>
      </c>
      <c r="F36" s="14">
        <v>46100</v>
      </c>
      <c r="G36" s="34"/>
      <c r="H36" s="34" t="s">
        <v>314</v>
      </c>
      <c r="I36" s="34"/>
      <c r="J36" s="9" t="s">
        <v>274</v>
      </c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</row>
    <row r="37" spans="1:28" ht="14.25" customHeight="1" x14ac:dyDescent="0.35">
      <c r="A37" s="12">
        <v>302659</v>
      </c>
      <c r="B37" s="59" t="str">
        <f>IFERROR(VLOOKUP(Tabla1[[#This Row],[CODIGO]],INVENTARIO!A:B,2,0)," ")</f>
        <v>Copla PE100 063mm EF</v>
      </c>
      <c r="C37" s="12">
        <v>4</v>
      </c>
      <c r="D37" s="13"/>
      <c r="E37" s="12">
        <v>460</v>
      </c>
      <c r="F37" s="14">
        <v>46100</v>
      </c>
      <c r="G37" s="34"/>
      <c r="H37" s="34" t="s">
        <v>309</v>
      </c>
      <c r="I37" s="34"/>
      <c r="J37" s="9" t="s">
        <v>194</v>
      </c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</row>
    <row r="38" spans="1:28" ht="14.25" customHeight="1" x14ac:dyDescent="0.35">
      <c r="A38" s="12">
        <v>2008302</v>
      </c>
      <c r="B38" s="59" t="str">
        <f>IFERROR(VLOOKUP(Tabla1[[#This Row],[CODIGO]],INVENTARIO!A:B,2,0)," ")</f>
        <v>Tapa PE 063 mm Electro F.</v>
      </c>
      <c r="C38" s="12">
        <v>4</v>
      </c>
      <c r="D38" s="13"/>
      <c r="E38" s="12">
        <v>460</v>
      </c>
      <c r="F38" s="14">
        <v>46100</v>
      </c>
      <c r="G38" s="34"/>
      <c r="H38" s="34" t="s">
        <v>309</v>
      </c>
      <c r="I38" s="34"/>
      <c r="J38" s="9" t="s">
        <v>194</v>
      </c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</row>
    <row r="39" spans="1:28" ht="14.25" customHeight="1" x14ac:dyDescent="0.35">
      <c r="A39" s="9" t="s">
        <v>291</v>
      </c>
      <c r="B39" s="59" t="str">
        <f>IFERROR(VLOOKUP(Tabla1[[#This Row],[CODIGO]],INVENTARIO!A:B,2,0)," ")</f>
        <v>Alcohol Isopropilico  500 ml</v>
      </c>
      <c r="C39" s="12">
        <v>1</v>
      </c>
      <c r="D39" s="13"/>
      <c r="E39" s="12">
        <v>460</v>
      </c>
      <c r="F39" s="14">
        <v>46100</v>
      </c>
      <c r="G39" s="34"/>
      <c r="H39" s="34" t="s">
        <v>309</v>
      </c>
      <c r="I39" s="34"/>
      <c r="J39" s="9" t="s">
        <v>194</v>
      </c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</row>
    <row r="40" spans="1:28" ht="14.25" customHeight="1" x14ac:dyDescent="0.35">
      <c r="A40" s="9" t="s">
        <v>292</v>
      </c>
      <c r="B40" s="59" t="str">
        <f>IFERROR(VLOOKUP(Tabla1[[#This Row],[CODIGO]],INVENTARIO!A:B,2,0)," ")</f>
        <v>Toalla Nova Clasica</v>
      </c>
      <c r="C40" s="12">
        <v>1</v>
      </c>
      <c r="D40" s="13"/>
      <c r="E40" s="12">
        <v>460</v>
      </c>
      <c r="F40" s="14">
        <v>46100</v>
      </c>
      <c r="G40" s="34"/>
      <c r="H40" s="34" t="s">
        <v>309</v>
      </c>
      <c r="I40" s="34"/>
      <c r="J40" s="9" t="s">
        <v>194</v>
      </c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</row>
    <row r="41" spans="1:28" ht="14.25" customHeight="1" x14ac:dyDescent="0.35">
      <c r="A41" s="12">
        <v>2002263</v>
      </c>
      <c r="B41" s="59" t="str">
        <f>IFERROR(VLOOKUP(Tabla1[[#This Row],[CODIGO]],INVENTARIO!A:B,2,0)," ")</f>
        <v>Tubería PE80 063mm Rollo</v>
      </c>
      <c r="C41" s="12">
        <v>3.85</v>
      </c>
      <c r="D41" s="13"/>
      <c r="E41" s="12">
        <v>460</v>
      </c>
      <c r="F41" s="14">
        <v>46100</v>
      </c>
      <c r="G41" s="34"/>
      <c r="H41" s="34" t="s">
        <v>309</v>
      </c>
      <c r="I41" s="34"/>
      <c r="J41" s="9" t="s">
        <v>194</v>
      </c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</row>
    <row r="42" spans="1:28" ht="14.25" customHeight="1" x14ac:dyDescent="0.35">
      <c r="A42" s="12">
        <v>301749</v>
      </c>
      <c r="B42" s="59" t="str">
        <f>IFERROR(VLOOKUP(Tabla1[[#This Row],[CODIGO]],INVENTARIO!A:B,2,0)," ")</f>
        <v>Tubería PE80 025mm Rollo</v>
      </c>
      <c r="C42" s="12">
        <v>15</v>
      </c>
      <c r="D42" s="13"/>
      <c r="E42" s="12">
        <v>430</v>
      </c>
      <c r="F42" s="14">
        <v>46100</v>
      </c>
      <c r="G42" s="34"/>
      <c r="H42" s="34" t="s">
        <v>232</v>
      </c>
      <c r="I42" s="34"/>
      <c r="J42" s="9" t="s">
        <v>334</v>
      </c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</row>
    <row r="43" spans="1:28" ht="14.25" customHeight="1" x14ac:dyDescent="0.35">
      <c r="A43" s="12">
        <v>301987</v>
      </c>
      <c r="B43" s="59" t="str">
        <f>IFERROR(VLOOKUP(Tabla1[[#This Row],[CODIGO]],INVENTARIO!A:B,2,0)," ")</f>
        <v>Codo PE100 90° 063mm EF</v>
      </c>
      <c r="C43" s="12">
        <v>6</v>
      </c>
      <c r="D43" s="13"/>
      <c r="E43" s="12">
        <v>458</v>
      </c>
      <c r="F43" s="14">
        <v>46100</v>
      </c>
      <c r="G43" s="34"/>
      <c r="H43" s="34" t="s">
        <v>226</v>
      </c>
      <c r="I43" s="34"/>
      <c r="J43" s="9" t="s">
        <v>364</v>
      </c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</row>
    <row r="44" spans="1:28" ht="14.25" customHeight="1" x14ac:dyDescent="0.35">
      <c r="A44" s="12">
        <v>2000350</v>
      </c>
      <c r="B44" s="59" t="str">
        <f>IFERROR(VLOOKUP(Tabla1[[#This Row],[CODIGO]],INVENTARIO!A:B,2,0)," ")</f>
        <v>Codo PE 90º  25 mm EF.</v>
      </c>
      <c r="C44" s="12">
        <v>4</v>
      </c>
      <c r="D44" s="13"/>
      <c r="E44" s="12">
        <v>458</v>
      </c>
      <c r="F44" s="14">
        <v>46100</v>
      </c>
      <c r="G44" s="34"/>
      <c r="H44" s="34" t="s">
        <v>226</v>
      </c>
      <c r="I44" s="34"/>
      <c r="J44" s="9" t="s">
        <v>364</v>
      </c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</row>
    <row r="45" spans="1:28" ht="14.25" customHeight="1" x14ac:dyDescent="0.35">
      <c r="A45" s="12">
        <v>2007948</v>
      </c>
      <c r="B45" s="59" t="str">
        <f>IFERROR(VLOOKUP(Tabla1[[#This Row],[CODIGO]],INVENTARIO!A:B,2,0)," ")</f>
        <v>Tubo PVC Hidraulico 110 mm Pn6 Celeste</v>
      </c>
      <c r="C45" s="12">
        <v>1</v>
      </c>
      <c r="D45" s="13"/>
      <c r="E45" s="12">
        <v>260</v>
      </c>
      <c r="F45" s="14">
        <v>46100</v>
      </c>
      <c r="G45" s="34"/>
      <c r="H45" s="34" t="s">
        <v>304</v>
      </c>
      <c r="I45" s="34"/>
      <c r="J45" s="9" t="s">
        <v>206</v>
      </c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28" ht="14.25" customHeight="1" x14ac:dyDescent="0.35">
      <c r="A46" s="12">
        <v>303017</v>
      </c>
      <c r="B46" s="59" t="str">
        <f>IFERROR(VLOOKUP(Tabla1[[#This Row],[CODIGO]],INVENTARIO!A:B,2,0)," ")</f>
        <v>Codo PE100 90° 110mm EF</v>
      </c>
      <c r="C46" s="12">
        <v>4</v>
      </c>
      <c r="D46" s="13"/>
      <c r="E46" s="12">
        <v>456</v>
      </c>
      <c r="F46" s="14">
        <v>46100</v>
      </c>
      <c r="G46" s="34"/>
      <c r="H46" s="34" t="s">
        <v>354</v>
      </c>
      <c r="I46" s="34"/>
      <c r="J46" s="9" t="s">
        <v>274</v>
      </c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1:28" ht="14.25" customHeight="1" x14ac:dyDescent="0.35">
      <c r="A47" s="12">
        <v>2005135</v>
      </c>
      <c r="B47" s="59" t="str">
        <f>IFERROR(VLOOKUP(Tabla1[[#This Row],[CODIGO]],INVENTARIO!A:B,2,0)," ")</f>
        <v>Tubo PVC 110 mm PN6 CG Amarillo Tira 6 m</v>
      </c>
      <c r="C47" s="12">
        <v>1</v>
      </c>
      <c r="D47" s="13"/>
      <c r="E47" s="12">
        <v>455</v>
      </c>
      <c r="F47" s="14">
        <v>46100</v>
      </c>
      <c r="G47" s="34"/>
      <c r="H47" s="34" t="s">
        <v>225</v>
      </c>
      <c r="I47" s="34"/>
      <c r="J47" s="9" t="s">
        <v>358</v>
      </c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</row>
    <row r="48" spans="1:28" ht="14.25" customHeight="1" x14ac:dyDescent="0.35">
      <c r="A48" s="12">
        <v>301666</v>
      </c>
      <c r="B48" s="59" t="str">
        <f>IFERROR(VLOOKUP(Tabla1[[#This Row],[CODIGO]],INVENTARIO!A:B,2,0)," ")</f>
        <v>Tapping Tee PE 110-25 mm</v>
      </c>
      <c r="C48" s="12">
        <v>5</v>
      </c>
      <c r="D48" s="13"/>
      <c r="E48" s="12">
        <v>505</v>
      </c>
      <c r="F48" s="14">
        <v>46100</v>
      </c>
      <c r="G48" s="34"/>
      <c r="H48" s="34" t="s">
        <v>267</v>
      </c>
      <c r="I48" s="34"/>
      <c r="J48" s="9" t="s">
        <v>341</v>
      </c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</row>
    <row r="49" spans="1:28" ht="14.25" customHeight="1" x14ac:dyDescent="0.35">
      <c r="A49" s="12">
        <v>301099</v>
      </c>
      <c r="B49" s="59" t="str">
        <f>IFERROR(VLOOKUP(Tabla1[[#This Row],[CODIGO]],INVENTARIO!A:B,2,0)," ")</f>
        <v>Válvula PE100 Dn 25mm</v>
      </c>
      <c r="C49" s="12">
        <v>3</v>
      </c>
      <c r="D49" s="13"/>
      <c r="E49" s="12">
        <v>505</v>
      </c>
      <c r="F49" s="14">
        <v>46100</v>
      </c>
      <c r="G49" s="34"/>
      <c r="H49" s="34" t="s">
        <v>267</v>
      </c>
      <c r="I49" s="34"/>
      <c r="J49" s="9" t="s">
        <v>341</v>
      </c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</row>
    <row r="50" spans="1:28" ht="14.25" customHeight="1" x14ac:dyDescent="0.35">
      <c r="A50" s="12">
        <v>300712</v>
      </c>
      <c r="B50" s="59" t="str">
        <f>IFERROR(VLOOKUP(Tabla1[[#This Row],[CODIGO]],INVENTARIO!A:B,2,0)," ")</f>
        <v>Tapa PE  025 mm Termo F.</v>
      </c>
      <c r="C50" s="12">
        <v>3</v>
      </c>
      <c r="D50" s="13"/>
      <c r="E50" s="12">
        <v>505</v>
      </c>
      <c r="F50" s="14">
        <v>46100</v>
      </c>
      <c r="G50" s="34"/>
      <c r="H50" s="34" t="s">
        <v>267</v>
      </c>
      <c r="I50" s="34"/>
      <c r="J50" s="9" t="s">
        <v>341</v>
      </c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</row>
    <row r="51" spans="1:28" ht="14.25" customHeight="1" x14ac:dyDescent="0.35">
      <c r="A51" s="12">
        <v>300422</v>
      </c>
      <c r="B51" s="59" t="str">
        <f>IFERROR(VLOOKUP(Tabla1[[#This Row],[CODIGO]],INVENTARIO!A:B,2,0)," ")</f>
        <v>Tapa PE 160 mm Termo F.</v>
      </c>
      <c r="C51" s="12">
        <v>4</v>
      </c>
      <c r="D51" s="13"/>
      <c r="E51" s="12">
        <v>505</v>
      </c>
      <c r="F51" s="14">
        <v>46100</v>
      </c>
      <c r="G51" s="34"/>
      <c r="H51" s="34" t="s">
        <v>267</v>
      </c>
      <c r="I51" s="34"/>
      <c r="J51" s="9" t="s">
        <v>341</v>
      </c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</row>
    <row r="52" spans="1:28" ht="14.25" customHeight="1" x14ac:dyDescent="0.35">
      <c r="A52" s="12">
        <v>300117</v>
      </c>
      <c r="B52" s="59" t="str">
        <f>IFERROR(VLOOKUP(Tabla1[[#This Row],[CODIGO]],INVENTARIO!A:B,2,0)," ")</f>
        <v>Copla PE100 160mm EF</v>
      </c>
      <c r="C52" s="12">
        <v>10</v>
      </c>
      <c r="D52" s="13"/>
      <c r="E52" s="12">
        <v>505</v>
      </c>
      <c r="F52" s="14">
        <v>46100</v>
      </c>
      <c r="G52" s="34"/>
      <c r="H52" s="34" t="s">
        <v>267</v>
      </c>
      <c r="I52" s="34"/>
      <c r="J52" s="9" t="s">
        <v>341</v>
      </c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</row>
    <row r="53" spans="1:28" ht="14.25" customHeight="1" x14ac:dyDescent="0.35">
      <c r="A53" s="12">
        <v>300109</v>
      </c>
      <c r="B53" s="59" t="str">
        <f>IFERROR(VLOOKUP(Tabla1[[#This Row],[CODIGO]],INVENTARIO!A:B,2,0)," ")</f>
        <v>Risers de Acero 3/4" Bsp x 25 mm</v>
      </c>
      <c r="C53" s="12">
        <v>5</v>
      </c>
      <c r="D53" s="13"/>
      <c r="E53" s="12">
        <v>505</v>
      </c>
      <c r="F53" s="14">
        <v>46100</v>
      </c>
      <c r="G53" s="34"/>
      <c r="H53" s="34" t="s">
        <v>267</v>
      </c>
      <c r="I53" s="34"/>
      <c r="J53" s="9" t="s">
        <v>341</v>
      </c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</row>
    <row r="54" spans="1:28" ht="14.25" customHeight="1" x14ac:dyDescent="0.35">
      <c r="A54" s="12">
        <v>302737</v>
      </c>
      <c r="B54" s="59" t="str">
        <f>IFERROR(VLOOKUP(Tabla1[[#This Row],[CODIGO]],INVENTARIO!A:B,2,0)," ")</f>
        <v>Válvula Bola 3/4" Hi Un Cuerpo Pn5 Arco</v>
      </c>
      <c r="C54" s="12">
        <v>5</v>
      </c>
      <c r="D54" s="13"/>
      <c r="E54" s="12">
        <v>505</v>
      </c>
      <c r="F54" s="14">
        <v>46100</v>
      </c>
      <c r="G54" s="34"/>
      <c r="H54" s="34" t="s">
        <v>267</v>
      </c>
      <c r="I54" s="34"/>
      <c r="J54" s="9" t="s">
        <v>341</v>
      </c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</row>
    <row r="55" spans="1:28" ht="14.25" customHeight="1" x14ac:dyDescent="0.35">
      <c r="A55" s="12">
        <v>302184</v>
      </c>
      <c r="B55" s="59" t="str">
        <f>IFERROR(VLOOKUP(Tabla1[[#This Row],[CODIGO]],INVENTARIO!A:B,2,0)," ")</f>
        <v>Tapa Tornillo Cambio de Codigo por: 2008481</v>
      </c>
      <c r="C55" s="12">
        <v>5</v>
      </c>
      <c r="D55" s="13"/>
      <c r="E55" s="12">
        <v>505</v>
      </c>
      <c r="F55" s="14">
        <v>46100</v>
      </c>
      <c r="G55" s="34"/>
      <c r="H55" s="34" t="s">
        <v>267</v>
      </c>
      <c r="I55" s="34"/>
      <c r="J55" s="9" t="s">
        <v>341</v>
      </c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</row>
    <row r="56" spans="1:28" ht="14.25" customHeight="1" x14ac:dyDescent="0.35">
      <c r="A56" s="12">
        <v>303511</v>
      </c>
      <c r="B56" s="59" t="str">
        <f>IFERROR(VLOOKUP(Tabla1[[#This Row],[CODIGO]],INVENTARIO!A:B,2,0)," ")</f>
        <v>Lata de Espuma Poliuretano Adimus / 500 ML</v>
      </c>
      <c r="C56" s="12">
        <v>1</v>
      </c>
      <c r="D56" s="13"/>
      <c r="E56" s="12">
        <v>454</v>
      </c>
      <c r="F56" s="14">
        <v>46099</v>
      </c>
      <c r="G56" s="34"/>
      <c r="H56" s="34" t="s">
        <v>309</v>
      </c>
      <c r="I56" s="34"/>
      <c r="J56" s="9" t="s">
        <v>206</v>
      </c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</row>
    <row r="57" spans="1:28" ht="14.25" customHeight="1" x14ac:dyDescent="0.35">
      <c r="A57" s="9" t="s">
        <v>292</v>
      </c>
      <c r="B57" s="59" t="str">
        <f>IFERROR(VLOOKUP(Tabla1[[#This Row],[CODIGO]],INVENTARIO!A:B,2,0)," ")</f>
        <v>Toalla Nova Clasica</v>
      </c>
      <c r="C57" s="12">
        <v>1</v>
      </c>
      <c r="D57" s="13"/>
      <c r="E57" s="12">
        <v>446</v>
      </c>
      <c r="F57" s="14">
        <v>46099</v>
      </c>
      <c r="G57" s="34"/>
      <c r="H57" s="34" t="s">
        <v>338</v>
      </c>
      <c r="I57" s="34"/>
      <c r="J57" s="9" t="s">
        <v>207</v>
      </c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</row>
    <row r="58" spans="1:28" ht="14.25" customHeight="1" x14ac:dyDescent="0.35">
      <c r="A58" s="12">
        <v>301327</v>
      </c>
      <c r="B58" s="59" t="str">
        <f>IFERROR(VLOOKUP(Tabla1[[#This Row],[CODIGO]],INVENTARIO!A:B,2,0)," ")</f>
        <v>Tapa PE  050 mm Termo F.</v>
      </c>
      <c r="C58" s="12">
        <v>1</v>
      </c>
      <c r="D58" s="13"/>
      <c r="E58" s="12">
        <v>432</v>
      </c>
      <c r="F58" s="14">
        <v>46099</v>
      </c>
      <c r="G58" s="34"/>
      <c r="H58" s="34" t="s">
        <v>232</v>
      </c>
      <c r="I58" s="34"/>
      <c r="J58" s="9" t="s">
        <v>334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</row>
    <row r="59" spans="1:28" ht="14.25" customHeight="1" x14ac:dyDescent="0.35">
      <c r="A59" s="12">
        <v>101624</v>
      </c>
      <c r="B59" s="59" t="str">
        <f>IFERROR(VLOOKUP(Tabla1[[#This Row],[CODIGO]],INVENTARIO!A:B,2,0)," ")</f>
        <v>Tapping Tee PE 50-25 mm</v>
      </c>
      <c r="C59" s="12">
        <v>1</v>
      </c>
      <c r="D59" s="13"/>
      <c r="E59" s="12">
        <v>432</v>
      </c>
      <c r="F59" s="14">
        <v>46099</v>
      </c>
      <c r="G59" s="34"/>
      <c r="H59" s="34" t="s">
        <v>232</v>
      </c>
      <c r="I59" s="34"/>
      <c r="J59" s="9" t="s">
        <v>334</v>
      </c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</row>
    <row r="60" spans="1:28" ht="14.25" customHeight="1" x14ac:dyDescent="0.35">
      <c r="A60" s="12">
        <v>300109</v>
      </c>
      <c r="B60" s="59" t="str">
        <f>IFERROR(VLOOKUP(Tabla1[[#This Row],[CODIGO]],INVENTARIO!A:B,2,0)," ")</f>
        <v>Risers de Acero 3/4" Bsp x 25 mm</v>
      </c>
      <c r="C60" s="12">
        <v>1</v>
      </c>
      <c r="D60" s="13"/>
      <c r="E60" s="12">
        <v>432</v>
      </c>
      <c r="F60" s="14">
        <v>46099</v>
      </c>
      <c r="G60" s="34"/>
      <c r="H60" s="34" t="s">
        <v>232</v>
      </c>
      <c r="I60" s="34"/>
      <c r="J60" s="9" t="s">
        <v>334</v>
      </c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</row>
    <row r="61" spans="1:28" ht="14.25" customHeight="1" x14ac:dyDescent="0.35">
      <c r="A61" s="12">
        <v>302737</v>
      </c>
      <c r="B61" s="59" t="str">
        <f>IFERROR(VLOOKUP(Tabla1[[#This Row],[CODIGO]],INVENTARIO!A:B,2,0)," ")</f>
        <v>Válvula Bola 3/4" Hi Un Cuerpo Pn5 Arco</v>
      </c>
      <c r="C61" s="12">
        <v>1</v>
      </c>
      <c r="D61" s="13"/>
      <c r="E61" s="12">
        <v>432</v>
      </c>
      <c r="F61" s="14">
        <v>46099</v>
      </c>
      <c r="G61" s="34"/>
      <c r="H61" s="34" t="s">
        <v>232</v>
      </c>
      <c r="I61" s="34"/>
      <c r="J61" s="9" t="s">
        <v>334</v>
      </c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</row>
    <row r="62" spans="1:28" ht="14.25" customHeight="1" x14ac:dyDescent="0.35">
      <c r="A62" s="12">
        <v>2008481</v>
      </c>
      <c r="B62" s="59" t="str">
        <f>IFERROR(VLOOKUP(Tabla1[[#This Row],[CODIGO]],INVENTARIO!A:B,2,0)," ")</f>
        <v>Tapa Tornillo Bronce 3/4" HE Bspt.</v>
      </c>
      <c r="C62" s="12">
        <v>1</v>
      </c>
      <c r="D62" s="13"/>
      <c r="E62" s="12">
        <v>432</v>
      </c>
      <c r="F62" s="14">
        <v>46099</v>
      </c>
      <c r="G62" s="34"/>
      <c r="H62" s="34" t="s">
        <v>232</v>
      </c>
      <c r="I62" s="34"/>
      <c r="J62" s="9" t="s">
        <v>334</v>
      </c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</row>
    <row r="63" spans="1:28" ht="14.25" customHeight="1" x14ac:dyDescent="0.35">
      <c r="A63" s="12">
        <v>2000350</v>
      </c>
      <c r="B63" s="59" t="str">
        <f>IFERROR(VLOOKUP(Tabla1[[#This Row],[CODIGO]],INVENTARIO!A:B,2,0)," ")</f>
        <v>Codo PE 90º  25 mm EF.</v>
      </c>
      <c r="C63" s="12">
        <v>1</v>
      </c>
      <c r="D63" s="13"/>
      <c r="E63" s="12">
        <v>432</v>
      </c>
      <c r="F63" s="14">
        <v>46099</v>
      </c>
      <c r="G63" s="34"/>
      <c r="H63" s="34" t="s">
        <v>232</v>
      </c>
      <c r="I63" s="34"/>
      <c r="J63" s="9" t="s">
        <v>334</v>
      </c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</row>
    <row r="64" spans="1:28" ht="14.25" customHeight="1" x14ac:dyDescent="0.35">
      <c r="A64" s="12">
        <v>101624</v>
      </c>
      <c r="B64" s="59" t="str">
        <f>IFERROR(VLOOKUP(Tabla1[[#This Row],[CODIGO]],INVENTARIO!A:B,2,0)," ")</f>
        <v>Tapping Tee PE 50-25 mm</v>
      </c>
      <c r="C64" s="12">
        <v>15</v>
      </c>
      <c r="D64" s="13"/>
      <c r="E64" s="12">
        <v>432</v>
      </c>
      <c r="F64" s="14">
        <v>46099</v>
      </c>
      <c r="G64" s="34"/>
      <c r="H64" s="34" t="s">
        <v>232</v>
      </c>
      <c r="I64" s="34"/>
      <c r="J64" s="9" t="s">
        <v>334</v>
      </c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</row>
    <row r="65" spans="1:28" ht="14.25" customHeight="1" x14ac:dyDescent="0.35">
      <c r="A65" s="12">
        <v>2003911</v>
      </c>
      <c r="B65" s="59" t="str">
        <f>IFERROR(VLOOKUP(Tabla1[[#This Row],[CODIGO]],INVENTARIO!A:B,2,0)," ")</f>
        <v>Válvula EFv PE 25 mm Para Tap. Tee</v>
      </c>
      <c r="C65" s="12">
        <v>15</v>
      </c>
      <c r="D65" s="13"/>
      <c r="E65" s="12">
        <v>432</v>
      </c>
      <c r="F65" s="14">
        <v>46099</v>
      </c>
      <c r="G65" s="34"/>
      <c r="H65" s="34" t="s">
        <v>232</v>
      </c>
      <c r="I65" s="34"/>
      <c r="J65" s="9" t="s">
        <v>334</v>
      </c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</row>
    <row r="66" spans="1:28" ht="14.25" customHeight="1" x14ac:dyDescent="0.35">
      <c r="A66" s="12">
        <v>301329</v>
      </c>
      <c r="B66" s="59" t="str">
        <f>IFERROR(VLOOKUP(Tabla1[[#This Row],[CODIGO]],INVENTARIO!A:B,2,0)," ")</f>
        <v>Copla PE100 025mm EF</v>
      </c>
      <c r="C66" s="12">
        <v>30</v>
      </c>
      <c r="D66" s="13"/>
      <c r="E66" s="12">
        <v>432</v>
      </c>
      <c r="F66" s="14">
        <v>46099</v>
      </c>
      <c r="G66" s="34"/>
      <c r="H66" s="34" t="s">
        <v>232</v>
      </c>
      <c r="I66" s="34"/>
      <c r="J66" s="9" t="s">
        <v>334</v>
      </c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</row>
    <row r="67" spans="1:28" ht="14.25" customHeight="1" x14ac:dyDescent="0.35">
      <c r="A67" s="12">
        <v>300712</v>
      </c>
      <c r="B67" s="59" t="str">
        <f>IFERROR(VLOOKUP(Tabla1[[#This Row],[CODIGO]],INVENTARIO!A:B,2,0)," ")</f>
        <v>Tapa PE  025 mm Termo F.</v>
      </c>
      <c r="C67" s="12">
        <v>15</v>
      </c>
      <c r="D67" s="13"/>
      <c r="E67" s="12">
        <v>432</v>
      </c>
      <c r="F67" s="14">
        <v>46099</v>
      </c>
      <c r="G67" s="34"/>
      <c r="H67" s="34" t="s">
        <v>232</v>
      </c>
      <c r="I67" s="34"/>
      <c r="J67" s="9" t="s">
        <v>334</v>
      </c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</row>
    <row r="68" spans="1:28" ht="14.25" customHeight="1" x14ac:dyDescent="0.35">
      <c r="A68" s="12">
        <v>2002262</v>
      </c>
      <c r="B68" s="59" t="str">
        <f>IFERROR(VLOOKUP(Tabla1[[#This Row],[CODIGO]],INVENTARIO!A:B,2,0)," ")</f>
        <v>Tubería PE80 050mm Rollo</v>
      </c>
      <c r="C68" s="12">
        <v>50</v>
      </c>
      <c r="D68" s="13"/>
      <c r="E68" s="12">
        <v>449</v>
      </c>
      <c r="F68" s="14">
        <v>46099</v>
      </c>
      <c r="G68" s="34"/>
      <c r="H68" s="34" t="s">
        <v>314</v>
      </c>
      <c r="I68" s="34"/>
      <c r="J68" s="9" t="s">
        <v>274</v>
      </c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</row>
    <row r="69" spans="1:28" ht="14.25" customHeight="1" x14ac:dyDescent="0.35">
      <c r="A69" s="12">
        <v>1002167</v>
      </c>
      <c r="B69" s="59" t="str">
        <f>IFERROR(VLOOKUP(Tabla1[[#This Row],[CODIGO]],INVENTARIO!A:B,2,0)," ")</f>
        <v>Cable Trazador Cu 14 AWG Aisl. THW Roj</v>
      </c>
      <c r="C69" s="12">
        <v>100</v>
      </c>
      <c r="D69" s="13"/>
      <c r="E69" s="12">
        <v>449</v>
      </c>
      <c r="F69" s="14">
        <v>46099</v>
      </c>
      <c r="G69" s="34"/>
      <c r="H69" s="34" t="s">
        <v>314</v>
      </c>
      <c r="I69" s="34"/>
      <c r="J69" s="9" t="s">
        <v>274</v>
      </c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</row>
    <row r="70" spans="1:28" ht="14.25" customHeight="1" x14ac:dyDescent="0.35">
      <c r="A70" s="12">
        <v>303368</v>
      </c>
      <c r="B70" s="59" t="str">
        <f>IFERROR(VLOOKUP(Tabla1[[#This Row],[CODIGO]],INVENTARIO!A:B,2,0)," ")</f>
        <v>Cinta Plástica "Línea GN", 30 x 0.1</v>
      </c>
      <c r="C70" s="12">
        <v>100</v>
      </c>
      <c r="D70" s="13"/>
      <c r="E70" s="12">
        <v>449</v>
      </c>
      <c r="F70" s="14">
        <v>46099</v>
      </c>
      <c r="G70" s="34"/>
      <c r="H70" s="34" t="s">
        <v>314</v>
      </c>
      <c r="I70" s="34"/>
      <c r="J70" s="9" t="s">
        <v>274</v>
      </c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</row>
    <row r="71" spans="1:28" ht="14.25" customHeight="1" x14ac:dyDescent="0.35">
      <c r="A71" s="12">
        <v>101624</v>
      </c>
      <c r="B71" s="59" t="str">
        <f>IFERROR(VLOOKUP(Tabla1[[#This Row],[CODIGO]],INVENTARIO!A:B,2,0)," ")</f>
        <v>Tapping Tee PE 50-25 mm</v>
      </c>
      <c r="C71" s="12">
        <v>2</v>
      </c>
      <c r="D71" s="13"/>
      <c r="E71" s="12">
        <v>449</v>
      </c>
      <c r="F71" s="14">
        <v>46099</v>
      </c>
      <c r="G71" s="34"/>
      <c r="H71" s="34" t="s">
        <v>314</v>
      </c>
      <c r="I71" s="34"/>
      <c r="J71" s="9" t="s">
        <v>274</v>
      </c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</row>
    <row r="72" spans="1:28" ht="14" customHeight="1" x14ac:dyDescent="0.35">
      <c r="A72" s="12">
        <v>301099</v>
      </c>
      <c r="B72" s="59" t="str">
        <f>IFERROR(VLOOKUP(Tabla1[[#This Row],[CODIGO]],INVENTARIO!A:B,2,0)," ")</f>
        <v>Válvula PE100 Dn 25mm</v>
      </c>
      <c r="C72" s="12">
        <v>2</v>
      </c>
      <c r="D72" s="13"/>
      <c r="E72" s="12">
        <v>449</v>
      </c>
      <c r="F72" s="14">
        <v>46099</v>
      </c>
      <c r="G72" s="34"/>
      <c r="H72" s="34" t="s">
        <v>314</v>
      </c>
      <c r="I72" s="34"/>
      <c r="J72" s="9" t="s">
        <v>274</v>
      </c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</row>
    <row r="73" spans="1:28" ht="14.25" customHeight="1" x14ac:dyDescent="0.35">
      <c r="A73" s="12">
        <v>302737</v>
      </c>
      <c r="B73" s="59" t="str">
        <f>IFERROR(VLOOKUP(Tabla1[[#This Row],[CODIGO]],INVENTARIO!A:B,2,0)," ")</f>
        <v>Válvula Bola 3/4" Hi Un Cuerpo Pn5 Arco</v>
      </c>
      <c r="C73" s="12">
        <v>2</v>
      </c>
      <c r="D73" s="13"/>
      <c r="E73" s="12">
        <v>449</v>
      </c>
      <c r="F73" s="14">
        <v>46099</v>
      </c>
      <c r="G73" s="34"/>
      <c r="H73" s="34" t="s">
        <v>314</v>
      </c>
      <c r="I73" s="34"/>
      <c r="J73" s="9" t="s">
        <v>274</v>
      </c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</row>
    <row r="74" spans="1:28" ht="14.25" customHeight="1" x14ac:dyDescent="0.35">
      <c r="A74" s="12">
        <v>2008481</v>
      </c>
      <c r="B74" s="59" t="str">
        <f>IFERROR(VLOOKUP(Tabla1[[#This Row],[CODIGO]],INVENTARIO!A:B,2,0)," ")</f>
        <v>Tapa Tornillo Bronce 3/4" HE Bspt.</v>
      </c>
      <c r="C74" s="12">
        <v>2</v>
      </c>
      <c r="D74" s="13"/>
      <c r="E74" s="12">
        <v>449</v>
      </c>
      <c r="F74" s="14">
        <v>46099</v>
      </c>
      <c r="G74" s="34"/>
      <c r="H74" s="34" t="s">
        <v>314</v>
      </c>
      <c r="I74" s="34"/>
      <c r="J74" s="9" t="s">
        <v>274</v>
      </c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</row>
    <row r="75" spans="1:28" ht="14.25" customHeight="1" x14ac:dyDescent="0.35">
      <c r="A75" s="12">
        <v>2003911</v>
      </c>
      <c r="B75" s="59" t="str">
        <f>IFERROR(VLOOKUP(Tabla1[[#This Row],[CODIGO]],INVENTARIO!A:B,2,0)," ")</f>
        <v>Válvula EFv PE 25 mm Para Tap. Tee</v>
      </c>
      <c r="C75" s="12">
        <v>2</v>
      </c>
      <c r="D75" s="13"/>
      <c r="E75" s="12">
        <v>449</v>
      </c>
      <c r="F75" s="14">
        <v>46099</v>
      </c>
      <c r="G75" s="34"/>
      <c r="H75" s="34" t="s">
        <v>314</v>
      </c>
      <c r="I75" s="34"/>
      <c r="J75" s="9" t="s">
        <v>274</v>
      </c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</row>
    <row r="76" spans="1:28" ht="14.25" customHeight="1" x14ac:dyDescent="0.35">
      <c r="A76" s="12">
        <v>2006391</v>
      </c>
      <c r="B76" s="59" t="str">
        <f>IFERROR(VLOOKUP(Tabla1[[#This Row],[CODIGO]],INVENTARIO!A:B,2,0)," ")</f>
        <v>Guardallave Fierro Fundido C/Tapa</v>
      </c>
      <c r="C76" s="12">
        <v>2</v>
      </c>
      <c r="D76" s="13"/>
      <c r="E76" s="12">
        <v>449</v>
      </c>
      <c r="F76" s="14">
        <v>46099</v>
      </c>
      <c r="G76" s="34"/>
      <c r="H76" s="34" t="s">
        <v>314</v>
      </c>
      <c r="I76" s="34"/>
      <c r="J76" s="9" t="s">
        <v>274</v>
      </c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</row>
    <row r="77" spans="1:28" ht="14.25" customHeight="1" x14ac:dyDescent="0.35">
      <c r="A77" s="12">
        <v>301749</v>
      </c>
      <c r="B77" s="59" t="str">
        <f>IFERROR(VLOOKUP(Tabla1[[#This Row],[CODIGO]],INVENTARIO!A:B,2,0)," ")</f>
        <v>Tubería PE80 025mm Rollo</v>
      </c>
      <c r="C77" s="12">
        <v>10</v>
      </c>
      <c r="D77" s="13"/>
      <c r="E77" s="12">
        <v>449</v>
      </c>
      <c r="F77" s="14">
        <v>46099</v>
      </c>
      <c r="G77" s="34"/>
      <c r="H77" s="34" t="s">
        <v>314</v>
      </c>
      <c r="I77" s="34"/>
      <c r="J77" s="9" t="s">
        <v>274</v>
      </c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</row>
    <row r="78" spans="1:28" ht="14.25" customHeight="1" x14ac:dyDescent="0.35">
      <c r="A78" s="12">
        <v>300109</v>
      </c>
      <c r="B78" s="59" t="str">
        <f>IFERROR(VLOOKUP(Tabla1[[#This Row],[CODIGO]],INVENTARIO!A:B,2,0)," ")</f>
        <v>Risers de Acero 3/4" Bsp x 25 mm</v>
      </c>
      <c r="C78" s="12">
        <v>1</v>
      </c>
      <c r="D78" s="13"/>
      <c r="E78" s="12">
        <v>453</v>
      </c>
      <c r="F78" s="14">
        <v>46099</v>
      </c>
      <c r="G78" s="34"/>
      <c r="H78" s="34" t="s">
        <v>314</v>
      </c>
      <c r="I78" s="34"/>
      <c r="J78" s="9" t="s">
        <v>274</v>
      </c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</row>
    <row r="79" spans="1:28" ht="14.25" customHeight="1" x14ac:dyDescent="0.35">
      <c r="A79" s="12">
        <v>302678</v>
      </c>
      <c r="B79" s="59" t="str">
        <f>IFERROR(VLOOKUP(Tabla1[[#This Row],[CODIGO]],INVENTARIO!A:B,2,0)," ")</f>
        <v>Reductor PE  63-50 mm Electro F.</v>
      </c>
      <c r="C79" s="12">
        <v>1</v>
      </c>
      <c r="D79" s="13"/>
      <c r="E79" s="12">
        <v>438</v>
      </c>
      <c r="F79" s="14">
        <v>46098</v>
      </c>
      <c r="G79" s="34"/>
      <c r="H79" s="34" t="s">
        <v>267</v>
      </c>
      <c r="I79" s="34"/>
      <c r="J79" s="9" t="s">
        <v>361</v>
      </c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</row>
    <row r="80" spans="1:28" ht="14.5" x14ac:dyDescent="0.35">
      <c r="A80" s="12">
        <v>302992</v>
      </c>
      <c r="B80" s="59" t="str">
        <f>IFERROR(VLOOKUP(Tabla1[[#This Row],[CODIGO]],INVENTARIO!A:B,2,0)," ")</f>
        <v>Codo PE100 90° 050mm EF</v>
      </c>
      <c r="C80" s="12">
        <v>6</v>
      </c>
      <c r="D80" s="13"/>
      <c r="E80" s="12">
        <v>438</v>
      </c>
      <c r="F80" s="14">
        <v>46098</v>
      </c>
      <c r="G80" s="34"/>
      <c r="H80" s="34" t="s">
        <v>267</v>
      </c>
      <c r="I80" s="34"/>
      <c r="J80" s="9" t="s">
        <v>361</v>
      </c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</row>
    <row r="81" spans="1:28" ht="14.5" x14ac:dyDescent="0.35">
      <c r="A81" s="12">
        <v>303345</v>
      </c>
      <c r="B81" s="59" t="str">
        <f>IFERROR(VLOOKUP(Tabla1[[#This Row],[CODIGO]],INVENTARIO!A:B,2,0)," ")</f>
        <v>Copla PE100 050mm EF</v>
      </c>
      <c r="C81" s="12">
        <v>7</v>
      </c>
      <c r="D81" s="13"/>
      <c r="E81" s="12">
        <v>438</v>
      </c>
      <c r="F81" s="14">
        <v>46098</v>
      </c>
      <c r="G81" s="34"/>
      <c r="H81" s="34" t="s">
        <v>267</v>
      </c>
      <c r="I81" s="34"/>
      <c r="J81" s="9" t="s">
        <v>361</v>
      </c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</row>
    <row r="82" spans="1:28" ht="14.25" customHeight="1" x14ac:dyDescent="0.35">
      <c r="A82" s="12">
        <v>301327</v>
      </c>
      <c r="B82" s="59" t="str">
        <f>IFERROR(VLOOKUP(Tabla1[[#This Row],[CODIGO]],INVENTARIO!A:B,2,0)," ")</f>
        <v>Tapa PE  050 mm Termo F.</v>
      </c>
      <c r="C82" s="12">
        <v>1</v>
      </c>
      <c r="D82" s="13"/>
      <c r="E82" s="12">
        <v>438</v>
      </c>
      <c r="F82" s="14">
        <v>46098</v>
      </c>
      <c r="G82" s="34"/>
      <c r="H82" s="34" t="s">
        <v>267</v>
      </c>
      <c r="I82" s="34"/>
      <c r="J82" s="9" t="s">
        <v>361</v>
      </c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</row>
    <row r="83" spans="1:28" ht="14.25" customHeight="1" x14ac:dyDescent="0.35">
      <c r="A83" s="12">
        <v>101624</v>
      </c>
      <c r="B83" s="59" t="str">
        <f>IFERROR(VLOOKUP(Tabla1[[#This Row],[CODIGO]],INVENTARIO!A:B,2,0)," ")</f>
        <v>Tapping Tee PE 50-25 mm</v>
      </c>
      <c r="C83" s="12">
        <v>28</v>
      </c>
      <c r="D83" s="13"/>
      <c r="E83" s="12">
        <v>438</v>
      </c>
      <c r="F83" s="14">
        <v>46098</v>
      </c>
      <c r="G83" s="34"/>
      <c r="H83" s="34" t="s">
        <v>267</v>
      </c>
      <c r="I83" s="34"/>
      <c r="J83" s="9" t="s">
        <v>361</v>
      </c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</row>
    <row r="84" spans="1:28" ht="14.25" customHeight="1" x14ac:dyDescent="0.35">
      <c r="A84" s="12">
        <v>2003911</v>
      </c>
      <c r="B84" s="59" t="str">
        <f>IFERROR(VLOOKUP(Tabla1[[#This Row],[CODIGO]],INVENTARIO!A:B,2,0)," ")</f>
        <v>Válvula EFv PE 25 mm Para Tap. Tee</v>
      </c>
      <c r="C84" s="12">
        <v>27</v>
      </c>
      <c r="D84" s="13"/>
      <c r="E84" s="12">
        <v>438</v>
      </c>
      <c r="F84" s="14">
        <v>46098</v>
      </c>
      <c r="G84" s="34"/>
      <c r="H84" s="34" t="s">
        <v>267</v>
      </c>
      <c r="I84" s="34"/>
      <c r="J84" s="9" t="s">
        <v>361</v>
      </c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</row>
    <row r="85" spans="1:28" ht="14.25" customHeight="1" x14ac:dyDescent="0.35">
      <c r="A85" s="12">
        <v>301329</v>
      </c>
      <c r="B85" s="59" t="str">
        <f>IFERROR(VLOOKUP(Tabla1[[#This Row],[CODIGO]],INVENTARIO!A:B,2,0)," ")</f>
        <v>Copla PE100 025mm EF</v>
      </c>
      <c r="C85" s="12">
        <v>57</v>
      </c>
      <c r="D85" s="13"/>
      <c r="E85" s="12">
        <v>438</v>
      </c>
      <c r="F85" s="14">
        <v>46098</v>
      </c>
      <c r="G85" s="34"/>
      <c r="H85" s="34" t="s">
        <v>267</v>
      </c>
      <c r="I85" s="34"/>
      <c r="J85" s="9" t="s">
        <v>361</v>
      </c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</row>
    <row r="86" spans="1:28" ht="14.25" customHeight="1" x14ac:dyDescent="0.35">
      <c r="A86" s="12">
        <v>300109</v>
      </c>
      <c r="B86" s="59" t="str">
        <f>IFERROR(VLOOKUP(Tabla1[[#This Row],[CODIGO]],INVENTARIO!A:B,2,0)," ")</f>
        <v>Risers de Acero 3/4" Bsp x 25 mm</v>
      </c>
      <c r="C86" s="12">
        <v>28</v>
      </c>
      <c r="D86" s="13"/>
      <c r="E86" s="12">
        <v>438</v>
      </c>
      <c r="F86" s="14">
        <v>46098</v>
      </c>
      <c r="G86" s="34"/>
      <c r="H86" s="34" t="s">
        <v>267</v>
      </c>
      <c r="I86" s="34"/>
      <c r="J86" s="9" t="s">
        <v>361</v>
      </c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</row>
    <row r="87" spans="1:28" ht="14.25" customHeight="1" x14ac:dyDescent="0.35">
      <c r="A87" s="12">
        <v>300712</v>
      </c>
      <c r="B87" s="59" t="str">
        <f>IFERROR(VLOOKUP(Tabla1[[#This Row],[CODIGO]],INVENTARIO!A:B,2,0)," ")</f>
        <v>Tapa PE  025 mm Termo F.</v>
      </c>
      <c r="C87" s="12">
        <v>1</v>
      </c>
      <c r="D87" s="13"/>
      <c r="E87" s="12">
        <v>438</v>
      </c>
      <c r="F87" s="14">
        <v>46098</v>
      </c>
      <c r="G87" s="34"/>
      <c r="H87" s="34" t="s">
        <v>267</v>
      </c>
      <c r="I87" s="34"/>
      <c r="J87" s="9" t="s">
        <v>361</v>
      </c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</row>
    <row r="88" spans="1:28" ht="14.25" customHeight="1" x14ac:dyDescent="0.35">
      <c r="A88" s="12">
        <v>2002262</v>
      </c>
      <c r="B88" s="59" t="str">
        <f>IFERROR(VLOOKUP(Tabla1[[#This Row],[CODIGO]],INVENTARIO!A:B,2,0)," ")</f>
        <v>Tubería PE80 050mm Rollo</v>
      </c>
      <c r="C88" s="12">
        <v>253</v>
      </c>
      <c r="D88" s="13"/>
      <c r="E88" s="12">
        <v>438</v>
      </c>
      <c r="F88" s="14">
        <v>46098</v>
      </c>
      <c r="G88" s="34"/>
      <c r="H88" s="34" t="s">
        <v>267</v>
      </c>
      <c r="I88" s="34"/>
      <c r="J88" s="9" t="s">
        <v>361</v>
      </c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</row>
    <row r="89" spans="1:28" ht="14.25" customHeight="1" x14ac:dyDescent="0.35">
      <c r="A89" s="12">
        <v>303510</v>
      </c>
      <c r="B89" s="59" t="str">
        <f>IFERROR(VLOOKUP(Tabla1[[#This Row],[CODIGO]],INVENTARIO!A:B,2,0)," ")</f>
        <v>Guardallave Hormigón 125 mm con Tapa</v>
      </c>
      <c r="C89" s="12">
        <v>3</v>
      </c>
      <c r="D89" s="13"/>
      <c r="E89" s="12">
        <v>438</v>
      </c>
      <c r="F89" s="14">
        <v>46098</v>
      </c>
      <c r="G89" s="34"/>
      <c r="H89" s="34" t="s">
        <v>267</v>
      </c>
      <c r="I89" s="34"/>
      <c r="J89" s="9" t="s">
        <v>361</v>
      </c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</row>
    <row r="90" spans="1:28" ht="14.25" customHeight="1" x14ac:dyDescent="0.35">
      <c r="A90" s="12">
        <v>303368</v>
      </c>
      <c r="B90" s="59" t="str">
        <f>IFERROR(VLOOKUP(Tabla1[[#This Row],[CODIGO]],INVENTARIO!A:B,2,0)," ")</f>
        <v>Cinta Plástica "Línea GN", 30 x 0.1</v>
      </c>
      <c r="C90" s="12">
        <v>411</v>
      </c>
      <c r="D90" s="13"/>
      <c r="E90" s="12">
        <v>438</v>
      </c>
      <c r="F90" s="14">
        <v>46098</v>
      </c>
      <c r="G90" s="34"/>
      <c r="H90" s="34" t="s">
        <v>267</v>
      </c>
      <c r="I90" s="34"/>
      <c r="J90" s="9" t="s">
        <v>361</v>
      </c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</row>
    <row r="91" spans="1:28" ht="14.25" customHeight="1" x14ac:dyDescent="0.35">
      <c r="A91" s="12">
        <v>1002167</v>
      </c>
      <c r="B91" s="59" t="str">
        <f>IFERROR(VLOOKUP(Tabla1[[#This Row],[CODIGO]],INVENTARIO!A:B,2,0)," ")</f>
        <v>Cable Trazador Cu 14 AWG Aisl. THW Roj</v>
      </c>
      <c r="C91" s="12">
        <v>411</v>
      </c>
      <c r="D91" s="13"/>
      <c r="E91" s="12">
        <v>438</v>
      </c>
      <c r="F91" s="14">
        <v>46098</v>
      </c>
      <c r="G91" s="34"/>
      <c r="H91" s="34" t="s">
        <v>267</v>
      </c>
      <c r="I91" s="34"/>
      <c r="J91" s="9" t="s">
        <v>361</v>
      </c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</row>
    <row r="92" spans="1:28" ht="14.25" customHeight="1" x14ac:dyDescent="0.35">
      <c r="A92" s="12">
        <v>301749</v>
      </c>
      <c r="B92" s="59" t="str">
        <f>IFERROR(VLOOKUP(Tabla1[[#This Row],[CODIGO]],INVENTARIO!A:B,2,0)," ")</f>
        <v>Tubería PE80 025mm Rollo</v>
      </c>
      <c r="C92" s="12">
        <v>158</v>
      </c>
      <c r="D92" s="13"/>
      <c r="E92" s="12">
        <v>438</v>
      </c>
      <c r="F92" s="14">
        <v>46098</v>
      </c>
      <c r="G92" s="34"/>
      <c r="H92" s="34" t="s">
        <v>267</v>
      </c>
      <c r="I92" s="34"/>
      <c r="J92" s="9" t="s">
        <v>361</v>
      </c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</row>
    <row r="93" spans="1:28" ht="14.25" customHeight="1" x14ac:dyDescent="0.35">
      <c r="A93" s="12">
        <v>302184</v>
      </c>
      <c r="B93" s="59" t="str">
        <f>IFERROR(VLOOKUP(Tabla1[[#This Row],[CODIGO]],INVENTARIO!A:B,2,0)," ")</f>
        <v>Tapa Tornillo Cambio de Codigo por: 2008481</v>
      </c>
      <c r="C93" s="12">
        <v>28</v>
      </c>
      <c r="D93" s="13"/>
      <c r="E93" s="12">
        <v>438</v>
      </c>
      <c r="F93" s="14">
        <v>46098</v>
      </c>
      <c r="G93" s="34"/>
      <c r="H93" s="34" t="s">
        <v>267</v>
      </c>
      <c r="I93" s="34"/>
      <c r="J93" s="9" t="s">
        <v>361</v>
      </c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</row>
    <row r="94" spans="1:28" ht="14.25" customHeight="1" x14ac:dyDescent="0.35">
      <c r="A94" s="12">
        <v>302737</v>
      </c>
      <c r="B94" s="59" t="str">
        <f>IFERROR(VLOOKUP(Tabla1[[#This Row],[CODIGO]],INVENTARIO!A:B,2,0)," ")</f>
        <v>Válvula Bola 3/4" Hi Un Cuerpo Pn5 Arco</v>
      </c>
      <c r="C94" s="12">
        <v>28</v>
      </c>
      <c r="D94" s="13"/>
      <c r="E94" s="12">
        <v>438</v>
      </c>
      <c r="F94" s="14">
        <v>46098</v>
      </c>
      <c r="G94" s="34"/>
      <c r="H94" s="34" t="s">
        <v>267</v>
      </c>
      <c r="I94" s="34"/>
      <c r="J94" s="9" t="s">
        <v>361</v>
      </c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</row>
    <row r="95" spans="1:28" ht="14.25" customHeight="1" x14ac:dyDescent="0.35">
      <c r="A95" s="12">
        <v>2002262</v>
      </c>
      <c r="B95" s="59" t="str">
        <f>IFERROR(VLOOKUP(Tabla1[[#This Row],[CODIGO]],INVENTARIO!A:B,2,0)," ")</f>
        <v>Tubería PE80 050mm Rollo</v>
      </c>
      <c r="C95" s="12">
        <v>50</v>
      </c>
      <c r="D95" s="13"/>
      <c r="E95" s="12">
        <v>434</v>
      </c>
      <c r="F95" s="14">
        <v>46098</v>
      </c>
      <c r="G95" s="34"/>
      <c r="H95" s="34" t="s">
        <v>312</v>
      </c>
      <c r="I95" s="34"/>
      <c r="J95" s="9" t="s">
        <v>274</v>
      </c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</row>
    <row r="96" spans="1:28" ht="14.25" customHeight="1" x14ac:dyDescent="0.35">
      <c r="A96" s="9" t="s">
        <v>291</v>
      </c>
      <c r="B96" s="59" t="str">
        <f>IFERROR(VLOOKUP(Tabla1[[#This Row],[CODIGO]],INVENTARIO!A:B,2,0)," ")</f>
        <v>Alcohol Isopropilico  500 ml</v>
      </c>
      <c r="C96" s="12">
        <v>1</v>
      </c>
      <c r="D96" s="13"/>
      <c r="E96" s="12">
        <v>434</v>
      </c>
      <c r="F96" s="14">
        <v>46098</v>
      </c>
      <c r="G96" s="34"/>
      <c r="H96" s="34" t="s">
        <v>312</v>
      </c>
      <c r="I96" s="34"/>
      <c r="J96" s="9" t="s">
        <v>274</v>
      </c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</row>
    <row r="97" spans="1:28" ht="14.25" customHeight="1" x14ac:dyDescent="0.35">
      <c r="A97" s="9" t="s">
        <v>292</v>
      </c>
      <c r="B97" s="59" t="str">
        <f>IFERROR(VLOOKUP(Tabla1[[#This Row],[CODIGO]],INVENTARIO!A:B,2,0)," ")</f>
        <v>Toalla Nova Clasica</v>
      </c>
      <c r="C97" s="12">
        <v>2</v>
      </c>
      <c r="D97" s="13"/>
      <c r="E97" s="12">
        <v>434</v>
      </c>
      <c r="F97" s="14">
        <v>46098</v>
      </c>
      <c r="G97" s="34"/>
      <c r="H97" s="34" t="s">
        <v>312</v>
      </c>
      <c r="I97" s="34"/>
      <c r="J97" s="9" t="s">
        <v>274</v>
      </c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</row>
    <row r="98" spans="1:28" ht="14.25" customHeight="1" x14ac:dyDescent="0.35">
      <c r="A98" s="12">
        <v>302065</v>
      </c>
      <c r="B98" s="59" t="str">
        <f>IFERROR(VLOOKUP(Tabla1[[#This Row],[CODIGO]],INVENTARIO!A:B,2,0)," ")</f>
        <v>Tubería PE80 110mm Tira</v>
      </c>
      <c r="C98" s="12">
        <v>48</v>
      </c>
      <c r="D98" s="13"/>
      <c r="E98" s="12">
        <v>410</v>
      </c>
      <c r="F98" s="14">
        <v>46098</v>
      </c>
      <c r="G98" s="34"/>
      <c r="H98" s="34" t="s">
        <v>354</v>
      </c>
      <c r="I98" s="34"/>
      <c r="J98" s="9" t="s">
        <v>274</v>
      </c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</row>
    <row r="99" spans="1:28" ht="14.25" customHeight="1" x14ac:dyDescent="0.35">
      <c r="A99" s="12">
        <v>1002167</v>
      </c>
      <c r="B99" s="59" t="str">
        <f>IFERROR(VLOOKUP(Tabla1[[#This Row],[CODIGO]],INVENTARIO!A:B,2,0)," ")</f>
        <v>Cable Trazador Cu 14 AWG Aisl. THW Roj</v>
      </c>
      <c r="C99" s="12">
        <v>100</v>
      </c>
      <c r="D99" s="13"/>
      <c r="E99" s="12">
        <v>410</v>
      </c>
      <c r="F99" s="14">
        <v>46098</v>
      </c>
      <c r="G99" s="34"/>
      <c r="H99" s="34" t="s">
        <v>354</v>
      </c>
      <c r="I99" s="34"/>
      <c r="J99" s="9" t="s">
        <v>274</v>
      </c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</row>
    <row r="100" spans="1:28" ht="14.25" customHeight="1" x14ac:dyDescent="0.35">
      <c r="A100" s="12">
        <v>303368</v>
      </c>
      <c r="B100" s="59" t="str">
        <f>IFERROR(VLOOKUP(Tabla1[[#This Row],[CODIGO]],INVENTARIO!A:B,2,0)," ")</f>
        <v>Cinta Plástica "Línea GN", 30 x 0.1</v>
      </c>
      <c r="C100" s="12">
        <v>100</v>
      </c>
      <c r="D100" s="13"/>
      <c r="E100" s="12">
        <v>410</v>
      </c>
      <c r="F100" s="14">
        <v>46098</v>
      </c>
      <c r="G100" s="34"/>
      <c r="H100" s="34" t="s">
        <v>354</v>
      </c>
      <c r="I100" s="34"/>
      <c r="J100" s="9" t="s">
        <v>274</v>
      </c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</row>
    <row r="101" spans="1:28" ht="14.25" customHeight="1" x14ac:dyDescent="0.35">
      <c r="A101" s="12">
        <v>302991</v>
      </c>
      <c r="B101" s="59" t="str">
        <f>IFERROR(VLOOKUP(Tabla1[[#This Row],[CODIGO]],INVENTARIO!A:B,2,0)," ")</f>
        <v>Copla PE100 110mm EF</v>
      </c>
      <c r="C101" s="12">
        <v>6</v>
      </c>
      <c r="D101" s="13"/>
      <c r="E101" s="12">
        <v>410</v>
      </c>
      <c r="F101" s="14">
        <v>46098</v>
      </c>
      <c r="G101" s="34"/>
      <c r="H101" s="34" t="s">
        <v>354</v>
      </c>
      <c r="I101" s="34"/>
      <c r="J101" s="9" t="s">
        <v>274</v>
      </c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</row>
    <row r="102" spans="1:28" ht="14.25" customHeight="1" x14ac:dyDescent="0.35">
      <c r="A102" s="12">
        <v>2005137</v>
      </c>
      <c r="B102" s="59" t="str">
        <f>IFERROR(VLOOKUP(Tabla1[[#This Row],[CODIGO]],INVENTARIO!A:B,2,0)," ")</f>
        <v>Tubo PVC 200 mm PN6 CG Amarillo</v>
      </c>
      <c r="C102" s="12">
        <v>3</v>
      </c>
      <c r="D102" s="13"/>
      <c r="E102" s="12">
        <v>410</v>
      </c>
      <c r="F102" s="14">
        <v>46098</v>
      </c>
      <c r="G102" s="34"/>
      <c r="H102" s="34" t="s">
        <v>354</v>
      </c>
      <c r="I102" s="34"/>
      <c r="J102" s="9" t="s">
        <v>274</v>
      </c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</row>
    <row r="103" spans="1:28" ht="14.25" customHeight="1" x14ac:dyDescent="0.35">
      <c r="A103" s="12">
        <v>2000350</v>
      </c>
      <c r="B103" s="59" t="str">
        <f>IFERROR(VLOOKUP(Tabla1[[#This Row],[CODIGO]],INVENTARIO!A:B,2,0)," ")</f>
        <v>Codo PE 90º  25 mm EF.</v>
      </c>
      <c r="C103" s="12">
        <v>4</v>
      </c>
      <c r="D103" s="13"/>
      <c r="E103" s="12">
        <v>255</v>
      </c>
      <c r="F103" s="14">
        <v>46098</v>
      </c>
      <c r="G103" s="34"/>
      <c r="H103" s="34" t="s">
        <v>223</v>
      </c>
      <c r="I103" s="34"/>
      <c r="J103" s="9" t="s">
        <v>207</v>
      </c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</row>
    <row r="104" spans="1:28" ht="14.25" customHeight="1" x14ac:dyDescent="0.35">
      <c r="A104" s="12">
        <v>2006393</v>
      </c>
      <c r="B104" s="59" t="str">
        <f>IFERROR(VLOOKUP(Tabla1[[#This Row],[CODIGO]],INVENTARIO!A:B,2,0)," ")</f>
        <v>Transición Latón 3/4"x25 MM PE100, SDR11</v>
      </c>
      <c r="C104" s="12">
        <v>2</v>
      </c>
      <c r="D104" s="13"/>
      <c r="E104" s="12">
        <v>255</v>
      </c>
      <c r="F104" s="14">
        <v>46098</v>
      </c>
      <c r="G104" s="34"/>
      <c r="H104" s="34" t="s">
        <v>223</v>
      </c>
      <c r="I104" s="34"/>
      <c r="J104" s="9" t="s">
        <v>207</v>
      </c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</row>
    <row r="105" spans="1:28" ht="14.25" customHeight="1" x14ac:dyDescent="0.35">
      <c r="A105" s="12">
        <v>2006392</v>
      </c>
      <c r="B105" s="59" t="str">
        <f>IFERROR(VLOOKUP(Tabla1[[#This Row],[CODIGO]],INVENTARIO!A:B,2,0)," ")</f>
        <v>Limitador Flujo P/Tapping Tee 25 MM</v>
      </c>
      <c r="C105" s="12">
        <v>2</v>
      </c>
      <c r="D105" s="13"/>
      <c r="E105" s="12">
        <v>255</v>
      </c>
      <c r="F105" s="14">
        <v>46098</v>
      </c>
      <c r="G105" s="34"/>
      <c r="H105" s="34" t="s">
        <v>223</v>
      </c>
      <c r="I105" s="34"/>
      <c r="J105" s="9" t="s">
        <v>207</v>
      </c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</row>
    <row r="106" spans="1:28" ht="14.25" customHeight="1" x14ac:dyDescent="0.35">
      <c r="A106" s="12">
        <v>301749</v>
      </c>
      <c r="B106" s="59" t="str">
        <f>IFERROR(VLOOKUP(Tabla1[[#This Row],[CODIGO]],INVENTARIO!A:B,2,0)," ")</f>
        <v>Tubería PE80 025mm Rollo</v>
      </c>
      <c r="C106" s="12">
        <v>87</v>
      </c>
      <c r="D106" s="13"/>
      <c r="E106" s="12">
        <v>427</v>
      </c>
      <c r="F106" s="14">
        <v>46098</v>
      </c>
      <c r="G106" s="34"/>
      <c r="H106" s="34" t="s">
        <v>232</v>
      </c>
      <c r="I106" s="34"/>
      <c r="J106" s="9" t="s">
        <v>334</v>
      </c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</row>
    <row r="107" spans="1:28" ht="14.25" customHeight="1" x14ac:dyDescent="0.35">
      <c r="A107" s="12">
        <v>303368</v>
      </c>
      <c r="B107" s="59" t="str">
        <f>IFERROR(VLOOKUP(Tabla1[[#This Row],[CODIGO]],INVENTARIO!A:B,2,0)," ")</f>
        <v>Cinta Plástica "Línea GN", 30 x 0.1</v>
      </c>
      <c r="C107" s="12">
        <v>85</v>
      </c>
      <c r="D107" s="13"/>
      <c r="E107" s="12">
        <v>427</v>
      </c>
      <c r="F107" s="14">
        <v>46098</v>
      </c>
      <c r="G107" s="34"/>
      <c r="H107" s="34" t="s">
        <v>232</v>
      </c>
      <c r="I107" s="34"/>
      <c r="J107" s="9" t="s">
        <v>334</v>
      </c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</row>
    <row r="108" spans="1:28" ht="14.25" customHeight="1" x14ac:dyDescent="0.35">
      <c r="A108" s="9" t="s">
        <v>292</v>
      </c>
      <c r="B108" s="59" t="str">
        <f>IFERROR(VLOOKUP(Tabla1[[#This Row],[CODIGO]],INVENTARIO!A:B,2,0)," ")</f>
        <v>Toalla Nova Clasica</v>
      </c>
      <c r="C108" s="12">
        <v>1</v>
      </c>
      <c r="D108" s="13"/>
      <c r="E108" s="12">
        <v>427</v>
      </c>
      <c r="F108" s="14">
        <v>46098</v>
      </c>
      <c r="G108" s="34"/>
      <c r="H108" s="34" t="s">
        <v>232</v>
      </c>
      <c r="I108" s="34"/>
      <c r="J108" s="9" t="s">
        <v>334</v>
      </c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</row>
    <row r="109" spans="1:28" ht="14.25" customHeight="1" x14ac:dyDescent="0.35">
      <c r="A109" s="12">
        <v>101624</v>
      </c>
      <c r="B109" s="59" t="str">
        <f>IFERROR(VLOOKUP(Tabla1[[#This Row],[CODIGO]],INVENTARIO!A:B,2,0)," ")</f>
        <v>Tapping Tee PE 50-25 mm</v>
      </c>
      <c r="C109" s="12">
        <v>1</v>
      </c>
      <c r="D109" s="13"/>
      <c r="E109" s="12">
        <v>423</v>
      </c>
      <c r="F109" s="14">
        <v>46098</v>
      </c>
      <c r="G109" s="34"/>
      <c r="H109" s="34" t="s">
        <v>304</v>
      </c>
      <c r="I109" s="34"/>
      <c r="J109" s="9" t="s">
        <v>356</v>
      </c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:28" ht="14.25" customHeight="1" x14ac:dyDescent="0.35">
      <c r="A110" s="12">
        <v>301099</v>
      </c>
      <c r="B110" s="59" t="str">
        <f>IFERROR(VLOOKUP(Tabla1[[#This Row],[CODIGO]],INVENTARIO!A:B,2,0)," ")</f>
        <v>Válvula PE100 Dn 25mm</v>
      </c>
      <c r="C110" s="12">
        <v>1</v>
      </c>
      <c r="D110" s="13"/>
      <c r="E110" s="12">
        <v>423</v>
      </c>
      <c r="F110" s="14">
        <v>46098</v>
      </c>
      <c r="G110" s="34"/>
      <c r="H110" s="34" t="s">
        <v>304</v>
      </c>
      <c r="I110" s="34"/>
      <c r="J110" s="9" t="s">
        <v>356</v>
      </c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</row>
    <row r="111" spans="1:28" ht="14.25" customHeight="1" x14ac:dyDescent="0.35">
      <c r="A111" s="12">
        <v>301329</v>
      </c>
      <c r="B111" s="59" t="str">
        <f>IFERROR(VLOOKUP(Tabla1[[#This Row],[CODIGO]],INVENTARIO!A:B,2,0)," ")</f>
        <v>Copla PE100 025mm EF</v>
      </c>
      <c r="C111" s="12">
        <v>4</v>
      </c>
      <c r="D111" s="13"/>
      <c r="E111" s="12">
        <v>423</v>
      </c>
      <c r="F111" s="14">
        <v>46098</v>
      </c>
      <c r="G111" s="34"/>
      <c r="H111" s="34" t="s">
        <v>304</v>
      </c>
      <c r="I111" s="34"/>
      <c r="J111" s="9" t="s">
        <v>356</v>
      </c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:28" ht="14.25" customHeight="1" x14ac:dyDescent="0.35">
      <c r="A112" s="12">
        <v>300109</v>
      </c>
      <c r="B112" s="59" t="str">
        <f>IFERROR(VLOOKUP(Tabla1[[#This Row],[CODIGO]],INVENTARIO!A:B,2,0)," ")</f>
        <v>Risers de Acero 3/4" Bsp x 25 mm</v>
      </c>
      <c r="C112" s="12">
        <v>1</v>
      </c>
      <c r="D112" s="13"/>
      <c r="E112" s="12">
        <v>423</v>
      </c>
      <c r="F112" s="14">
        <v>46098</v>
      </c>
      <c r="G112" s="34"/>
      <c r="H112" s="34" t="s">
        <v>304</v>
      </c>
      <c r="I112" s="34"/>
      <c r="J112" s="9" t="s">
        <v>356</v>
      </c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ht="14.25" customHeight="1" x14ac:dyDescent="0.35">
      <c r="A113" s="12">
        <v>2003911</v>
      </c>
      <c r="B113" s="59" t="str">
        <f>IFERROR(VLOOKUP(Tabla1[[#This Row],[CODIGO]],INVENTARIO!A:B,2,0)," ")</f>
        <v>Válvula EFv PE 25 mm Para Tap. Tee</v>
      </c>
      <c r="C113" s="12">
        <v>1</v>
      </c>
      <c r="D113" s="13"/>
      <c r="E113" s="12">
        <v>423</v>
      </c>
      <c r="F113" s="14">
        <v>46098</v>
      </c>
      <c r="G113" s="34"/>
      <c r="H113" s="34" t="s">
        <v>304</v>
      </c>
      <c r="I113" s="34"/>
      <c r="J113" s="9" t="s">
        <v>356</v>
      </c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ht="14.25" customHeight="1" x14ac:dyDescent="0.35">
      <c r="A114" s="12">
        <v>2000350</v>
      </c>
      <c r="B114" s="59" t="str">
        <f>IFERROR(VLOOKUP(Tabla1[[#This Row],[CODIGO]],INVENTARIO!A:B,2,0)," ")</f>
        <v>Codo PE 90º  25 mm EF.</v>
      </c>
      <c r="C114" s="12">
        <v>3</v>
      </c>
      <c r="D114" s="13"/>
      <c r="E114" s="12">
        <v>423</v>
      </c>
      <c r="F114" s="14">
        <v>46098</v>
      </c>
      <c r="G114" s="34"/>
      <c r="H114" s="34" t="s">
        <v>304</v>
      </c>
      <c r="I114" s="34"/>
      <c r="J114" s="9" t="s">
        <v>356</v>
      </c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</row>
    <row r="115" spans="1:28" ht="14.25" customHeight="1" x14ac:dyDescent="0.35">
      <c r="A115" s="12">
        <v>301749</v>
      </c>
      <c r="B115" s="59" t="str">
        <f>IFERROR(VLOOKUP(Tabla1[[#This Row],[CODIGO]],INVENTARIO!A:B,2,0)," ")</f>
        <v>Tubería PE80 025mm Rollo</v>
      </c>
      <c r="C115" s="12">
        <v>5</v>
      </c>
      <c r="D115" s="13"/>
      <c r="E115" s="12">
        <v>423</v>
      </c>
      <c r="F115" s="14">
        <v>46098</v>
      </c>
      <c r="G115" s="34"/>
      <c r="H115" s="34" t="s">
        <v>304</v>
      </c>
      <c r="I115" s="34"/>
      <c r="J115" s="9" t="s">
        <v>356</v>
      </c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ht="14.25" customHeight="1" x14ac:dyDescent="0.35">
      <c r="A116" s="12">
        <v>2006391</v>
      </c>
      <c r="B116" s="59" t="str">
        <f>IFERROR(VLOOKUP(Tabla1[[#This Row],[CODIGO]],INVENTARIO!A:B,2,0)," ")</f>
        <v>Guardallave Fierro Fundido C/Tapa</v>
      </c>
      <c r="C116" s="12">
        <v>1</v>
      </c>
      <c r="D116" s="13"/>
      <c r="E116" s="12">
        <v>423</v>
      </c>
      <c r="F116" s="14">
        <v>46098</v>
      </c>
      <c r="G116" s="34"/>
      <c r="H116" s="34" t="s">
        <v>304</v>
      </c>
      <c r="I116" s="34"/>
      <c r="J116" s="9" t="s">
        <v>356</v>
      </c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ht="14.25" customHeight="1" x14ac:dyDescent="0.35">
      <c r="A117" s="12">
        <v>302737</v>
      </c>
      <c r="B117" s="59" t="str">
        <f>IFERROR(VLOOKUP(Tabla1[[#This Row],[CODIGO]],INVENTARIO!A:B,2,0)," ")</f>
        <v>Válvula Bola 3/4" Hi Un Cuerpo Pn5 Arco</v>
      </c>
      <c r="C117" s="12">
        <v>1</v>
      </c>
      <c r="D117" s="13"/>
      <c r="E117" s="12">
        <v>423</v>
      </c>
      <c r="F117" s="14">
        <v>46098</v>
      </c>
      <c r="G117" s="34"/>
      <c r="H117" s="34" t="s">
        <v>304</v>
      </c>
      <c r="I117" s="34"/>
      <c r="J117" s="9" t="s">
        <v>356</v>
      </c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ht="14.25" customHeight="1" x14ac:dyDescent="0.35">
      <c r="A118" s="12">
        <v>2008481</v>
      </c>
      <c r="B118" s="59" t="str">
        <f>IFERROR(VLOOKUP(Tabla1[[#This Row],[CODIGO]],INVENTARIO!A:B,2,0)," ")</f>
        <v>Tapa Tornillo Bronce 3/4" HE Bspt.</v>
      </c>
      <c r="C118" s="12">
        <v>1</v>
      </c>
      <c r="D118" s="13"/>
      <c r="E118" s="12">
        <v>423</v>
      </c>
      <c r="F118" s="14">
        <v>46098</v>
      </c>
      <c r="G118" s="34"/>
      <c r="H118" s="34" t="s">
        <v>304</v>
      </c>
      <c r="I118" s="34"/>
      <c r="J118" s="9" t="s">
        <v>356</v>
      </c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ht="14.25" customHeight="1" x14ac:dyDescent="0.35">
      <c r="A119" s="12">
        <v>303368</v>
      </c>
      <c r="B119" s="59" t="str">
        <f>IFERROR(VLOOKUP(Tabla1[[#This Row],[CODIGO]],INVENTARIO!A:B,2,0)," ")</f>
        <v>Cinta Plástica "Línea GN", 30 x 0.1</v>
      </c>
      <c r="C119" s="12">
        <v>5</v>
      </c>
      <c r="D119" s="13"/>
      <c r="E119" s="12">
        <v>423</v>
      </c>
      <c r="F119" s="14">
        <v>46098</v>
      </c>
      <c r="G119" s="34"/>
      <c r="H119" s="34" t="s">
        <v>304</v>
      </c>
      <c r="I119" s="34"/>
      <c r="J119" s="9" t="s">
        <v>356</v>
      </c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ht="14.25" customHeight="1" x14ac:dyDescent="0.35">
      <c r="A120" s="12">
        <v>2007948</v>
      </c>
      <c r="B120" s="59" t="str">
        <f>IFERROR(VLOOKUP(Tabla1[[#This Row],[CODIGO]],INVENTARIO!A:B,2,0)," ")</f>
        <v>Tubo PVC Hidraulico 110 mm Pn6 Celeste</v>
      </c>
      <c r="C120" s="12">
        <v>1</v>
      </c>
      <c r="D120" s="13"/>
      <c r="E120" s="12">
        <v>423</v>
      </c>
      <c r="F120" s="14">
        <v>46098</v>
      </c>
      <c r="G120" s="34"/>
      <c r="H120" s="34" t="s">
        <v>304</v>
      </c>
      <c r="I120" s="34"/>
      <c r="J120" s="9" t="s">
        <v>356</v>
      </c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ht="14.25" customHeight="1" x14ac:dyDescent="0.35">
      <c r="A121" s="12">
        <v>2002263</v>
      </c>
      <c r="B121" s="59" t="str">
        <f>IFERROR(VLOOKUP(Tabla1[[#This Row],[CODIGO]],INVENTARIO!A:B,2,0)," ")</f>
        <v>Tubería PE80 063mm Rollo</v>
      </c>
      <c r="C121" s="12">
        <v>50</v>
      </c>
      <c r="D121" s="13"/>
      <c r="E121" s="12">
        <v>429</v>
      </c>
      <c r="F121" s="14">
        <v>46098</v>
      </c>
      <c r="G121" s="34"/>
      <c r="H121" s="34" t="s">
        <v>225</v>
      </c>
      <c r="I121" s="34"/>
      <c r="J121" s="9" t="s">
        <v>358</v>
      </c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ht="14.25" customHeight="1" x14ac:dyDescent="0.35">
      <c r="A122" s="12">
        <v>303368</v>
      </c>
      <c r="B122" s="59" t="str">
        <f>IFERROR(VLOOKUP(Tabla1[[#This Row],[CODIGO]],INVENTARIO!A:B,2,0)," ")</f>
        <v>Cinta Plástica "Línea GN", 30 x 0.1</v>
      </c>
      <c r="C122" s="12">
        <v>50</v>
      </c>
      <c r="D122" s="13"/>
      <c r="E122" s="12">
        <v>429</v>
      </c>
      <c r="F122" s="14">
        <v>46098</v>
      </c>
      <c r="G122" s="34"/>
      <c r="H122" s="34" t="s">
        <v>225</v>
      </c>
      <c r="I122" s="34"/>
      <c r="J122" s="9" t="s">
        <v>358</v>
      </c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ht="14.25" customHeight="1" x14ac:dyDescent="0.35">
      <c r="A123" s="12">
        <v>1002167</v>
      </c>
      <c r="B123" s="59" t="str">
        <f>IFERROR(VLOOKUP(Tabla1[[#This Row],[CODIGO]],INVENTARIO!A:B,2,0)," ")</f>
        <v>Cable Trazador Cu 14 AWG Aisl. THW Roj</v>
      </c>
      <c r="C123" s="12">
        <v>50</v>
      </c>
      <c r="D123" s="13"/>
      <c r="E123" s="12">
        <v>429</v>
      </c>
      <c r="F123" s="14">
        <v>46098</v>
      </c>
      <c r="G123" s="34"/>
      <c r="H123" s="34" t="s">
        <v>225</v>
      </c>
      <c r="I123" s="34"/>
      <c r="J123" s="9" t="s">
        <v>358</v>
      </c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ht="14.25" customHeight="1" x14ac:dyDescent="0.35">
      <c r="A124" s="12">
        <v>301987</v>
      </c>
      <c r="B124" s="59" t="str">
        <f>IFERROR(VLOOKUP(Tabla1[[#This Row],[CODIGO]],INVENTARIO!A:B,2,0)," ")</f>
        <v>Codo PE100 90° 063mm EF</v>
      </c>
      <c r="C124" s="12">
        <v>3</v>
      </c>
      <c r="D124" s="13"/>
      <c r="E124" s="12">
        <v>429</v>
      </c>
      <c r="F124" s="14">
        <v>46098</v>
      </c>
      <c r="G124" s="34"/>
      <c r="H124" s="34" t="s">
        <v>225</v>
      </c>
      <c r="I124" s="34"/>
      <c r="J124" s="9" t="s">
        <v>358</v>
      </c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ht="14.25" customHeight="1" x14ac:dyDescent="0.35">
      <c r="A125" s="12">
        <v>301044</v>
      </c>
      <c r="B125" s="59" t="str">
        <f>IFERROR(VLOOKUP(Tabla1[[#This Row],[CODIGO]],INVENTARIO!A:B,2,0)," ")</f>
        <v>Codo PE100 45° 063mm EF</v>
      </c>
      <c r="C125" s="12">
        <v>4</v>
      </c>
      <c r="D125" s="13"/>
      <c r="E125" s="12">
        <v>429</v>
      </c>
      <c r="F125" s="14">
        <v>46098</v>
      </c>
      <c r="G125" s="34"/>
      <c r="H125" s="34" t="s">
        <v>225</v>
      </c>
      <c r="I125" s="34"/>
      <c r="J125" s="9" t="s">
        <v>358</v>
      </c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ht="14.25" customHeight="1" x14ac:dyDescent="0.35">
      <c r="A126" s="12">
        <v>303347</v>
      </c>
      <c r="B126" s="59" t="str">
        <f>IFERROR(VLOOKUP(Tabla1[[#This Row],[CODIGO]],INVENTARIO!A:B,2,0)," ")</f>
        <v>Tapa PE  063 mm Termo F.</v>
      </c>
      <c r="C126" s="12">
        <v>1</v>
      </c>
      <c r="D126" s="13"/>
      <c r="E126" s="12">
        <v>429</v>
      </c>
      <c r="F126" s="14">
        <v>46098</v>
      </c>
      <c r="G126" s="34"/>
      <c r="H126" s="34" t="s">
        <v>225</v>
      </c>
      <c r="I126" s="34"/>
      <c r="J126" s="9" t="s">
        <v>358</v>
      </c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ht="14.25" customHeight="1" x14ac:dyDescent="0.35">
      <c r="A127" s="12">
        <v>302659</v>
      </c>
      <c r="B127" s="59" t="str">
        <f>IFERROR(VLOOKUP(Tabla1[[#This Row],[CODIGO]],INVENTARIO!A:B,2,0)," ")</f>
        <v>Copla PE100 063mm EF</v>
      </c>
      <c r="C127" s="12">
        <v>3</v>
      </c>
      <c r="D127" s="13"/>
      <c r="E127" s="12">
        <v>429</v>
      </c>
      <c r="F127" s="14">
        <v>46098</v>
      </c>
      <c r="G127" s="34"/>
      <c r="H127" s="34" t="s">
        <v>225</v>
      </c>
      <c r="I127" s="34"/>
      <c r="J127" s="9" t="s">
        <v>358</v>
      </c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ht="14.25" customHeight="1" x14ac:dyDescent="0.35">
      <c r="A128" s="12">
        <v>2002262</v>
      </c>
      <c r="B128" s="59" t="str">
        <f>IFERROR(VLOOKUP(Tabla1[[#This Row],[CODIGO]],INVENTARIO!A:B,2,0)," ")</f>
        <v>Tubería PE80 050mm Rollo</v>
      </c>
      <c r="C128" s="12">
        <v>100</v>
      </c>
      <c r="D128" s="13"/>
      <c r="E128" s="12">
        <v>254</v>
      </c>
      <c r="F128" s="14">
        <v>46097</v>
      </c>
      <c r="G128" s="34"/>
      <c r="H128" s="34" t="s">
        <v>223</v>
      </c>
      <c r="I128" s="34"/>
      <c r="J128" s="9" t="s">
        <v>207</v>
      </c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ht="14.25" customHeight="1" x14ac:dyDescent="0.35">
      <c r="A129" s="12">
        <v>303368</v>
      </c>
      <c r="B129" s="59" t="str">
        <f>IFERROR(VLOOKUP(Tabla1[[#This Row],[CODIGO]],INVENTARIO!A:B,2,0)," ")</f>
        <v>Cinta Plástica "Línea GN", 30 x 0.1</v>
      </c>
      <c r="C129" s="12">
        <v>100</v>
      </c>
      <c r="D129" s="13"/>
      <c r="E129" s="12">
        <v>254</v>
      </c>
      <c r="F129" s="14">
        <v>46097</v>
      </c>
      <c r="G129" s="34"/>
      <c r="H129" s="34" t="s">
        <v>223</v>
      </c>
      <c r="I129" s="34"/>
      <c r="J129" s="9" t="s">
        <v>207</v>
      </c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ht="14.25" customHeight="1" x14ac:dyDescent="0.35">
      <c r="A130" s="12">
        <v>1002167</v>
      </c>
      <c r="B130" s="59" t="str">
        <f>IFERROR(VLOOKUP(Tabla1[[#This Row],[CODIGO]],INVENTARIO!A:B,2,0)," ")</f>
        <v>Cable Trazador Cu 14 AWG Aisl. THW Roj</v>
      </c>
      <c r="C130" s="12">
        <v>100</v>
      </c>
      <c r="D130" s="13"/>
      <c r="E130" s="12">
        <v>254</v>
      </c>
      <c r="F130" s="14">
        <v>46097</v>
      </c>
      <c r="G130" s="34"/>
      <c r="H130" s="34" t="s">
        <v>223</v>
      </c>
      <c r="I130" s="34"/>
      <c r="J130" s="9" t="s">
        <v>207</v>
      </c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ht="14.25" customHeight="1" x14ac:dyDescent="0.35">
      <c r="A131" s="12">
        <v>303345</v>
      </c>
      <c r="B131" s="59" t="str">
        <f>IFERROR(VLOOKUP(Tabla1[[#This Row],[CODIGO]],INVENTARIO!A:B,2,0)," ")</f>
        <v>Copla PE100 050mm EF</v>
      </c>
      <c r="C131" s="12">
        <v>3</v>
      </c>
      <c r="D131" s="13"/>
      <c r="E131" s="12">
        <v>254</v>
      </c>
      <c r="F131" s="14">
        <v>46097</v>
      </c>
      <c r="G131" s="34"/>
      <c r="H131" s="34" t="s">
        <v>223</v>
      </c>
      <c r="I131" s="34"/>
      <c r="J131" s="9" t="s">
        <v>207</v>
      </c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ht="14.25" customHeight="1" x14ac:dyDescent="0.35">
      <c r="A132" s="12">
        <v>301327</v>
      </c>
      <c r="B132" s="59" t="str">
        <f>IFERROR(VLOOKUP(Tabla1[[#This Row],[CODIGO]],INVENTARIO!A:B,2,0)," ")</f>
        <v>Tapa PE  050 mm Termo F.</v>
      </c>
      <c r="C132" s="12">
        <v>2</v>
      </c>
      <c r="D132" s="13"/>
      <c r="E132" s="12">
        <v>254</v>
      </c>
      <c r="F132" s="14">
        <v>46097</v>
      </c>
      <c r="G132" s="34"/>
      <c r="H132" s="34" t="s">
        <v>223</v>
      </c>
      <c r="I132" s="34"/>
      <c r="J132" s="9" t="s">
        <v>207</v>
      </c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ht="14.25" customHeight="1" x14ac:dyDescent="0.35">
      <c r="A133" s="12">
        <v>300712</v>
      </c>
      <c r="B133" s="59" t="str">
        <f>IFERROR(VLOOKUP(Tabla1[[#This Row],[CODIGO]],INVENTARIO!A:B,2,0)," ")</f>
        <v>Tapa PE  025 mm Termo F.</v>
      </c>
      <c r="C133" s="12">
        <v>6</v>
      </c>
      <c r="D133" s="13"/>
      <c r="E133" s="12">
        <v>254</v>
      </c>
      <c r="F133" s="14">
        <v>46097</v>
      </c>
      <c r="G133" s="34"/>
      <c r="H133" s="34" t="s">
        <v>223</v>
      </c>
      <c r="I133" s="34"/>
      <c r="J133" s="9" t="s">
        <v>207</v>
      </c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ht="14.25" customHeight="1" x14ac:dyDescent="0.35">
      <c r="A134" s="12">
        <v>301329</v>
      </c>
      <c r="B134" s="59" t="str">
        <f>IFERROR(VLOOKUP(Tabla1[[#This Row],[CODIGO]],INVENTARIO!A:B,2,0)," ")</f>
        <v>Copla PE100 025mm EF</v>
      </c>
      <c r="C134" s="12">
        <v>6</v>
      </c>
      <c r="D134" s="13"/>
      <c r="E134" s="12">
        <v>254</v>
      </c>
      <c r="F134" s="14">
        <v>46097</v>
      </c>
      <c r="G134" s="34"/>
      <c r="H134" s="34" t="s">
        <v>223</v>
      </c>
      <c r="I134" s="34"/>
      <c r="J134" s="9" t="s">
        <v>207</v>
      </c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ht="14.25" customHeight="1" x14ac:dyDescent="0.35">
      <c r="A135" s="12">
        <v>301987</v>
      </c>
      <c r="B135" s="59" t="str">
        <f>IFERROR(VLOOKUP(Tabla1[[#This Row],[CODIGO]],INVENTARIO!A:B,2,0)," ")</f>
        <v>Codo PE100 90° 063mm EF</v>
      </c>
      <c r="C135" s="12">
        <v>1</v>
      </c>
      <c r="D135" s="13"/>
      <c r="E135" s="12">
        <v>254</v>
      </c>
      <c r="F135" s="14">
        <v>46097</v>
      </c>
      <c r="G135" s="34"/>
      <c r="H135" s="34" t="s">
        <v>223</v>
      </c>
      <c r="I135" s="34"/>
      <c r="J135" s="9" t="s">
        <v>207</v>
      </c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ht="14.25" customHeight="1" x14ac:dyDescent="0.35">
      <c r="A136" s="12">
        <v>1000720</v>
      </c>
      <c r="B136" s="59" t="str">
        <f>IFERROR(VLOOKUP(Tabla1[[#This Row],[CODIGO]],INVENTARIO!A:B,2,0)," ")</f>
        <v>Teflón en Cinta de 3/4" Ancho x 520" a 5</v>
      </c>
      <c r="C136" s="12">
        <v>1</v>
      </c>
      <c r="D136" s="13"/>
      <c r="E136" s="12">
        <v>254</v>
      </c>
      <c r="F136" s="14">
        <v>46097</v>
      </c>
      <c r="G136" s="34"/>
      <c r="H136" s="34" t="s">
        <v>223</v>
      </c>
      <c r="I136" s="34"/>
      <c r="J136" s="9" t="s">
        <v>207</v>
      </c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ht="14.25" customHeight="1" x14ac:dyDescent="0.35">
      <c r="A137" s="12">
        <v>302991</v>
      </c>
      <c r="B137" s="59" t="str">
        <f>IFERROR(VLOOKUP(Tabla1[[#This Row],[CODIGO]],INVENTARIO!A:B,2,0)," ")</f>
        <v>Copla PE100 110mm EF</v>
      </c>
      <c r="C137" s="12">
        <v>1</v>
      </c>
      <c r="D137" s="13"/>
      <c r="E137" s="12">
        <v>425</v>
      </c>
      <c r="F137" s="14">
        <v>46097</v>
      </c>
      <c r="G137" s="34"/>
      <c r="H137" s="34" t="s">
        <v>314</v>
      </c>
      <c r="I137" s="34"/>
      <c r="J137" s="9" t="s">
        <v>274</v>
      </c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ht="14.25" customHeight="1" x14ac:dyDescent="0.35">
      <c r="A138" s="12">
        <v>301749</v>
      </c>
      <c r="B138" s="59" t="str">
        <f>IFERROR(VLOOKUP(Tabla1[[#This Row],[CODIGO]],INVENTARIO!A:B,2,0)," ")</f>
        <v>Tubería PE80 025mm Rollo</v>
      </c>
      <c r="C138" s="12">
        <v>10</v>
      </c>
      <c r="D138" s="13"/>
      <c r="E138" s="12">
        <v>426</v>
      </c>
      <c r="F138" s="14">
        <v>46097</v>
      </c>
      <c r="G138" s="34"/>
      <c r="H138" s="34" t="s">
        <v>314</v>
      </c>
      <c r="I138" s="34"/>
      <c r="J138" s="9" t="s">
        <v>274</v>
      </c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ht="14.25" customHeight="1" x14ac:dyDescent="0.35">
      <c r="A139" s="12">
        <v>2003911</v>
      </c>
      <c r="B139" s="59" t="str">
        <f>IFERROR(VLOOKUP(Tabla1[[#This Row],[CODIGO]],INVENTARIO!A:B,2,0)," ")</f>
        <v>Válvula EFv PE 25 mm Para Tap. Tee</v>
      </c>
      <c r="C139" s="12">
        <v>3</v>
      </c>
      <c r="D139" s="13"/>
      <c r="E139" s="12">
        <v>426</v>
      </c>
      <c r="F139" s="14">
        <v>46097</v>
      </c>
      <c r="G139" s="34"/>
      <c r="H139" s="34" t="s">
        <v>314</v>
      </c>
      <c r="I139" s="34"/>
      <c r="J139" s="9" t="s">
        <v>274</v>
      </c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ht="14.25" customHeight="1" x14ac:dyDescent="0.35">
      <c r="A140" s="12">
        <v>2007948</v>
      </c>
      <c r="B140" s="59" t="str">
        <f>IFERROR(VLOOKUP(Tabla1[[#This Row],[CODIGO]],INVENTARIO!A:B,2,0)," ")</f>
        <v>Tubo PVC Hidraulico 110 mm Pn6 Celeste</v>
      </c>
      <c r="C140" s="12">
        <v>2</v>
      </c>
      <c r="D140" s="13"/>
      <c r="E140" s="12">
        <v>426</v>
      </c>
      <c r="F140" s="14">
        <v>46097</v>
      </c>
      <c r="G140" s="34"/>
      <c r="H140" s="34" t="s">
        <v>314</v>
      </c>
      <c r="I140" s="34"/>
      <c r="J140" s="9" t="s">
        <v>274</v>
      </c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ht="14.25" customHeight="1" x14ac:dyDescent="0.35">
      <c r="A141" s="12">
        <v>2006391</v>
      </c>
      <c r="B141" s="59" t="str">
        <f>IFERROR(VLOOKUP(Tabla1[[#This Row],[CODIGO]],INVENTARIO!A:B,2,0)," ")</f>
        <v>Guardallave Fierro Fundido C/Tapa</v>
      </c>
      <c r="C141" s="12">
        <v>3</v>
      </c>
      <c r="D141" s="13"/>
      <c r="E141" s="12">
        <v>426</v>
      </c>
      <c r="F141" s="14">
        <v>46097</v>
      </c>
      <c r="G141" s="34"/>
      <c r="H141" s="34" t="s">
        <v>314</v>
      </c>
      <c r="I141" s="34"/>
      <c r="J141" s="9" t="s">
        <v>274</v>
      </c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ht="14.25" customHeight="1" x14ac:dyDescent="0.35">
      <c r="A142" s="12">
        <v>301329</v>
      </c>
      <c r="B142" s="59" t="str">
        <f>IFERROR(VLOOKUP(Tabla1[[#This Row],[CODIGO]],INVENTARIO!A:B,2,0)," ")</f>
        <v>Copla PE100 025mm EF</v>
      </c>
      <c r="C142" s="12">
        <v>4</v>
      </c>
      <c r="D142" s="13"/>
      <c r="E142" s="12">
        <v>426</v>
      </c>
      <c r="F142" s="14">
        <v>46097</v>
      </c>
      <c r="G142" s="34"/>
      <c r="H142" s="34" t="s">
        <v>314</v>
      </c>
      <c r="I142" s="34"/>
      <c r="J142" s="9" t="s">
        <v>274</v>
      </c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  <row r="143" spans="1:28" ht="14.25" customHeight="1" x14ac:dyDescent="0.35">
      <c r="A143" s="12">
        <v>2002262</v>
      </c>
      <c r="B143" s="59" t="str">
        <f>IFERROR(VLOOKUP(Tabla1[[#This Row],[CODIGO]],INVENTARIO!A:B,2,0)," ")</f>
        <v>Tubería PE80 050mm Rollo</v>
      </c>
      <c r="C143" s="12">
        <v>200</v>
      </c>
      <c r="D143" s="13"/>
      <c r="E143" s="12">
        <v>424</v>
      </c>
      <c r="F143" s="14">
        <v>46097</v>
      </c>
      <c r="G143" s="34"/>
      <c r="H143" s="34" t="s">
        <v>318</v>
      </c>
      <c r="I143" s="34"/>
      <c r="J143" s="9" t="s">
        <v>201</v>
      </c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</row>
    <row r="144" spans="1:28" ht="14.25" customHeight="1" x14ac:dyDescent="0.35">
      <c r="A144" s="12">
        <v>302065</v>
      </c>
      <c r="B144" s="59" t="str">
        <f>IFERROR(VLOOKUP(Tabla1[[#This Row],[CODIGO]],INVENTARIO!A:B,2,0)," ")</f>
        <v>Tubería PE80 110mm Tira</v>
      </c>
      <c r="C144" s="12">
        <v>6</v>
      </c>
      <c r="D144" s="13"/>
      <c r="E144" s="12">
        <v>421</v>
      </c>
      <c r="F144" s="14">
        <v>46097</v>
      </c>
      <c r="G144" s="34"/>
      <c r="H144" s="34" t="s">
        <v>314</v>
      </c>
      <c r="I144" s="34"/>
      <c r="J144" s="9" t="s">
        <v>274</v>
      </c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</row>
    <row r="145" spans="1:28" ht="14.25" customHeight="1" x14ac:dyDescent="0.35">
      <c r="A145" s="12">
        <v>303015</v>
      </c>
      <c r="B145" s="59" t="str">
        <f>IFERROR(VLOOKUP(Tabla1[[#This Row],[CODIGO]],INVENTARIO!A:B,2,0)," ")</f>
        <v>Tee PE 110 mm Electro F.</v>
      </c>
      <c r="C145" s="12">
        <v>1</v>
      </c>
      <c r="D145" s="13"/>
      <c r="E145" s="12">
        <v>421</v>
      </c>
      <c r="F145" s="14">
        <v>46097</v>
      </c>
      <c r="G145" s="34"/>
      <c r="H145" s="34" t="s">
        <v>314</v>
      </c>
      <c r="I145" s="34"/>
      <c r="J145" s="9" t="s">
        <v>274</v>
      </c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</row>
    <row r="146" spans="1:28" ht="14.25" customHeight="1" x14ac:dyDescent="0.35">
      <c r="A146" s="12">
        <v>302317</v>
      </c>
      <c r="B146" s="59" t="str">
        <f>IFERROR(VLOOKUP(Tabla1[[#This Row],[CODIGO]],INVENTARIO!A:B,2,0)," ")</f>
        <v>Tapa PE 110 mm Termo F.</v>
      </c>
      <c r="C146" s="12">
        <v>1</v>
      </c>
      <c r="D146" s="13"/>
      <c r="E146" s="12">
        <v>421</v>
      </c>
      <c r="F146" s="14">
        <v>46097</v>
      </c>
      <c r="G146" s="34"/>
      <c r="H146" s="34" t="s">
        <v>314</v>
      </c>
      <c r="I146" s="34"/>
      <c r="J146" s="9" t="s">
        <v>274</v>
      </c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</row>
    <row r="147" spans="1:28" ht="14.25" customHeight="1" x14ac:dyDescent="0.35">
      <c r="A147" s="12">
        <v>101624</v>
      </c>
      <c r="B147" s="59" t="str">
        <f>IFERROR(VLOOKUP(Tabla1[[#This Row],[CODIGO]],INVENTARIO!A:B,2,0)," ")</f>
        <v>Tapping Tee PE 50-25 mm</v>
      </c>
      <c r="C147" s="12">
        <v>2</v>
      </c>
      <c r="D147" s="13"/>
      <c r="E147" s="12">
        <v>421</v>
      </c>
      <c r="F147" s="14">
        <v>46097</v>
      </c>
      <c r="G147" s="34"/>
      <c r="H147" s="34" t="s">
        <v>314</v>
      </c>
      <c r="I147" s="34"/>
      <c r="J147" s="9" t="s">
        <v>274</v>
      </c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</row>
    <row r="148" spans="1:28" ht="14.25" customHeight="1" x14ac:dyDescent="0.35">
      <c r="A148" s="12">
        <v>301329</v>
      </c>
      <c r="B148" s="59" t="str">
        <f>IFERROR(VLOOKUP(Tabla1[[#This Row],[CODIGO]],INVENTARIO!A:B,2,0)," ")</f>
        <v>Copla PE100 025mm EF</v>
      </c>
      <c r="C148" s="12">
        <v>4</v>
      </c>
      <c r="D148" s="13"/>
      <c r="E148" s="12">
        <v>421</v>
      </c>
      <c r="F148" s="14">
        <v>46097</v>
      </c>
      <c r="G148" s="34"/>
      <c r="H148" s="34" t="s">
        <v>314</v>
      </c>
      <c r="I148" s="34"/>
      <c r="J148" s="9" t="s">
        <v>274</v>
      </c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</row>
    <row r="149" spans="1:28" ht="14.25" customHeight="1" x14ac:dyDescent="0.35">
      <c r="A149" s="12">
        <v>302737</v>
      </c>
      <c r="B149" s="59" t="str">
        <f>IFERROR(VLOOKUP(Tabla1[[#This Row],[CODIGO]],INVENTARIO!A:B,2,0)," ")</f>
        <v>Válvula Bola 3/4" Hi Un Cuerpo Pn5 Arco</v>
      </c>
      <c r="C149" s="12">
        <v>2</v>
      </c>
      <c r="D149" s="13"/>
      <c r="E149" s="12">
        <v>421</v>
      </c>
      <c r="F149" s="14">
        <v>46097</v>
      </c>
      <c r="G149" s="34"/>
      <c r="H149" s="34" t="s">
        <v>314</v>
      </c>
      <c r="I149" s="34"/>
      <c r="J149" s="9" t="s">
        <v>274</v>
      </c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</row>
    <row r="150" spans="1:28" ht="14.25" customHeight="1" x14ac:dyDescent="0.35">
      <c r="A150" s="12">
        <v>2008481</v>
      </c>
      <c r="B150" s="59" t="str">
        <f>IFERROR(VLOOKUP(Tabla1[[#This Row],[CODIGO]],INVENTARIO!A:B,2,0)," ")</f>
        <v>Tapa Tornillo Bronce 3/4" HE Bspt.</v>
      </c>
      <c r="C150" s="12">
        <v>2</v>
      </c>
      <c r="D150" s="13"/>
      <c r="E150" s="12">
        <v>421</v>
      </c>
      <c r="F150" s="14">
        <v>46097</v>
      </c>
      <c r="G150" s="34"/>
      <c r="H150" s="34" t="s">
        <v>314</v>
      </c>
      <c r="I150" s="34"/>
      <c r="J150" s="9" t="s">
        <v>274</v>
      </c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</row>
    <row r="151" spans="1:28" ht="14.25" customHeight="1" x14ac:dyDescent="0.35">
      <c r="A151" s="12">
        <v>2000350</v>
      </c>
      <c r="B151" s="59" t="str">
        <f>IFERROR(VLOOKUP(Tabla1[[#This Row],[CODIGO]],INVENTARIO!A:B,2,0)," ")</f>
        <v>Codo PE 90º  25 mm EF.</v>
      </c>
      <c r="C151" s="12">
        <v>2</v>
      </c>
      <c r="D151" s="13"/>
      <c r="E151" s="12">
        <v>421</v>
      </c>
      <c r="F151" s="14">
        <v>46097</v>
      </c>
      <c r="G151" s="34"/>
      <c r="H151" s="34" t="s">
        <v>314</v>
      </c>
      <c r="I151" s="34"/>
      <c r="J151" s="9" t="s">
        <v>274</v>
      </c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</row>
    <row r="152" spans="1:28" ht="14.25" customHeight="1" x14ac:dyDescent="0.35">
      <c r="A152" s="12">
        <v>303368</v>
      </c>
      <c r="B152" s="59" t="str">
        <f>IFERROR(VLOOKUP(Tabla1[[#This Row],[CODIGO]],INVENTARIO!A:B,2,0)," ")</f>
        <v>Cinta Plástica "Línea GN", 30 x 0.1</v>
      </c>
      <c r="C152" s="12">
        <v>100</v>
      </c>
      <c r="D152" s="13"/>
      <c r="E152" s="12">
        <v>421</v>
      </c>
      <c r="F152" s="14">
        <v>46097</v>
      </c>
      <c r="G152" s="34"/>
      <c r="H152" s="34" t="s">
        <v>314</v>
      </c>
      <c r="I152" s="34"/>
      <c r="J152" s="9" t="s">
        <v>274</v>
      </c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</row>
    <row r="153" spans="1:28" ht="14.25" customHeight="1" x14ac:dyDescent="0.35">
      <c r="A153" s="12">
        <v>1002167</v>
      </c>
      <c r="B153" s="59" t="str">
        <f>IFERROR(VLOOKUP(Tabla1[[#This Row],[CODIGO]],INVENTARIO!A:B,2,0)," ")</f>
        <v>Cable Trazador Cu 14 AWG Aisl. THW Roj</v>
      </c>
      <c r="C153" s="12">
        <v>100</v>
      </c>
      <c r="D153" s="13"/>
      <c r="E153" s="12">
        <v>421</v>
      </c>
      <c r="F153" s="14">
        <v>46097</v>
      </c>
      <c r="G153" s="34"/>
      <c r="H153" s="34" t="s">
        <v>314</v>
      </c>
      <c r="I153" s="34"/>
      <c r="J153" s="9" t="s">
        <v>274</v>
      </c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</row>
    <row r="154" spans="1:28" ht="14.25" customHeight="1" x14ac:dyDescent="0.35">
      <c r="A154" s="12">
        <v>300109</v>
      </c>
      <c r="B154" s="59" t="str">
        <f>IFERROR(VLOOKUP(Tabla1[[#This Row],[CODIGO]],INVENTARIO!A:B,2,0)," ")</f>
        <v>Risers de Acero 3/4" Bsp x 25 mm</v>
      </c>
      <c r="C154" s="12">
        <v>2</v>
      </c>
      <c r="D154" s="13"/>
      <c r="E154" s="12">
        <v>421</v>
      </c>
      <c r="F154" s="14">
        <v>46097</v>
      </c>
      <c r="G154" s="34"/>
      <c r="H154" s="34" t="s">
        <v>314</v>
      </c>
      <c r="I154" s="34"/>
      <c r="J154" s="9" t="s">
        <v>274</v>
      </c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</row>
    <row r="155" spans="1:28" ht="14.25" customHeight="1" x14ac:dyDescent="0.35">
      <c r="A155" s="12">
        <v>301770</v>
      </c>
      <c r="B155" s="59" t="str">
        <f>IFERROR(VLOOKUP(Tabla1[[#This Row],[CODIGO]],INVENTARIO!A:B,2,0)," ")</f>
        <v>Válvula PE100 Dn 160mm</v>
      </c>
      <c r="C155" s="12">
        <v>1</v>
      </c>
      <c r="D155" s="13"/>
      <c r="E155" s="12">
        <v>502</v>
      </c>
      <c r="F155" s="14">
        <v>46098</v>
      </c>
      <c r="G155" s="34"/>
      <c r="H155" s="34" t="s">
        <v>267</v>
      </c>
      <c r="I155" s="34"/>
      <c r="J155" s="9" t="s">
        <v>193</v>
      </c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</row>
    <row r="156" spans="1:28" ht="14.25" customHeight="1" x14ac:dyDescent="0.35">
      <c r="A156" s="12">
        <v>2005136</v>
      </c>
      <c r="B156" s="59" t="str">
        <f>IFERROR(VLOOKUP(Tabla1[[#This Row],[CODIGO]],INVENTARIO!A:B,2,0)," ")</f>
        <v>Tubo PVC 160 mm PN6 CG Amarillo</v>
      </c>
      <c r="C156" s="12">
        <v>2</v>
      </c>
      <c r="D156" s="13"/>
      <c r="E156" s="12">
        <v>504</v>
      </c>
      <c r="F156" s="14">
        <v>46098</v>
      </c>
      <c r="G156" s="34"/>
      <c r="H156" s="34" t="s">
        <v>267</v>
      </c>
      <c r="I156" s="34"/>
      <c r="J156" s="9" t="s">
        <v>193</v>
      </c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</row>
    <row r="157" spans="1:28" ht="14.25" customHeight="1" x14ac:dyDescent="0.35">
      <c r="A157" s="12">
        <v>2005137</v>
      </c>
      <c r="B157" s="59" t="str">
        <f>IFERROR(VLOOKUP(Tabla1[[#This Row],[CODIGO]],INVENTARIO!A:B,2,0)," ")</f>
        <v>Tubo PVC 200 mm PN6 CG Amarillo</v>
      </c>
      <c r="C157" s="12">
        <v>2</v>
      </c>
      <c r="D157" s="13"/>
      <c r="E157" s="12">
        <v>503</v>
      </c>
      <c r="F157" s="14">
        <v>46098</v>
      </c>
      <c r="G157" s="34"/>
      <c r="H157" s="34" t="s">
        <v>267</v>
      </c>
      <c r="I157" s="34"/>
      <c r="J157" s="9" t="s">
        <v>341</v>
      </c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</row>
    <row r="158" spans="1:28" ht="14.25" customHeight="1" x14ac:dyDescent="0.35">
      <c r="A158" s="12">
        <v>303511</v>
      </c>
      <c r="B158" s="59" t="str">
        <f>IFERROR(VLOOKUP(Tabla1[[#This Row],[CODIGO]],INVENTARIO!A:B,2,0)," ")</f>
        <v>Lata de Espuma Poliuretano Adimus / 500 ML</v>
      </c>
      <c r="C158" s="12">
        <v>1</v>
      </c>
      <c r="D158" s="13"/>
      <c r="E158" s="12">
        <v>437</v>
      </c>
      <c r="F158" s="14">
        <v>46098</v>
      </c>
      <c r="G158" s="34"/>
      <c r="H158" s="34" t="s">
        <v>312</v>
      </c>
      <c r="I158" s="34"/>
      <c r="J158" s="9" t="s">
        <v>274</v>
      </c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</row>
    <row r="159" spans="1:28" ht="14.25" customHeight="1" x14ac:dyDescent="0.35">
      <c r="A159" s="12">
        <v>301099</v>
      </c>
      <c r="B159" s="59" t="str">
        <f>IFERROR(VLOOKUP(Tabla1[[#This Row],[CODIGO]],INVENTARIO!A:B,2,0)," ")</f>
        <v>Válvula PE100 Dn 25mm</v>
      </c>
      <c r="C159" s="12">
        <v>3</v>
      </c>
      <c r="D159" s="13"/>
      <c r="E159" s="12">
        <v>428</v>
      </c>
      <c r="F159" s="14">
        <v>46097</v>
      </c>
      <c r="G159" s="34"/>
      <c r="H159" s="34" t="s">
        <v>314</v>
      </c>
      <c r="I159" s="34"/>
      <c r="J159" s="9" t="s">
        <v>274</v>
      </c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</row>
    <row r="160" spans="1:28" ht="14.25" customHeight="1" x14ac:dyDescent="0.35">
      <c r="A160" s="12">
        <v>1000720</v>
      </c>
      <c r="B160" s="59" t="str">
        <f>IFERROR(VLOOKUP(Tabla1[[#This Row],[CODIGO]],INVENTARIO!A:B,2,0)," ")</f>
        <v>Teflón en Cinta de 3/4" Ancho x 520" a 5</v>
      </c>
      <c r="C160" s="12">
        <v>2</v>
      </c>
      <c r="D160" s="13"/>
      <c r="E160" s="12">
        <v>428</v>
      </c>
      <c r="F160" s="14">
        <v>46097</v>
      </c>
      <c r="G160" s="34"/>
      <c r="H160" s="34" t="s">
        <v>314</v>
      </c>
      <c r="I160" s="34"/>
      <c r="J160" s="9" t="s">
        <v>274</v>
      </c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</row>
    <row r="161" spans="1:28" ht="14.25" customHeight="1" x14ac:dyDescent="0.35">
      <c r="A161" s="12">
        <v>2000350</v>
      </c>
      <c r="B161" s="59" t="str">
        <f>IFERROR(VLOOKUP(Tabla1[[#This Row],[CODIGO]],INVENTARIO!A:B,2,0)," ")</f>
        <v>Codo PE 90º  25 mm EF.</v>
      </c>
      <c r="C161" s="12">
        <v>19</v>
      </c>
      <c r="D161" s="13"/>
      <c r="E161" s="12">
        <v>422</v>
      </c>
      <c r="F161" s="14">
        <v>46097</v>
      </c>
      <c r="G161" s="34"/>
      <c r="H161" s="34" t="s">
        <v>226</v>
      </c>
      <c r="I161" s="34"/>
      <c r="J161" s="9" t="s">
        <v>364</v>
      </c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</row>
    <row r="162" spans="1:28" ht="14.25" customHeight="1" x14ac:dyDescent="0.35">
      <c r="A162" s="12">
        <v>300109</v>
      </c>
      <c r="B162" s="59" t="str">
        <f>IFERROR(VLOOKUP(Tabla1[[#This Row],[CODIGO]],INVENTARIO!A:B,2,0)," ")</f>
        <v>Risers de Acero 3/4" Bsp x 25 mm</v>
      </c>
      <c r="C162" s="12">
        <v>24</v>
      </c>
      <c r="D162" s="13"/>
      <c r="E162" s="12">
        <v>422</v>
      </c>
      <c r="F162" s="14">
        <v>46097</v>
      </c>
      <c r="G162" s="34"/>
      <c r="H162" s="34" t="s">
        <v>226</v>
      </c>
      <c r="I162" s="34"/>
      <c r="J162" s="9" t="s">
        <v>364</v>
      </c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</row>
    <row r="163" spans="1:28" ht="14.25" customHeight="1" x14ac:dyDescent="0.35">
      <c r="A163" s="12">
        <v>302737</v>
      </c>
      <c r="B163" s="59" t="str">
        <f>IFERROR(VLOOKUP(Tabla1[[#This Row],[CODIGO]],INVENTARIO!A:B,2,0)," ")</f>
        <v>Válvula Bola 3/4" Hi Un Cuerpo Pn5 Arco</v>
      </c>
      <c r="C163" s="12">
        <v>24</v>
      </c>
      <c r="D163" s="13"/>
      <c r="E163" s="12">
        <v>422</v>
      </c>
      <c r="F163" s="14">
        <v>46097</v>
      </c>
      <c r="G163" s="34"/>
      <c r="H163" s="34" t="s">
        <v>226</v>
      </c>
      <c r="I163" s="34"/>
      <c r="J163" s="9" t="s">
        <v>364</v>
      </c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</row>
    <row r="164" spans="1:28" ht="14.25" customHeight="1" x14ac:dyDescent="0.35">
      <c r="A164" s="12">
        <v>2008481</v>
      </c>
      <c r="B164" s="59" t="str">
        <f>IFERROR(VLOOKUP(Tabla1[[#This Row],[CODIGO]],INVENTARIO!A:B,2,0)," ")</f>
        <v>Tapa Tornillo Bronce 3/4" HE Bspt.</v>
      </c>
      <c r="C164" s="12">
        <v>24</v>
      </c>
      <c r="D164" s="13"/>
      <c r="E164" s="12">
        <v>422</v>
      </c>
      <c r="F164" s="14">
        <v>46097</v>
      </c>
      <c r="G164" s="34"/>
      <c r="H164" s="34" t="s">
        <v>226</v>
      </c>
      <c r="I164" s="34"/>
      <c r="J164" s="9" t="s">
        <v>364</v>
      </c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</row>
    <row r="165" spans="1:28" ht="14.25" customHeight="1" x14ac:dyDescent="0.35">
      <c r="A165" s="12">
        <v>1000720</v>
      </c>
      <c r="B165" s="59" t="str">
        <f>IFERROR(VLOOKUP(Tabla1[[#This Row],[CODIGO]],INVENTARIO!A:B,2,0)," ")</f>
        <v>Teflón en Cinta de 3/4" Ancho x 520" a 5</v>
      </c>
      <c r="C165" s="12">
        <v>3</v>
      </c>
      <c r="D165" s="13"/>
      <c r="E165" s="12">
        <v>422</v>
      </c>
      <c r="F165" s="14">
        <v>46097</v>
      </c>
      <c r="G165" s="34"/>
      <c r="H165" s="34" t="s">
        <v>226</v>
      </c>
      <c r="I165" s="34"/>
      <c r="J165" s="9" t="s">
        <v>364</v>
      </c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</row>
    <row r="166" spans="1:28" ht="14.25" customHeight="1" x14ac:dyDescent="0.35">
      <c r="A166" s="9" t="s">
        <v>292</v>
      </c>
      <c r="B166" s="59" t="str">
        <f>IFERROR(VLOOKUP(Tabla1[[#This Row],[CODIGO]],INVENTARIO!A:B,2,0)," ")</f>
        <v>Toalla Nova Clasica</v>
      </c>
      <c r="C166" s="12">
        <v>1</v>
      </c>
      <c r="D166" s="13"/>
      <c r="E166" s="12">
        <v>387</v>
      </c>
      <c r="F166" s="14">
        <v>46097</v>
      </c>
      <c r="G166" s="34"/>
      <c r="H166" s="34" t="s">
        <v>232</v>
      </c>
      <c r="I166" s="34"/>
      <c r="J166" s="9" t="s">
        <v>334</v>
      </c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</row>
    <row r="167" spans="1:28" ht="14.25" customHeight="1" x14ac:dyDescent="0.35">
      <c r="A167" s="12">
        <v>101624</v>
      </c>
      <c r="B167" s="59" t="str">
        <f>IFERROR(VLOOKUP(Tabla1[[#This Row],[CODIGO]],INVENTARIO!A:B,2,0)," ")</f>
        <v>Tapping Tee PE 50-25 mm</v>
      </c>
      <c r="C167" s="12">
        <v>14</v>
      </c>
      <c r="D167" s="13"/>
      <c r="E167" s="12">
        <v>339</v>
      </c>
      <c r="F167" s="14">
        <v>46094</v>
      </c>
      <c r="G167" s="34"/>
      <c r="H167" s="34" t="s">
        <v>232</v>
      </c>
      <c r="I167" s="34"/>
      <c r="J167" s="9" t="s">
        <v>334</v>
      </c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</row>
    <row r="168" spans="1:28" ht="14.25" customHeight="1" x14ac:dyDescent="0.35">
      <c r="A168" s="12">
        <v>2003911</v>
      </c>
      <c r="B168" s="59" t="str">
        <f>IFERROR(VLOOKUP(Tabla1[[#This Row],[CODIGO]],INVENTARIO!A:B,2,0)," ")</f>
        <v>Válvula EFv PE 25 mm Para Tap. Tee</v>
      </c>
      <c r="C168" s="12">
        <v>14</v>
      </c>
      <c r="D168" s="13"/>
      <c r="E168" s="12">
        <v>339</v>
      </c>
      <c r="F168" s="14">
        <v>46094</v>
      </c>
      <c r="G168" s="34"/>
      <c r="H168" s="34" t="s">
        <v>232</v>
      </c>
      <c r="I168" s="34"/>
      <c r="J168" s="9" t="s">
        <v>334</v>
      </c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</row>
    <row r="169" spans="1:28" ht="14.25" customHeight="1" x14ac:dyDescent="0.35">
      <c r="A169" s="12">
        <v>301329</v>
      </c>
      <c r="B169" s="59" t="str">
        <f>IFERROR(VLOOKUP(Tabla1[[#This Row],[CODIGO]],INVENTARIO!A:B,2,0)," ")</f>
        <v>Copla PE100 025mm EF</v>
      </c>
      <c r="C169" s="12">
        <v>28</v>
      </c>
      <c r="D169" s="13"/>
      <c r="E169" s="12">
        <v>339</v>
      </c>
      <c r="F169" s="14">
        <v>46094</v>
      </c>
      <c r="G169" s="34"/>
      <c r="H169" s="34" t="s">
        <v>232</v>
      </c>
      <c r="I169" s="34"/>
      <c r="J169" s="9" t="s">
        <v>334</v>
      </c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</row>
    <row r="170" spans="1:28" ht="14.25" customHeight="1" x14ac:dyDescent="0.35">
      <c r="A170" s="12">
        <v>300712</v>
      </c>
      <c r="B170" s="59" t="str">
        <f>IFERROR(VLOOKUP(Tabla1[[#This Row],[CODIGO]],INVENTARIO!A:B,2,0)," ")</f>
        <v>Tapa PE  025 mm Termo F.</v>
      </c>
      <c r="C170" s="12">
        <v>14</v>
      </c>
      <c r="D170" s="13"/>
      <c r="E170" s="12">
        <v>339</v>
      </c>
      <c r="F170" s="14">
        <v>46094</v>
      </c>
      <c r="G170" s="34"/>
      <c r="H170" s="34" t="s">
        <v>232</v>
      </c>
      <c r="I170" s="34"/>
      <c r="J170" s="9" t="s">
        <v>334</v>
      </c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</row>
    <row r="171" spans="1:28" ht="14.25" customHeight="1" x14ac:dyDescent="0.35">
      <c r="A171" s="12">
        <v>2002262</v>
      </c>
      <c r="B171" s="59" t="str">
        <f>IFERROR(VLOOKUP(Tabla1[[#This Row],[CODIGO]],INVENTARIO!A:B,2,0)," ")</f>
        <v>Tubería PE80 050mm Rollo</v>
      </c>
      <c r="C171" s="12">
        <v>50</v>
      </c>
      <c r="D171" s="13"/>
      <c r="E171" s="12">
        <v>417</v>
      </c>
      <c r="F171" s="14">
        <v>46094</v>
      </c>
      <c r="G171" s="34"/>
      <c r="H171" s="34" t="s">
        <v>314</v>
      </c>
      <c r="I171" s="34"/>
      <c r="J171" s="9" t="s">
        <v>274</v>
      </c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</row>
    <row r="172" spans="1:28" ht="14.25" customHeight="1" x14ac:dyDescent="0.35">
      <c r="A172" s="12">
        <v>301666</v>
      </c>
      <c r="B172" s="59" t="str">
        <f>IFERROR(VLOOKUP(Tabla1[[#This Row],[CODIGO]],INVENTARIO!A:B,2,0)," ")</f>
        <v>Tapping Tee PE 110-25 mm</v>
      </c>
      <c r="C172" s="12">
        <v>1</v>
      </c>
      <c r="D172" s="13"/>
      <c r="E172" s="12">
        <v>417</v>
      </c>
      <c r="F172" s="14">
        <v>46094</v>
      </c>
      <c r="G172" s="34"/>
      <c r="H172" s="34" t="s">
        <v>314</v>
      </c>
      <c r="I172" s="34"/>
      <c r="J172" s="9" t="s">
        <v>274</v>
      </c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</row>
    <row r="173" spans="1:28" ht="14.25" customHeight="1" x14ac:dyDescent="0.35">
      <c r="A173" s="12">
        <v>300109</v>
      </c>
      <c r="B173" s="59" t="str">
        <f>IFERROR(VLOOKUP(Tabla1[[#This Row],[CODIGO]],INVENTARIO!A:B,2,0)," ")</f>
        <v>Risers de Acero 3/4" Bsp x 25 mm</v>
      </c>
      <c r="C173" s="12">
        <v>1</v>
      </c>
      <c r="D173" s="13"/>
      <c r="E173" s="12">
        <v>417</v>
      </c>
      <c r="F173" s="14">
        <v>46094</v>
      </c>
      <c r="G173" s="34"/>
      <c r="H173" s="34" t="s">
        <v>314</v>
      </c>
      <c r="I173" s="34"/>
      <c r="J173" s="9" t="s">
        <v>274</v>
      </c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</row>
    <row r="174" spans="1:28" ht="14.25" customHeight="1" x14ac:dyDescent="0.35">
      <c r="A174" s="12">
        <v>302737</v>
      </c>
      <c r="B174" s="59" t="str">
        <f>IFERROR(VLOOKUP(Tabla1[[#This Row],[CODIGO]],INVENTARIO!A:B,2,0)," ")</f>
        <v>Válvula Bola 3/4" Hi Un Cuerpo Pn5 Arco</v>
      </c>
      <c r="C174" s="12">
        <v>1</v>
      </c>
      <c r="D174" s="13"/>
      <c r="E174" s="12">
        <v>417</v>
      </c>
      <c r="F174" s="14">
        <v>46094</v>
      </c>
      <c r="G174" s="34"/>
      <c r="H174" s="34" t="s">
        <v>314</v>
      </c>
      <c r="I174" s="34"/>
      <c r="J174" s="9" t="s">
        <v>274</v>
      </c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</row>
    <row r="175" spans="1:28" ht="14.25" customHeight="1" x14ac:dyDescent="0.35">
      <c r="A175" s="12">
        <v>2008481</v>
      </c>
      <c r="B175" s="59" t="str">
        <f>IFERROR(VLOOKUP(Tabla1[[#This Row],[CODIGO]],INVENTARIO!A:B,2,0)," ")</f>
        <v>Tapa Tornillo Bronce 3/4" HE Bspt.</v>
      </c>
      <c r="C175" s="12">
        <v>1</v>
      </c>
      <c r="D175" s="13"/>
      <c r="E175" s="12">
        <v>417</v>
      </c>
      <c r="F175" s="14">
        <v>46094</v>
      </c>
      <c r="G175" s="34"/>
      <c r="H175" s="34" t="s">
        <v>314</v>
      </c>
      <c r="I175" s="34"/>
      <c r="J175" s="9" t="s">
        <v>274</v>
      </c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</row>
    <row r="176" spans="1:28" ht="14.25" customHeight="1" x14ac:dyDescent="0.35">
      <c r="A176" s="12">
        <v>301329</v>
      </c>
      <c r="B176" s="59" t="str">
        <f>IFERROR(VLOOKUP(Tabla1[[#This Row],[CODIGO]],INVENTARIO!A:B,2,0)," ")</f>
        <v>Copla PE100 025mm EF</v>
      </c>
      <c r="C176" s="12">
        <v>1</v>
      </c>
      <c r="D176" s="13"/>
      <c r="E176" s="12">
        <v>417</v>
      </c>
      <c r="F176" s="14">
        <v>46094</v>
      </c>
      <c r="G176" s="34"/>
      <c r="H176" s="34" t="s">
        <v>314</v>
      </c>
      <c r="I176" s="34"/>
      <c r="J176" s="9" t="s">
        <v>274</v>
      </c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</row>
    <row r="177" spans="1:28" ht="14.25" customHeight="1" x14ac:dyDescent="0.35">
      <c r="A177" s="12">
        <v>2000350</v>
      </c>
      <c r="B177" s="59" t="str">
        <f>IFERROR(VLOOKUP(Tabla1[[#This Row],[CODIGO]],INVENTARIO!A:B,2,0)," ")</f>
        <v>Codo PE 90º  25 mm EF.</v>
      </c>
      <c r="C177" s="12">
        <v>1</v>
      </c>
      <c r="D177" s="13"/>
      <c r="E177" s="12">
        <v>417</v>
      </c>
      <c r="F177" s="14">
        <v>46094</v>
      </c>
      <c r="G177" s="34"/>
      <c r="H177" s="34" t="s">
        <v>314</v>
      </c>
      <c r="I177" s="34"/>
      <c r="J177" s="9" t="s">
        <v>274</v>
      </c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</row>
    <row r="178" spans="1:28" ht="14.25" customHeight="1" x14ac:dyDescent="0.35">
      <c r="A178" s="12">
        <v>302991</v>
      </c>
      <c r="B178" s="59" t="str">
        <f>IFERROR(VLOOKUP(Tabla1[[#This Row],[CODIGO]],INVENTARIO!A:B,2,0)," ")</f>
        <v>Copla PE100 110mm EF</v>
      </c>
      <c r="C178" s="12">
        <v>1</v>
      </c>
      <c r="D178" s="13"/>
      <c r="E178" s="12">
        <v>417</v>
      </c>
      <c r="F178" s="14">
        <v>46094</v>
      </c>
      <c r="G178" s="34"/>
      <c r="H178" s="34" t="s">
        <v>314</v>
      </c>
      <c r="I178" s="34"/>
      <c r="J178" s="9" t="s">
        <v>274</v>
      </c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</row>
    <row r="179" spans="1:28" ht="14.25" customHeight="1" x14ac:dyDescent="0.35">
      <c r="A179" s="12">
        <v>303345</v>
      </c>
      <c r="B179" s="59" t="str">
        <f>IFERROR(VLOOKUP(Tabla1[[#This Row],[CODIGO]],INVENTARIO!A:B,2,0)," ")</f>
        <v>Copla PE100 050mm EF</v>
      </c>
      <c r="C179" s="12">
        <v>4</v>
      </c>
      <c r="D179" s="13"/>
      <c r="E179" s="12">
        <v>417</v>
      </c>
      <c r="F179" s="14">
        <v>46094</v>
      </c>
      <c r="G179" s="34"/>
      <c r="H179" s="34" t="s">
        <v>314</v>
      </c>
      <c r="I179" s="34"/>
      <c r="J179" s="9" t="s">
        <v>274</v>
      </c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</row>
    <row r="180" spans="1:28" ht="14.25" customHeight="1" x14ac:dyDescent="0.35">
      <c r="A180" s="12">
        <v>301327</v>
      </c>
      <c r="B180" s="59" t="str">
        <f>IFERROR(VLOOKUP(Tabla1[[#This Row],[CODIGO]],INVENTARIO!A:B,2,0)," ")</f>
        <v>Tapa PE  050 mm Termo F.</v>
      </c>
      <c r="C180" s="12">
        <v>2</v>
      </c>
      <c r="D180" s="13"/>
      <c r="E180" s="12">
        <v>417</v>
      </c>
      <c r="F180" s="14">
        <v>46094</v>
      </c>
      <c r="G180" s="34"/>
      <c r="H180" s="34" t="s">
        <v>314</v>
      </c>
      <c r="I180" s="34"/>
      <c r="J180" s="9" t="s">
        <v>274</v>
      </c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</row>
    <row r="181" spans="1:28" ht="14.25" customHeight="1" x14ac:dyDescent="0.35">
      <c r="A181" s="12">
        <v>300109</v>
      </c>
      <c r="B181" s="59" t="str">
        <f>IFERROR(VLOOKUP(Tabla1[[#This Row],[CODIGO]],INVENTARIO!A:B,2,0)," ")</f>
        <v>Risers de Acero 3/4" Bsp x 25 mm</v>
      </c>
      <c r="C181" s="12">
        <v>12</v>
      </c>
      <c r="D181" s="13"/>
      <c r="E181" s="12">
        <v>418</v>
      </c>
      <c r="F181" s="14">
        <v>46094</v>
      </c>
      <c r="G181" s="34"/>
      <c r="H181" s="34" t="s">
        <v>226</v>
      </c>
      <c r="I181" s="34"/>
      <c r="J181" s="9" t="s">
        <v>364</v>
      </c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</row>
    <row r="182" spans="1:28" ht="14.25" customHeight="1" x14ac:dyDescent="0.35">
      <c r="A182" s="12">
        <v>302737</v>
      </c>
      <c r="B182" s="59" t="str">
        <f>IFERROR(VLOOKUP(Tabla1[[#This Row],[CODIGO]],INVENTARIO!A:B,2,0)," ")</f>
        <v>Válvula Bola 3/4" Hi Un Cuerpo Pn5 Arco</v>
      </c>
      <c r="C182" s="12">
        <v>12</v>
      </c>
      <c r="D182" s="13"/>
      <c r="E182" s="12">
        <v>418</v>
      </c>
      <c r="F182" s="14">
        <v>46094</v>
      </c>
      <c r="G182" s="34"/>
      <c r="H182" s="34" t="s">
        <v>226</v>
      </c>
      <c r="I182" s="34"/>
      <c r="J182" s="9" t="s">
        <v>364</v>
      </c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</row>
    <row r="183" spans="1:28" ht="14.25" customHeight="1" x14ac:dyDescent="0.35">
      <c r="A183" s="12">
        <v>2008481</v>
      </c>
      <c r="B183" s="59" t="str">
        <f>IFERROR(VLOOKUP(Tabla1[[#This Row],[CODIGO]],INVENTARIO!A:B,2,0)," ")</f>
        <v>Tapa Tornillo Bronce 3/4" HE Bspt.</v>
      </c>
      <c r="C183" s="12">
        <v>12</v>
      </c>
      <c r="D183" s="13"/>
      <c r="E183" s="12">
        <v>418</v>
      </c>
      <c r="F183" s="14">
        <v>46094</v>
      </c>
      <c r="G183" s="34"/>
      <c r="H183" s="34" t="s">
        <v>226</v>
      </c>
      <c r="I183" s="34"/>
      <c r="J183" s="9" t="s">
        <v>364</v>
      </c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</row>
    <row r="184" spans="1:28" ht="14.25" customHeight="1" x14ac:dyDescent="0.35">
      <c r="A184" s="12">
        <v>1000720</v>
      </c>
      <c r="B184" s="59" t="str">
        <f>IFERROR(VLOOKUP(Tabla1[[#This Row],[CODIGO]],INVENTARIO!A:B,2,0)," ")</f>
        <v>Teflón en Cinta de 3/4" Ancho x 520" a 5</v>
      </c>
      <c r="C184" s="12">
        <v>3</v>
      </c>
      <c r="D184" s="13"/>
      <c r="E184" s="12">
        <v>418</v>
      </c>
      <c r="F184" s="14">
        <v>46094</v>
      </c>
      <c r="G184" s="34"/>
      <c r="H184" s="34" t="s">
        <v>226</v>
      </c>
      <c r="I184" s="34"/>
      <c r="J184" s="9" t="s">
        <v>364</v>
      </c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</row>
    <row r="185" spans="1:28" ht="14.25" customHeight="1" x14ac:dyDescent="0.35">
      <c r="A185" s="9" t="s">
        <v>292</v>
      </c>
      <c r="B185" s="59" t="str">
        <f>IFERROR(VLOOKUP(Tabla1[[#This Row],[CODIGO]],INVENTARIO!A:B,2,0)," ")</f>
        <v>Toalla Nova Clasica</v>
      </c>
      <c r="C185" s="12">
        <v>2</v>
      </c>
      <c r="D185" s="13"/>
      <c r="E185" s="12">
        <v>418</v>
      </c>
      <c r="F185" s="14">
        <v>46094</v>
      </c>
      <c r="G185" s="34"/>
      <c r="H185" s="34" t="s">
        <v>226</v>
      </c>
      <c r="I185" s="34"/>
      <c r="J185" s="9" t="s">
        <v>364</v>
      </c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</row>
    <row r="186" spans="1:28" ht="14.25" customHeight="1" x14ac:dyDescent="0.35">
      <c r="A186" s="9" t="s">
        <v>291</v>
      </c>
      <c r="B186" s="59" t="str">
        <f>IFERROR(VLOOKUP(Tabla1[[#This Row],[CODIGO]],INVENTARIO!A:B,2,0)," ")</f>
        <v>Alcohol Isopropilico  500 ml</v>
      </c>
      <c r="C186" s="12">
        <v>1</v>
      </c>
      <c r="D186" s="13"/>
      <c r="E186" s="12">
        <v>418</v>
      </c>
      <c r="F186" s="14">
        <v>46094</v>
      </c>
      <c r="G186" s="34"/>
      <c r="H186" s="34" t="s">
        <v>226</v>
      </c>
      <c r="I186" s="34"/>
      <c r="J186" s="9" t="s">
        <v>364</v>
      </c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</row>
    <row r="187" spans="1:28" ht="14.25" customHeight="1" x14ac:dyDescent="0.35">
      <c r="A187" s="12">
        <v>1000720</v>
      </c>
      <c r="B187" s="59" t="str">
        <f>IFERROR(VLOOKUP(Tabla1[[#This Row],[CODIGO]],INVENTARIO!A:B,2,0)," ")</f>
        <v>Teflón en Cinta de 3/4" Ancho x 520" a 5</v>
      </c>
      <c r="C187" s="12">
        <v>1</v>
      </c>
      <c r="D187" s="13"/>
      <c r="E187" s="12">
        <v>253</v>
      </c>
      <c r="F187" s="14">
        <v>46094</v>
      </c>
      <c r="G187" s="34"/>
      <c r="H187" s="34" t="s">
        <v>223</v>
      </c>
      <c r="I187" s="34"/>
      <c r="J187" s="9" t="s">
        <v>207</v>
      </c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</row>
    <row r="188" spans="1:28" ht="14.25" customHeight="1" x14ac:dyDescent="0.35">
      <c r="A188" s="12">
        <v>101624</v>
      </c>
      <c r="B188" s="59" t="str">
        <f>IFERROR(VLOOKUP(Tabla1[[#This Row],[CODIGO]],INVENTARIO!A:B,2,0)," ")</f>
        <v>Tapping Tee PE 50-25 mm</v>
      </c>
      <c r="C188" s="12">
        <v>5</v>
      </c>
      <c r="D188" s="13"/>
      <c r="E188" s="12">
        <v>253</v>
      </c>
      <c r="F188" s="14">
        <v>46094</v>
      </c>
      <c r="G188" s="34"/>
      <c r="H188" s="34" t="s">
        <v>223</v>
      </c>
      <c r="I188" s="34"/>
      <c r="J188" s="9" t="s">
        <v>207</v>
      </c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</row>
    <row r="189" spans="1:28" ht="14.25" customHeight="1" x14ac:dyDescent="0.35">
      <c r="A189" s="12">
        <v>300109</v>
      </c>
      <c r="B189" s="59" t="str">
        <f>IFERROR(VLOOKUP(Tabla1[[#This Row],[CODIGO]],INVENTARIO!A:B,2,0)," ")</f>
        <v>Risers de Acero 3/4" Bsp x 25 mm</v>
      </c>
      <c r="C189" s="12">
        <v>3</v>
      </c>
      <c r="D189" s="13"/>
      <c r="E189" s="12">
        <v>253</v>
      </c>
      <c r="F189" s="14">
        <v>46094</v>
      </c>
      <c r="G189" s="34"/>
      <c r="H189" s="34" t="s">
        <v>223</v>
      </c>
      <c r="I189" s="34"/>
      <c r="J189" s="9" t="s">
        <v>207</v>
      </c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</row>
    <row r="190" spans="1:28" ht="14.25" customHeight="1" x14ac:dyDescent="0.35">
      <c r="A190" s="12">
        <v>302737</v>
      </c>
      <c r="B190" s="59" t="str">
        <f>IFERROR(VLOOKUP(Tabla1[[#This Row],[CODIGO]],INVENTARIO!A:B,2,0)," ")</f>
        <v>Válvula Bola 3/4" Hi Un Cuerpo Pn5 Arco</v>
      </c>
      <c r="C190" s="12">
        <v>4</v>
      </c>
      <c r="D190" s="13"/>
      <c r="E190" s="12">
        <v>253</v>
      </c>
      <c r="F190" s="14">
        <v>46094</v>
      </c>
      <c r="G190" s="34"/>
      <c r="H190" s="34" t="s">
        <v>223</v>
      </c>
      <c r="I190" s="34"/>
      <c r="J190" s="9" t="s">
        <v>207</v>
      </c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</row>
    <row r="191" spans="1:28" ht="14.25" customHeight="1" x14ac:dyDescent="0.35">
      <c r="A191" s="12">
        <v>2008481</v>
      </c>
      <c r="B191" s="59" t="str">
        <f>IFERROR(VLOOKUP(Tabla1[[#This Row],[CODIGO]],INVENTARIO!A:B,2,0)," ")</f>
        <v>Tapa Tornillo Bronce 3/4" HE Bspt.</v>
      </c>
      <c r="C191" s="12">
        <v>4</v>
      </c>
      <c r="D191" s="13"/>
      <c r="E191" s="12">
        <v>253</v>
      </c>
      <c r="F191" s="14">
        <v>46094</v>
      </c>
      <c r="G191" s="34"/>
      <c r="H191" s="34" t="s">
        <v>223</v>
      </c>
      <c r="I191" s="34"/>
      <c r="J191" s="9" t="s">
        <v>207</v>
      </c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</row>
    <row r="192" spans="1:28" ht="14.25" customHeight="1" x14ac:dyDescent="0.35">
      <c r="A192" s="12">
        <v>2006391</v>
      </c>
      <c r="B192" s="59" t="str">
        <f>IFERROR(VLOOKUP(Tabla1[[#This Row],[CODIGO]],INVENTARIO!A:B,2,0)," ")</f>
        <v>Guardallave Fierro Fundido C/Tapa</v>
      </c>
      <c r="C192" s="12">
        <v>4</v>
      </c>
      <c r="D192" s="13"/>
      <c r="E192" s="12">
        <v>253</v>
      </c>
      <c r="F192" s="14">
        <v>46094</v>
      </c>
      <c r="G192" s="34"/>
      <c r="H192" s="34" t="s">
        <v>223</v>
      </c>
      <c r="I192" s="34"/>
      <c r="J192" s="9" t="s">
        <v>207</v>
      </c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</row>
    <row r="193" spans="1:28" ht="14.25" customHeight="1" x14ac:dyDescent="0.35">
      <c r="A193" s="12">
        <v>2007948</v>
      </c>
      <c r="B193" s="59" t="str">
        <f>IFERROR(VLOOKUP(Tabla1[[#This Row],[CODIGO]],INVENTARIO!A:B,2,0)," ")</f>
        <v>Tubo PVC Hidraulico 110 mm Pn6 Celeste</v>
      </c>
      <c r="C193" s="12">
        <v>4</v>
      </c>
      <c r="D193" s="13"/>
      <c r="E193" s="12">
        <v>253</v>
      </c>
      <c r="F193" s="14">
        <v>46094</v>
      </c>
      <c r="G193" s="34"/>
      <c r="H193" s="34" t="s">
        <v>223</v>
      </c>
      <c r="I193" s="34"/>
      <c r="J193" s="9" t="s">
        <v>207</v>
      </c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</row>
    <row r="194" spans="1:28" ht="14.25" customHeight="1" x14ac:dyDescent="0.35">
      <c r="A194" s="12">
        <v>303345</v>
      </c>
      <c r="B194" s="59" t="str">
        <f>IFERROR(VLOOKUP(Tabla1[[#This Row],[CODIGO]],INVENTARIO!A:B,2,0)," ")</f>
        <v>Copla PE100 050mm EF</v>
      </c>
      <c r="C194" s="12">
        <v>2</v>
      </c>
      <c r="D194" s="13"/>
      <c r="E194" s="12">
        <v>253</v>
      </c>
      <c r="F194" s="14">
        <v>46094</v>
      </c>
      <c r="G194" s="34"/>
      <c r="H194" s="34" t="s">
        <v>223</v>
      </c>
      <c r="I194" s="34"/>
      <c r="J194" s="9" t="s">
        <v>207</v>
      </c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</row>
    <row r="195" spans="1:28" ht="14.25" customHeight="1" x14ac:dyDescent="0.35">
      <c r="A195" s="12">
        <v>303345</v>
      </c>
      <c r="B195" s="59" t="str">
        <f>IFERROR(VLOOKUP(Tabla1[[#This Row],[CODIGO]],INVENTARIO!A:B,2,0)," ")</f>
        <v>Copla PE100 050mm EF</v>
      </c>
      <c r="C195" s="12">
        <v>3</v>
      </c>
      <c r="D195" s="13"/>
      <c r="E195" s="12">
        <v>252</v>
      </c>
      <c r="F195" s="14">
        <v>46094</v>
      </c>
      <c r="G195" s="34"/>
      <c r="H195" s="34" t="s">
        <v>225</v>
      </c>
      <c r="I195" s="34"/>
      <c r="J195" s="34" t="s">
        <v>362</v>
      </c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</row>
    <row r="196" spans="1:28" ht="14.25" customHeight="1" x14ac:dyDescent="0.35">
      <c r="A196" s="12">
        <v>302317</v>
      </c>
      <c r="B196" s="59" t="str">
        <f>IFERROR(VLOOKUP(Tabla1[[#This Row],[CODIGO]],INVENTARIO!A:B,2,0)," ")</f>
        <v>Tapa PE 110 mm Termo F.</v>
      </c>
      <c r="C196" s="12">
        <v>3</v>
      </c>
      <c r="D196" s="13"/>
      <c r="E196" s="12">
        <v>413</v>
      </c>
      <c r="F196" s="14">
        <v>46093</v>
      </c>
      <c r="G196" s="34"/>
      <c r="H196" s="34" t="s">
        <v>309</v>
      </c>
      <c r="I196" s="34"/>
      <c r="J196" s="9" t="s">
        <v>200</v>
      </c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</row>
    <row r="197" spans="1:28" ht="14.25" customHeight="1" x14ac:dyDescent="0.35">
      <c r="A197" s="12">
        <v>302659</v>
      </c>
      <c r="B197" s="59" t="str">
        <f>IFERROR(VLOOKUP(Tabla1[[#This Row],[CODIGO]],INVENTARIO!A:B,2,0)," ")</f>
        <v>Copla PE100 063mm EF</v>
      </c>
      <c r="C197" s="12">
        <v>4</v>
      </c>
      <c r="D197" s="13"/>
      <c r="E197" s="12">
        <v>249</v>
      </c>
      <c r="F197" s="14">
        <v>46093</v>
      </c>
      <c r="G197" s="34"/>
      <c r="H197" s="34" t="s">
        <v>223</v>
      </c>
      <c r="I197" s="34"/>
      <c r="J197" s="34" t="s">
        <v>207</v>
      </c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</row>
    <row r="198" spans="1:28" ht="14.25" customHeight="1" x14ac:dyDescent="0.35">
      <c r="A198" s="12">
        <v>2008302</v>
      </c>
      <c r="B198" s="59" t="str">
        <f>IFERROR(VLOOKUP(Tabla1[[#This Row],[CODIGO]],INVENTARIO!A:B,2,0)," ")</f>
        <v>Tapa PE 063 mm Electro F.</v>
      </c>
      <c r="C198" s="12">
        <v>2</v>
      </c>
      <c r="D198" s="13"/>
      <c r="E198" s="12">
        <v>249</v>
      </c>
      <c r="F198" s="14">
        <v>46093</v>
      </c>
      <c r="G198" s="34"/>
      <c r="H198" s="34" t="s">
        <v>223</v>
      </c>
      <c r="I198" s="34"/>
      <c r="J198" s="34" t="s">
        <v>207</v>
      </c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</row>
    <row r="199" spans="1:28" ht="14.25" customHeight="1" x14ac:dyDescent="0.35">
      <c r="A199" s="12">
        <v>2005135</v>
      </c>
      <c r="B199" s="59" t="str">
        <f>IFERROR(VLOOKUP(Tabla1[[#This Row],[CODIGO]],INVENTARIO!A:B,2,0)," ")</f>
        <v>Tubo PVC 110 mm PN6 CG Amarillo Tira 6 m</v>
      </c>
      <c r="C199" s="12">
        <v>2</v>
      </c>
      <c r="D199" s="13"/>
      <c r="E199" s="12">
        <v>249</v>
      </c>
      <c r="F199" s="14">
        <v>46093</v>
      </c>
      <c r="G199" s="34"/>
      <c r="H199" s="34" t="s">
        <v>223</v>
      </c>
      <c r="I199" s="34"/>
      <c r="J199" s="34" t="s">
        <v>207</v>
      </c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</row>
    <row r="200" spans="1:28" ht="14.25" customHeight="1" x14ac:dyDescent="0.35">
      <c r="A200" s="12">
        <v>302991</v>
      </c>
      <c r="B200" s="59" t="str">
        <f>IFERROR(VLOOKUP(Tabla1[[#This Row],[CODIGO]],INVENTARIO!A:B,2,0)," ")</f>
        <v>Copla PE100 110mm EF</v>
      </c>
      <c r="C200" s="12">
        <v>3</v>
      </c>
      <c r="D200" s="13"/>
      <c r="E200" s="12">
        <v>414</v>
      </c>
      <c r="F200" s="14">
        <v>46093</v>
      </c>
      <c r="G200" s="34"/>
      <c r="H200" s="34" t="s">
        <v>363</v>
      </c>
      <c r="I200" s="34"/>
      <c r="J200" s="9" t="s">
        <v>274</v>
      </c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</row>
    <row r="201" spans="1:28" ht="14.25" customHeight="1" x14ac:dyDescent="0.35">
      <c r="A201" s="12">
        <v>101624</v>
      </c>
      <c r="B201" s="59" t="str">
        <f>IFERROR(VLOOKUP(Tabla1[[#This Row],[CODIGO]],INVENTARIO!A:B,2,0)," ")</f>
        <v>Tapping Tee PE 50-25 mm</v>
      </c>
      <c r="C201" s="12">
        <v>1</v>
      </c>
      <c r="D201" s="13"/>
      <c r="E201" s="12">
        <v>415</v>
      </c>
      <c r="F201" s="14">
        <v>46093</v>
      </c>
      <c r="G201" s="34"/>
      <c r="H201" s="34" t="s">
        <v>271</v>
      </c>
      <c r="I201" s="34"/>
      <c r="J201" s="34" t="s">
        <v>362</v>
      </c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</row>
    <row r="202" spans="1:28" ht="14.25" customHeight="1" x14ac:dyDescent="0.35">
      <c r="A202" s="12">
        <v>2000350</v>
      </c>
      <c r="B202" s="59" t="str">
        <f>IFERROR(VLOOKUP(Tabla1[[#This Row],[CODIGO]],INVENTARIO!A:B,2,0)," ")</f>
        <v>Codo PE 90º  25 mm EF.</v>
      </c>
      <c r="C202" s="12">
        <v>1</v>
      </c>
      <c r="D202" s="13"/>
      <c r="E202" s="12">
        <v>415</v>
      </c>
      <c r="F202" s="14">
        <v>46093</v>
      </c>
      <c r="G202" s="34"/>
      <c r="H202" s="34" t="s">
        <v>271</v>
      </c>
      <c r="I202" s="34"/>
      <c r="J202" s="34" t="s">
        <v>362</v>
      </c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</row>
    <row r="203" spans="1:28" ht="14.25" customHeight="1" x14ac:dyDescent="0.35">
      <c r="A203" s="12">
        <v>300109</v>
      </c>
      <c r="B203" s="59" t="str">
        <f>IFERROR(VLOOKUP(Tabla1[[#This Row],[CODIGO]],INVENTARIO!A:B,2,0)," ")</f>
        <v>Risers de Acero 3/4" Bsp x 25 mm</v>
      </c>
      <c r="C203" s="12">
        <v>1</v>
      </c>
      <c r="D203" s="13"/>
      <c r="E203" s="12">
        <v>415</v>
      </c>
      <c r="F203" s="14">
        <v>46093</v>
      </c>
      <c r="G203" s="34"/>
      <c r="H203" s="34" t="s">
        <v>271</v>
      </c>
      <c r="I203" s="34"/>
      <c r="J203" s="34" t="s">
        <v>362</v>
      </c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</row>
    <row r="204" spans="1:28" ht="14.25" customHeight="1" x14ac:dyDescent="0.35">
      <c r="A204" s="12">
        <v>302737</v>
      </c>
      <c r="B204" s="59" t="str">
        <f>IFERROR(VLOOKUP(Tabla1[[#This Row],[CODIGO]],INVENTARIO!A:B,2,0)," ")</f>
        <v>Válvula Bola 3/4" Hi Un Cuerpo Pn5 Arco</v>
      </c>
      <c r="C204" s="12">
        <v>1</v>
      </c>
      <c r="D204" s="13"/>
      <c r="E204" s="12">
        <v>415</v>
      </c>
      <c r="F204" s="14">
        <v>46093</v>
      </c>
      <c r="G204" s="34"/>
      <c r="H204" s="34" t="s">
        <v>271</v>
      </c>
      <c r="I204" s="34"/>
      <c r="J204" s="34" t="s">
        <v>362</v>
      </c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</row>
    <row r="205" spans="1:28" ht="14.25" customHeight="1" x14ac:dyDescent="0.35">
      <c r="A205" s="12">
        <v>2008481</v>
      </c>
      <c r="B205" s="59" t="str">
        <f>IFERROR(VLOOKUP(Tabla1[[#This Row],[CODIGO]],INVENTARIO!A:B,2,0)," ")</f>
        <v>Tapa Tornillo Bronce 3/4" HE Bspt.</v>
      </c>
      <c r="C205" s="12">
        <v>1</v>
      </c>
      <c r="D205" s="13"/>
      <c r="E205" s="12">
        <v>415</v>
      </c>
      <c r="F205" s="14">
        <v>46093</v>
      </c>
      <c r="G205" s="34"/>
      <c r="H205" s="34" t="s">
        <v>271</v>
      </c>
      <c r="I205" s="34"/>
      <c r="J205" s="34" t="s">
        <v>362</v>
      </c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</row>
    <row r="206" spans="1:28" ht="14.25" customHeight="1" x14ac:dyDescent="0.35">
      <c r="A206" s="12">
        <v>301329</v>
      </c>
      <c r="B206" s="59" t="str">
        <f>IFERROR(VLOOKUP(Tabla1[[#This Row],[CODIGO]],INVENTARIO!A:B,2,0)," ")</f>
        <v>Copla PE100 025mm EF</v>
      </c>
      <c r="C206" s="12">
        <v>2</v>
      </c>
      <c r="D206" s="13"/>
      <c r="E206" s="12">
        <v>415</v>
      </c>
      <c r="F206" s="14">
        <v>46093</v>
      </c>
      <c r="G206" s="34"/>
      <c r="H206" s="34" t="s">
        <v>271</v>
      </c>
      <c r="I206" s="34"/>
      <c r="J206" s="34" t="s">
        <v>362</v>
      </c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</row>
    <row r="207" spans="1:28" ht="14.25" customHeight="1" x14ac:dyDescent="0.35">
      <c r="A207" s="12">
        <v>300712</v>
      </c>
      <c r="B207" s="59" t="str">
        <f>IFERROR(VLOOKUP(Tabla1[[#This Row],[CODIGO]],INVENTARIO!A:B,2,0)," ")</f>
        <v>Tapa PE  025 mm Termo F.</v>
      </c>
      <c r="C207" s="12">
        <v>2</v>
      </c>
      <c r="D207" s="13"/>
      <c r="E207" s="12">
        <v>415</v>
      </c>
      <c r="F207" s="14">
        <v>46093</v>
      </c>
      <c r="G207" s="34"/>
      <c r="H207" s="34" t="s">
        <v>271</v>
      </c>
      <c r="I207" s="34"/>
      <c r="J207" s="34" t="s">
        <v>362</v>
      </c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</row>
    <row r="208" spans="1:28" ht="14.25" customHeight="1" x14ac:dyDescent="0.35">
      <c r="A208" s="12">
        <v>302991</v>
      </c>
      <c r="B208" s="59" t="str">
        <f>IFERROR(VLOOKUP(Tabla1[[#This Row],[CODIGO]],INVENTARIO!A:B,2,0)," ")</f>
        <v>Copla PE100 110mm EF</v>
      </c>
      <c r="C208" s="12">
        <v>2</v>
      </c>
      <c r="D208" s="13"/>
      <c r="E208" s="12">
        <v>416</v>
      </c>
      <c r="F208" s="14">
        <v>46093</v>
      </c>
      <c r="G208" s="34"/>
      <c r="H208" s="34" t="s">
        <v>304</v>
      </c>
      <c r="I208" s="34"/>
      <c r="J208" s="9" t="s">
        <v>200</v>
      </c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</row>
    <row r="209" spans="1:28" ht="14.25" customHeight="1" x14ac:dyDescent="0.35">
      <c r="A209" s="12">
        <v>301666</v>
      </c>
      <c r="B209" s="59" t="str">
        <f>IFERROR(VLOOKUP(Tabla1[[#This Row],[CODIGO]],INVENTARIO!A:B,2,0)," ")</f>
        <v>Tapping Tee PE 110-25 mm</v>
      </c>
      <c r="C209" s="12">
        <v>1</v>
      </c>
      <c r="D209" s="13"/>
      <c r="E209" s="12">
        <v>416</v>
      </c>
      <c r="F209" s="14">
        <v>46093</v>
      </c>
      <c r="G209" s="34"/>
      <c r="H209" s="34" t="s">
        <v>304</v>
      </c>
      <c r="I209" s="34"/>
      <c r="J209" s="9" t="s">
        <v>200</v>
      </c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</row>
    <row r="210" spans="1:28" ht="14.25" customHeight="1" x14ac:dyDescent="0.35">
      <c r="A210" s="12">
        <v>300109</v>
      </c>
      <c r="B210" s="59" t="str">
        <f>IFERROR(VLOOKUP(Tabla1[[#This Row],[CODIGO]],INVENTARIO!A:B,2,0)," ")</f>
        <v>Risers de Acero 3/4" Bsp x 25 mm</v>
      </c>
      <c r="C210" s="12">
        <v>1</v>
      </c>
      <c r="D210" s="13"/>
      <c r="E210" s="12">
        <v>416</v>
      </c>
      <c r="F210" s="14">
        <v>46093</v>
      </c>
      <c r="G210" s="34"/>
      <c r="H210" s="34" t="s">
        <v>304</v>
      </c>
      <c r="I210" s="34"/>
      <c r="J210" s="9" t="s">
        <v>200</v>
      </c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</row>
    <row r="211" spans="1:28" ht="14.25" customHeight="1" x14ac:dyDescent="0.35">
      <c r="A211" s="12">
        <v>302737</v>
      </c>
      <c r="B211" s="59" t="str">
        <f>IFERROR(VLOOKUP(Tabla1[[#This Row],[CODIGO]],INVENTARIO!A:B,2,0)," ")</f>
        <v>Válvula Bola 3/4" Hi Un Cuerpo Pn5 Arco</v>
      </c>
      <c r="C211" s="12">
        <v>1</v>
      </c>
      <c r="D211" s="13"/>
      <c r="E211" s="12">
        <v>416</v>
      </c>
      <c r="F211" s="14">
        <v>46093</v>
      </c>
      <c r="G211" s="34"/>
      <c r="H211" s="34" t="s">
        <v>304</v>
      </c>
      <c r="I211" s="34"/>
      <c r="J211" s="9" t="s">
        <v>200</v>
      </c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</row>
    <row r="212" spans="1:28" ht="14.25" customHeight="1" x14ac:dyDescent="0.35">
      <c r="A212" s="12">
        <v>301329</v>
      </c>
      <c r="B212" s="59" t="str">
        <f>IFERROR(VLOOKUP(Tabla1[[#This Row],[CODIGO]],INVENTARIO!A:B,2,0)," ")</f>
        <v>Copla PE100 025mm EF</v>
      </c>
      <c r="C212" s="12">
        <v>1</v>
      </c>
      <c r="D212" s="13"/>
      <c r="E212" s="12">
        <v>416</v>
      </c>
      <c r="F212" s="14">
        <v>46093</v>
      </c>
      <c r="G212" s="34"/>
      <c r="H212" s="34" t="s">
        <v>304</v>
      </c>
      <c r="I212" s="34"/>
      <c r="J212" s="9" t="s">
        <v>200</v>
      </c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</row>
    <row r="213" spans="1:28" ht="14.25" customHeight="1" x14ac:dyDescent="0.35">
      <c r="A213" s="12">
        <v>2008481</v>
      </c>
      <c r="B213" s="59" t="str">
        <f>IFERROR(VLOOKUP(Tabla1[[#This Row],[CODIGO]],INVENTARIO!A:B,2,0)," ")</f>
        <v>Tapa Tornillo Bronce 3/4" HE Bspt.</v>
      </c>
      <c r="C213" s="12">
        <v>1</v>
      </c>
      <c r="D213" s="13"/>
      <c r="E213" s="12">
        <v>416</v>
      </c>
      <c r="F213" s="14">
        <v>46093</v>
      </c>
      <c r="G213" s="34"/>
      <c r="H213" s="34" t="s">
        <v>304</v>
      </c>
      <c r="I213" s="34"/>
      <c r="J213" s="9" t="s">
        <v>200</v>
      </c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</row>
    <row r="214" spans="1:28" ht="14.25" customHeight="1" x14ac:dyDescent="0.35">
      <c r="A214" s="12">
        <v>302065</v>
      </c>
      <c r="B214" s="59" t="str">
        <f>IFERROR(VLOOKUP(Tabla1[[#This Row],[CODIGO]],INVENTARIO!A:B,2,0)," ")</f>
        <v>Tubería PE80 110mm Tira</v>
      </c>
      <c r="C214" s="12">
        <v>72</v>
      </c>
      <c r="D214" s="13"/>
      <c r="E214" s="12">
        <v>250</v>
      </c>
      <c r="F214" s="14">
        <v>46093</v>
      </c>
      <c r="G214" s="34"/>
      <c r="H214" s="34" t="s">
        <v>314</v>
      </c>
      <c r="I214" s="34"/>
      <c r="J214" s="9" t="s">
        <v>274</v>
      </c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</row>
    <row r="215" spans="1:28" ht="14.25" customHeight="1" x14ac:dyDescent="0.35">
      <c r="A215" s="12">
        <v>1002167</v>
      </c>
      <c r="B215" s="59" t="str">
        <f>IFERROR(VLOOKUP(Tabla1[[#This Row],[CODIGO]],INVENTARIO!A:B,2,0)," ")</f>
        <v>Cable Trazador Cu 14 AWG Aisl. THW Roj</v>
      </c>
      <c r="C215" s="12">
        <v>100</v>
      </c>
      <c r="D215" s="13"/>
      <c r="E215" s="12">
        <v>250</v>
      </c>
      <c r="F215" s="14">
        <v>46093</v>
      </c>
      <c r="G215" s="34"/>
      <c r="H215" s="34" t="s">
        <v>314</v>
      </c>
      <c r="I215" s="34"/>
      <c r="J215" s="9" t="s">
        <v>274</v>
      </c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</row>
    <row r="216" spans="1:28" ht="14.25" customHeight="1" x14ac:dyDescent="0.35">
      <c r="A216" s="12">
        <v>303368</v>
      </c>
      <c r="B216" s="59" t="str">
        <f>IFERROR(VLOOKUP(Tabla1[[#This Row],[CODIGO]],INVENTARIO!A:B,2,0)," ")</f>
        <v>Cinta Plástica "Línea GN", 30 x 0.1</v>
      </c>
      <c r="C216" s="12">
        <v>100</v>
      </c>
      <c r="D216" s="13"/>
      <c r="E216" s="12">
        <v>250</v>
      </c>
      <c r="F216" s="14">
        <v>46093</v>
      </c>
      <c r="G216" s="34"/>
      <c r="H216" s="34" t="s">
        <v>314</v>
      </c>
      <c r="I216" s="34"/>
      <c r="J216" s="9" t="s">
        <v>274</v>
      </c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</row>
    <row r="217" spans="1:28" ht="14.25" customHeight="1" x14ac:dyDescent="0.35">
      <c r="A217" s="12">
        <v>302317</v>
      </c>
      <c r="B217" s="59" t="str">
        <f>IFERROR(VLOOKUP(Tabla1[[#This Row],[CODIGO]],INVENTARIO!A:B,2,0)," ")</f>
        <v>Tapa PE 110 mm Termo F.</v>
      </c>
      <c r="C217" s="12">
        <v>1</v>
      </c>
      <c r="D217" s="13"/>
      <c r="E217" s="12">
        <v>250</v>
      </c>
      <c r="F217" s="14">
        <v>46093</v>
      </c>
      <c r="G217" s="34"/>
      <c r="H217" s="34" t="s">
        <v>314</v>
      </c>
      <c r="I217" s="34"/>
      <c r="J217" s="9" t="s">
        <v>274</v>
      </c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</row>
    <row r="218" spans="1:28" ht="14.25" customHeight="1" x14ac:dyDescent="0.35">
      <c r="A218" s="12">
        <v>303345</v>
      </c>
      <c r="B218" s="59" t="str">
        <f>IFERROR(VLOOKUP(Tabla1[[#This Row],[CODIGO]],INVENTARIO!A:B,2,0)," ")</f>
        <v>Copla PE100 050mm EF</v>
      </c>
      <c r="C218" s="12">
        <v>1</v>
      </c>
      <c r="D218" s="13"/>
      <c r="E218" s="12">
        <v>251</v>
      </c>
      <c r="F218" s="14">
        <v>46093</v>
      </c>
      <c r="G218" s="34"/>
      <c r="H218" s="34" t="s">
        <v>225</v>
      </c>
      <c r="I218" s="34"/>
      <c r="J218" s="9" t="s">
        <v>362</v>
      </c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</row>
    <row r="219" spans="1:28" ht="14.25" customHeight="1" x14ac:dyDescent="0.35">
      <c r="A219" s="12">
        <v>301329</v>
      </c>
      <c r="B219" s="59" t="str">
        <f>IFERROR(VLOOKUP(Tabla1[[#This Row],[CODIGO]],INVENTARIO!A:B,2,0)," ")</f>
        <v>Copla PE100 025mm EF</v>
      </c>
      <c r="C219" s="12">
        <v>1</v>
      </c>
      <c r="D219" s="13"/>
      <c r="E219" s="12">
        <v>251</v>
      </c>
      <c r="F219" s="14">
        <v>46093</v>
      </c>
      <c r="G219" s="34"/>
      <c r="H219" s="34" t="s">
        <v>225</v>
      </c>
      <c r="I219" s="34"/>
      <c r="J219" s="9" t="s">
        <v>362</v>
      </c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</row>
    <row r="220" spans="1:28" ht="14.25" customHeight="1" x14ac:dyDescent="0.35">
      <c r="A220" s="12">
        <v>300712</v>
      </c>
      <c r="B220" s="59" t="str">
        <f>IFERROR(VLOOKUP(Tabla1[[#This Row],[CODIGO]],INVENTARIO!A:B,2,0)," ")</f>
        <v>Tapa PE  025 mm Termo F.</v>
      </c>
      <c r="C220" s="12">
        <v>1</v>
      </c>
      <c r="D220" s="13"/>
      <c r="E220" s="12">
        <v>251</v>
      </c>
      <c r="F220" s="14">
        <v>46093</v>
      </c>
      <c r="G220" s="34"/>
      <c r="H220" s="34" t="s">
        <v>225</v>
      </c>
      <c r="I220" s="34"/>
      <c r="J220" s="9" t="s">
        <v>362</v>
      </c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</row>
    <row r="221" spans="1:28" ht="14.25" customHeight="1" x14ac:dyDescent="0.35">
      <c r="A221" s="12">
        <v>300108</v>
      </c>
      <c r="B221" s="59" t="str">
        <f>IFERROR(VLOOKUP(Tabla1[[#This Row],[CODIGO]],INVENTARIO!A:B,2,0)," ")</f>
        <v>Tapping Tee PE 63-25 mm</v>
      </c>
      <c r="C221" s="12">
        <v>5</v>
      </c>
      <c r="D221" s="13"/>
      <c r="E221" s="12">
        <v>369</v>
      </c>
      <c r="F221" s="14">
        <v>46092</v>
      </c>
      <c r="G221" s="34"/>
      <c r="H221" s="34" t="s">
        <v>232</v>
      </c>
      <c r="I221" s="34"/>
      <c r="J221" s="9" t="s">
        <v>333</v>
      </c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</row>
    <row r="222" spans="1:28" ht="14.25" customHeight="1" x14ac:dyDescent="0.35">
      <c r="A222" s="12">
        <v>2003911</v>
      </c>
      <c r="B222" s="59" t="str">
        <f>IFERROR(VLOOKUP(Tabla1[[#This Row],[CODIGO]],INVENTARIO!A:B,2,0)," ")</f>
        <v>Válvula EFv PE 25 mm Para Tap. Tee</v>
      </c>
      <c r="C222" s="12">
        <v>5</v>
      </c>
      <c r="D222" s="13"/>
      <c r="E222" s="12">
        <v>369</v>
      </c>
      <c r="F222" s="14">
        <v>46092</v>
      </c>
      <c r="G222" s="34"/>
      <c r="H222" s="34" t="s">
        <v>232</v>
      </c>
      <c r="I222" s="34"/>
      <c r="J222" s="9" t="s">
        <v>333</v>
      </c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</row>
    <row r="223" spans="1:28" ht="14.25" customHeight="1" x14ac:dyDescent="0.35">
      <c r="A223" s="12">
        <v>301329</v>
      </c>
      <c r="B223" s="59" t="str">
        <f>IFERROR(VLOOKUP(Tabla1[[#This Row],[CODIGO]],INVENTARIO!A:B,2,0)," ")</f>
        <v>Copla PE100 025mm EF</v>
      </c>
      <c r="C223" s="12">
        <v>10</v>
      </c>
      <c r="D223" s="13"/>
      <c r="E223" s="12">
        <v>369</v>
      </c>
      <c r="F223" s="14">
        <v>46092</v>
      </c>
      <c r="G223" s="34"/>
      <c r="H223" s="34" t="s">
        <v>232</v>
      </c>
      <c r="I223" s="34"/>
      <c r="J223" s="9" t="s">
        <v>333</v>
      </c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</row>
    <row r="224" spans="1:28" ht="14.25" customHeight="1" x14ac:dyDescent="0.35">
      <c r="A224" s="12">
        <v>300712</v>
      </c>
      <c r="B224" s="59" t="str">
        <f>IFERROR(VLOOKUP(Tabla1[[#This Row],[CODIGO]],INVENTARIO!A:B,2,0)," ")</f>
        <v>Tapa PE  025 mm Termo F.</v>
      </c>
      <c r="C224" s="12">
        <v>5</v>
      </c>
      <c r="D224" s="13"/>
      <c r="E224" s="12">
        <v>369</v>
      </c>
      <c r="F224" s="14">
        <v>46092</v>
      </c>
      <c r="G224" s="34"/>
      <c r="H224" s="34" t="s">
        <v>232</v>
      </c>
      <c r="I224" s="34"/>
      <c r="J224" s="9" t="s">
        <v>333</v>
      </c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</row>
    <row r="225" spans="1:28" ht="14.25" customHeight="1" x14ac:dyDescent="0.35">
      <c r="A225" s="12">
        <v>2008302</v>
      </c>
      <c r="B225" s="59" t="str">
        <f>IFERROR(VLOOKUP(Tabla1[[#This Row],[CODIGO]],INVENTARIO!A:B,2,0)," ")</f>
        <v>Tapa PE 063 mm Electro F.</v>
      </c>
      <c r="C225" s="12">
        <v>2</v>
      </c>
      <c r="D225" s="13"/>
      <c r="E225" s="12">
        <v>369</v>
      </c>
      <c r="F225" s="14">
        <v>46092</v>
      </c>
      <c r="G225" s="34"/>
      <c r="H225" s="34" t="s">
        <v>232</v>
      </c>
      <c r="I225" s="34"/>
      <c r="J225" s="9" t="s">
        <v>333</v>
      </c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</row>
    <row r="226" spans="1:28" ht="14.25" customHeight="1" x14ac:dyDescent="0.35">
      <c r="A226" s="12">
        <v>302745</v>
      </c>
      <c r="B226" s="59" t="str">
        <f>IFERROR(VLOOKUP(Tabla1[[#This Row],[CODIGO]],INVENTARIO!A:B,2,0)," ")</f>
        <v>Detector de Fugas Klinsol</v>
      </c>
      <c r="C226" s="12">
        <v>1.5</v>
      </c>
      <c r="D226" s="13"/>
      <c r="E226" s="12">
        <v>409</v>
      </c>
      <c r="F226" s="14">
        <v>46092</v>
      </c>
      <c r="G226" s="34"/>
      <c r="H226" s="34" t="s">
        <v>309</v>
      </c>
      <c r="I226" s="34"/>
      <c r="J226" s="9" t="s">
        <v>263</v>
      </c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</row>
    <row r="227" spans="1:28" ht="14.25" customHeight="1" x14ac:dyDescent="0.35">
      <c r="A227" s="12">
        <v>1000720</v>
      </c>
      <c r="B227" s="59" t="str">
        <f>IFERROR(VLOOKUP(Tabla1[[#This Row],[CODIGO]],INVENTARIO!A:B,2,0)," ")</f>
        <v>Teflón en Cinta de 3/4" Ancho x 520" a 5</v>
      </c>
      <c r="C227" s="12">
        <v>1</v>
      </c>
      <c r="D227" s="13"/>
      <c r="E227" s="12">
        <v>409</v>
      </c>
      <c r="F227" s="14">
        <v>46092</v>
      </c>
      <c r="G227" s="34"/>
      <c r="H227" s="34" t="s">
        <v>309</v>
      </c>
      <c r="I227" s="34"/>
      <c r="J227" s="9" t="s">
        <v>263</v>
      </c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</row>
    <row r="228" spans="1:28" ht="14.25" customHeight="1" x14ac:dyDescent="0.35">
      <c r="A228" s="9" t="s">
        <v>292</v>
      </c>
      <c r="B228" s="59" t="str">
        <f>IFERROR(VLOOKUP(Tabla1[[#This Row],[CODIGO]],INVENTARIO!A:B,2,0)," ")</f>
        <v>Toalla Nova Clasica</v>
      </c>
      <c r="C228" s="12">
        <v>1</v>
      </c>
      <c r="D228" s="13"/>
      <c r="E228" s="12">
        <v>409</v>
      </c>
      <c r="F228" s="14">
        <v>46092</v>
      </c>
      <c r="G228" s="34"/>
      <c r="H228" s="34" t="s">
        <v>309</v>
      </c>
      <c r="I228" s="34"/>
      <c r="J228" s="9" t="s">
        <v>263</v>
      </c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</row>
    <row r="229" spans="1:28" ht="14.25" customHeight="1" x14ac:dyDescent="0.35">
      <c r="A229" s="12">
        <v>301749</v>
      </c>
      <c r="B229" s="59" t="str">
        <f>IFERROR(VLOOKUP(Tabla1[[#This Row],[CODIGO]],INVENTARIO!A:B,2,0)," ")</f>
        <v>Tubería PE80 025mm Rollo</v>
      </c>
      <c r="C229" s="12">
        <v>1</v>
      </c>
      <c r="D229" s="13"/>
      <c r="E229" s="12">
        <v>412</v>
      </c>
      <c r="F229" s="14">
        <v>46092</v>
      </c>
      <c r="G229" s="34"/>
      <c r="H229" s="34" t="s">
        <v>287</v>
      </c>
      <c r="I229" s="34"/>
      <c r="J229" s="9" t="s">
        <v>208</v>
      </c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</row>
    <row r="230" spans="1:28" ht="14.25" customHeight="1" x14ac:dyDescent="0.35">
      <c r="A230" s="12">
        <v>301329</v>
      </c>
      <c r="B230" s="59" t="str">
        <f>IFERROR(VLOOKUP(Tabla1[[#This Row],[CODIGO]],INVENTARIO!A:B,2,0)," ")</f>
        <v>Copla PE100 025mm EF</v>
      </c>
      <c r="C230" s="12">
        <v>2</v>
      </c>
      <c r="D230" s="13"/>
      <c r="E230" s="12">
        <v>412</v>
      </c>
      <c r="F230" s="14">
        <v>46092</v>
      </c>
      <c r="G230" s="34"/>
      <c r="H230" s="34" t="s">
        <v>287</v>
      </c>
      <c r="I230" s="34"/>
      <c r="J230" s="9" t="s">
        <v>208</v>
      </c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</row>
    <row r="231" spans="1:28" ht="14.25" customHeight="1" x14ac:dyDescent="0.35">
      <c r="A231" s="12">
        <v>1000720</v>
      </c>
      <c r="B231" s="59" t="str">
        <f>IFERROR(VLOOKUP(Tabla1[[#This Row],[CODIGO]],INVENTARIO!A:B,2,0)," ")</f>
        <v>Teflón en Cinta de 3/4" Ancho x 520" a 5</v>
      </c>
      <c r="C231" s="12">
        <v>2</v>
      </c>
      <c r="D231" s="13"/>
      <c r="E231" s="12">
        <v>362</v>
      </c>
      <c r="F231" s="14">
        <v>46092</v>
      </c>
      <c r="G231" s="34"/>
      <c r="H231" s="34" t="s">
        <v>226</v>
      </c>
      <c r="I231" s="34"/>
      <c r="J231" s="9" t="s">
        <v>200</v>
      </c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</row>
    <row r="232" spans="1:28" ht="14.25" customHeight="1" x14ac:dyDescent="0.35">
      <c r="A232" s="12">
        <v>101624</v>
      </c>
      <c r="B232" s="59" t="str">
        <f>IFERROR(VLOOKUP(Tabla1[[#This Row],[CODIGO]],INVENTARIO!A:B,2,0)," ")</f>
        <v>Tapping Tee PE 50-25 mm</v>
      </c>
      <c r="C232" s="12">
        <v>1</v>
      </c>
      <c r="D232" s="13"/>
      <c r="E232" s="12">
        <v>378</v>
      </c>
      <c r="F232" s="14">
        <v>46092</v>
      </c>
      <c r="G232" s="34"/>
      <c r="H232" s="34" t="s">
        <v>304</v>
      </c>
      <c r="I232" s="34"/>
      <c r="J232" s="9" t="s">
        <v>357</v>
      </c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</row>
    <row r="233" spans="1:28" ht="14.25" customHeight="1" x14ac:dyDescent="0.35">
      <c r="A233" s="12">
        <v>301099</v>
      </c>
      <c r="B233" s="59" t="str">
        <f>IFERROR(VLOOKUP(Tabla1[[#This Row],[CODIGO]],INVENTARIO!A:B,2,0)," ")</f>
        <v>Válvula PE100 Dn 25mm</v>
      </c>
      <c r="C233" s="12">
        <v>1</v>
      </c>
      <c r="D233" s="13"/>
      <c r="E233" s="12">
        <v>378</v>
      </c>
      <c r="F233" s="14">
        <v>46092</v>
      </c>
      <c r="G233" s="34"/>
      <c r="H233" s="34" t="s">
        <v>304</v>
      </c>
      <c r="I233" s="34"/>
      <c r="J233" s="9" t="s">
        <v>357</v>
      </c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</row>
    <row r="234" spans="1:28" ht="14.25" customHeight="1" x14ac:dyDescent="0.35">
      <c r="A234" s="12">
        <v>301329</v>
      </c>
      <c r="B234" s="59" t="str">
        <f>IFERROR(VLOOKUP(Tabla1[[#This Row],[CODIGO]],INVENTARIO!A:B,2,0)," ")</f>
        <v>Copla PE100 025mm EF</v>
      </c>
      <c r="C234" s="12">
        <v>4</v>
      </c>
      <c r="D234" s="13"/>
      <c r="E234" s="12">
        <v>378</v>
      </c>
      <c r="F234" s="14">
        <v>46092</v>
      </c>
      <c r="G234" s="34"/>
      <c r="H234" s="34" t="s">
        <v>304</v>
      </c>
      <c r="I234" s="34"/>
      <c r="J234" s="9" t="s">
        <v>357</v>
      </c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</row>
    <row r="235" spans="1:28" ht="14.25" customHeight="1" x14ac:dyDescent="0.35">
      <c r="A235" s="12">
        <v>300109</v>
      </c>
      <c r="B235" s="59" t="str">
        <f>IFERROR(VLOOKUP(Tabla1[[#This Row],[CODIGO]],INVENTARIO!A:B,2,0)," ")</f>
        <v>Risers de Acero 3/4" Bsp x 25 mm</v>
      </c>
      <c r="C235" s="12">
        <v>1</v>
      </c>
      <c r="D235" s="13"/>
      <c r="E235" s="12">
        <v>378</v>
      </c>
      <c r="F235" s="14">
        <v>46092</v>
      </c>
      <c r="G235" s="34"/>
      <c r="H235" s="34" t="s">
        <v>304</v>
      </c>
      <c r="I235" s="34"/>
      <c r="J235" s="9" t="s">
        <v>357</v>
      </c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</row>
    <row r="236" spans="1:28" ht="14.25" customHeight="1" x14ac:dyDescent="0.35">
      <c r="A236" s="12">
        <v>2003911</v>
      </c>
      <c r="B236" s="59" t="str">
        <f>IFERROR(VLOOKUP(Tabla1[[#This Row],[CODIGO]],INVENTARIO!A:B,2,0)," ")</f>
        <v>Válvula EFv PE 25 mm Para Tap. Tee</v>
      </c>
      <c r="C236" s="12">
        <v>1</v>
      </c>
      <c r="D236" s="13"/>
      <c r="E236" s="12">
        <v>378</v>
      </c>
      <c r="F236" s="14">
        <v>46092</v>
      </c>
      <c r="G236" s="34"/>
      <c r="H236" s="34" t="s">
        <v>304</v>
      </c>
      <c r="I236" s="34"/>
      <c r="J236" s="9" t="s">
        <v>357</v>
      </c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</row>
    <row r="237" spans="1:28" ht="14.25" customHeight="1" x14ac:dyDescent="0.35">
      <c r="A237" s="12">
        <v>301749</v>
      </c>
      <c r="B237" s="59" t="str">
        <f>IFERROR(VLOOKUP(Tabla1[[#This Row],[CODIGO]],INVENTARIO!A:B,2,0)," ")</f>
        <v>Tubería PE80 025mm Rollo</v>
      </c>
      <c r="C237" s="12">
        <v>5</v>
      </c>
      <c r="D237" s="13"/>
      <c r="E237" s="12">
        <v>378</v>
      </c>
      <c r="F237" s="14">
        <v>46092</v>
      </c>
      <c r="G237" s="34"/>
      <c r="H237" s="34" t="s">
        <v>304</v>
      </c>
      <c r="I237" s="34"/>
      <c r="J237" s="9" t="s">
        <v>357</v>
      </c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</row>
    <row r="238" spans="1:28" ht="14.25" customHeight="1" x14ac:dyDescent="0.35">
      <c r="A238" s="12">
        <v>2006391</v>
      </c>
      <c r="B238" s="59" t="str">
        <f>IFERROR(VLOOKUP(Tabla1[[#This Row],[CODIGO]],INVENTARIO!A:B,2,0)," ")</f>
        <v>Guardallave Fierro Fundido C/Tapa</v>
      </c>
      <c r="C238" s="12">
        <v>1</v>
      </c>
      <c r="D238" s="13"/>
      <c r="E238" s="12">
        <v>378</v>
      </c>
      <c r="F238" s="14">
        <v>46092</v>
      </c>
      <c r="G238" s="34"/>
      <c r="H238" s="34" t="s">
        <v>304</v>
      </c>
      <c r="I238" s="34"/>
      <c r="J238" s="9" t="s">
        <v>357</v>
      </c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</row>
    <row r="239" spans="1:28" ht="14.25" customHeight="1" x14ac:dyDescent="0.35">
      <c r="A239" s="12">
        <v>302737</v>
      </c>
      <c r="B239" s="59" t="str">
        <f>IFERROR(VLOOKUP(Tabla1[[#This Row],[CODIGO]],INVENTARIO!A:B,2,0)," ")</f>
        <v>Válvula Bola 3/4" Hi Un Cuerpo Pn5 Arco</v>
      </c>
      <c r="C239" s="12">
        <v>1</v>
      </c>
      <c r="D239" s="13"/>
      <c r="E239" s="12">
        <v>378</v>
      </c>
      <c r="F239" s="14">
        <v>46092</v>
      </c>
      <c r="G239" s="34"/>
      <c r="H239" s="34" t="s">
        <v>304</v>
      </c>
      <c r="I239" s="34"/>
      <c r="J239" s="9" t="s">
        <v>357</v>
      </c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</row>
    <row r="240" spans="1:28" ht="14.25" customHeight="1" x14ac:dyDescent="0.35">
      <c r="A240" s="12">
        <v>302184</v>
      </c>
      <c r="B240" s="59" t="str">
        <f>IFERROR(VLOOKUP(Tabla1[[#This Row],[CODIGO]],INVENTARIO!A:B,2,0)," ")</f>
        <v>Tapa Tornillo Cambio de Codigo por: 2008481</v>
      </c>
      <c r="C240" s="12">
        <v>1</v>
      </c>
      <c r="D240" s="13"/>
      <c r="E240" s="12">
        <v>378</v>
      </c>
      <c r="F240" s="14">
        <v>46092</v>
      </c>
      <c r="G240" s="34"/>
      <c r="H240" s="34" t="s">
        <v>304</v>
      </c>
      <c r="I240" s="34"/>
      <c r="J240" s="9" t="s">
        <v>357</v>
      </c>
      <c r="K240" s="8"/>
      <c r="L240" s="103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</row>
    <row r="241" spans="1:28" ht="14.25" customHeight="1" x14ac:dyDescent="0.35">
      <c r="A241" s="12">
        <v>303368</v>
      </c>
      <c r="B241" s="59" t="str">
        <f>IFERROR(VLOOKUP(Tabla1[[#This Row],[CODIGO]],INVENTARIO!A:B,2,0)," ")</f>
        <v>Cinta Plástica "Línea GN", 30 x 0.1</v>
      </c>
      <c r="C241" s="12">
        <v>5</v>
      </c>
      <c r="D241" s="13"/>
      <c r="E241" s="12">
        <v>378</v>
      </c>
      <c r="F241" s="14">
        <v>46092</v>
      </c>
      <c r="G241" s="34"/>
      <c r="H241" s="34" t="s">
        <v>304</v>
      </c>
      <c r="I241" s="34"/>
      <c r="J241" s="9" t="s">
        <v>357</v>
      </c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</row>
    <row r="242" spans="1:28" ht="14.25" customHeight="1" x14ac:dyDescent="0.35">
      <c r="A242" s="12">
        <v>2007948</v>
      </c>
      <c r="B242" s="59" t="str">
        <f>IFERROR(VLOOKUP(Tabla1[[#This Row],[CODIGO]],INVENTARIO!A:B,2,0)," ")</f>
        <v>Tubo PVC Hidraulico 110 mm Pn6 Celeste</v>
      </c>
      <c r="C242" s="12">
        <v>1</v>
      </c>
      <c r="D242" s="13"/>
      <c r="E242" s="12">
        <v>378</v>
      </c>
      <c r="F242" s="14">
        <v>46092</v>
      </c>
      <c r="G242" s="34"/>
      <c r="H242" s="34" t="s">
        <v>304</v>
      </c>
      <c r="I242" s="34"/>
      <c r="J242" s="9" t="s">
        <v>357</v>
      </c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</row>
    <row r="243" spans="1:28" ht="14.25" customHeight="1" x14ac:dyDescent="0.35">
      <c r="A243" s="12">
        <v>2000350</v>
      </c>
      <c r="B243" s="59" t="str">
        <f>IFERROR(VLOOKUP(Tabla1[[#This Row],[CODIGO]],INVENTARIO!A:B,2,0)," ")</f>
        <v>Codo PE 90º  25 mm EF.</v>
      </c>
      <c r="C243" s="12">
        <v>4</v>
      </c>
      <c r="D243" s="13"/>
      <c r="E243" s="12">
        <v>378</v>
      </c>
      <c r="F243" s="14">
        <v>46092</v>
      </c>
      <c r="G243" s="34"/>
      <c r="H243" s="34" t="s">
        <v>304</v>
      </c>
      <c r="I243" s="34"/>
      <c r="J243" s="9" t="s">
        <v>357</v>
      </c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</row>
    <row r="244" spans="1:28" ht="14.25" customHeight="1" x14ac:dyDescent="0.35">
      <c r="A244" s="12">
        <v>2002262</v>
      </c>
      <c r="B244" s="59" t="str">
        <f>IFERROR(VLOOKUP(Tabla1[[#This Row],[CODIGO]],INVENTARIO!A:B,2,0)," ")</f>
        <v>Tubería PE80 050mm Rollo</v>
      </c>
      <c r="C244" s="12">
        <v>85</v>
      </c>
      <c r="D244" s="13"/>
      <c r="E244" s="12">
        <v>371</v>
      </c>
      <c r="F244" s="14">
        <v>46092</v>
      </c>
      <c r="G244" s="34"/>
      <c r="H244" s="34" t="s">
        <v>232</v>
      </c>
      <c r="I244" s="34"/>
      <c r="J244" s="9" t="s">
        <v>334</v>
      </c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</row>
    <row r="245" spans="1:28" ht="14.25" customHeight="1" x14ac:dyDescent="0.35">
      <c r="A245" s="12">
        <v>301749</v>
      </c>
      <c r="B245" s="59" t="str">
        <f>IFERROR(VLOOKUP(Tabla1[[#This Row],[CODIGO]],INVENTARIO!A:B,2,0)," ")</f>
        <v>Tubería PE80 025mm Rollo</v>
      </c>
      <c r="C245" s="12">
        <v>63</v>
      </c>
      <c r="D245" s="13"/>
      <c r="E245" s="12">
        <v>371</v>
      </c>
      <c r="F245" s="14">
        <v>46092</v>
      </c>
      <c r="G245" s="34"/>
      <c r="H245" s="34" t="s">
        <v>232</v>
      </c>
      <c r="I245" s="34"/>
      <c r="J245" s="9" t="s">
        <v>334</v>
      </c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</row>
    <row r="246" spans="1:28" ht="14.25" customHeight="1" x14ac:dyDescent="0.35">
      <c r="A246" s="12">
        <v>303368</v>
      </c>
      <c r="B246" s="59" t="str">
        <f>IFERROR(VLOOKUP(Tabla1[[#This Row],[CODIGO]],INVENTARIO!A:B,2,0)," ")</f>
        <v>Cinta Plástica "Línea GN", 30 x 0.1</v>
      </c>
      <c r="C246" s="12">
        <v>150</v>
      </c>
      <c r="D246" s="13"/>
      <c r="E246" s="12">
        <v>371</v>
      </c>
      <c r="F246" s="14">
        <v>46092</v>
      </c>
      <c r="G246" s="34"/>
      <c r="H246" s="34" t="s">
        <v>232</v>
      </c>
      <c r="I246" s="34"/>
      <c r="J246" s="9" t="s">
        <v>334</v>
      </c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</row>
    <row r="247" spans="1:28" ht="14.25" customHeight="1" x14ac:dyDescent="0.35">
      <c r="A247" s="12">
        <v>1002167</v>
      </c>
      <c r="B247" s="59" t="str">
        <f>IFERROR(VLOOKUP(Tabla1[[#This Row],[CODIGO]],INVENTARIO!A:B,2,0)," ")</f>
        <v>Cable Trazador Cu 14 AWG Aisl. THW Roj</v>
      </c>
      <c r="C247" s="12">
        <v>150</v>
      </c>
      <c r="D247" s="13"/>
      <c r="E247" s="12">
        <v>371</v>
      </c>
      <c r="F247" s="14">
        <v>46092</v>
      </c>
      <c r="G247" s="34"/>
      <c r="H247" s="34" t="s">
        <v>232</v>
      </c>
      <c r="I247" s="34"/>
      <c r="J247" s="9" t="s">
        <v>334</v>
      </c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</row>
    <row r="248" spans="1:28" ht="14.25" customHeight="1" x14ac:dyDescent="0.35">
      <c r="A248" s="12">
        <v>303345</v>
      </c>
      <c r="B248" s="59" t="str">
        <f>IFERROR(VLOOKUP(Tabla1[[#This Row],[CODIGO]],INVENTARIO!A:B,2,0)," ")</f>
        <v>Copla PE100 050mm EF</v>
      </c>
      <c r="C248" s="12">
        <v>3</v>
      </c>
      <c r="D248" s="13"/>
      <c r="E248" s="12">
        <v>371</v>
      </c>
      <c r="F248" s="14">
        <v>46092</v>
      </c>
      <c r="G248" s="34"/>
      <c r="H248" s="34" t="s">
        <v>232</v>
      </c>
      <c r="I248" s="34"/>
      <c r="J248" s="9" t="s">
        <v>334</v>
      </c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</row>
    <row r="249" spans="1:28" ht="14.25" customHeight="1" x14ac:dyDescent="0.35">
      <c r="A249" s="12">
        <v>301327</v>
      </c>
      <c r="B249" s="59" t="str">
        <f>IFERROR(VLOOKUP(Tabla1[[#This Row],[CODIGO]],INVENTARIO!A:B,2,0)," ")</f>
        <v>Tapa PE  050 mm Termo F.</v>
      </c>
      <c r="C249" s="12">
        <v>1</v>
      </c>
      <c r="D249" s="13"/>
      <c r="E249" s="12">
        <v>371</v>
      </c>
      <c r="F249" s="14">
        <v>46092</v>
      </c>
      <c r="G249" s="34"/>
      <c r="H249" s="34" t="s">
        <v>232</v>
      </c>
      <c r="I249" s="34"/>
      <c r="J249" s="9" t="s">
        <v>334</v>
      </c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</row>
    <row r="250" spans="1:28" ht="14.25" customHeight="1" x14ac:dyDescent="0.35">
      <c r="A250" s="12">
        <v>2002262</v>
      </c>
      <c r="B250" s="59" t="str">
        <f>IFERROR(VLOOKUP(Tabla1[[#This Row],[CODIGO]],INVENTARIO!A:B,2,0)," ")</f>
        <v>Tubería PE80 050mm Rollo</v>
      </c>
      <c r="C250" s="12">
        <v>100</v>
      </c>
      <c r="D250" s="13"/>
      <c r="E250" s="12">
        <v>248</v>
      </c>
      <c r="F250" s="14">
        <v>46092</v>
      </c>
      <c r="G250" s="34"/>
      <c r="H250" s="34" t="s">
        <v>223</v>
      </c>
      <c r="I250" s="34"/>
      <c r="J250" s="9" t="s">
        <v>207</v>
      </c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</row>
    <row r="251" spans="1:28" ht="14.25" customHeight="1" x14ac:dyDescent="0.35">
      <c r="A251" s="12">
        <v>303368</v>
      </c>
      <c r="B251" s="59" t="str">
        <f>IFERROR(VLOOKUP(Tabla1[[#This Row],[CODIGO]],INVENTARIO!A:B,2,0)," ")</f>
        <v>Cinta Plástica "Línea GN", 30 x 0.1</v>
      </c>
      <c r="C251" s="12">
        <v>100</v>
      </c>
      <c r="D251" s="13"/>
      <c r="E251" s="12">
        <v>248</v>
      </c>
      <c r="F251" s="14">
        <v>46092</v>
      </c>
      <c r="G251" s="34"/>
      <c r="H251" s="34" t="s">
        <v>223</v>
      </c>
      <c r="I251" s="34"/>
      <c r="J251" s="9" t="s">
        <v>207</v>
      </c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</row>
    <row r="252" spans="1:28" ht="14.25" customHeight="1" x14ac:dyDescent="0.35">
      <c r="A252" s="12">
        <v>1002167</v>
      </c>
      <c r="B252" s="59" t="str">
        <f>IFERROR(VLOOKUP(Tabla1[[#This Row],[CODIGO]],INVENTARIO!A:B,2,0)," ")</f>
        <v>Cable Trazador Cu 14 AWG Aisl. THW Roj</v>
      </c>
      <c r="C252" s="12">
        <v>100</v>
      </c>
      <c r="D252" s="13"/>
      <c r="E252" s="12">
        <v>248</v>
      </c>
      <c r="F252" s="14">
        <v>46092</v>
      </c>
      <c r="G252" s="34"/>
      <c r="H252" s="34" t="s">
        <v>223</v>
      </c>
      <c r="I252" s="34"/>
      <c r="J252" s="9" t="s">
        <v>207</v>
      </c>
      <c r="K252" s="8"/>
      <c r="L252" s="103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</row>
    <row r="253" spans="1:28" ht="14.25" customHeight="1" x14ac:dyDescent="0.35">
      <c r="A253" s="12">
        <v>302992</v>
      </c>
      <c r="B253" s="59" t="str">
        <f>IFERROR(VLOOKUP(Tabla1[[#This Row],[CODIGO]],INVENTARIO!A:B,2,0)," ")</f>
        <v>Codo PE100 90° 050mm EF</v>
      </c>
      <c r="C253" s="12">
        <v>5</v>
      </c>
      <c r="D253" s="13"/>
      <c r="E253" s="12">
        <v>411</v>
      </c>
      <c r="F253" s="14">
        <v>46092</v>
      </c>
      <c r="G253" s="34"/>
      <c r="H253" s="34" t="s">
        <v>335</v>
      </c>
      <c r="I253" s="34"/>
      <c r="J253" s="9" t="s">
        <v>201</v>
      </c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</row>
    <row r="254" spans="1:28" ht="14.25" customHeight="1" x14ac:dyDescent="0.35">
      <c r="A254" s="12">
        <v>301327</v>
      </c>
      <c r="B254" s="59" t="str">
        <f>IFERROR(VLOOKUP(Tabla1[[#This Row],[CODIGO]],INVENTARIO!A:B,2,0)," ")</f>
        <v>Tapa PE  050 mm Termo F.</v>
      </c>
      <c r="C254" s="12">
        <v>4</v>
      </c>
      <c r="D254" s="13"/>
      <c r="E254" s="12">
        <v>411</v>
      </c>
      <c r="F254" s="14">
        <v>46092</v>
      </c>
      <c r="G254" s="34"/>
      <c r="H254" s="34" t="s">
        <v>335</v>
      </c>
      <c r="I254" s="34"/>
      <c r="J254" s="9" t="s">
        <v>201</v>
      </c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</row>
    <row r="255" spans="1:28" ht="14.25" customHeight="1" x14ac:dyDescent="0.35">
      <c r="A255" s="9" t="s">
        <v>292</v>
      </c>
      <c r="B255" s="59" t="str">
        <f>IFERROR(VLOOKUP(Tabla1[[#This Row],[CODIGO]],INVENTARIO!A:B,2,0)," ")</f>
        <v>Toalla Nova Clasica</v>
      </c>
      <c r="C255" s="12">
        <v>3</v>
      </c>
      <c r="D255" s="13"/>
      <c r="E255" s="12">
        <v>247</v>
      </c>
      <c r="F255" s="14">
        <v>46091</v>
      </c>
      <c r="G255" s="34"/>
      <c r="H255" s="34" t="s">
        <v>269</v>
      </c>
      <c r="I255" s="34"/>
      <c r="J255" s="9" t="s">
        <v>207</v>
      </c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</row>
    <row r="256" spans="1:28" ht="14.25" customHeight="1" x14ac:dyDescent="0.35">
      <c r="A256" s="12">
        <v>302992</v>
      </c>
      <c r="B256" s="59" t="str">
        <f>IFERROR(VLOOKUP(Tabla1[[#This Row],[CODIGO]],INVENTARIO!A:B,2,0)," ")</f>
        <v>Codo PE100 90° 050mm EF</v>
      </c>
      <c r="C256" s="12">
        <v>4</v>
      </c>
      <c r="D256" s="13"/>
      <c r="E256" s="12">
        <v>408</v>
      </c>
      <c r="F256" s="14">
        <v>46091</v>
      </c>
      <c r="G256" s="34"/>
      <c r="H256" s="34" t="s">
        <v>354</v>
      </c>
      <c r="I256" s="34"/>
      <c r="J256" s="9" t="s">
        <v>344</v>
      </c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</row>
    <row r="257" spans="1:28" ht="14.25" customHeight="1" x14ac:dyDescent="0.35">
      <c r="A257" s="12">
        <v>301051</v>
      </c>
      <c r="B257" s="59" t="str">
        <f>IFERROR(VLOOKUP(Tabla1[[#This Row],[CODIGO]],INVENTARIO!A:B,2,0)," ")</f>
        <v>Tapping Tee PE 50-32 mm</v>
      </c>
      <c r="C257" s="12">
        <v>1</v>
      </c>
      <c r="D257" s="13"/>
      <c r="E257" s="12">
        <v>408</v>
      </c>
      <c r="F257" s="14">
        <v>46091</v>
      </c>
      <c r="G257" s="34"/>
      <c r="H257" s="34" t="s">
        <v>354</v>
      </c>
      <c r="I257" s="34"/>
      <c r="J257" s="9" t="s">
        <v>344</v>
      </c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</row>
    <row r="258" spans="1:28" ht="14.25" customHeight="1" x14ac:dyDescent="0.35">
      <c r="A258" s="9" t="s">
        <v>292</v>
      </c>
      <c r="B258" s="59" t="str">
        <f>IFERROR(VLOOKUP(Tabla1[[#This Row],[CODIGO]],INVENTARIO!A:B,2,0)," ")</f>
        <v>Toalla Nova Clasica</v>
      </c>
      <c r="C258" s="12">
        <v>2</v>
      </c>
      <c r="D258" s="13"/>
      <c r="E258" s="12">
        <v>408</v>
      </c>
      <c r="F258" s="14">
        <v>46091</v>
      </c>
      <c r="G258" s="34"/>
      <c r="H258" s="34" t="s">
        <v>354</v>
      </c>
      <c r="I258" s="34"/>
      <c r="J258" s="9" t="s">
        <v>344</v>
      </c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</row>
    <row r="259" spans="1:28" ht="14.25" customHeight="1" x14ac:dyDescent="0.35">
      <c r="A259" s="12">
        <v>303017</v>
      </c>
      <c r="B259" s="59" t="str">
        <f>IFERROR(VLOOKUP(Tabla1[[#This Row],[CODIGO]],INVENTARIO!A:B,2,0)," ")</f>
        <v>Codo PE100 90° 110mm EF</v>
      </c>
      <c r="C259" s="12">
        <v>4</v>
      </c>
      <c r="D259" s="13"/>
      <c r="E259" s="12">
        <v>407</v>
      </c>
      <c r="F259" s="14">
        <v>46091</v>
      </c>
      <c r="G259" s="34"/>
      <c r="H259" s="34" t="s">
        <v>314</v>
      </c>
      <c r="I259" s="34"/>
      <c r="J259" s="9" t="s">
        <v>274</v>
      </c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</row>
    <row r="260" spans="1:28" ht="14.25" customHeight="1" x14ac:dyDescent="0.35">
      <c r="A260" s="12">
        <v>302065</v>
      </c>
      <c r="B260" s="59" t="str">
        <f>IFERROR(VLOOKUP(Tabla1[[#This Row],[CODIGO]],INVENTARIO!A:B,2,0)," ")</f>
        <v>Tubería PE80 110mm Tira</v>
      </c>
      <c r="C260" s="12">
        <v>60</v>
      </c>
      <c r="D260" s="13"/>
      <c r="E260" s="12">
        <v>407</v>
      </c>
      <c r="F260" s="14">
        <v>46091</v>
      </c>
      <c r="G260" s="34"/>
      <c r="H260" s="34" t="s">
        <v>314</v>
      </c>
      <c r="I260" s="34"/>
      <c r="J260" s="9" t="s">
        <v>274</v>
      </c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</row>
    <row r="261" spans="1:28" ht="14.25" customHeight="1" x14ac:dyDescent="0.35">
      <c r="A261" s="12">
        <v>303015</v>
      </c>
      <c r="B261" s="59" t="str">
        <f>IFERROR(VLOOKUP(Tabla1[[#This Row],[CODIGO]],INVENTARIO!A:B,2,0)," ")</f>
        <v>Tee PE 110 mm Electro F.</v>
      </c>
      <c r="C261" s="12">
        <v>1</v>
      </c>
      <c r="D261" s="13"/>
      <c r="E261" s="12">
        <v>407</v>
      </c>
      <c r="F261" s="14">
        <v>46091</v>
      </c>
      <c r="G261" s="34"/>
      <c r="H261" s="34" t="s">
        <v>314</v>
      </c>
      <c r="I261" s="34"/>
      <c r="J261" s="9" t="s">
        <v>274</v>
      </c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</row>
    <row r="262" spans="1:28" ht="14.25" customHeight="1" x14ac:dyDescent="0.35">
      <c r="A262" s="12">
        <v>303017</v>
      </c>
      <c r="B262" s="59" t="str">
        <f>IFERROR(VLOOKUP(Tabla1[[#This Row],[CODIGO]],INVENTARIO!A:B,2,0)," ")</f>
        <v>Codo PE100 90° 110mm EF</v>
      </c>
      <c r="C262" s="12">
        <v>2</v>
      </c>
      <c r="D262" s="13"/>
      <c r="E262" s="12">
        <v>406</v>
      </c>
      <c r="F262" s="14">
        <v>46091</v>
      </c>
      <c r="G262" s="34"/>
      <c r="H262" s="34" t="s">
        <v>226</v>
      </c>
      <c r="I262" s="34"/>
      <c r="J262" s="9" t="s">
        <v>200</v>
      </c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</row>
    <row r="263" spans="1:28" ht="14.25" customHeight="1" x14ac:dyDescent="0.35">
      <c r="A263" s="12">
        <v>302338</v>
      </c>
      <c r="B263" s="59" t="str">
        <f>IFERROR(VLOOKUP(Tabla1[[#This Row],[CODIGO]],INVENTARIO!A:B,2,0)," ")</f>
        <v>Codo PE100 45° 110mm EF</v>
      </c>
      <c r="C263" s="12">
        <v>2</v>
      </c>
      <c r="D263" s="13"/>
      <c r="E263" s="12">
        <v>406</v>
      </c>
      <c r="F263" s="14">
        <v>46091</v>
      </c>
      <c r="G263" s="34"/>
      <c r="H263" s="34" t="s">
        <v>226</v>
      </c>
      <c r="I263" s="34"/>
      <c r="J263" s="9" t="s">
        <v>200</v>
      </c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</row>
    <row r="264" spans="1:28" ht="14.25" customHeight="1" x14ac:dyDescent="0.35">
      <c r="A264" s="12">
        <v>302317</v>
      </c>
      <c r="B264" s="59" t="str">
        <f>IFERROR(VLOOKUP(Tabla1[[#This Row],[CODIGO]],INVENTARIO!A:B,2,0)," ")</f>
        <v>Tapa PE 110 mm Termo F.</v>
      </c>
      <c r="C264" s="12">
        <v>3</v>
      </c>
      <c r="D264" s="13"/>
      <c r="E264" s="12">
        <v>406</v>
      </c>
      <c r="F264" s="14">
        <v>46091</v>
      </c>
      <c r="G264" s="34"/>
      <c r="H264" s="34" t="s">
        <v>226</v>
      </c>
      <c r="I264" s="34"/>
      <c r="J264" s="9" t="s">
        <v>200</v>
      </c>
      <c r="L264" s="103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</row>
    <row r="265" spans="1:28" ht="14.25" customHeight="1" x14ac:dyDescent="0.35">
      <c r="A265" s="12">
        <v>301666</v>
      </c>
      <c r="B265" s="59" t="str">
        <f>IFERROR(VLOOKUP(Tabla1[[#This Row],[CODIGO]],INVENTARIO!A:B,2,0)," ")</f>
        <v>Tapping Tee PE 110-25 mm</v>
      </c>
      <c r="C265" s="12">
        <v>1</v>
      </c>
      <c r="D265" s="13"/>
      <c r="E265" s="12">
        <v>406</v>
      </c>
      <c r="F265" s="14">
        <v>46091</v>
      </c>
      <c r="G265" s="34"/>
      <c r="H265" s="34" t="s">
        <v>226</v>
      </c>
      <c r="I265" s="34"/>
      <c r="J265" s="9" t="s">
        <v>200</v>
      </c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</row>
    <row r="266" spans="1:28" ht="14.25" customHeight="1" x14ac:dyDescent="0.35">
      <c r="A266" s="12">
        <v>300109</v>
      </c>
      <c r="B266" s="59" t="str">
        <f>IFERROR(VLOOKUP(Tabla1[[#This Row],[CODIGO]],INVENTARIO!A:B,2,0)," ")</f>
        <v>Risers de Acero 3/4" Bsp x 25 mm</v>
      </c>
      <c r="C266" s="12">
        <v>1</v>
      </c>
      <c r="D266" s="13"/>
      <c r="E266" s="12">
        <v>406</v>
      </c>
      <c r="F266" s="14">
        <v>46091</v>
      </c>
      <c r="G266" s="34"/>
      <c r="H266" s="34" t="s">
        <v>226</v>
      </c>
      <c r="I266" s="34"/>
      <c r="J266" s="9" t="s">
        <v>200</v>
      </c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</row>
    <row r="267" spans="1:28" ht="14.25" customHeight="1" x14ac:dyDescent="0.35">
      <c r="A267" s="12">
        <v>2000350</v>
      </c>
      <c r="B267" s="59" t="str">
        <f>IFERROR(VLOOKUP(Tabla1[[#This Row],[CODIGO]],INVENTARIO!A:B,2,0)," ")</f>
        <v>Codo PE 90º  25 mm EF.</v>
      </c>
      <c r="C267" s="12">
        <v>1</v>
      </c>
      <c r="D267" s="13"/>
      <c r="E267" s="12">
        <v>406</v>
      </c>
      <c r="F267" s="14">
        <v>46091</v>
      </c>
      <c r="G267" s="34"/>
      <c r="H267" s="34" t="s">
        <v>226</v>
      </c>
      <c r="I267" s="34"/>
      <c r="J267" s="9" t="s">
        <v>200</v>
      </c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</row>
    <row r="268" spans="1:28" ht="14.25" customHeight="1" x14ac:dyDescent="0.35">
      <c r="A268" s="12">
        <v>302184</v>
      </c>
      <c r="B268" s="59" t="str">
        <f>IFERROR(VLOOKUP(Tabla1[[#This Row],[CODIGO]],INVENTARIO!A:B,2,0)," ")</f>
        <v>Tapa Tornillo Cambio de Codigo por: 2008481</v>
      </c>
      <c r="C268" s="12">
        <v>1</v>
      </c>
      <c r="D268" s="13"/>
      <c r="E268" s="12">
        <v>406</v>
      </c>
      <c r="F268" s="14">
        <v>46091</v>
      </c>
      <c r="G268" s="34"/>
      <c r="H268" s="34" t="s">
        <v>226</v>
      </c>
      <c r="I268" s="34"/>
      <c r="J268" s="9" t="s">
        <v>200</v>
      </c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</row>
    <row r="269" spans="1:28" ht="14.25" customHeight="1" x14ac:dyDescent="0.35">
      <c r="A269" s="12">
        <v>1000720</v>
      </c>
      <c r="B269" s="59" t="str">
        <f>IFERROR(VLOOKUP(Tabla1[[#This Row],[CODIGO]],INVENTARIO!A:B,2,0)," ")</f>
        <v>Teflón en Cinta de 3/4" Ancho x 520" a 5</v>
      </c>
      <c r="C269" s="12">
        <v>1</v>
      </c>
      <c r="D269" s="13"/>
      <c r="E269" s="12">
        <v>406</v>
      </c>
      <c r="F269" s="14">
        <v>46091</v>
      </c>
      <c r="G269" s="34"/>
      <c r="H269" s="34" t="s">
        <v>226</v>
      </c>
      <c r="I269" s="34"/>
      <c r="J269" s="9" t="s">
        <v>200</v>
      </c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</row>
    <row r="270" spans="1:28" ht="14.25" customHeight="1" x14ac:dyDescent="0.35">
      <c r="A270" s="9" t="s">
        <v>291</v>
      </c>
      <c r="B270" s="59" t="str">
        <f>IFERROR(VLOOKUP(Tabla1[[#This Row],[CODIGO]],INVENTARIO!A:B,2,0)," ")</f>
        <v>Alcohol Isopropilico  500 ml</v>
      </c>
      <c r="C270" s="12">
        <v>1</v>
      </c>
      <c r="D270" s="13"/>
      <c r="E270" s="12">
        <v>406</v>
      </c>
      <c r="F270" s="14">
        <v>46091</v>
      </c>
      <c r="G270" s="34"/>
      <c r="H270" s="34" t="s">
        <v>226</v>
      </c>
      <c r="I270" s="34"/>
      <c r="J270" s="9" t="s">
        <v>200</v>
      </c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</row>
    <row r="271" spans="1:28" ht="14.25" customHeight="1" x14ac:dyDescent="0.35">
      <c r="A271" s="9" t="s">
        <v>292</v>
      </c>
      <c r="B271" s="59" t="str">
        <f>IFERROR(VLOOKUP(Tabla1[[#This Row],[CODIGO]],INVENTARIO!A:B,2,0)," ")</f>
        <v>Toalla Nova Clasica</v>
      </c>
      <c r="C271" s="12">
        <v>1</v>
      </c>
      <c r="D271" s="13"/>
      <c r="E271" s="12">
        <v>406</v>
      </c>
      <c r="F271" s="14">
        <v>46091</v>
      </c>
      <c r="G271" s="34"/>
      <c r="H271" s="34" t="s">
        <v>226</v>
      </c>
      <c r="I271" s="34"/>
      <c r="J271" s="9" t="s">
        <v>200</v>
      </c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</row>
    <row r="272" spans="1:28" ht="14.25" customHeight="1" x14ac:dyDescent="0.35">
      <c r="A272" s="12">
        <v>303015</v>
      </c>
      <c r="B272" s="59" t="str">
        <f>IFERROR(VLOOKUP(Tabla1[[#This Row],[CODIGO]],INVENTARIO!A:B,2,0)," ")</f>
        <v>Tee PE 110 mm Electro F.</v>
      </c>
      <c r="C272" s="12">
        <v>2</v>
      </c>
      <c r="D272" s="13"/>
      <c r="E272" s="12">
        <v>406</v>
      </c>
      <c r="F272" s="14">
        <v>46091</v>
      </c>
      <c r="G272" s="34"/>
      <c r="H272" s="34" t="s">
        <v>226</v>
      </c>
      <c r="I272" s="34"/>
      <c r="J272" s="9" t="s">
        <v>200</v>
      </c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</row>
    <row r="273" spans="1:28" ht="14.25" customHeight="1" x14ac:dyDescent="0.35">
      <c r="A273" s="12">
        <v>302737</v>
      </c>
      <c r="B273" s="59" t="str">
        <f>IFERROR(VLOOKUP(Tabla1[[#This Row],[CODIGO]],INVENTARIO!A:B,2,0)," ")</f>
        <v>Válvula Bola 3/4" Hi Un Cuerpo Pn5 Arco</v>
      </c>
      <c r="C273" s="12">
        <v>1</v>
      </c>
      <c r="D273" s="13"/>
      <c r="E273" s="12">
        <v>406</v>
      </c>
      <c r="F273" s="14">
        <v>46091</v>
      </c>
      <c r="G273" s="34"/>
      <c r="H273" s="34" t="s">
        <v>226</v>
      </c>
      <c r="I273" s="34"/>
      <c r="J273" s="9" t="s">
        <v>200</v>
      </c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</row>
    <row r="274" spans="1:28" ht="14.25" customHeight="1" x14ac:dyDescent="0.35">
      <c r="A274" s="12">
        <v>301749</v>
      </c>
      <c r="B274" s="59" t="str">
        <f>IFERROR(VLOOKUP(Tabla1[[#This Row],[CODIGO]],INVENTARIO!A:B,2,0)," ")</f>
        <v>Tubería PE80 025mm Rollo</v>
      </c>
      <c r="C274" s="12">
        <v>100</v>
      </c>
      <c r="D274" s="13"/>
      <c r="E274" s="12">
        <v>370</v>
      </c>
      <c r="F274" s="14">
        <v>46090</v>
      </c>
      <c r="G274" s="34"/>
      <c r="H274" s="34" t="s">
        <v>232</v>
      </c>
      <c r="I274" s="34"/>
      <c r="J274" s="9" t="s">
        <v>333</v>
      </c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</row>
    <row r="275" spans="1:28" ht="14.25" customHeight="1" x14ac:dyDescent="0.35">
      <c r="A275" s="12">
        <v>303368</v>
      </c>
      <c r="B275" s="59" t="str">
        <f>IFERROR(VLOOKUP(Tabla1[[#This Row],[CODIGO]],INVENTARIO!A:B,2,0)," ")</f>
        <v>Cinta Plástica "Línea GN", 30 x 0.1</v>
      </c>
      <c r="C275" s="12">
        <v>100</v>
      </c>
      <c r="D275" s="13"/>
      <c r="E275" s="12">
        <v>370</v>
      </c>
      <c r="F275" s="14">
        <v>46090</v>
      </c>
      <c r="G275" s="34"/>
      <c r="H275" s="34" t="s">
        <v>232</v>
      </c>
      <c r="I275" s="34"/>
      <c r="J275" s="9" t="s">
        <v>333</v>
      </c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</row>
    <row r="276" spans="1:28" ht="14.25" customHeight="1" x14ac:dyDescent="0.35">
      <c r="A276" s="12">
        <v>300108</v>
      </c>
      <c r="B276" s="59" t="str">
        <f>IFERROR(VLOOKUP(Tabla1[[#This Row],[CODIGO]],INVENTARIO!A:B,2,0)," ")</f>
        <v>Tapping Tee PE 63-25 mm</v>
      </c>
      <c r="C276" s="12">
        <v>5</v>
      </c>
      <c r="D276" s="13"/>
      <c r="E276" s="12">
        <v>370</v>
      </c>
      <c r="F276" s="14">
        <v>46090</v>
      </c>
      <c r="G276" s="34"/>
      <c r="H276" s="34" t="s">
        <v>232</v>
      </c>
      <c r="I276" s="34"/>
      <c r="J276" s="9" t="s">
        <v>333</v>
      </c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</row>
    <row r="277" spans="1:28" ht="14.25" customHeight="1" x14ac:dyDescent="0.35">
      <c r="A277" s="12">
        <v>2003911</v>
      </c>
      <c r="B277" s="59" t="str">
        <f>IFERROR(VLOOKUP(Tabla1[[#This Row],[CODIGO]],INVENTARIO!A:B,2,0)," ")</f>
        <v>Válvula EFv PE 25 mm Para Tap. Tee</v>
      </c>
      <c r="C277" s="12">
        <v>5</v>
      </c>
      <c r="D277" s="13"/>
      <c r="E277" s="12">
        <v>370</v>
      </c>
      <c r="F277" s="14">
        <v>46090</v>
      </c>
      <c r="G277" s="34"/>
      <c r="H277" s="34" t="s">
        <v>232</v>
      </c>
      <c r="I277" s="34"/>
      <c r="J277" s="9" t="s">
        <v>333</v>
      </c>
      <c r="K277" s="23"/>
      <c r="L277" s="104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</row>
    <row r="278" spans="1:28" ht="14.25" customHeight="1" x14ac:dyDescent="0.35">
      <c r="A278" s="12">
        <v>301329</v>
      </c>
      <c r="B278" s="59" t="str">
        <f>IFERROR(VLOOKUP(Tabla1[[#This Row],[CODIGO]],INVENTARIO!A:B,2,0)," ")</f>
        <v>Copla PE100 025mm EF</v>
      </c>
      <c r="C278" s="12">
        <v>10</v>
      </c>
      <c r="D278" s="13"/>
      <c r="E278" s="12">
        <v>370</v>
      </c>
      <c r="F278" s="14">
        <v>46090</v>
      </c>
      <c r="G278" s="34"/>
      <c r="H278" s="34" t="s">
        <v>232</v>
      </c>
      <c r="I278" s="34"/>
      <c r="J278" s="9" t="s">
        <v>333</v>
      </c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</row>
    <row r="279" spans="1:28" ht="14.25" customHeight="1" x14ac:dyDescent="0.35">
      <c r="A279" s="12">
        <v>300712</v>
      </c>
      <c r="B279" s="59" t="str">
        <f>IFERROR(VLOOKUP(Tabla1[[#This Row],[CODIGO]],INVENTARIO!A:B,2,0)," ")</f>
        <v>Tapa PE  025 mm Termo F.</v>
      </c>
      <c r="C279" s="12">
        <v>5</v>
      </c>
      <c r="D279" s="13"/>
      <c r="E279" s="12">
        <v>370</v>
      </c>
      <c r="F279" s="14">
        <v>46090</v>
      </c>
      <c r="G279" s="34"/>
      <c r="H279" s="34" t="s">
        <v>232</v>
      </c>
      <c r="I279" s="34"/>
      <c r="J279" s="9" t="s">
        <v>333</v>
      </c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</row>
    <row r="280" spans="1:28" ht="14.25" customHeight="1" x14ac:dyDescent="0.35">
      <c r="A280" s="12">
        <v>303015</v>
      </c>
      <c r="B280" s="59" t="str">
        <f>IFERROR(VLOOKUP(Tabla1[[#This Row],[CODIGO]],INVENTARIO!A:B,2,0)," ")</f>
        <v>Tee PE 110 mm Electro F.</v>
      </c>
      <c r="C280" s="12">
        <v>2</v>
      </c>
      <c r="D280" s="13"/>
      <c r="E280" s="12">
        <v>403</v>
      </c>
      <c r="F280" s="14">
        <v>46090</v>
      </c>
      <c r="G280" s="34"/>
      <c r="H280" s="34" t="s">
        <v>314</v>
      </c>
      <c r="I280" s="34"/>
      <c r="J280" s="9" t="s">
        <v>274</v>
      </c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</row>
    <row r="281" spans="1:28" ht="14.25" customHeight="1" x14ac:dyDescent="0.35">
      <c r="A281" s="12">
        <v>303439</v>
      </c>
      <c r="B281" s="59" t="str">
        <f>IFERROR(VLOOKUP(Tabla1[[#This Row],[CODIGO]],INVENTARIO!A:B,2,0)," ")</f>
        <v>Reductor PE 110-50 mm Termo F.</v>
      </c>
      <c r="C281" s="12">
        <v>2</v>
      </c>
      <c r="D281" s="13"/>
      <c r="E281" s="12">
        <v>403</v>
      </c>
      <c r="F281" s="14">
        <v>46090</v>
      </c>
      <c r="G281" s="34"/>
      <c r="H281" s="34" t="s">
        <v>314</v>
      </c>
      <c r="I281" s="34"/>
      <c r="J281" s="9" t="s">
        <v>274</v>
      </c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</row>
    <row r="282" spans="1:28" ht="14.25" customHeight="1" x14ac:dyDescent="0.35">
      <c r="A282" s="12">
        <v>302338</v>
      </c>
      <c r="B282" s="59" t="str">
        <f>IFERROR(VLOOKUP(Tabla1[[#This Row],[CODIGO]],INVENTARIO!A:B,2,0)," ")</f>
        <v>Codo PE100 45° 110mm EF</v>
      </c>
      <c r="C282" s="12">
        <v>4</v>
      </c>
      <c r="D282" s="13"/>
      <c r="E282" s="12">
        <v>403</v>
      </c>
      <c r="F282" s="14">
        <v>46090</v>
      </c>
      <c r="G282" s="34"/>
      <c r="H282" s="34" t="s">
        <v>314</v>
      </c>
      <c r="I282" s="34"/>
      <c r="J282" s="9" t="s">
        <v>274</v>
      </c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</row>
    <row r="283" spans="1:28" ht="14.25" customHeight="1" x14ac:dyDescent="0.35">
      <c r="A283" s="12">
        <v>303017</v>
      </c>
      <c r="B283" s="59" t="str">
        <f>IFERROR(VLOOKUP(Tabla1[[#This Row],[CODIGO]],INVENTARIO!A:B,2,0)," ")</f>
        <v>Codo PE100 90° 110mm EF</v>
      </c>
      <c r="C283" s="12">
        <v>4</v>
      </c>
      <c r="D283" s="13"/>
      <c r="E283" s="12">
        <v>403</v>
      </c>
      <c r="F283" s="14">
        <v>46090</v>
      </c>
      <c r="G283" s="34"/>
      <c r="H283" s="34" t="s">
        <v>314</v>
      </c>
      <c r="I283" s="34"/>
      <c r="J283" s="9" t="s">
        <v>274</v>
      </c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</row>
    <row r="284" spans="1:28" ht="14.25" customHeight="1" x14ac:dyDescent="0.35">
      <c r="A284" s="12">
        <v>301327</v>
      </c>
      <c r="B284" s="59" t="str">
        <f>IFERROR(VLOOKUP(Tabla1[[#This Row],[CODIGO]],INVENTARIO!A:B,2,0)," ")</f>
        <v>Tapa PE  050 mm Termo F.</v>
      </c>
      <c r="C284" s="12">
        <v>2</v>
      </c>
      <c r="D284" s="13"/>
      <c r="E284" s="12">
        <v>403</v>
      </c>
      <c r="F284" s="14">
        <v>46090</v>
      </c>
      <c r="G284" s="34"/>
      <c r="H284" s="34" t="s">
        <v>314</v>
      </c>
      <c r="I284" s="34"/>
      <c r="J284" s="9" t="s">
        <v>274</v>
      </c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</row>
    <row r="285" spans="1:28" ht="14.25" customHeight="1" x14ac:dyDescent="0.35">
      <c r="A285" s="12">
        <v>303345</v>
      </c>
      <c r="B285" s="59" t="str">
        <f>IFERROR(VLOOKUP(Tabla1[[#This Row],[CODIGO]],INVENTARIO!A:B,2,0)," ")</f>
        <v>Copla PE100 050mm EF</v>
      </c>
      <c r="C285" s="12">
        <v>4</v>
      </c>
      <c r="D285" s="13"/>
      <c r="E285" s="12">
        <v>403</v>
      </c>
      <c r="F285" s="14">
        <v>46090</v>
      </c>
      <c r="G285" s="34"/>
      <c r="H285" s="34" t="s">
        <v>314</v>
      </c>
      <c r="I285" s="34"/>
      <c r="J285" s="9" t="s">
        <v>274</v>
      </c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</row>
    <row r="286" spans="1:28" ht="14.25" customHeight="1" x14ac:dyDescent="0.35">
      <c r="A286" s="12">
        <v>302991</v>
      </c>
      <c r="B286" s="59" t="str">
        <f>IFERROR(VLOOKUP(Tabla1[[#This Row],[CODIGO]],INVENTARIO!A:B,2,0)," ")</f>
        <v>Copla PE100 110mm EF</v>
      </c>
      <c r="C286" s="12">
        <v>6</v>
      </c>
      <c r="D286" s="13"/>
      <c r="E286" s="12">
        <v>403</v>
      </c>
      <c r="F286" s="14">
        <v>46090</v>
      </c>
      <c r="G286" s="34"/>
      <c r="H286" s="34" t="s">
        <v>314</v>
      </c>
      <c r="I286" s="34"/>
      <c r="J286" s="9" t="s">
        <v>274</v>
      </c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</row>
    <row r="287" spans="1:28" ht="14.25" customHeight="1" x14ac:dyDescent="0.35">
      <c r="A287" s="12">
        <v>2005136</v>
      </c>
      <c r="B287" s="59" t="str">
        <f>IFERROR(VLOOKUP(Tabla1[[#This Row],[CODIGO]],INVENTARIO!A:B,2,0)," ")</f>
        <v>Tubo PVC 160 mm PN6 CG Amarillo</v>
      </c>
      <c r="C287" s="12">
        <v>1</v>
      </c>
      <c r="D287" s="13"/>
      <c r="E287" s="12">
        <v>402</v>
      </c>
      <c r="F287" s="14">
        <v>46090</v>
      </c>
      <c r="G287" s="34"/>
      <c r="H287" s="34" t="s">
        <v>314</v>
      </c>
      <c r="I287" s="34"/>
      <c r="J287" s="9" t="s">
        <v>274</v>
      </c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</row>
    <row r="288" spans="1:28" ht="14.25" customHeight="1" x14ac:dyDescent="0.35">
      <c r="A288" s="12">
        <v>303368</v>
      </c>
      <c r="B288" s="59" t="str">
        <f>IFERROR(VLOOKUP(Tabla1[[#This Row],[CODIGO]],INVENTARIO!A:B,2,0)," ")</f>
        <v>Cinta Plástica "Línea GN", 30 x 0.1</v>
      </c>
      <c r="C288" s="12">
        <v>100</v>
      </c>
      <c r="D288" s="13"/>
      <c r="E288" s="12">
        <v>402</v>
      </c>
      <c r="F288" s="14">
        <v>46090</v>
      </c>
      <c r="G288" s="34"/>
      <c r="H288" s="34" t="s">
        <v>314</v>
      </c>
      <c r="I288" s="34"/>
      <c r="J288" s="9" t="s">
        <v>274</v>
      </c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</row>
    <row r="289" spans="1:28" ht="14.25" customHeight="1" x14ac:dyDescent="0.35">
      <c r="A289" s="12">
        <v>1002167</v>
      </c>
      <c r="B289" s="59" t="str">
        <f>IFERROR(VLOOKUP(Tabla1[[#This Row],[CODIGO]],INVENTARIO!A:B,2,0)," ")</f>
        <v>Cable Trazador Cu 14 AWG Aisl. THW Roj</v>
      </c>
      <c r="C289" s="12">
        <v>100</v>
      </c>
      <c r="D289" s="13"/>
      <c r="E289" s="12">
        <v>402</v>
      </c>
      <c r="F289" s="14">
        <v>46090</v>
      </c>
      <c r="G289" s="34"/>
      <c r="H289" s="34" t="s">
        <v>314</v>
      </c>
      <c r="I289" s="34"/>
      <c r="J289" s="9" t="s">
        <v>274</v>
      </c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</row>
    <row r="290" spans="1:28" ht="14.25" customHeight="1" x14ac:dyDescent="0.35">
      <c r="A290" s="12">
        <v>2002262</v>
      </c>
      <c r="B290" s="59" t="str">
        <f>IFERROR(VLOOKUP(Tabla1[[#This Row],[CODIGO]],INVENTARIO!A:B,2,0)," ")</f>
        <v>Tubería PE80 050mm Rollo</v>
      </c>
      <c r="C290" s="12">
        <v>6</v>
      </c>
      <c r="D290" s="13"/>
      <c r="E290" s="12">
        <v>402</v>
      </c>
      <c r="F290" s="14">
        <v>46090</v>
      </c>
      <c r="G290" s="34"/>
      <c r="H290" s="34" t="s">
        <v>314</v>
      </c>
      <c r="I290" s="34"/>
      <c r="J290" s="9" t="s">
        <v>274</v>
      </c>
      <c r="K290" s="23"/>
      <c r="L290" s="104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</row>
    <row r="291" spans="1:28" ht="14.25" customHeight="1" x14ac:dyDescent="0.35">
      <c r="A291" s="12">
        <v>2002262</v>
      </c>
      <c r="B291" s="59" t="str">
        <f>IFERROR(VLOOKUP(Tabla1[[#This Row],[CODIGO]],INVENTARIO!A:B,2,0)," ")</f>
        <v>Tubería PE80 050mm Rollo</v>
      </c>
      <c r="C291" s="12">
        <v>100</v>
      </c>
      <c r="D291" s="13"/>
      <c r="E291" s="12">
        <v>246</v>
      </c>
      <c r="F291" s="14">
        <v>46090</v>
      </c>
      <c r="G291" s="34"/>
      <c r="H291" s="34" t="s">
        <v>223</v>
      </c>
      <c r="I291" s="34"/>
      <c r="J291" s="9" t="s">
        <v>207</v>
      </c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</row>
    <row r="292" spans="1:28" ht="14.25" customHeight="1" x14ac:dyDescent="0.35">
      <c r="A292" s="12">
        <v>303368</v>
      </c>
      <c r="B292" s="59" t="str">
        <f>IFERROR(VLOOKUP(Tabla1[[#This Row],[CODIGO]],INVENTARIO!A:B,2,0)," ")</f>
        <v>Cinta Plástica "Línea GN", 30 x 0.1</v>
      </c>
      <c r="C292" s="12">
        <v>100</v>
      </c>
      <c r="D292" s="13"/>
      <c r="E292" s="12">
        <v>246</v>
      </c>
      <c r="F292" s="14">
        <v>46090</v>
      </c>
      <c r="G292" s="34"/>
      <c r="H292" s="34" t="s">
        <v>223</v>
      </c>
      <c r="I292" s="34"/>
      <c r="J292" s="9" t="s">
        <v>207</v>
      </c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</row>
    <row r="293" spans="1:28" ht="14.25" customHeight="1" x14ac:dyDescent="0.35">
      <c r="A293" s="12">
        <v>1002167</v>
      </c>
      <c r="B293" s="59" t="str">
        <f>IFERROR(VLOOKUP(Tabla1[[#This Row],[CODIGO]],INVENTARIO!A:B,2,0)," ")</f>
        <v>Cable Trazador Cu 14 AWG Aisl. THW Roj</v>
      </c>
      <c r="C293" s="12">
        <v>100</v>
      </c>
      <c r="D293" s="13"/>
      <c r="E293" s="12">
        <v>246</v>
      </c>
      <c r="F293" s="14">
        <v>46090</v>
      </c>
      <c r="G293" s="34"/>
      <c r="H293" s="34" t="s">
        <v>223</v>
      </c>
      <c r="I293" s="34"/>
      <c r="J293" s="9" t="s">
        <v>207</v>
      </c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</row>
    <row r="294" spans="1:28" ht="14.25" customHeight="1" x14ac:dyDescent="0.35">
      <c r="A294" s="12">
        <v>300130</v>
      </c>
      <c r="B294" s="59" t="str">
        <f>IFERROR(VLOOKUP(Tabla1[[#This Row],[CODIGO]],INVENTARIO!A:B,2,0)," ")</f>
        <v>Tee PE  63 mm Electro F.</v>
      </c>
      <c r="C294" s="12">
        <v>1</v>
      </c>
      <c r="D294" s="13"/>
      <c r="E294" s="12">
        <v>246</v>
      </c>
      <c r="F294" s="14">
        <v>46090</v>
      </c>
      <c r="G294" s="34"/>
      <c r="H294" s="34" t="s">
        <v>223</v>
      </c>
      <c r="I294" s="34"/>
      <c r="J294" s="9" t="s">
        <v>207</v>
      </c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</row>
    <row r="295" spans="1:28" ht="14.25" customHeight="1" x14ac:dyDescent="0.35">
      <c r="A295" s="12">
        <v>302678</v>
      </c>
      <c r="B295" s="59" t="str">
        <f>IFERROR(VLOOKUP(Tabla1[[#This Row],[CODIGO]],INVENTARIO!A:B,2,0)," ")</f>
        <v>Reductor PE  63-50 mm Electro F.</v>
      </c>
      <c r="C295" s="12">
        <v>1</v>
      </c>
      <c r="D295" s="13"/>
      <c r="E295" s="12">
        <v>246</v>
      </c>
      <c r="F295" s="14">
        <v>46090</v>
      </c>
      <c r="G295" s="34"/>
      <c r="H295" s="34" t="s">
        <v>223</v>
      </c>
      <c r="I295" s="34"/>
      <c r="J295" s="9" t="s">
        <v>207</v>
      </c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</row>
    <row r="296" spans="1:28" ht="14.25" customHeight="1" x14ac:dyDescent="0.35">
      <c r="A296" s="12">
        <v>302659</v>
      </c>
      <c r="B296" s="59" t="str">
        <f>IFERROR(VLOOKUP(Tabla1[[#This Row],[CODIGO]],INVENTARIO!A:B,2,0)," ")</f>
        <v>Copla PE100 063mm EF</v>
      </c>
      <c r="C296" s="12">
        <v>2</v>
      </c>
      <c r="D296" s="13"/>
      <c r="E296" s="12">
        <v>246</v>
      </c>
      <c r="F296" s="14">
        <v>46090</v>
      </c>
      <c r="G296" s="34"/>
      <c r="H296" s="34" t="s">
        <v>223</v>
      </c>
      <c r="I296" s="34"/>
      <c r="J296" s="9" t="s">
        <v>207</v>
      </c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</row>
    <row r="297" spans="1:28" ht="14.25" customHeight="1" x14ac:dyDescent="0.35">
      <c r="A297" s="12">
        <v>303345</v>
      </c>
      <c r="B297" s="59" t="str">
        <f>IFERROR(VLOOKUP(Tabla1[[#This Row],[CODIGO]],INVENTARIO!A:B,2,0)," ")</f>
        <v>Copla PE100 050mm EF</v>
      </c>
      <c r="C297" s="12">
        <v>3</v>
      </c>
      <c r="D297" s="13"/>
      <c r="E297" s="12">
        <v>246</v>
      </c>
      <c r="F297" s="14">
        <v>46090</v>
      </c>
      <c r="G297" s="34"/>
      <c r="H297" s="34" t="s">
        <v>223</v>
      </c>
      <c r="I297" s="34"/>
      <c r="J297" s="9" t="s">
        <v>207</v>
      </c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</row>
    <row r="298" spans="1:28" ht="14.25" customHeight="1" x14ac:dyDescent="0.35">
      <c r="A298" s="12">
        <v>301327</v>
      </c>
      <c r="B298" s="59" t="str">
        <f>IFERROR(VLOOKUP(Tabla1[[#This Row],[CODIGO]],INVENTARIO!A:B,2,0)," ")</f>
        <v>Tapa PE  050 mm Termo F.</v>
      </c>
      <c r="C298" s="12">
        <v>2</v>
      </c>
      <c r="D298" s="13"/>
      <c r="E298" s="12">
        <v>246</v>
      </c>
      <c r="F298" s="14">
        <v>46090</v>
      </c>
      <c r="G298" s="34"/>
      <c r="H298" s="34" t="s">
        <v>223</v>
      </c>
      <c r="I298" s="34"/>
      <c r="J298" s="9" t="s">
        <v>207</v>
      </c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</row>
    <row r="299" spans="1:28" ht="14.25" customHeight="1" x14ac:dyDescent="0.35">
      <c r="A299" s="12">
        <v>301987</v>
      </c>
      <c r="B299" s="59" t="str">
        <f>IFERROR(VLOOKUP(Tabla1[[#This Row],[CODIGO]],INVENTARIO!A:B,2,0)," ")</f>
        <v>Codo PE100 90° 063mm EF</v>
      </c>
      <c r="C299" s="12">
        <v>2</v>
      </c>
      <c r="D299" s="13"/>
      <c r="E299" s="12">
        <v>244</v>
      </c>
      <c r="F299" s="14">
        <v>46087</v>
      </c>
      <c r="G299" s="34"/>
      <c r="H299" s="34" t="s">
        <v>223</v>
      </c>
      <c r="I299" s="34"/>
      <c r="J299" s="9" t="s">
        <v>207</v>
      </c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</row>
    <row r="300" spans="1:28" ht="14.25" customHeight="1" x14ac:dyDescent="0.35">
      <c r="A300" s="12">
        <v>101624</v>
      </c>
      <c r="B300" s="59" t="str">
        <f>IFERROR(VLOOKUP(Tabla1[[#This Row],[CODIGO]],INVENTARIO!A:B,2,0)," ")</f>
        <v>Tapping Tee PE 50-25 mm</v>
      </c>
      <c r="C300" s="12">
        <v>3</v>
      </c>
      <c r="D300" s="13"/>
      <c r="E300" s="12">
        <v>244</v>
      </c>
      <c r="F300" s="14">
        <v>46087</v>
      </c>
      <c r="G300" s="34"/>
      <c r="H300" s="34" t="s">
        <v>223</v>
      </c>
      <c r="I300" s="34"/>
      <c r="J300" s="9" t="s">
        <v>207</v>
      </c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</row>
    <row r="301" spans="1:28" ht="14.25" customHeight="1" x14ac:dyDescent="0.35">
      <c r="A301" s="12">
        <v>300109</v>
      </c>
      <c r="B301" s="59" t="str">
        <f>IFERROR(VLOOKUP(Tabla1[[#This Row],[CODIGO]],INVENTARIO!A:B,2,0)," ")</f>
        <v>Risers de Acero 3/4" Bsp x 25 mm</v>
      </c>
      <c r="C301" s="12">
        <v>3</v>
      </c>
      <c r="D301" s="13"/>
      <c r="E301" s="12">
        <v>244</v>
      </c>
      <c r="F301" s="14">
        <v>46087</v>
      </c>
      <c r="G301" s="34"/>
      <c r="H301" s="34" t="s">
        <v>223</v>
      </c>
      <c r="I301" s="34"/>
      <c r="J301" s="9" t="s">
        <v>207</v>
      </c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</row>
    <row r="302" spans="1:28" ht="14.25" customHeight="1" x14ac:dyDescent="0.35">
      <c r="A302" s="12">
        <v>302737</v>
      </c>
      <c r="B302" s="59" t="str">
        <f>IFERROR(VLOOKUP(Tabla1[[#This Row],[CODIGO]],INVENTARIO!A:B,2,0)," ")</f>
        <v>Válvula Bola 3/4" Hi Un Cuerpo Pn5 Arco</v>
      </c>
      <c r="C302" s="12">
        <v>3</v>
      </c>
      <c r="D302" s="13"/>
      <c r="E302" s="12">
        <v>244</v>
      </c>
      <c r="F302" s="14">
        <v>46087</v>
      </c>
      <c r="G302" s="34"/>
      <c r="H302" s="34" t="s">
        <v>223</v>
      </c>
      <c r="I302" s="34"/>
      <c r="J302" s="9" t="s">
        <v>207</v>
      </c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</row>
    <row r="303" spans="1:28" ht="14.25" customHeight="1" x14ac:dyDescent="0.35">
      <c r="A303" s="12">
        <v>302184</v>
      </c>
      <c r="B303" s="59" t="str">
        <f>IFERROR(VLOOKUP(Tabla1[[#This Row],[CODIGO]],INVENTARIO!A:B,2,0)," ")</f>
        <v>Tapa Tornillo Cambio de Codigo por: 2008481</v>
      </c>
      <c r="C303" s="12">
        <v>3</v>
      </c>
      <c r="D303" s="13"/>
      <c r="E303" s="12">
        <v>244</v>
      </c>
      <c r="F303" s="14">
        <v>46087</v>
      </c>
      <c r="G303" s="34"/>
      <c r="H303" s="34" t="s">
        <v>223</v>
      </c>
      <c r="I303" s="34"/>
      <c r="J303" s="9" t="s">
        <v>207</v>
      </c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</row>
    <row r="304" spans="1:28" ht="14.25" customHeight="1" x14ac:dyDescent="0.35">
      <c r="A304" s="12">
        <v>1000720</v>
      </c>
      <c r="B304" s="59" t="str">
        <f>IFERROR(VLOOKUP(Tabla1[[#This Row],[CODIGO]],INVENTARIO!A:B,2,0)," ")</f>
        <v>Teflón en Cinta de 3/4" Ancho x 520" a 5</v>
      </c>
      <c r="C304" s="12">
        <v>1</v>
      </c>
      <c r="D304" s="13"/>
      <c r="E304" s="12">
        <v>244</v>
      </c>
      <c r="F304" s="14">
        <v>46087</v>
      </c>
      <c r="G304" s="34"/>
      <c r="H304" s="34" t="s">
        <v>223</v>
      </c>
      <c r="I304" s="34"/>
      <c r="J304" s="9" t="s">
        <v>207</v>
      </c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</row>
    <row r="305" spans="1:28" ht="14.25" customHeight="1" x14ac:dyDescent="0.35">
      <c r="A305" s="9" t="s">
        <v>291</v>
      </c>
      <c r="B305" s="59" t="str">
        <f>IFERROR(VLOOKUP(Tabla1[[#This Row],[CODIGO]],INVENTARIO!A:B,2,0)," ")</f>
        <v>Alcohol Isopropilico  500 ml</v>
      </c>
      <c r="C305" s="12">
        <v>2</v>
      </c>
      <c r="D305" s="13"/>
      <c r="E305" s="12">
        <v>395</v>
      </c>
      <c r="F305" s="14">
        <v>46087</v>
      </c>
      <c r="G305" s="34"/>
      <c r="H305" s="34" t="s">
        <v>314</v>
      </c>
      <c r="I305" s="34"/>
      <c r="J305" s="9" t="s">
        <v>274</v>
      </c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</row>
    <row r="306" spans="1:28" ht="14.25" customHeight="1" x14ac:dyDescent="0.35">
      <c r="A306" s="9" t="s">
        <v>292</v>
      </c>
      <c r="B306" s="59" t="str">
        <f>IFERROR(VLOOKUP(Tabla1[[#This Row],[CODIGO]],INVENTARIO!A:B,2,0)," ")</f>
        <v>Toalla Nova Clasica</v>
      </c>
      <c r="C306" s="12">
        <v>2</v>
      </c>
      <c r="D306" s="13"/>
      <c r="E306" s="12">
        <v>395</v>
      </c>
      <c r="F306" s="14">
        <v>46087</v>
      </c>
      <c r="G306" s="34"/>
      <c r="H306" s="34" t="s">
        <v>314</v>
      </c>
      <c r="I306" s="34"/>
      <c r="J306" s="9" t="s">
        <v>274</v>
      </c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</row>
    <row r="307" spans="1:28" ht="14.25" customHeight="1" x14ac:dyDescent="0.35">
      <c r="A307" s="12">
        <v>300712</v>
      </c>
      <c r="B307" s="59" t="str">
        <f>IFERROR(VLOOKUP(Tabla1[[#This Row],[CODIGO]],INVENTARIO!A:B,2,0)," ")</f>
        <v>Tapa PE  025 mm Termo F.</v>
      </c>
      <c r="C307" s="12">
        <v>5</v>
      </c>
      <c r="D307" s="13"/>
      <c r="E307" s="12">
        <v>388</v>
      </c>
      <c r="F307" s="14">
        <v>46087</v>
      </c>
      <c r="G307" s="34"/>
      <c r="H307" s="34" t="s">
        <v>232</v>
      </c>
      <c r="I307" s="34"/>
      <c r="J307" s="9" t="s">
        <v>333</v>
      </c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</row>
    <row r="308" spans="1:28" ht="14.25" customHeight="1" x14ac:dyDescent="0.35">
      <c r="A308" s="12">
        <v>301329</v>
      </c>
      <c r="B308" s="59" t="str">
        <f>IFERROR(VLOOKUP(Tabla1[[#This Row],[CODIGO]],INVENTARIO!A:B,2,0)," ")</f>
        <v>Copla PE100 025mm EF</v>
      </c>
      <c r="C308" s="12">
        <v>5</v>
      </c>
      <c r="D308" s="13"/>
      <c r="E308" s="12">
        <v>388</v>
      </c>
      <c r="F308" s="14">
        <v>46087</v>
      </c>
      <c r="G308" s="34"/>
      <c r="H308" s="34" t="s">
        <v>232</v>
      </c>
      <c r="I308" s="34"/>
      <c r="J308" s="9" t="s">
        <v>333</v>
      </c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</row>
    <row r="309" spans="1:28" ht="14.25" customHeight="1" x14ac:dyDescent="0.35">
      <c r="A309" s="12">
        <v>2003965</v>
      </c>
      <c r="B309" s="59" t="str">
        <f>IFERROR(VLOOKUP(Tabla1[[#This Row],[CODIGO]],INVENTARIO!A:B,2,0)," ")</f>
        <v>Válvula PE100 Dn 63mm</v>
      </c>
      <c r="C309" s="12">
        <v>1</v>
      </c>
      <c r="D309" s="13"/>
      <c r="E309" s="12">
        <v>388</v>
      </c>
      <c r="F309" s="14">
        <v>46087</v>
      </c>
      <c r="G309" s="34"/>
      <c r="H309" s="34" t="s">
        <v>232</v>
      </c>
      <c r="I309" s="34"/>
      <c r="J309" s="9" t="s">
        <v>333</v>
      </c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</row>
    <row r="310" spans="1:28" ht="14.25" customHeight="1" x14ac:dyDescent="0.35">
      <c r="A310" s="12">
        <v>302659</v>
      </c>
      <c r="B310" s="59" t="str">
        <f>IFERROR(VLOOKUP(Tabla1[[#This Row],[CODIGO]],INVENTARIO!A:B,2,0)," ")</f>
        <v>Copla PE100 063mm EF</v>
      </c>
      <c r="C310" s="12">
        <v>2</v>
      </c>
      <c r="D310" s="13"/>
      <c r="E310" s="12">
        <v>388</v>
      </c>
      <c r="F310" s="14">
        <v>46087</v>
      </c>
      <c r="G310" s="34"/>
      <c r="H310" s="34" t="s">
        <v>232</v>
      </c>
      <c r="I310" s="34"/>
      <c r="J310" s="9" t="s">
        <v>333</v>
      </c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</row>
    <row r="311" spans="1:28" ht="14.25" customHeight="1" x14ac:dyDescent="0.35">
      <c r="A311" s="12">
        <v>300108</v>
      </c>
      <c r="B311" s="59" t="str">
        <f>IFERROR(VLOOKUP(Tabla1[[#This Row],[CODIGO]],INVENTARIO!A:B,2,0)," ")</f>
        <v>Tapping Tee PE 63-25 mm</v>
      </c>
      <c r="C311" s="12">
        <v>4</v>
      </c>
      <c r="D311" s="13"/>
      <c r="E311" s="12">
        <v>923</v>
      </c>
      <c r="F311" s="14">
        <v>46087</v>
      </c>
      <c r="G311" s="34"/>
      <c r="H311" s="34" t="s">
        <v>232</v>
      </c>
      <c r="I311" s="34"/>
      <c r="J311" s="9" t="s">
        <v>200</v>
      </c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</row>
    <row r="312" spans="1:28" ht="14.25" customHeight="1" x14ac:dyDescent="0.35">
      <c r="A312" s="12">
        <v>301666</v>
      </c>
      <c r="B312" s="59" t="str">
        <f>IFERROR(VLOOKUP(Tabla1[[#This Row],[CODIGO]],INVENTARIO!A:B,2,0)," ")</f>
        <v>Tapping Tee PE 110-25 mm</v>
      </c>
      <c r="C312" s="12">
        <v>4</v>
      </c>
      <c r="D312" s="13"/>
      <c r="E312" s="12">
        <v>923</v>
      </c>
      <c r="F312" s="14">
        <v>46087</v>
      </c>
      <c r="G312" s="34"/>
      <c r="H312" s="34" t="s">
        <v>232</v>
      </c>
      <c r="I312" s="34"/>
      <c r="J312" s="9" t="s">
        <v>200</v>
      </c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</row>
    <row r="313" spans="1:28" ht="14.25" customHeight="1" x14ac:dyDescent="0.35">
      <c r="A313" s="12">
        <v>2003911</v>
      </c>
      <c r="B313" s="59" t="str">
        <f>IFERROR(VLOOKUP(Tabla1[[#This Row],[CODIGO]],INVENTARIO!A:B,2,0)," ")</f>
        <v>Válvula EFv PE 25 mm Para Tap. Tee</v>
      </c>
      <c r="C313" s="12">
        <v>8</v>
      </c>
      <c r="D313" s="13"/>
      <c r="E313" s="12">
        <v>923</v>
      </c>
      <c r="F313" s="14">
        <v>46087</v>
      </c>
      <c r="G313" s="34"/>
      <c r="H313" s="34" t="s">
        <v>232</v>
      </c>
      <c r="I313" s="34"/>
      <c r="J313" s="9" t="s">
        <v>200</v>
      </c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</row>
    <row r="314" spans="1:28" ht="14.25" customHeight="1" x14ac:dyDescent="0.35">
      <c r="A314" s="12">
        <v>2000350</v>
      </c>
      <c r="B314" s="59" t="str">
        <f>IFERROR(VLOOKUP(Tabla1[[#This Row],[CODIGO]],INVENTARIO!A:B,2,0)," ")</f>
        <v>Codo PE 90º  25 mm EF.</v>
      </c>
      <c r="C314" s="12">
        <v>16</v>
      </c>
      <c r="D314" s="13"/>
      <c r="E314" s="12">
        <v>923</v>
      </c>
      <c r="F314" s="14">
        <v>46087</v>
      </c>
      <c r="G314" s="34"/>
      <c r="H314" s="34" t="s">
        <v>232</v>
      </c>
      <c r="I314" s="34"/>
      <c r="J314" s="9" t="s">
        <v>200</v>
      </c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</row>
    <row r="315" spans="1:28" ht="14.25" customHeight="1" x14ac:dyDescent="0.35">
      <c r="A315" s="12">
        <v>300109</v>
      </c>
      <c r="B315" s="59" t="str">
        <f>IFERROR(VLOOKUP(Tabla1[[#This Row],[CODIGO]],INVENTARIO!A:B,2,0)," ")</f>
        <v>Risers de Acero 3/4" Bsp x 25 mm</v>
      </c>
      <c r="C315" s="12">
        <v>8</v>
      </c>
      <c r="D315" s="13"/>
      <c r="E315" s="12">
        <v>923</v>
      </c>
      <c r="F315" s="14">
        <v>46087</v>
      </c>
      <c r="G315" s="34"/>
      <c r="H315" s="34" t="s">
        <v>232</v>
      </c>
      <c r="I315" s="34"/>
      <c r="J315" s="9" t="s">
        <v>200</v>
      </c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</row>
    <row r="316" spans="1:28" ht="14.25" customHeight="1" x14ac:dyDescent="0.35">
      <c r="A316" s="12">
        <v>302737</v>
      </c>
      <c r="B316" s="59" t="str">
        <f>IFERROR(VLOOKUP(Tabla1[[#This Row],[CODIGO]],INVENTARIO!A:B,2,0)," ")</f>
        <v>Válvula Bola 3/4" Hi Un Cuerpo Pn5 Arco</v>
      </c>
      <c r="C316" s="12">
        <v>8</v>
      </c>
      <c r="D316" s="13"/>
      <c r="E316" s="12">
        <v>923</v>
      </c>
      <c r="F316" s="14">
        <v>46087</v>
      </c>
      <c r="G316" s="34"/>
      <c r="H316" s="34" t="s">
        <v>232</v>
      </c>
      <c r="I316" s="34"/>
      <c r="J316" s="9" t="s">
        <v>200</v>
      </c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</row>
    <row r="317" spans="1:28" ht="14.25" customHeight="1" x14ac:dyDescent="0.35">
      <c r="A317" s="12">
        <v>2008481</v>
      </c>
      <c r="B317" s="59" t="str">
        <f>IFERROR(VLOOKUP(Tabla1[[#This Row],[CODIGO]],INVENTARIO!A:B,2,0)," ")</f>
        <v>Tapa Tornillo Bronce 3/4" HE Bspt.</v>
      </c>
      <c r="C317" s="12">
        <v>8</v>
      </c>
      <c r="D317" s="13"/>
      <c r="E317" s="12">
        <v>923</v>
      </c>
      <c r="F317" s="14">
        <v>46087</v>
      </c>
      <c r="G317" s="34"/>
      <c r="H317" s="34" t="s">
        <v>232</v>
      </c>
      <c r="I317" s="34"/>
      <c r="J317" s="9" t="s">
        <v>200</v>
      </c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</row>
    <row r="318" spans="1:28" ht="14.25" customHeight="1" x14ac:dyDescent="0.35">
      <c r="A318" s="12">
        <v>1000720</v>
      </c>
      <c r="B318" s="59" t="str">
        <f>IFERROR(VLOOKUP(Tabla1[[#This Row],[CODIGO]],INVENTARIO!A:B,2,0)," ")</f>
        <v>Teflón en Cinta de 3/4" Ancho x 520" a 5</v>
      </c>
      <c r="C318" s="12">
        <v>2</v>
      </c>
      <c r="D318" s="13"/>
      <c r="E318" s="12">
        <v>923</v>
      </c>
      <c r="F318" s="14">
        <v>46087</v>
      </c>
      <c r="G318" s="34"/>
      <c r="H318" s="34" t="s">
        <v>232</v>
      </c>
      <c r="I318" s="34"/>
      <c r="J318" s="9" t="s">
        <v>200</v>
      </c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</row>
    <row r="319" spans="1:28" ht="14.25" customHeight="1" x14ac:dyDescent="0.35">
      <c r="A319" s="12">
        <v>2003965</v>
      </c>
      <c r="B319" s="59" t="str">
        <f>IFERROR(VLOOKUP(Tabla1[[#This Row],[CODIGO]],INVENTARIO!A:B,2,0)," ")</f>
        <v>Válvula PE100 Dn 63mm</v>
      </c>
      <c r="C319" s="12">
        <v>1</v>
      </c>
      <c r="D319" s="13"/>
      <c r="E319" s="12">
        <v>923</v>
      </c>
      <c r="F319" s="14">
        <v>46087</v>
      </c>
      <c r="G319" s="34"/>
      <c r="H319" s="34" t="s">
        <v>232</v>
      </c>
      <c r="I319" s="34"/>
      <c r="J319" s="9" t="s">
        <v>200</v>
      </c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</row>
    <row r="320" spans="1:28" ht="14.25" customHeight="1" x14ac:dyDescent="0.35">
      <c r="A320" s="12">
        <v>2008302</v>
      </c>
      <c r="B320" s="59" t="str">
        <f>IFERROR(VLOOKUP(Tabla1[[#This Row],[CODIGO]],INVENTARIO!A:B,2,0)," ")</f>
        <v>Tapa PE 063 mm Electro F.</v>
      </c>
      <c r="C320" s="12">
        <v>2</v>
      </c>
      <c r="D320" s="13"/>
      <c r="E320" s="12">
        <v>923</v>
      </c>
      <c r="F320" s="14">
        <v>46087</v>
      </c>
      <c r="G320" s="34"/>
      <c r="H320" s="34" t="s">
        <v>232</v>
      </c>
      <c r="I320" s="34"/>
      <c r="J320" s="9" t="s">
        <v>200</v>
      </c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</row>
    <row r="321" spans="1:28" ht="14.25" customHeight="1" x14ac:dyDescent="0.35">
      <c r="A321" s="12">
        <v>302991</v>
      </c>
      <c r="B321" s="59" t="str">
        <f>IFERROR(VLOOKUP(Tabla1[[#This Row],[CODIGO]],INVENTARIO!A:B,2,0)," ")</f>
        <v>Copla PE100 110mm EF</v>
      </c>
      <c r="C321" s="12">
        <v>5</v>
      </c>
      <c r="D321" s="13"/>
      <c r="E321" s="12">
        <v>923</v>
      </c>
      <c r="F321" s="14">
        <v>46087</v>
      </c>
      <c r="G321" s="34"/>
      <c r="H321" s="34" t="s">
        <v>232</v>
      </c>
      <c r="I321" s="34"/>
      <c r="J321" s="9" t="s">
        <v>200</v>
      </c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</row>
    <row r="322" spans="1:28" ht="14.25" customHeight="1" x14ac:dyDescent="0.35">
      <c r="A322" s="12">
        <v>301685</v>
      </c>
      <c r="B322" s="59" t="str">
        <f>IFERROR(VLOOKUP(Tabla1[[#This Row],[CODIGO]],INVENTARIO!A:B,2,0)," ")</f>
        <v>Reductor PE100 110-63 mm TF.</v>
      </c>
      <c r="C322" s="12">
        <v>1</v>
      </c>
      <c r="D322" s="13"/>
      <c r="E322" s="12">
        <v>923</v>
      </c>
      <c r="F322" s="14">
        <v>46087</v>
      </c>
      <c r="G322" s="34"/>
      <c r="H322" s="34" t="s">
        <v>232</v>
      </c>
      <c r="I322" s="34"/>
      <c r="J322" s="9" t="s">
        <v>200</v>
      </c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</row>
    <row r="323" spans="1:28" ht="14.25" customHeight="1" x14ac:dyDescent="0.35">
      <c r="A323" s="12">
        <v>301334</v>
      </c>
      <c r="B323" s="59" t="str">
        <f>IFERROR(VLOOKUP(Tabla1[[#This Row],[CODIGO]],INVENTARIO!A:B,2,0)," ")</f>
        <v>Codo PE100 90° 160mm TF</v>
      </c>
      <c r="C323" s="12">
        <v>4</v>
      </c>
      <c r="D323" s="13"/>
      <c r="E323" s="12">
        <v>398</v>
      </c>
      <c r="F323" s="14">
        <v>46087</v>
      </c>
      <c r="G323" s="34"/>
      <c r="H323" s="34" t="s">
        <v>267</v>
      </c>
      <c r="I323" s="34"/>
      <c r="J323" s="9" t="s">
        <v>193</v>
      </c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</row>
    <row r="324" spans="1:28" ht="14.25" customHeight="1" x14ac:dyDescent="0.35">
      <c r="A324" s="12">
        <v>2002453</v>
      </c>
      <c r="B324" s="59" t="str">
        <f>IFERROR(VLOOKUP(Tabla1[[#This Row],[CODIGO]],INVENTARIO!A:B,2,0)," ")</f>
        <v>MRP-120-(4/1,2)-(S)-2</v>
      </c>
      <c r="C324" s="12">
        <v>1</v>
      </c>
      <c r="D324" s="13"/>
      <c r="E324" s="12">
        <v>399</v>
      </c>
      <c r="F324" s="14">
        <v>46087</v>
      </c>
      <c r="G324" s="34"/>
      <c r="H324" s="34" t="s">
        <v>267</v>
      </c>
      <c r="I324" s="34"/>
      <c r="J324" s="9" t="s">
        <v>193</v>
      </c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</row>
    <row r="325" spans="1:28" ht="14.25" customHeight="1" x14ac:dyDescent="0.35">
      <c r="A325" s="12">
        <v>2004185</v>
      </c>
      <c r="B325" s="59" t="str">
        <f>IFERROR(VLOOKUP(Tabla1[[#This Row],[CODIGO]],INVENTARIO!A:B,2,0)," ")</f>
        <v>Anillo Cámara Modular 800x800 H=150 E6</v>
      </c>
      <c r="C325" s="12">
        <v>6</v>
      </c>
      <c r="D325" s="13"/>
      <c r="E325" s="12">
        <v>399</v>
      </c>
      <c r="F325" s="14">
        <v>46087</v>
      </c>
      <c r="G325" s="34"/>
      <c r="H325" s="34" t="s">
        <v>267</v>
      </c>
      <c r="I325" s="34"/>
      <c r="J325" s="9" t="s">
        <v>193</v>
      </c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</row>
    <row r="326" spans="1:28" ht="14.25" customHeight="1" x14ac:dyDescent="0.35">
      <c r="A326" s="12">
        <v>2004186</v>
      </c>
      <c r="B326" s="59" t="str">
        <f>IFERROR(VLOOKUP(Tabla1[[#This Row],[CODIGO]],INVENTARIO!A:B,2,0)," ")</f>
        <v>Tapa AX-S Composite 800x800 B125</v>
      </c>
      <c r="C326" s="12">
        <v>1</v>
      </c>
      <c r="D326" s="13"/>
      <c r="E326" s="12">
        <v>399</v>
      </c>
      <c r="F326" s="14">
        <v>46087</v>
      </c>
      <c r="G326" s="34"/>
      <c r="H326" s="34" t="s">
        <v>267</v>
      </c>
      <c r="I326" s="34"/>
      <c r="J326" s="9" t="s">
        <v>193</v>
      </c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</row>
    <row r="327" spans="1:28" ht="14.25" customHeight="1" x14ac:dyDescent="0.35">
      <c r="A327" s="12">
        <v>303015</v>
      </c>
      <c r="B327" s="59" t="str">
        <f>IFERROR(VLOOKUP(Tabla1[[#This Row],[CODIGO]],INVENTARIO!A:B,2,0)," ")</f>
        <v>Tee PE 110 mm Electro F.</v>
      </c>
      <c r="C327" s="12">
        <v>1</v>
      </c>
      <c r="D327" s="13"/>
      <c r="E327" s="12">
        <v>397</v>
      </c>
      <c r="F327" s="14">
        <v>46087</v>
      </c>
      <c r="G327" s="34"/>
      <c r="H327" s="34" t="s">
        <v>267</v>
      </c>
      <c r="I327" s="34"/>
      <c r="J327" s="9" t="s">
        <v>193</v>
      </c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</row>
    <row r="328" spans="1:28" ht="14.25" customHeight="1" x14ac:dyDescent="0.35">
      <c r="A328" s="12">
        <v>302317</v>
      </c>
      <c r="B328" s="59" t="str">
        <f>IFERROR(VLOOKUP(Tabla1[[#This Row],[CODIGO]],INVENTARIO!A:B,2,0)," ")</f>
        <v>Tapa PE 110 mm Termo F.</v>
      </c>
      <c r="C328" s="12">
        <v>1</v>
      </c>
      <c r="D328" s="13"/>
      <c r="E328" s="12">
        <v>397</v>
      </c>
      <c r="F328" s="14">
        <v>46087</v>
      </c>
      <c r="G328" s="34"/>
      <c r="H328" s="34" t="s">
        <v>267</v>
      </c>
      <c r="I328" s="34"/>
      <c r="J328" s="9" t="s">
        <v>193</v>
      </c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</row>
    <row r="329" spans="1:28" ht="14.25" customHeight="1" x14ac:dyDescent="0.35">
      <c r="A329" s="12">
        <v>2005136</v>
      </c>
      <c r="B329" s="59" t="str">
        <f>IFERROR(VLOOKUP(Tabla1[[#This Row],[CODIGO]],INVENTARIO!A:B,2,0)," ")</f>
        <v>Tubo PVC 160 mm PN6 CG Amarillo</v>
      </c>
      <c r="C329" s="12">
        <v>2</v>
      </c>
      <c r="D329" s="13"/>
      <c r="E329" s="12">
        <v>397</v>
      </c>
      <c r="F329" s="14">
        <v>46087</v>
      </c>
      <c r="G329" s="34"/>
      <c r="H329" s="34" t="s">
        <v>267</v>
      </c>
      <c r="I329" s="34"/>
      <c r="J329" s="9" t="s">
        <v>193</v>
      </c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</row>
    <row r="330" spans="1:28" ht="14.25" customHeight="1" x14ac:dyDescent="0.35">
      <c r="A330" s="12">
        <v>2000350</v>
      </c>
      <c r="B330" s="59" t="str">
        <f>IFERROR(VLOOKUP(Tabla1[[#This Row],[CODIGO]],INVENTARIO!A:B,2,0)," ")</f>
        <v>Codo PE 90º  25 mm EF.</v>
      </c>
      <c r="C330" s="12">
        <v>3</v>
      </c>
      <c r="D330" s="13"/>
      <c r="E330" s="12">
        <v>392</v>
      </c>
      <c r="F330" s="14">
        <v>46086</v>
      </c>
      <c r="G330" s="34"/>
      <c r="H330" s="34" t="s">
        <v>287</v>
      </c>
      <c r="I330" s="34"/>
      <c r="J330" s="9" t="s">
        <v>261</v>
      </c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</row>
    <row r="331" spans="1:28" ht="14.25" customHeight="1" x14ac:dyDescent="0.35">
      <c r="A331" s="12">
        <v>301781</v>
      </c>
      <c r="B331" s="59" t="str">
        <f>IFERROR(VLOOKUP(Tabla1[[#This Row],[CODIGO]],INVENTARIO!A:B,2,0)," ")</f>
        <v>Reductor PE 50-32 mm Electro F.</v>
      </c>
      <c r="C331" s="12">
        <v>1</v>
      </c>
      <c r="D331" s="13"/>
      <c r="E331" s="12">
        <v>393</v>
      </c>
      <c r="F331" s="14">
        <v>46086</v>
      </c>
      <c r="G331" s="34"/>
      <c r="H331" s="34" t="s">
        <v>287</v>
      </c>
      <c r="I331" s="34"/>
      <c r="J331" s="9" t="s">
        <v>344</v>
      </c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</row>
    <row r="332" spans="1:28" ht="14.25" customHeight="1" x14ac:dyDescent="0.35">
      <c r="A332" s="12">
        <v>2002262</v>
      </c>
      <c r="B332" s="59" t="str">
        <f>IFERROR(VLOOKUP(Tabla1[[#This Row],[CODIGO]],INVENTARIO!A:B,2,0)," ")</f>
        <v>Tubería PE80 050mm Rollo</v>
      </c>
      <c r="C332" s="12">
        <v>2</v>
      </c>
      <c r="D332" s="13"/>
      <c r="E332" s="12">
        <v>393</v>
      </c>
      <c r="F332" s="14">
        <v>46086</v>
      </c>
      <c r="G332" s="34"/>
      <c r="H332" s="34" t="s">
        <v>287</v>
      </c>
      <c r="I332" s="34"/>
      <c r="J332" s="9" t="s">
        <v>344</v>
      </c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</row>
    <row r="333" spans="1:28" ht="14.25" customHeight="1" x14ac:dyDescent="0.35">
      <c r="A333" s="12">
        <v>303015</v>
      </c>
      <c r="B333" s="59" t="str">
        <f>IFERROR(VLOOKUP(Tabla1[[#This Row],[CODIGO]],INVENTARIO!A:B,2,0)," ")</f>
        <v>Tee PE 110 mm Electro F.</v>
      </c>
      <c r="C333" s="12">
        <v>1</v>
      </c>
      <c r="D333" s="13"/>
      <c r="E333" s="12">
        <v>394</v>
      </c>
      <c r="F333" s="14">
        <v>46086</v>
      </c>
      <c r="G333" s="34"/>
      <c r="H333" s="34" t="s">
        <v>267</v>
      </c>
      <c r="I333" s="34"/>
      <c r="J333" s="9" t="s">
        <v>193</v>
      </c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</row>
    <row r="334" spans="1:28" ht="14.25" customHeight="1" x14ac:dyDescent="0.35">
      <c r="A334" s="12">
        <v>2003736</v>
      </c>
      <c r="B334" s="59" t="str">
        <f>IFERROR(VLOOKUP(Tabla1[[#This Row],[CODIGO]],INVENTARIO!A:B,2,0)," ")</f>
        <v>Válvula PE100 Dn 110mm</v>
      </c>
      <c r="C334" s="12">
        <v>1</v>
      </c>
      <c r="D334" s="13"/>
      <c r="E334" s="12">
        <v>394</v>
      </c>
      <c r="F334" s="14">
        <v>46086</v>
      </c>
      <c r="G334" s="34"/>
      <c r="H334" s="34" t="s">
        <v>267</v>
      </c>
      <c r="I334" s="34"/>
      <c r="J334" s="9" t="s">
        <v>193</v>
      </c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</row>
    <row r="335" spans="1:28" ht="14.25" customHeight="1" x14ac:dyDescent="0.35">
      <c r="A335" s="12">
        <v>302991</v>
      </c>
      <c r="B335" s="59" t="str">
        <f>IFERROR(VLOOKUP(Tabla1[[#This Row],[CODIGO]],INVENTARIO!A:B,2,0)," ")</f>
        <v>Copla PE100 110mm EF</v>
      </c>
      <c r="C335" s="12">
        <v>10</v>
      </c>
      <c r="D335" s="13"/>
      <c r="E335" s="12">
        <v>394</v>
      </c>
      <c r="F335" s="14">
        <v>46086</v>
      </c>
      <c r="G335" s="34"/>
      <c r="H335" s="34" t="s">
        <v>267</v>
      </c>
      <c r="I335" s="34"/>
      <c r="J335" s="9" t="s">
        <v>193</v>
      </c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</row>
    <row r="336" spans="1:28" ht="14.25" customHeight="1" x14ac:dyDescent="0.35">
      <c r="A336" s="12">
        <v>302317</v>
      </c>
      <c r="B336" s="59" t="str">
        <f>IFERROR(VLOOKUP(Tabla1[[#This Row],[CODIGO]],INVENTARIO!A:B,2,0)," ")</f>
        <v>Tapa PE 110 mm Termo F.</v>
      </c>
      <c r="C336" s="12">
        <v>1</v>
      </c>
      <c r="D336" s="13"/>
      <c r="E336" s="12">
        <v>394</v>
      </c>
      <c r="F336" s="14">
        <v>46086</v>
      </c>
      <c r="G336" s="34"/>
      <c r="H336" s="34" t="s">
        <v>267</v>
      </c>
      <c r="I336" s="34"/>
      <c r="J336" s="9" t="s">
        <v>193</v>
      </c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</row>
    <row r="337" spans="1:28" ht="14.25" customHeight="1" x14ac:dyDescent="0.35">
      <c r="A337" s="12">
        <v>2000350</v>
      </c>
      <c r="B337" s="59" t="str">
        <f>IFERROR(VLOOKUP(Tabla1[[#This Row],[CODIGO]],INVENTARIO!A:B,2,0)," ")</f>
        <v>Codo PE 90º  25 mm EF.</v>
      </c>
      <c r="C337" s="12">
        <v>2</v>
      </c>
      <c r="D337" s="13"/>
      <c r="E337" s="12">
        <v>394</v>
      </c>
      <c r="F337" s="14">
        <v>46086</v>
      </c>
      <c r="G337" s="34"/>
      <c r="H337" s="34" t="s">
        <v>267</v>
      </c>
      <c r="I337" s="34"/>
      <c r="J337" s="9" t="s">
        <v>193</v>
      </c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</row>
    <row r="338" spans="1:28" ht="14.25" customHeight="1" x14ac:dyDescent="0.35">
      <c r="A338" s="12">
        <v>301666</v>
      </c>
      <c r="B338" s="59" t="str">
        <f>IFERROR(VLOOKUP(Tabla1[[#This Row],[CODIGO]],INVENTARIO!A:B,2,0)," ")</f>
        <v>Tapping Tee PE 110-25 mm</v>
      </c>
      <c r="C338" s="12">
        <v>2</v>
      </c>
      <c r="D338" s="13"/>
      <c r="E338" s="12">
        <v>394</v>
      </c>
      <c r="F338" s="14">
        <v>46086</v>
      </c>
      <c r="G338" s="34"/>
      <c r="H338" s="34" t="s">
        <v>267</v>
      </c>
      <c r="I338" s="34"/>
      <c r="J338" s="9" t="s">
        <v>193</v>
      </c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</row>
    <row r="339" spans="1:28" ht="14.25" customHeight="1" x14ac:dyDescent="0.35">
      <c r="A339" s="12">
        <v>300109</v>
      </c>
      <c r="B339" s="59" t="str">
        <f>IFERROR(VLOOKUP(Tabla1[[#This Row],[CODIGO]],INVENTARIO!A:B,2,0)," ")</f>
        <v>Risers de Acero 3/4" Bsp x 25 mm</v>
      </c>
      <c r="C339" s="12">
        <v>2</v>
      </c>
      <c r="D339" s="13"/>
      <c r="E339" s="12">
        <v>394</v>
      </c>
      <c r="F339" s="14">
        <v>46086</v>
      </c>
      <c r="G339" s="34"/>
      <c r="H339" s="34" t="s">
        <v>267</v>
      </c>
      <c r="I339" s="34"/>
      <c r="J339" s="9" t="s">
        <v>193</v>
      </c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</row>
    <row r="340" spans="1:28" ht="14.25" customHeight="1" x14ac:dyDescent="0.35">
      <c r="A340" s="12">
        <v>302065</v>
      </c>
      <c r="B340" s="59" t="str">
        <f>IFERROR(VLOOKUP(Tabla1[[#This Row],[CODIGO]],INVENTARIO!A:B,2,0)," ")</f>
        <v>Tubería PE80 110mm Tira</v>
      </c>
      <c r="C340" s="12">
        <v>168</v>
      </c>
      <c r="D340" s="13"/>
      <c r="E340" s="12">
        <v>394</v>
      </c>
      <c r="F340" s="14">
        <v>46086</v>
      </c>
      <c r="G340" s="34"/>
      <c r="H340" s="34" t="s">
        <v>267</v>
      </c>
      <c r="I340" s="34"/>
      <c r="J340" s="9" t="s">
        <v>193</v>
      </c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</row>
    <row r="341" spans="1:28" ht="14.25" customHeight="1" x14ac:dyDescent="0.35">
      <c r="A341" s="12">
        <v>302737</v>
      </c>
      <c r="B341" s="59" t="str">
        <f>IFERROR(VLOOKUP(Tabla1[[#This Row],[CODIGO]],INVENTARIO!A:B,2,0)," ")</f>
        <v>Válvula Bola 3/4" Hi Un Cuerpo Pn5 Arco</v>
      </c>
      <c r="C341" s="12">
        <v>2</v>
      </c>
      <c r="D341" s="13"/>
      <c r="E341" s="12">
        <v>394</v>
      </c>
      <c r="F341" s="14">
        <v>46086</v>
      </c>
      <c r="G341" s="34"/>
      <c r="H341" s="34" t="s">
        <v>267</v>
      </c>
      <c r="I341" s="34"/>
      <c r="J341" s="9" t="s">
        <v>193</v>
      </c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</row>
    <row r="342" spans="1:28" ht="14.25" customHeight="1" x14ac:dyDescent="0.35">
      <c r="A342" s="12">
        <v>2008481</v>
      </c>
      <c r="B342" s="59" t="str">
        <f>IFERROR(VLOOKUP(Tabla1[[#This Row],[CODIGO]],INVENTARIO!A:B,2,0)," ")</f>
        <v>Tapa Tornillo Bronce 3/4" HE Bspt.</v>
      </c>
      <c r="C342" s="12">
        <v>2</v>
      </c>
      <c r="D342" s="13"/>
      <c r="E342" s="12">
        <v>394</v>
      </c>
      <c r="F342" s="14">
        <v>46086</v>
      </c>
      <c r="G342" s="34"/>
      <c r="H342" s="34" t="s">
        <v>267</v>
      </c>
      <c r="I342" s="34"/>
      <c r="J342" s="9" t="s">
        <v>193</v>
      </c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</row>
    <row r="343" spans="1:28" ht="14.25" customHeight="1" x14ac:dyDescent="0.35">
      <c r="A343" s="12">
        <v>303368</v>
      </c>
      <c r="B343" s="59" t="str">
        <f>IFERROR(VLOOKUP(Tabla1[[#This Row],[CODIGO]],INVENTARIO!A:B,2,0)," ")</f>
        <v>Cinta Plástica "Línea GN", 30 x 0.1</v>
      </c>
      <c r="C343" s="12">
        <v>200</v>
      </c>
      <c r="D343" s="13"/>
      <c r="E343" s="12">
        <v>394</v>
      </c>
      <c r="F343" s="14">
        <v>46086</v>
      </c>
      <c r="G343" s="34"/>
      <c r="H343" s="34" t="s">
        <v>267</v>
      </c>
      <c r="I343" s="34"/>
      <c r="J343" s="9" t="s">
        <v>193</v>
      </c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</row>
    <row r="344" spans="1:28" ht="14.25" customHeight="1" x14ac:dyDescent="0.35">
      <c r="A344" s="12">
        <v>1002167</v>
      </c>
      <c r="B344" s="59" t="str">
        <f>IFERROR(VLOOKUP(Tabla1[[#This Row],[CODIGO]],INVENTARIO!A:B,2,0)," ")</f>
        <v>Cable Trazador Cu 14 AWG Aisl. THW Roj</v>
      </c>
      <c r="C344" s="12">
        <v>200</v>
      </c>
      <c r="D344" s="13"/>
      <c r="E344" s="12">
        <v>394</v>
      </c>
      <c r="F344" s="14">
        <v>46086</v>
      </c>
      <c r="G344" s="34"/>
      <c r="H344" s="34" t="s">
        <v>267</v>
      </c>
      <c r="I344" s="34"/>
      <c r="J344" s="9" t="s">
        <v>193</v>
      </c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</row>
    <row r="345" spans="1:28" ht="14.25" customHeight="1" x14ac:dyDescent="0.35">
      <c r="A345" s="12">
        <v>2005136</v>
      </c>
      <c r="B345" s="59" t="str">
        <f>IFERROR(VLOOKUP(Tabla1[[#This Row],[CODIGO]],INVENTARIO!A:B,2,0)," ")</f>
        <v>Tubo PVC 160 mm PN6 CG Amarillo</v>
      </c>
      <c r="C345" s="12">
        <v>1</v>
      </c>
      <c r="D345" s="13"/>
      <c r="E345" s="12">
        <v>377</v>
      </c>
      <c r="F345" s="14">
        <v>46085</v>
      </c>
      <c r="G345" s="34"/>
      <c r="H345" s="34" t="s">
        <v>225</v>
      </c>
      <c r="I345" s="34"/>
      <c r="J345" s="9" t="s">
        <v>254</v>
      </c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</row>
    <row r="346" spans="1:28" ht="14.25" customHeight="1" x14ac:dyDescent="0.35">
      <c r="A346" s="12">
        <v>302065</v>
      </c>
      <c r="B346" s="59" t="str">
        <f>IFERROR(VLOOKUP(Tabla1[[#This Row],[CODIGO]],INVENTARIO!A:B,2,0)," ")</f>
        <v>Tubería PE80 110mm Tira</v>
      </c>
      <c r="C346" s="12">
        <v>18</v>
      </c>
      <c r="D346" s="13"/>
      <c r="E346" s="12">
        <v>385</v>
      </c>
      <c r="F346" s="14">
        <v>46086</v>
      </c>
      <c r="G346" s="34"/>
      <c r="H346" s="34" t="s">
        <v>225</v>
      </c>
      <c r="I346" s="34"/>
      <c r="J346" s="9" t="s">
        <v>254</v>
      </c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</row>
    <row r="347" spans="1:28" ht="14.25" customHeight="1" x14ac:dyDescent="0.35">
      <c r="A347" s="12">
        <v>302991</v>
      </c>
      <c r="B347" s="59" t="str">
        <f>IFERROR(VLOOKUP(Tabla1[[#This Row],[CODIGO]],INVENTARIO!A:B,2,0)," ")</f>
        <v>Copla PE100 110mm EF</v>
      </c>
      <c r="C347" s="12">
        <v>1</v>
      </c>
      <c r="D347" s="13"/>
      <c r="E347" s="12">
        <v>385</v>
      </c>
      <c r="F347" s="14">
        <v>46086</v>
      </c>
      <c r="G347" s="34"/>
      <c r="H347" s="34" t="s">
        <v>225</v>
      </c>
      <c r="I347" s="34"/>
      <c r="J347" s="9" t="s">
        <v>254</v>
      </c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</row>
    <row r="348" spans="1:28" ht="14.25" customHeight="1" x14ac:dyDescent="0.35">
      <c r="A348" s="12">
        <v>1002167</v>
      </c>
      <c r="B348" s="59" t="str">
        <f>IFERROR(VLOOKUP(Tabla1[[#This Row],[CODIGO]],INVENTARIO!A:B,2,0)," ")</f>
        <v>Cable Trazador Cu 14 AWG Aisl. THW Roj</v>
      </c>
      <c r="C348" s="12">
        <v>18</v>
      </c>
      <c r="D348" s="13"/>
      <c r="E348" s="12">
        <v>385</v>
      </c>
      <c r="F348" s="14">
        <v>46086</v>
      </c>
      <c r="G348" s="34"/>
      <c r="H348" s="34" t="s">
        <v>225</v>
      </c>
      <c r="I348" s="34"/>
      <c r="J348" s="9" t="s">
        <v>254</v>
      </c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</row>
    <row r="349" spans="1:28" ht="14.25" customHeight="1" x14ac:dyDescent="0.35">
      <c r="A349" s="12">
        <v>303368</v>
      </c>
      <c r="B349" s="59" t="str">
        <f>IFERROR(VLOOKUP(Tabla1[[#This Row],[CODIGO]],INVENTARIO!A:B,2,0)," ")</f>
        <v>Cinta Plástica "Línea GN", 30 x 0.1</v>
      </c>
      <c r="C349" s="12">
        <v>18</v>
      </c>
      <c r="D349" s="13"/>
      <c r="E349" s="12">
        <v>385</v>
      </c>
      <c r="F349" s="14">
        <v>46086</v>
      </c>
      <c r="G349" s="34"/>
      <c r="H349" s="34" t="s">
        <v>225</v>
      </c>
      <c r="I349" s="34"/>
      <c r="J349" s="9" t="s">
        <v>254</v>
      </c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</row>
    <row r="350" spans="1:28" ht="14.25" customHeight="1" x14ac:dyDescent="0.35">
      <c r="A350" s="12">
        <v>302065</v>
      </c>
      <c r="B350" s="59" t="str">
        <f>IFERROR(VLOOKUP(Tabla1[[#This Row],[CODIGO]],INVENTARIO!A:B,2,0)," ")</f>
        <v>Tubería PE80 110mm Tira</v>
      </c>
      <c r="C350" s="12">
        <v>72</v>
      </c>
      <c r="D350" s="13"/>
      <c r="E350" s="12">
        <v>386</v>
      </c>
      <c r="F350" s="14">
        <v>46086</v>
      </c>
      <c r="G350" s="34"/>
      <c r="H350" s="34" t="s">
        <v>314</v>
      </c>
      <c r="I350" s="34"/>
      <c r="J350" s="9" t="s">
        <v>274</v>
      </c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</row>
    <row r="351" spans="1:28" ht="14.25" customHeight="1" x14ac:dyDescent="0.35">
      <c r="A351" s="12">
        <v>303015</v>
      </c>
      <c r="B351" s="59" t="str">
        <f>IFERROR(VLOOKUP(Tabla1[[#This Row],[CODIGO]],INVENTARIO!A:B,2,0)," ")</f>
        <v>Tee PE 110 mm Electro F.</v>
      </c>
      <c r="C351" s="12">
        <v>1</v>
      </c>
      <c r="D351" s="13"/>
      <c r="E351" s="12">
        <v>386</v>
      </c>
      <c r="F351" s="14">
        <v>46086</v>
      </c>
      <c r="G351" s="34"/>
      <c r="H351" s="34" t="s">
        <v>314</v>
      </c>
      <c r="I351" s="34"/>
      <c r="J351" s="9" t="s">
        <v>274</v>
      </c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</row>
    <row r="352" spans="1:28" ht="14.25" customHeight="1" x14ac:dyDescent="0.35">
      <c r="A352" s="12">
        <v>1002167</v>
      </c>
      <c r="B352" s="59" t="str">
        <f>IFERROR(VLOOKUP(Tabla1[[#This Row],[CODIGO]],INVENTARIO!A:B,2,0)," ")</f>
        <v>Cable Trazador Cu 14 AWG Aisl. THW Roj</v>
      </c>
      <c r="C352" s="12">
        <v>100</v>
      </c>
      <c r="D352" s="13"/>
      <c r="E352" s="12">
        <v>386</v>
      </c>
      <c r="F352" s="14">
        <v>46086</v>
      </c>
      <c r="G352" s="34"/>
      <c r="H352" s="34" t="s">
        <v>314</v>
      </c>
      <c r="I352" s="34"/>
      <c r="J352" s="9" t="s">
        <v>274</v>
      </c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</row>
    <row r="353" spans="1:28" ht="14.25" customHeight="1" x14ac:dyDescent="0.35">
      <c r="A353" s="12">
        <v>101624</v>
      </c>
      <c r="B353" s="59" t="str">
        <f>IFERROR(VLOOKUP(Tabla1[[#This Row],[CODIGO]],INVENTARIO!A:B,2,0)," ")</f>
        <v>Tapping Tee PE 50-25 mm</v>
      </c>
      <c r="C353" s="12">
        <v>2</v>
      </c>
      <c r="D353" s="13"/>
      <c r="E353" s="12">
        <v>379</v>
      </c>
      <c r="F353" s="14">
        <v>46086</v>
      </c>
      <c r="G353" s="34"/>
      <c r="H353" s="34" t="s">
        <v>304</v>
      </c>
      <c r="I353" s="34"/>
      <c r="J353" s="9" t="s">
        <v>253</v>
      </c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</row>
    <row r="354" spans="1:28" ht="14.25" customHeight="1" x14ac:dyDescent="0.35">
      <c r="A354" s="12">
        <v>301099</v>
      </c>
      <c r="B354" s="59" t="str">
        <f>IFERROR(VLOOKUP(Tabla1[[#This Row],[CODIGO]],INVENTARIO!A:B,2,0)," ")</f>
        <v>Válvula PE100 Dn 25mm</v>
      </c>
      <c r="C354" s="12">
        <v>2</v>
      </c>
      <c r="D354" s="13"/>
      <c r="E354" s="12">
        <v>379</v>
      </c>
      <c r="F354" s="14">
        <v>46086</v>
      </c>
      <c r="G354" s="34"/>
      <c r="H354" s="34" t="s">
        <v>304</v>
      </c>
      <c r="I354" s="34"/>
      <c r="J354" s="9" t="s">
        <v>253</v>
      </c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</row>
    <row r="355" spans="1:28" ht="14.25" customHeight="1" x14ac:dyDescent="0.35">
      <c r="A355" s="12">
        <v>301329</v>
      </c>
      <c r="B355" s="59" t="str">
        <f>IFERROR(VLOOKUP(Tabla1[[#This Row],[CODIGO]],INVENTARIO!A:B,2,0)," ")</f>
        <v>Copla PE100 025mm EF</v>
      </c>
      <c r="C355" s="12">
        <v>8</v>
      </c>
      <c r="D355" s="13"/>
      <c r="E355" s="12">
        <v>379</v>
      </c>
      <c r="F355" s="14">
        <v>46086</v>
      </c>
      <c r="G355" s="34"/>
      <c r="H355" s="34" t="s">
        <v>304</v>
      </c>
      <c r="I355" s="34"/>
      <c r="J355" s="9" t="s">
        <v>253</v>
      </c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</row>
    <row r="356" spans="1:28" ht="14.25" customHeight="1" x14ac:dyDescent="0.35">
      <c r="A356" s="12">
        <v>300109</v>
      </c>
      <c r="B356" s="59" t="str">
        <f>IFERROR(VLOOKUP(Tabla1[[#This Row],[CODIGO]],INVENTARIO!A:B,2,0)," ")</f>
        <v>Risers de Acero 3/4" Bsp x 25 mm</v>
      </c>
      <c r="C356" s="12">
        <v>2</v>
      </c>
      <c r="D356" s="13"/>
      <c r="E356" s="12">
        <v>379</v>
      </c>
      <c r="F356" s="14">
        <v>46086</v>
      </c>
      <c r="G356" s="34"/>
      <c r="H356" s="34" t="s">
        <v>304</v>
      </c>
      <c r="I356" s="34"/>
      <c r="J356" s="9" t="s">
        <v>253</v>
      </c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</row>
    <row r="357" spans="1:28" ht="14.25" customHeight="1" x14ac:dyDescent="0.35">
      <c r="A357" s="12">
        <v>2003911</v>
      </c>
      <c r="B357" s="59" t="str">
        <f>IFERROR(VLOOKUP(Tabla1[[#This Row],[CODIGO]],INVENTARIO!A:B,2,0)," ")</f>
        <v>Válvula EFv PE 25 mm Para Tap. Tee</v>
      </c>
      <c r="C357" s="12">
        <v>2</v>
      </c>
      <c r="D357" s="13"/>
      <c r="E357" s="12">
        <v>379</v>
      </c>
      <c r="F357" s="14">
        <v>46086</v>
      </c>
      <c r="G357" s="34"/>
      <c r="H357" s="34" t="s">
        <v>304</v>
      </c>
      <c r="I357" s="34"/>
      <c r="J357" s="9" t="s">
        <v>253</v>
      </c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</row>
    <row r="358" spans="1:28" ht="14.25" customHeight="1" x14ac:dyDescent="0.35">
      <c r="A358" s="12">
        <v>101624</v>
      </c>
      <c r="B358" s="59" t="str">
        <f>IFERROR(VLOOKUP(Tabla1[[#This Row],[CODIGO]],INVENTARIO!A:B,2,0)," ")</f>
        <v>Tapping Tee PE 50-25 mm</v>
      </c>
      <c r="C358" s="12">
        <v>2</v>
      </c>
      <c r="D358" s="13"/>
      <c r="E358" s="12">
        <v>379</v>
      </c>
      <c r="F358" s="14">
        <v>46086</v>
      </c>
      <c r="G358" s="34"/>
      <c r="H358" s="34" t="s">
        <v>304</v>
      </c>
      <c r="I358" s="34"/>
      <c r="J358" s="9" t="s">
        <v>253</v>
      </c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</row>
    <row r="359" spans="1:28" ht="14.25" customHeight="1" x14ac:dyDescent="0.35">
      <c r="A359" s="12">
        <v>301099</v>
      </c>
      <c r="B359" s="59" t="str">
        <f>IFERROR(VLOOKUP(Tabla1[[#This Row],[CODIGO]],INVENTARIO!A:B,2,0)," ")</f>
        <v>Válvula PE100 Dn 25mm</v>
      </c>
      <c r="C359" s="12">
        <v>2</v>
      </c>
      <c r="D359" s="13"/>
      <c r="E359" s="12">
        <v>379</v>
      </c>
      <c r="F359" s="14">
        <v>46086</v>
      </c>
      <c r="G359" s="34"/>
      <c r="H359" s="34" t="s">
        <v>304</v>
      </c>
      <c r="I359" s="34"/>
      <c r="J359" s="9" t="s">
        <v>253</v>
      </c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</row>
    <row r="360" spans="1:28" ht="14.25" customHeight="1" x14ac:dyDescent="0.35">
      <c r="A360" s="12">
        <v>301329</v>
      </c>
      <c r="B360" s="59" t="str">
        <f>IFERROR(VLOOKUP(Tabla1[[#This Row],[CODIGO]],INVENTARIO!A:B,2,0)," ")</f>
        <v>Copla PE100 025mm EF</v>
      </c>
      <c r="C360" s="12">
        <v>8</v>
      </c>
      <c r="D360" s="13"/>
      <c r="E360" s="12">
        <v>379</v>
      </c>
      <c r="F360" s="14">
        <v>46086</v>
      </c>
      <c r="G360" s="34"/>
      <c r="H360" s="34" t="s">
        <v>304</v>
      </c>
      <c r="I360" s="34"/>
      <c r="J360" s="9" t="s">
        <v>253</v>
      </c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</row>
    <row r="361" spans="1:28" ht="14.25" customHeight="1" x14ac:dyDescent="0.35">
      <c r="A361" s="12">
        <v>300109</v>
      </c>
      <c r="B361" s="59" t="str">
        <f>IFERROR(VLOOKUP(Tabla1[[#This Row],[CODIGO]],INVENTARIO!A:B,2,0)," ")</f>
        <v>Risers de Acero 3/4" Bsp x 25 mm</v>
      </c>
      <c r="C361" s="12">
        <v>2</v>
      </c>
      <c r="D361" s="13"/>
      <c r="E361" s="12">
        <v>379</v>
      </c>
      <c r="F361" s="14">
        <v>46086</v>
      </c>
      <c r="G361" s="34"/>
      <c r="H361" s="34" t="s">
        <v>304</v>
      </c>
      <c r="I361" s="34"/>
      <c r="J361" s="9" t="s">
        <v>253</v>
      </c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</row>
    <row r="362" spans="1:28" ht="14.25" customHeight="1" x14ac:dyDescent="0.35">
      <c r="A362" s="12">
        <v>2003911</v>
      </c>
      <c r="B362" s="59" t="str">
        <f>IFERROR(VLOOKUP(Tabla1[[#This Row],[CODIGO]],INVENTARIO!A:B,2,0)," ")</f>
        <v>Válvula EFv PE 25 mm Para Tap. Tee</v>
      </c>
      <c r="C362" s="12">
        <v>2</v>
      </c>
      <c r="D362" s="13"/>
      <c r="E362" s="12">
        <v>379</v>
      </c>
      <c r="F362" s="14">
        <v>46086</v>
      </c>
      <c r="G362" s="34"/>
      <c r="H362" s="34" t="s">
        <v>304</v>
      </c>
      <c r="I362" s="34"/>
      <c r="J362" s="9" t="s">
        <v>253</v>
      </c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</row>
    <row r="363" spans="1:28" ht="14.25" customHeight="1" x14ac:dyDescent="0.35">
      <c r="A363" s="12">
        <v>301749</v>
      </c>
      <c r="B363" s="59" t="str">
        <f>IFERROR(VLOOKUP(Tabla1[[#This Row],[CODIGO]],INVENTARIO!A:B,2,0)," ")</f>
        <v>Tubería PE80 025mm Rollo</v>
      </c>
      <c r="C363" s="12">
        <v>21</v>
      </c>
      <c r="D363" s="13"/>
      <c r="E363" s="12">
        <v>379</v>
      </c>
      <c r="F363" s="14">
        <v>46086</v>
      </c>
      <c r="G363" s="34"/>
      <c r="H363" s="34" t="s">
        <v>304</v>
      </c>
      <c r="I363" s="34"/>
      <c r="J363" s="9" t="s">
        <v>253</v>
      </c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</row>
    <row r="364" spans="1:28" ht="14.25" customHeight="1" x14ac:dyDescent="0.35">
      <c r="A364" s="12">
        <v>2006391</v>
      </c>
      <c r="B364" s="59" t="str">
        <f>IFERROR(VLOOKUP(Tabla1[[#This Row],[CODIGO]],INVENTARIO!A:B,2,0)," ")</f>
        <v>Guardallave Fierro Fundido C/Tapa</v>
      </c>
      <c r="C364" s="12">
        <v>4</v>
      </c>
      <c r="D364" s="13"/>
      <c r="E364" s="12">
        <v>379</v>
      </c>
      <c r="F364" s="14">
        <v>46086</v>
      </c>
      <c r="G364" s="34"/>
      <c r="H364" s="34" t="s">
        <v>304</v>
      </c>
      <c r="I364" s="34"/>
      <c r="J364" s="9" t="s">
        <v>253</v>
      </c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</row>
    <row r="365" spans="1:28" ht="14.25" customHeight="1" x14ac:dyDescent="0.35">
      <c r="A365" s="12">
        <v>302737</v>
      </c>
      <c r="B365" s="59" t="str">
        <f>IFERROR(VLOOKUP(Tabla1[[#This Row],[CODIGO]],INVENTARIO!A:B,2,0)," ")</f>
        <v>Válvula Bola 3/4" Hi Un Cuerpo Pn5 Arco</v>
      </c>
      <c r="C365" s="12">
        <v>4</v>
      </c>
      <c r="D365" s="13"/>
      <c r="E365" s="12">
        <v>379</v>
      </c>
      <c r="F365" s="14">
        <v>46086</v>
      </c>
      <c r="G365" s="34"/>
      <c r="H365" s="34" t="s">
        <v>304</v>
      </c>
      <c r="I365" s="34"/>
      <c r="J365" s="9" t="s">
        <v>253</v>
      </c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</row>
    <row r="366" spans="1:28" ht="14.25" customHeight="1" x14ac:dyDescent="0.35">
      <c r="A366" s="12">
        <v>302184</v>
      </c>
      <c r="B366" s="59" t="str">
        <f>IFERROR(VLOOKUP(Tabla1[[#This Row],[CODIGO]],INVENTARIO!A:B,2,0)," ")</f>
        <v>Tapa Tornillo Cambio de Codigo por: 2008481</v>
      </c>
      <c r="C366" s="12">
        <v>4</v>
      </c>
      <c r="D366" s="13"/>
      <c r="E366" s="12">
        <v>379</v>
      </c>
      <c r="F366" s="14">
        <v>46086</v>
      </c>
      <c r="G366" s="34"/>
      <c r="H366" s="34" t="s">
        <v>304</v>
      </c>
      <c r="I366" s="34"/>
      <c r="J366" s="9" t="s">
        <v>253</v>
      </c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</row>
    <row r="367" spans="1:28" ht="14.25" customHeight="1" x14ac:dyDescent="0.35">
      <c r="A367" s="12">
        <v>303368</v>
      </c>
      <c r="B367" s="59" t="str">
        <f>IFERROR(VLOOKUP(Tabla1[[#This Row],[CODIGO]],INVENTARIO!A:B,2,0)," ")</f>
        <v>Cinta Plástica "Línea GN", 30 x 0.1</v>
      </c>
      <c r="C367" s="12">
        <v>21</v>
      </c>
      <c r="D367" s="13"/>
      <c r="E367" s="12">
        <v>379</v>
      </c>
      <c r="F367" s="14">
        <v>46086</v>
      </c>
      <c r="G367" s="34"/>
      <c r="H367" s="34" t="s">
        <v>304</v>
      </c>
      <c r="I367" s="34"/>
      <c r="J367" s="9" t="s">
        <v>253</v>
      </c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</row>
    <row r="368" spans="1:28" ht="14.25" customHeight="1" x14ac:dyDescent="0.35">
      <c r="A368" s="12">
        <v>2007948</v>
      </c>
      <c r="B368" s="59" t="str">
        <f>IFERROR(VLOOKUP(Tabla1[[#This Row],[CODIGO]],INVENTARIO!A:B,2,0)," ")</f>
        <v>Tubo PVC Hidraulico 110 mm Pn6 Celeste</v>
      </c>
      <c r="C368" s="12">
        <v>4</v>
      </c>
      <c r="D368" s="13"/>
      <c r="E368" s="12">
        <v>379</v>
      </c>
      <c r="F368" s="14">
        <v>46086</v>
      </c>
      <c r="G368" s="34"/>
      <c r="H368" s="34" t="s">
        <v>304</v>
      </c>
      <c r="I368" s="34"/>
      <c r="J368" s="9" t="s">
        <v>253</v>
      </c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</row>
    <row r="369" spans="1:28" ht="14.25" customHeight="1" x14ac:dyDescent="0.35">
      <c r="A369" s="12">
        <v>1000720</v>
      </c>
      <c r="B369" s="59" t="str">
        <f>IFERROR(VLOOKUP(Tabla1[[#This Row],[CODIGO]],INVENTARIO!A:B,2,0)," ")</f>
        <v>Teflón en Cinta de 3/4" Ancho x 520" a 5</v>
      </c>
      <c r="C369" s="12">
        <v>2</v>
      </c>
      <c r="D369" s="13"/>
      <c r="E369" s="12">
        <v>379</v>
      </c>
      <c r="F369" s="14">
        <v>46086</v>
      </c>
      <c r="G369" s="34"/>
      <c r="H369" s="34" t="s">
        <v>304</v>
      </c>
      <c r="I369" s="34"/>
      <c r="J369" s="9" t="s">
        <v>253</v>
      </c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</row>
    <row r="370" spans="1:28" ht="14.25" customHeight="1" x14ac:dyDescent="0.35">
      <c r="A370" s="12">
        <v>301666</v>
      </c>
      <c r="B370" s="59" t="str">
        <f>IFERROR(VLOOKUP(Tabla1[[#This Row],[CODIGO]],INVENTARIO!A:B,2,0)," ")</f>
        <v>Tapping Tee PE 110-25 mm</v>
      </c>
      <c r="C370" s="12">
        <v>1</v>
      </c>
      <c r="D370" s="13"/>
      <c r="E370" s="12">
        <v>382</v>
      </c>
      <c r="F370" s="14">
        <v>46086</v>
      </c>
      <c r="G370" s="34"/>
      <c r="H370" s="34" t="s">
        <v>354</v>
      </c>
      <c r="I370" s="34"/>
      <c r="J370" s="9" t="s">
        <v>261</v>
      </c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</row>
    <row r="371" spans="1:28" ht="14.25" customHeight="1" x14ac:dyDescent="0.35">
      <c r="A371" s="12">
        <v>301329</v>
      </c>
      <c r="B371" s="59" t="str">
        <f>IFERROR(VLOOKUP(Tabla1[[#This Row],[CODIGO]],INVENTARIO!A:B,2,0)," ")</f>
        <v>Copla PE100 025mm EF</v>
      </c>
      <c r="C371" s="12">
        <v>4</v>
      </c>
      <c r="D371" s="13"/>
      <c r="E371" s="12">
        <v>382</v>
      </c>
      <c r="F371" s="14">
        <v>46086</v>
      </c>
      <c r="G371" s="34"/>
      <c r="H371" s="34" t="s">
        <v>354</v>
      </c>
      <c r="I371" s="34"/>
      <c r="J371" s="9" t="s">
        <v>261</v>
      </c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</row>
    <row r="372" spans="1:28" ht="14.25" customHeight="1" x14ac:dyDescent="0.35">
      <c r="A372" s="12">
        <v>301099</v>
      </c>
      <c r="B372" s="59" t="str">
        <f>IFERROR(VLOOKUP(Tabla1[[#This Row],[CODIGO]],INVENTARIO!A:B,2,0)," ")</f>
        <v>Válvula PE100 Dn 25mm</v>
      </c>
      <c r="C372" s="12">
        <v>1</v>
      </c>
      <c r="D372" s="13"/>
      <c r="E372" s="12">
        <v>382</v>
      </c>
      <c r="F372" s="14">
        <v>46086</v>
      </c>
      <c r="G372" s="34"/>
      <c r="H372" s="34" t="s">
        <v>354</v>
      </c>
      <c r="I372" s="34"/>
      <c r="J372" s="9" t="s">
        <v>261</v>
      </c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</row>
    <row r="373" spans="1:28" ht="14.25" customHeight="1" x14ac:dyDescent="0.35">
      <c r="A373" s="12">
        <v>300109</v>
      </c>
      <c r="B373" s="59" t="str">
        <f>IFERROR(VLOOKUP(Tabla1[[#This Row],[CODIGO]],INVENTARIO!A:B,2,0)," ")</f>
        <v>Risers de Acero 3/4" Bsp x 25 mm</v>
      </c>
      <c r="C373" s="12">
        <v>1</v>
      </c>
      <c r="D373" s="13"/>
      <c r="E373" s="12">
        <v>382</v>
      </c>
      <c r="F373" s="14">
        <v>46086</v>
      </c>
      <c r="G373" s="34"/>
      <c r="H373" s="34" t="s">
        <v>354</v>
      </c>
      <c r="I373" s="34"/>
      <c r="J373" s="9" t="s">
        <v>261</v>
      </c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</row>
    <row r="374" spans="1:28" ht="14.25" customHeight="1" x14ac:dyDescent="0.35">
      <c r="A374" s="12">
        <v>301749</v>
      </c>
      <c r="B374" s="59" t="str">
        <f>IFERROR(VLOOKUP(Tabla1[[#This Row],[CODIGO]],INVENTARIO!A:B,2,0)," ")</f>
        <v>Tubería PE80 025mm Rollo</v>
      </c>
      <c r="C374" s="12">
        <v>4</v>
      </c>
      <c r="D374" s="13"/>
      <c r="E374" s="12">
        <v>382</v>
      </c>
      <c r="F374" s="14">
        <v>46086</v>
      </c>
      <c r="G374" s="34"/>
      <c r="H374" s="34" t="s">
        <v>354</v>
      </c>
      <c r="I374" s="34"/>
      <c r="J374" s="9" t="s">
        <v>261</v>
      </c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</row>
    <row r="375" spans="1:28" ht="14.25" customHeight="1" x14ac:dyDescent="0.35">
      <c r="A375" s="12">
        <v>2006391</v>
      </c>
      <c r="B375" s="59" t="str">
        <f>IFERROR(VLOOKUP(Tabla1[[#This Row],[CODIGO]],INVENTARIO!A:B,2,0)," ")</f>
        <v>Guardallave Fierro Fundido C/Tapa</v>
      </c>
      <c r="C375" s="12">
        <v>1</v>
      </c>
      <c r="D375" s="13"/>
      <c r="E375" s="12">
        <v>382</v>
      </c>
      <c r="F375" s="14">
        <v>46086</v>
      </c>
      <c r="G375" s="34"/>
      <c r="H375" s="34" t="s">
        <v>354</v>
      </c>
      <c r="I375" s="34"/>
      <c r="J375" s="9" t="s">
        <v>261</v>
      </c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</row>
    <row r="376" spans="1:28" ht="14.25" customHeight="1" x14ac:dyDescent="0.35">
      <c r="A376" s="12">
        <v>2007948</v>
      </c>
      <c r="B376" s="59" t="str">
        <f>IFERROR(VLOOKUP(Tabla1[[#This Row],[CODIGO]],INVENTARIO!A:B,2,0)," ")</f>
        <v>Tubo PVC Hidraulico 110 mm Pn6 Celeste</v>
      </c>
      <c r="C376" s="12">
        <v>1</v>
      </c>
      <c r="D376" s="13"/>
      <c r="E376" s="12">
        <v>382</v>
      </c>
      <c r="F376" s="14">
        <v>46086</v>
      </c>
      <c r="G376" s="34"/>
      <c r="H376" s="34" t="s">
        <v>354</v>
      </c>
      <c r="I376" s="34"/>
      <c r="J376" s="9" t="s">
        <v>261</v>
      </c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</row>
    <row r="377" spans="1:28" ht="14.25" customHeight="1" x14ac:dyDescent="0.35">
      <c r="A377" s="12">
        <v>302737</v>
      </c>
      <c r="B377" s="59" t="str">
        <f>IFERROR(VLOOKUP(Tabla1[[#This Row],[CODIGO]],INVENTARIO!A:B,2,0)," ")</f>
        <v>Válvula Bola 3/4" Hi Un Cuerpo Pn5 Arco</v>
      </c>
      <c r="C377" s="12">
        <v>1</v>
      </c>
      <c r="D377" s="13"/>
      <c r="E377" s="12">
        <v>382</v>
      </c>
      <c r="F377" s="14">
        <v>46086</v>
      </c>
      <c r="G377" s="34"/>
      <c r="H377" s="34" t="s">
        <v>354</v>
      </c>
      <c r="I377" s="34"/>
      <c r="J377" s="9" t="s">
        <v>261</v>
      </c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</row>
    <row r="378" spans="1:28" ht="14.25" customHeight="1" x14ac:dyDescent="0.35">
      <c r="A378" s="12">
        <v>302184</v>
      </c>
      <c r="B378" s="59" t="str">
        <f>IFERROR(VLOOKUP(Tabla1[[#This Row],[CODIGO]],INVENTARIO!A:B,2,0)," ")</f>
        <v>Tapa Tornillo Cambio de Codigo por: 2008481</v>
      </c>
      <c r="C378" s="12">
        <v>1</v>
      </c>
      <c r="D378" s="13"/>
      <c r="E378" s="12">
        <v>382</v>
      </c>
      <c r="F378" s="14">
        <v>46086</v>
      </c>
      <c r="G378" s="34"/>
      <c r="H378" s="34" t="s">
        <v>354</v>
      </c>
      <c r="I378" s="34"/>
      <c r="J378" s="9" t="s">
        <v>261</v>
      </c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</row>
    <row r="379" spans="1:28" ht="14.25" customHeight="1" x14ac:dyDescent="0.35">
      <c r="A379" s="12">
        <v>303368</v>
      </c>
      <c r="B379" s="59" t="str">
        <f>IFERROR(VLOOKUP(Tabla1[[#This Row],[CODIGO]],INVENTARIO!A:B,2,0)," ")</f>
        <v>Cinta Plástica "Línea GN", 30 x 0.1</v>
      </c>
      <c r="C379" s="12">
        <v>4</v>
      </c>
      <c r="D379" s="13"/>
      <c r="E379" s="12">
        <v>382</v>
      </c>
      <c r="F379" s="14">
        <v>46086</v>
      </c>
      <c r="G379" s="34"/>
      <c r="H379" s="34" t="s">
        <v>354</v>
      </c>
      <c r="I379" s="34"/>
      <c r="J379" s="9" t="s">
        <v>261</v>
      </c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</row>
    <row r="380" spans="1:28" ht="14.25" customHeight="1" x14ac:dyDescent="0.35">
      <c r="A380" s="12">
        <v>1002167</v>
      </c>
      <c r="B380" s="59" t="str">
        <f>IFERROR(VLOOKUP(Tabla1[[#This Row],[CODIGO]],INVENTARIO!A:B,2,0)," ")</f>
        <v>Cable Trazador Cu 14 AWG Aisl. THW Roj</v>
      </c>
      <c r="C380" s="12">
        <v>4</v>
      </c>
      <c r="D380" s="13"/>
      <c r="E380" s="12">
        <v>382</v>
      </c>
      <c r="F380" s="14">
        <v>46086</v>
      </c>
      <c r="G380" s="34"/>
      <c r="H380" s="34" t="s">
        <v>354</v>
      </c>
      <c r="I380" s="34"/>
      <c r="J380" s="9" t="s">
        <v>261</v>
      </c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</row>
    <row r="381" spans="1:28" ht="14.25" customHeight="1" x14ac:dyDescent="0.35">
      <c r="A381" s="12">
        <v>2000350</v>
      </c>
      <c r="B381" s="59" t="str">
        <f>IFERROR(VLOOKUP(Tabla1[[#This Row],[CODIGO]],INVENTARIO!A:B,2,0)," ")</f>
        <v>Codo PE 90º  25 mm EF.</v>
      </c>
      <c r="C381" s="12">
        <v>1</v>
      </c>
      <c r="D381" s="13"/>
      <c r="E381" s="12">
        <v>382</v>
      </c>
      <c r="F381" s="14">
        <v>46086</v>
      </c>
      <c r="G381" s="34"/>
      <c r="H381" s="34" t="s">
        <v>354</v>
      </c>
      <c r="I381" s="34"/>
      <c r="J381" s="9" t="s">
        <v>261</v>
      </c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</row>
    <row r="382" spans="1:28" ht="14.25" customHeight="1" x14ac:dyDescent="0.35">
      <c r="A382" s="12">
        <v>1000720</v>
      </c>
      <c r="B382" s="59" t="str">
        <f>IFERROR(VLOOKUP(Tabla1[[#This Row],[CODIGO]],INVENTARIO!A:B,2,0)," ")</f>
        <v>Teflón en Cinta de 3/4" Ancho x 520" a 5</v>
      </c>
      <c r="C382" s="12">
        <v>1</v>
      </c>
      <c r="D382" s="13"/>
      <c r="E382" s="12">
        <v>382</v>
      </c>
      <c r="F382" s="14">
        <v>46086</v>
      </c>
      <c r="G382" s="34"/>
      <c r="H382" s="34" t="s">
        <v>354</v>
      </c>
      <c r="I382" s="34"/>
      <c r="J382" s="9" t="s">
        <v>261</v>
      </c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</row>
    <row r="383" spans="1:28" ht="14.25" customHeight="1" x14ac:dyDescent="0.35">
      <c r="A383" s="12">
        <v>2003131</v>
      </c>
      <c r="B383" s="59" t="str">
        <f>IFERROR(VLOOKUP(Tabla1[[#This Row],[CODIGO]],INVENTARIO!A:B,2,0)," ")</f>
        <v>Tapping Tee PE 50-40 mm</v>
      </c>
      <c r="C383" s="12">
        <v>1</v>
      </c>
      <c r="D383" s="13"/>
      <c r="E383" s="12">
        <v>991</v>
      </c>
      <c r="F383" s="14">
        <v>46086</v>
      </c>
      <c r="G383" s="34"/>
      <c r="H383" s="34" t="s">
        <v>287</v>
      </c>
      <c r="I383" s="34"/>
      <c r="J383" s="9" t="s">
        <v>344</v>
      </c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</row>
    <row r="384" spans="1:28" ht="14.25" customHeight="1" x14ac:dyDescent="0.35">
      <c r="A384" s="12">
        <v>303362</v>
      </c>
      <c r="B384" s="59" t="str">
        <f>IFERROR(VLOOKUP(Tabla1[[#This Row],[CODIGO]],INVENTARIO!A:B,2,0)," ")</f>
        <v>Reductor PE  50-40 mm Electro F.</v>
      </c>
      <c r="C384" s="12">
        <v>1</v>
      </c>
      <c r="D384" s="13"/>
      <c r="E384" s="12">
        <v>991</v>
      </c>
      <c r="F384" s="14">
        <v>46086</v>
      </c>
      <c r="G384" s="34"/>
      <c r="H384" s="34" t="s">
        <v>287</v>
      </c>
      <c r="I384" s="34"/>
      <c r="J384" s="9" t="s">
        <v>344</v>
      </c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</row>
    <row r="385" spans="1:28" ht="14.25" customHeight="1" x14ac:dyDescent="0.35">
      <c r="A385" s="12">
        <v>303345</v>
      </c>
      <c r="B385" s="59" t="str">
        <f>IFERROR(VLOOKUP(Tabla1[[#This Row],[CODIGO]],INVENTARIO!A:B,2,0)," ")</f>
        <v>Copla PE100 050mm EF</v>
      </c>
      <c r="C385" s="12">
        <v>3</v>
      </c>
      <c r="D385" s="13"/>
      <c r="E385" s="12">
        <v>991</v>
      </c>
      <c r="F385" s="14">
        <v>46086</v>
      </c>
      <c r="G385" s="34"/>
      <c r="H385" s="34" t="s">
        <v>287</v>
      </c>
      <c r="I385" s="34"/>
      <c r="J385" s="9" t="s">
        <v>344</v>
      </c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</row>
    <row r="386" spans="1:28" ht="14.25" customHeight="1" x14ac:dyDescent="0.35">
      <c r="A386" s="12">
        <v>300414</v>
      </c>
      <c r="B386" s="59" t="str">
        <f>IFERROR(VLOOKUP(Tabla1[[#This Row],[CODIGO]],INVENTARIO!A:B,2,0)," ")</f>
        <v>Válvula PE100 Dn 50mm</v>
      </c>
      <c r="C386" s="12">
        <v>1</v>
      </c>
      <c r="D386" s="13"/>
      <c r="E386" s="12">
        <v>991</v>
      </c>
      <c r="F386" s="14">
        <v>46086</v>
      </c>
      <c r="G386" s="34"/>
      <c r="H386" s="34" t="s">
        <v>287</v>
      </c>
      <c r="I386" s="34"/>
      <c r="J386" s="9" t="s">
        <v>344</v>
      </c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</row>
    <row r="387" spans="1:28" ht="14.25" customHeight="1" x14ac:dyDescent="0.35">
      <c r="A387" s="12">
        <v>302992</v>
      </c>
      <c r="B387" s="59" t="str">
        <f>IFERROR(VLOOKUP(Tabla1[[#This Row],[CODIGO]],INVENTARIO!A:B,2,0)," ")</f>
        <v>Codo PE100 90° 050mm EF</v>
      </c>
      <c r="C387" s="12">
        <v>2</v>
      </c>
      <c r="D387" s="13"/>
      <c r="E387" s="12">
        <v>991</v>
      </c>
      <c r="F387" s="14">
        <v>46086</v>
      </c>
      <c r="G387" s="34"/>
      <c r="H387" s="34" t="s">
        <v>287</v>
      </c>
      <c r="I387" s="34"/>
      <c r="J387" s="9" t="s">
        <v>344</v>
      </c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</row>
    <row r="388" spans="1:28" ht="14.25" customHeight="1" x14ac:dyDescent="0.35">
      <c r="A388" s="12">
        <v>301327</v>
      </c>
      <c r="B388" s="59" t="str">
        <f>IFERROR(VLOOKUP(Tabla1[[#This Row],[CODIGO]],INVENTARIO!A:B,2,0)," ")</f>
        <v>Tapa PE  050 mm Termo F.</v>
      </c>
      <c r="C388" s="12">
        <v>1</v>
      </c>
      <c r="D388" s="13"/>
      <c r="E388" s="12">
        <v>991</v>
      </c>
      <c r="F388" s="14">
        <v>46086</v>
      </c>
      <c r="G388" s="34"/>
      <c r="H388" s="34" t="s">
        <v>287</v>
      </c>
      <c r="I388" s="34"/>
      <c r="J388" s="9" t="s">
        <v>344</v>
      </c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</row>
    <row r="389" spans="1:28" ht="14.25" customHeight="1" x14ac:dyDescent="0.35">
      <c r="A389" s="12">
        <v>303362</v>
      </c>
      <c r="B389" s="59" t="str">
        <f>IFERROR(VLOOKUP(Tabla1[[#This Row],[CODIGO]],INVENTARIO!A:B,2,0)," ")</f>
        <v>Reductor PE  50-40 mm Electro F.</v>
      </c>
      <c r="C389" s="12">
        <v>1</v>
      </c>
      <c r="D389" s="13"/>
      <c r="E389" s="12">
        <v>991</v>
      </c>
      <c r="F389" s="14">
        <v>46086</v>
      </c>
      <c r="G389" s="34"/>
      <c r="H389" s="34" t="s">
        <v>287</v>
      </c>
      <c r="I389" s="34"/>
      <c r="J389" s="9" t="s">
        <v>344</v>
      </c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</row>
    <row r="390" spans="1:28" ht="14.25" customHeight="1" x14ac:dyDescent="0.35">
      <c r="A390" s="12">
        <v>2002453</v>
      </c>
      <c r="B390" s="59" t="str">
        <f>IFERROR(VLOOKUP(Tabla1[[#This Row],[CODIGO]],INVENTARIO!A:B,2,0)," ")</f>
        <v>MRP-120-(4/1,2)-(S)-2</v>
      </c>
      <c r="C390" s="12">
        <v>1</v>
      </c>
      <c r="D390" s="13"/>
      <c r="E390" s="12">
        <v>991</v>
      </c>
      <c r="F390" s="14">
        <v>46086</v>
      </c>
      <c r="G390" s="34"/>
      <c r="H390" s="34" t="s">
        <v>287</v>
      </c>
      <c r="I390" s="34"/>
      <c r="J390" s="9" t="s">
        <v>344</v>
      </c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</row>
    <row r="391" spans="1:28" ht="14.25" customHeight="1" x14ac:dyDescent="0.35">
      <c r="A391" s="12">
        <v>303368</v>
      </c>
      <c r="B391" s="59" t="str">
        <f>IFERROR(VLOOKUP(Tabla1[[#This Row],[CODIGO]],INVENTARIO!A:B,2,0)," ")</f>
        <v>Cinta Plástica "Línea GN", 30 x 0.1</v>
      </c>
      <c r="C391" s="12">
        <v>3</v>
      </c>
      <c r="D391" s="13"/>
      <c r="E391" s="12">
        <v>991</v>
      </c>
      <c r="F391" s="14">
        <v>46086</v>
      </c>
      <c r="G391" s="34"/>
      <c r="H391" s="34" t="s">
        <v>287</v>
      </c>
      <c r="I391" s="34"/>
      <c r="J391" s="9" t="s">
        <v>344</v>
      </c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</row>
    <row r="392" spans="1:28" ht="14.25" customHeight="1" x14ac:dyDescent="0.35">
      <c r="A392" s="12">
        <v>2002262</v>
      </c>
      <c r="B392" s="59" t="str">
        <f>IFERROR(VLOOKUP(Tabla1[[#This Row],[CODIGO]],INVENTARIO!A:B,2,0)," ")</f>
        <v>Tubería PE80 050mm Rollo</v>
      </c>
      <c r="C392" s="12">
        <v>3</v>
      </c>
      <c r="D392" s="13"/>
      <c r="E392" s="12">
        <v>991</v>
      </c>
      <c r="F392" s="14">
        <v>46086</v>
      </c>
      <c r="G392" s="34"/>
      <c r="H392" s="34" t="s">
        <v>287</v>
      </c>
      <c r="I392" s="34"/>
      <c r="J392" s="9" t="s">
        <v>344</v>
      </c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</row>
    <row r="393" spans="1:28" ht="14.25" customHeight="1" x14ac:dyDescent="0.35">
      <c r="A393" s="12">
        <v>2007948</v>
      </c>
      <c r="B393" s="59" t="str">
        <f>IFERROR(VLOOKUP(Tabla1[[#This Row],[CODIGO]],INVENTARIO!A:B,2,0)," ")</f>
        <v>Tubo PVC Hidraulico 110 mm Pn6 Celeste</v>
      </c>
      <c r="C393" s="12">
        <v>1</v>
      </c>
      <c r="D393" s="13"/>
      <c r="E393" s="12">
        <v>991</v>
      </c>
      <c r="F393" s="14">
        <v>46086</v>
      </c>
      <c r="G393" s="34"/>
      <c r="H393" s="34" t="s">
        <v>287</v>
      </c>
      <c r="I393" s="34"/>
      <c r="J393" s="9" t="s">
        <v>344</v>
      </c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</row>
    <row r="394" spans="1:28" ht="14.25" customHeight="1" x14ac:dyDescent="0.35">
      <c r="A394" s="12">
        <v>1002167</v>
      </c>
      <c r="B394" s="59" t="str">
        <f>IFERROR(VLOOKUP(Tabla1[[#This Row],[CODIGO]],INVENTARIO!A:B,2,0)," ")</f>
        <v>Cable Trazador Cu 14 AWG Aisl. THW Roj</v>
      </c>
      <c r="C394" s="12">
        <v>3</v>
      </c>
      <c r="D394" s="13"/>
      <c r="E394" s="12">
        <v>991</v>
      </c>
      <c r="F394" s="14">
        <v>46086</v>
      </c>
      <c r="G394" s="34"/>
      <c r="H394" s="34" t="s">
        <v>287</v>
      </c>
      <c r="I394" s="34"/>
      <c r="J394" s="9" t="s">
        <v>344</v>
      </c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</row>
    <row r="395" spans="1:28" ht="14.25" customHeight="1" x14ac:dyDescent="0.35">
      <c r="A395" s="9" t="s">
        <v>292</v>
      </c>
      <c r="B395" s="59" t="str">
        <f>IFERROR(VLOOKUP(Tabla1[[#This Row],[CODIGO]],INVENTARIO!A:B,2,0)," ")</f>
        <v>Toalla Nova Clasica</v>
      </c>
      <c r="C395" s="12">
        <v>1</v>
      </c>
      <c r="D395" s="13"/>
      <c r="E395" s="12">
        <v>389</v>
      </c>
      <c r="F395" s="14">
        <v>46086</v>
      </c>
      <c r="G395" s="34"/>
      <c r="H395" s="34" t="s">
        <v>338</v>
      </c>
      <c r="I395" s="34"/>
      <c r="J395" s="9" t="s">
        <v>294</v>
      </c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</row>
    <row r="396" spans="1:28" ht="14.25" customHeight="1" x14ac:dyDescent="0.35">
      <c r="A396" s="12">
        <v>302317</v>
      </c>
      <c r="B396" s="59" t="str">
        <f>IFERROR(VLOOKUP(Tabla1[[#This Row],[CODIGO]],INVENTARIO!A:B,2,0)," ")</f>
        <v>Tapa PE 110 mm Termo F.</v>
      </c>
      <c r="C396" s="12">
        <v>1</v>
      </c>
      <c r="D396" s="13"/>
      <c r="E396" s="12">
        <v>383</v>
      </c>
      <c r="F396" s="14">
        <v>46085</v>
      </c>
      <c r="G396" s="34"/>
      <c r="H396" s="34" t="s">
        <v>314</v>
      </c>
      <c r="I396" s="34"/>
      <c r="J396" s="9" t="s">
        <v>274</v>
      </c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</row>
    <row r="397" spans="1:28" ht="14.25" customHeight="1" x14ac:dyDescent="0.35">
      <c r="A397" s="12">
        <v>303345</v>
      </c>
      <c r="B397" s="59" t="str">
        <f>IFERROR(VLOOKUP(Tabla1[[#This Row],[CODIGO]],INVENTARIO!A:B,2,0)," ")</f>
        <v>Copla PE100 050mm EF</v>
      </c>
      <c r="C397" s="12">
        <v>1</v>
      </c>
      <c r="D397" s="13"/>
      <c r="E397" s="12">
        <v>380</v>
      </c>
      <c r="F397" s="14">
        <v>46085</v>
      </c>
      <c r="G397" s="34"/>
      <c r="H397" s="34" t="s">
        <v>309</v>
      </c>
      <c r="I397" s="34"/>
      <c r="J397" s="9" t="s">
        <v>243</v>
      </c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</row>
    <row r="398" spans="1:28" ht="14.25" customHeight="1" x14ac:dyDescent="0.35">
      <c r="A398" s="12">
        <v>301329</v>
      </c>
      <c r="B398" s="59" t="str">
        <f>IFERROR(VLOOKUP(Tabla1[[#This Row],[CODIGO]],INVENTARIO!A:B,2,0)," ")</f>
        <v>Copla PE100 025mm EF</v>
      </c>
      <c r="C398" s="12">
        <v>1</v>
      </c>
      <c r="D398" s="13"/>
      <c r="E398" s="12">
        <v>380</v>
      </c>
      <c r="F398" s="14">
        <v>46085</v>
      </c>
      <c r="G398" s="34"/>
      <c r="H398" s="34" t="s">
        <v>309</v>
      </c>
      <c r="I398" s="34"/>
      <c r="J398" s="9" t="s">
        <v>243</v>
      </c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</row>
    <row r="399" spans="1:28" ht="14.25" customHeight="1" x14ac:dyDescent="0.35">
      <c r="A399" s="12">
        <v>1000720</v>
      </c>
      <c r="B399" s="59" t="str">
        <f>IFERROR(VLOOKUP(Tabla1[[#This Row],[CODIGO]],INVENTARIO!A:B,2,0)," ")</f>
        <v>Teflón en Cinta de 3/4" Ancho x 520" a 5</v>
      </c>
      <c r="C399" s="12">
        <v>1</v>
      </c>
      <c r="D399" s="13"/>
      <c r="E399" s="12">
        <v>380</v>
      </c>
      <c r="F399" s="14">
        <v>46085</v>
      </c>
      <c r="G399" s="34"/>
      <c r="H399" s="34" t="s">
        <v>309</v>
      </c>
      <c r="I399" s="34"/>
      <c r="J399" s="9" t="s">
        <v>243</v>
      </c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</row>
    <row r="400" spans="1:28" ht="14.25" customHeight="1" x14ac:dyDescent="0.35">
      <c r="A400" s="9" t="s">
        <v>291</v>
      </c>
      <c r="B400" s="59" t="str">
        <f>IFERROR(VLOOKUP(Tabla1[[#This Row],[CODIGO]],INVENTARIO!A:B,2,0)," ")</f>
        <v>Alcohol Isopropilico  500 ml</v>
      </c>
      <c r="C400" s="12">
        <v>1</v>
      </c>
      <c r="D400" s="13"/>
      <c r="E400" s="12">
        <v>372</v>
      </c>
      <c r="F400" s="14">
        <v>46086</v>
      </c>
      <c r="G400" s="34"/>
      <c r="H400" s="34" t="s">
        <v>338</v>
      </c>
      <c r="I400" s="34"/>
      <c r="J400" s="9" t="s">
        <v>294</v>
      </c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</row>
    <row r="401" spans="1:28" ht="14.25" customHeight="1" x14ac:dyDescent="0.35">
      <c r="A401" s="12">
        <v>2005135</v>
      </c>
      <c r="B401" s="59" t="str">
        <f>IFERROR(VLOOKUP(Tabla1[[#This Row],[CODIGO]],INVENTARIO!A:B,2,0)," ")</f>
        <v>Tubo PVC 110 mm PN6 CG Amarillo Tira 6 m</v>
      </c>
      <c r="C401" s="12">
        <v>1</v>
      </c>
      <c r="D401" s="13"/>
      <c r="E401" s="12">
        <v>384</v>
      </c>
      <c r="F401" s="14">
        <v>46085</v>
      </c>
      <c r="G401" s="34"/>
      <c r="H401" s="34" t="s">
        <v>352</v>
      </c>
      <c r="I401" s="34"/>
      <c r="J401" s="9" t="s">
        <v>207</v>
      </c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</row>
    <row r="402" spans="1:28" ht="14.25" customHeight="1" x14ac:dyDescent="0.35">
      <c r="A402" s="12">
        <v>2003965</v>
      </c>
      <c r="B402" s="59" t="str">
        <f>IFERROR(VLOOKUP(Tabla1[[#This Row],[CODIGO]],INVENTARIO!A:B,2,0)," ")</f>
        <v>Válvula PE100 Dn 63mm</v>
      </c>
      <c r="C402" s="12">
        <v>1</v>
      </c>
      <c r="D402" s="13"/>
      <c r="E402" s="12">
        <v>340</v>
      </c>
      <c r="F402" s="14">
        <v>46084</v>
      </c>
      <c r="G402" s="34"/>
      <c r="H402" s="34" t="s">
        <v>232</v>
      </c>
      <c r="I402" s="34"/>
      <c r="J402" s="9" t="s">
        <v>333</v>
      </c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</row>
    <row r="403" spans="1:28" ht="14.25" customHeight="1" x14ac:dyDescent="0.35">
      <c r="A403" s="12">
        <v>302659</v>
      </c>
      <c r="B403" s="59" t="str">
        <f>IFERROR(VLOOKUP(Tabla1[[#This Row],[CODIGO]],INVENTARIO!A:B,2,0)," ")</f>
        <v>Copla PE100 063mm EF</v>
      </c>
      <c r="C403" s="12">
        <v>5</v>
      </c>
      <c r="D403" s="13"/>
      <c r="E403" s="12">
        <v>340</v>
      </c>
      <c r="F403" s="14">
        <v>46084</v>
      </c>
      <c r="G403" s="34"/>
      <c r="H403" s="34" t="s">
        <v>232</v>
      </c>
      <c r="I403" s="34"/>
      <c r="J403" s="9" t="s">
        <v>333</v>
      </c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</row>
    <row r="404" spans="1:28" ht="14.25" customHeight="1" x14ac:dyDescent="0.35">
      <c r="A404" s="12">
        <v>2008302</v>
      </c>
      <c r="B404" s="59" t="str">
        <f>IFERROR(VLOOKUP(Tabla1[[#This Row],[CODIGO]],INVENTARIO!A:B,2,0)," ")</f>
        <v>Tapa PE 063 mm Electro F.</v>
      </c>
      <c r="C404" s="12">
        <v>1</v>
      </c>
      <c r="D404" s="13"/>
      <c r="E404" s="12">
        <v>340</v>
      </c>
      <c r="F404" s="14">
        <v>46084</v>
      </c>
      <c r="G404" s="34"/>
      <c r="H404" s="34" t="s">
        <v>232</v>
      </c>
      <c r="I404" s="34"/>
      <c r="J404" s="9" t="s">
        <v>333</v>
      </c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</row>
    <row r="405" spans="1:28" ht="14.25" customHeight="1" x14ac:dyDescent="0.35">
      <c r="A405" s="12">
        <v>301749</v>
      </c>
      <c r="B405" s="59" t="str">
        <f>IFERROR(VLOOKUP(Tabla1[[#This Row],[CODIGO]],INVENTARIO!A:B,2,0)," ")</f>
        <v>Tubería PE80 025mm Rollo</v>
      </c>
      <c r="C405" s="12">
        <v>100</v>
      </c>
      <c r="D405" s="13"/>
      <c r="E405" s="12">
        <v>340</v>
      </c>
      <c r="F405" s="14">
        <v>46084</v>
      </c>
      <c r="G405" s="34"/>
      <c r="H405" s="34" t="s">
        <v>232</v>
      </c>
      <c r="I405" s="34"/>
      <c r="J405" s="9" t="s">
        <v>333</v>
      </c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</row>
    <row r="406" spans="1:28" ht="14.25" customHeight="1" x14ac:dyDescent="0.35">
      <c r="A406" s="12">
        <v>303368</v>
      </c>
      <c r="B406" s="59" t="str">
        <f>IFERROR(VLOOKUP(Tabla1[[#This Row],[CODIGO]],INVENTARIO!A:B,2,0)," ")</f>
        <v>Cinta Plástica "Línea GN", 30 x 0.1</v>
      </c>
      <c r="C406" s="12">
        <v>100</v>
      </c>
      <c r="D406" s="13"/>
      <c r="E406" s="12">
        <v>340</v>
      </c>
      <c r="F406" s="14">
        <v>46084</v>
      </c>
      <c r="G406" s="34"/>
      <c r="H406" s="34" t="s">
        <v>232</v>
      </c>
      <c r="I406" s="34"/>
      <c r="J406" s="9" t="s">
        <v>333</v>
      </c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</row>
    <row r="407" spans="1:28" ht="14.25" customHeight="1" x14ac:dyDescent="0.35">
      <c r="A407" s="12">
        <v>300108</v>
      </c>
      <c r="B407" s="59" t="str">
        <f>IFERROR(VLOOKUP(Tabla1[[#This Row],[CODIGO]],INVENTARIO!A:B,2,0)," ")</f>
        <v>Tapping Tee PE 63-25 mm</v>
      </c>
      <c r="C407" s="12">
        <v>5</v>
      </c>
      <c r="D407" s="13"/>
      <c r="E407" s="12">
        <v>340</v>
      </c>
      <c r="F407" s="14">
        <v>46084</v>
      </c>
      <c r="G407" s="34"/>
      <c r="H407" s="34" t="s">
        <v>232</v>
      </c>
      <c r="I407" s="34"/>
      <c r="J407" s="9" t="s">
        <v>333</v>
      </c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</row>
    <row r="408" spans="1:28" ht="14.25" customHeight="1" x14ac:dyDescent="0.35">
      <c r="A408" s="12">
        <v>2003911</v>
      </c>
      <c r="B408" s="59" t="str">
        <f>IFERROR(VLOOKUP(Tabla1[[#This Row],[CODIGO]],INVENTARIO!A:B,2,0)," ")</f>
        <v>Válvula EFv PE 25 mm Para Tap. Tee</v>
      </c>
      <c r="C408" s="12">
        <v>5</v>
      </c>
      <c r="D408" s="13"/>
      <c r="E408" s="12">
        <v>340</v>
      </c>
      <c r="F408" s="14">
        <v>46084</v>
      </c>
      <c r="G408" s="34"/>
      <c r="H408" s="34" t="s">
        <v>232</v>
      </c>
      <c r="I408" s="34"/>
      <c r="J408" s="9" t="s">
        <v>333</v>
      </c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</row>
    <row r="409" spans="1:28" ht="14.25" customHeight="1" x14ac:dyDescent="0.35">
      <c r="A409" s="12">
        <v>301329</v>
      </c>
      <c r="B409" s="59" t="str">
        <f>IFERROR(VLOOKUP(Tabla1[[#This Row],[CODIGO]],INVENTARIO!A:B,2,0)," ")</f>
        <v>Copla PE100 025mm EF</v>
      </c>
      <c r="C409" s="12">
        <v>5</v>
      </c>
      <c r="D409" s="13"/>
      <c r="E409" s="12">
        <v>340</v>
      </c>
      <c r="F409" s="14">
        <v>46084</v>
      </c>
      <c r="G409" s="34"/>
      <c r="H409" s="34" t="s">
        <v>232</v>
      </c>
      <c r="I409" s="34"/>
      <c r="J409" s="9" t="s">
        <v>333</v>
      </c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</row>
    <row r="410" spans="1:28" ht="14.25" customHeight="1" x14ac:dyDescent="0.35">
      <c r="A410" s="12">
        <v>303368</v>
      </c>
      <c r="B410" s="59" t="str">
        <f>IFERROR(VLOOKUP(Tabla1[[#This Row],[CODIGO]],INVENTARIO!A:B,2,0)," ")</f>
        <v>Cinta Plástica "Línea GN", 30 x 0.1</v>
      </c>
      <c r="C410" s="12">
        <v>100</v>
      </c>
      <c r="D410" s="13"/>
      <c r="E410" s="12">
        <v>374</v>
      </c>
      <c r="F410" s="14">
        <v>46084</v>
      </c>
      <c r="G410" s="34"/>
      <c r="H410" s="34" t="s">
        <v>314</v>
      </c>
      <c r="I410" s="34"/>
      <c r="J410" s="9" t="s">
        <v>274</v>
      </c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</row>
    <row r="411" spans="1:28" ht="14.25" customHeight="1" x14ac:dyDescent="0.35">
      <c r="A411" s="12">
        <v>300130</v>
      </c>
      <c r="B411" s="59" t="str">
        <f>IFERROR(VLOOKUP(Tabla1[[#This Row],[CODIGO]],INVENTARIO!A:B,2,0)," ")</f>
        <v>Tee PE  63 mm Electro F.</v>
      </c>
      <c r="C411" s="12">
        <v>1</v>
      </c>
      <c r="D411" s="13"/>
      <c r="E411" s="12">
        <v>242</v>
      </c>
      <c r="F411" s="14">
        <v>46085</v>
      </c>
      <c r="G411" s="34"/>
      <c r="H411" s="34" t="s">
        <v>223</v>
      </c>
      <c r="I411" s="34"/>
      <c r="J411" s="9" t="s">
        <v>207</v>
      </c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</row>
    <row r="412" spans="1:28" ht="14.25" customHeight="1" x14ac:dyDescent="0.35">
      <c r="A412" s="12">
        <v>302678</v>
      </c>
      <c r="B412" s="59" t="str">
        <f>IFERROR(VLOOKUP(Tabla1[[#This Row],[CODIGO]],INVENTARIO!A:B,2,0)," ")</f>
        <v>Reductor PE  63-50 mm Electro F.</v>
      </c>
      <c r="C412" s="12">
        <v>1</v>
      </c>
      <c r="D412" s="13"/>
      <c r="E412" s="12">
        <v>242</v>
      </c>
      <c r="F412" s="14">
        <v>46085</v>
      </c>
      <c r="G412" s="34"/>
      <c r="H412" s="34" t="s">
        <v>223</v>
      </c>
      <c r="I412" s="34"/>
      <c r="J412" s="9" t="s">
        <v>207</v>
      </c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</row>
    <row r="413" spans="1:28" ht="14.25" customHeight="1" x14ac:dyDescent="0.35">
      <c r="A413" s="12">
        <v>301987</v>
      </c>
      <c r="B413" s="59" t="str">
        <f>IFERROR(VLOOKUP(Tabla1[[#This Row],[CODIGO]],INVENTARIO!A:B,2,0)," ")</f>
        <v>Codo PE100 90° 063mm EF</v>
      </c>
      <c r="C413" s="12">
        <v>1</v>
      </c>
      <c r="D413" s="13"/>
      <c r="E413" s="12">
        <v>242</v>
      </c>
      <c r="F413" s="14">
        <v>46085</v>
      </c>
      <c r="G413" s="34"/>
      <c r="H413" s="34" t="s">
        <v>223</v>
      </c>
      <c r="I413" s="34"/>
      <c r="J413" s="9" t="s">
        <v>207</v>
      </c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</row>
    <row r="414" spans="1:28" ht="14.25" customHeight="1" x14ac:dyDescent="0.35">
      <c r="A414" s="12">
        <v>2002263</v>
      </c>
      <c r="B414" s="59" t="str">
        <f>IFERROR(VLOOKUP(Tabla1[[#This Row],[CODIGO]],INVENTARIO!A:B,2,0)," ")</f>
        <v>Tubería PE80 063mm Rollo</v>
      </c>
      <c r="C414" s="12">
        <v>50</v>
      </c>
      <c r="D414" s="13"/>
      <c r="E414" s="12">
        <v>242</v>
      </c>
      <c r="F414" s="14">
        <v>46085</v>
      </c>
      <c r="G414" s="34"/>
      <c r="H414" s="34" t="s">
        <v>223</v>
      </c>
      <c r="I414" s="34"/>
      <c r="J414" s="9" t="s">
        <v>207</v>
      </c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</row>
    <row r="415" spans="1:28" ht="14.25" customHeight="1" x14ac:dyDescent="0.35">
      <c r="A415" s="12">
        <v>2002262</v>
      </c>
      <c r="B415" s="59" t="str">
        <f>IFERROR(VLOOKUP(Tabla1[[#This Row],[CODIGO]],INVENTARIO!A:B,2,0)," ")</f>
        <v>Tubería PE80 050mm Rollo</v>
      </c>
      <c r="C415" s="12">
        <v>50</v>
      </c>
      <c r="D415" s="13"/>
      <c r="E415" s="12">
        <v>242</v>
      </c>
      <c r="F415" s="14">
        <v>46085</v>
      </c>
      <c r="G415" s="34"/>
      <c r="H415" s="34" t="s">
        <v>223</v>
      </c>
      <c r="I415" s="34"/>
      <c r="J415" s="9" t="s">
        <v>207</v>
      </c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</row>
    <row r="416" spans="1:28" ht="14.25" customHeight="1" x14ac:dyDescent="0.35">
      <c r="A416" s="12">
        <v>303368</v>
      </c>
      <c r="B416" s="59" t="str">
        <f>IFERROR(VLOOKUP(Tabla1[[#This Row],[CODIGO]],INVENTARIO!A:B,2,0)," ")</f>
        <v>Cinta Plástica "Línea GN", 30 x 0.1</v>
      </c>
      <c r="C416" s="12">
        <v>100</v>
      </c>
      <c r="D416" s="13"/>
      <c r="E416" s="12">
        <v>242</v>
      </c>
      <c r="F416" s="14">
        <v>46085</v>
      </c>
      <c r="G416" s="34"/>
      <c r="H416" s="34" t="s">
        <v>223</v>
      </c>
      <c r="I416" s="34"/>
      <c r="J416" s="9" t="s">
        <v>207</v>
      </c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</row>
    <row r="417" spans="1:28" ht="14.25" customHeight="1" x14ac:dyDescent="0.35">
      <c r="A417" s="12">
        <v>1002167</v>
      </c>
      <c r="B417" s="59" t="str">
        <f>IFERROR(VLOOKUP(Tabla1[[#This Row],[CODIGO]],INVENTARIO!A:B,2,0)," ")</f>
        <v>Cable Trazador Cu 14 AWG Aisl. THW Roj</v>
      </c>
      <c r="C417" s="12">
        <v>100</v>
      </c>
      <c r="D417" s="13"/>
      <c r="E417" s="12">
        <v>242</v>
      </c>
      <c r="F417" s="14">
        <v>46085</v>
      </c>
      <c r="G417" s="34"/>
      <c r="H417" s="34" t="s">
        <v>223</v>
      </c>
      <c r="I417" s="34"/>
      <c r="J417" s="9" t="s">
        <v>207</v>
      </c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</row>
    <row r="418" spans="1:28" ht="14.25" customHeight="1" x14ac:dyDescent="0.35">
      <c r="A418" s="12">
        <v>303345</v>
      </c>
      <c r="B418" s="59" t="str">
        <f>IFERROR(VLOOKUP(Tabla1[[#This Row],[CODIGO]],INVENTARIO!A:B,2,0)," ")</f>
        <v>Copla PE100 050mm EF</v>
      </c>
      <c r="C418" s="12">
        <v>2</v>
      </c>
      <c r="D418" s="13"/>
      <c r="E418" s="12">
        <v>242</v>
      </c>
      <c r="F418" s="14">
        <v>46085</v>
      </c>
      <c r="G418" s="34"/>
      <c r="H418" s="34" t="s">
        <v>223</v>
      </c>
      <c r="I418" s="34"/>
      <c r="J418" s="9" t="s">
        <v>207</v>
      </c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</row>
    <row r="419" spans="1:28" ht="14.25" customHeight="1" x14ac:dyDescent="0.35">
      <c r="A419" s="12">
        <v>302678</v>
      </c>
      <c r="B419" s="59" t="str">
        <f>IFERROR(VLOOKUP(Tabla1[[#This Row],[CODIGO]],INVENTARIO!A:B,2,0)," ")</f>
        <v>Reductor PE  63-50 mm Electro F.</v>
      </c>
      <c r="C419" s="12">
        <v>1</v>
      </c>
      <c r="D419" s="13"/>
      <c r="E419" s="12">
        <v>243</v>
      </c>
      <c r="F419" s="14">
        <v>46086</v>
      </c>
      <c r="G419" s="34"/>
      <c r="H419" s="34" t="s">
        <v>223</v>
      </c>
      <c r="I419" s="34"/>
      <c r="J419" s="9" t="s">
        <v>207</v>
      </c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</row>
    <row r="420" spans="1:28" ht="14.25" customHeight="1" x14ac:dyDescent="0.35">
      <c r="A420" s="12">
        <v>2005135</v>
      </c>
      <c r="B420" s="59" t="str">
        <f>IFERROR(VLOOKUP(Tabla1[[#This Row],[CODIGO]],INVENTARIO!A:B,2,0)," ")</f>
        <v>Tubo PVC 110 mm PN6 CG Amarillo Tira 6 m</v>
      </c>
      <c r="C420" s="12">
        <v>1</v>
      </c>
      <c r="D420" s="13"/>
      <c r="E420" s="12">
        <v>243</v>
      </c>
      <c r="F420" s="14">
        <v>46086</v>
      </c>
      <c r="G420" s="34"/>
      <c r="H420" s="34" t="s">
        <v>223</v>
      </c>
      <c r="I420" s="34"/>
      <c r="J420" s="9" t="s">
        <v>207</v>
      </c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</row>
    <row r="421" spans="1:28" ht="14.25" customHeight="1" x14ac:dyDescent="0.35">
      <c r="A421" s="12">
        <v>2002263</v>
      </c>
      <c r="B421" s="59" t="str">
        <f>IFERROR(VLOOKUP(Tabla1[[#This Row],[CODIGO]],INVENTARIO!A:B,2,0)," ")</f>
        <v>Tubería PE80 063mm Rollo</v>
      </c>
      <c r="C421" s="12">
        <v>50</v>
      </c>
      <c r="D421" s="13"/>
      <c r="E421" s="12">
        <v>243</v>
      </c>
      <c r="F421" s="14">
        <v>46086</v>
      </c>
      <c r="G421" s="34"/>
      <c r="H421" s="34" t="s">
        <v>223</v>
      </c>
      <c r="I421" s="34"/>
      <c r="J421" s="9" t="s">
        <v>207</v>
      </c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</row>
    <row r="422" spans="1:28" ht="14.25" customHeight="1" x14ac:dyDescent="0.35">
      <c r="A422" s="12">
        <v>303368</v>
      </c>
      <c r="B422" s="59" t="str">
        <f>IFERROR(VLOOKUP(Tabla1[[#This Row],[CODIGO]],INVENTARIO!A:B,2,0)," ")</f>
        <v>Cinta Plástica "Línea GN", 30 x 0.1</v>
      </c>
      <c r="C422" s="12">
        <v>50</v>
      </c>
      <c r="D422" s="13"/>
      <c r="E422" s="12">
        <v>243</v>
      </c>
      <c r="F422" s="14">
        <v>46086</v>
      </c>
      <c r="G422" s="34"/>
      <c r="H422" s="34" t="s">
        <v>223</v>
      </c>
      <c r="I422" s="34"/>
      <c r="J422" s="9" t="s">
        <v>207</v>
      </c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</row>
    <row r="423" spans="1:28" ht="14.25" customHeight="1" x14ac:dyDescent="0.35">
      <c r="A423" s="12">
        <v>1002167</v>
      </c>
      <c r="B423" s="59" t="str">
        <f>IFERROR(VLOOKUP(Tabla1[[#This Row],[CODIGO]],INVENTARIO!A:B,2,0)," ")</f>
        <v>Cable Trazador Cu 14 AWG Aisl. THW Roj</v>
      </c>
      <c r="C423" s="12">
        <v>50</v>
      </c>
      <c r="D423" s="13"/>
      <c r="E423" s="12">
        <v>243</v>
      </c>
      <c r="F423" s="14">
        <v>46086</v>
      </c>
      <c r="G423" s="34"/>
      <c r="H423" s="34" t="s">
        <v>223</v>
      </c>
      <c r="I423" s="34"/>
      <c r="J423" s="9" t="s">
        <v>207</v>
      </c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</row>
    <row r="424" spans="1:28" ht="14.25" customHeight="1" x14ac:dyDescent="0.35">
      <c r="A424" s="12">
        <v>2004602</v>
      </c>
      <c r="B424" s="59" t="str">
        <f>IFERROR(VLOOKUP(Tabla1[[#This Row],[CODIGO]],INVENTARIO!A:B,2,0)," ")</f>
        <v>MRPC-120-(4/1,2)-(S)-2</v>
      </c>
      <c r="C424" s="12">
        <v>1</v>
      </c>
      <c r="D424" s="13"/>
      <c r="E424" s="12">
        <v>368</v>
      </c>
      <c r="F424" s="14">
        <v>46084</v>
      </c>
      <c r="G424" s="34"/>
      <c r="H424" s="34" t="s">
        <v>225</v>
      </c>
      <c r="I424" s="34"/>
      <c r="J424" s="9" t="s">
        <v>254</v>
      </c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</row>
    <row r="425" spans="1:28" ht="14.25" customHeight="1" x14ac:dyDescent="0.35">
      <c r="A425" s="12">
        <v>2007948</v>
      </c>
      <c r="B425" s="59" t="str">
        <f>IFERROR(VLOOKUP(Tabla1[[#This Row],[CODIGO]],INVENTARIO!A:B,2,0)," ")</f>
        <v>Tubo PVC Hidraulico 110 mm Pn6 Celeste</v>
      </c>
      <c r="C425" s="12">
        <v>1</v>
      </c>
      <c r="D425" s="13"/>
      <c r="E425" s="12">
        <v>368</v>
      </c>
      <c r="F425" s="14">
        <v>46084</v>
      </c>
      <c r="G425" s="34"/>
      <c r="H425" s="34" t="s">
        <v>225</v>
      </c>
      <c r="I425" s="34"/>
      <c r="J425" s="9" t="s">
        <v>254</v>
      </c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</row>
    <row r="426" spans="1:28" ht="14.25" customHeight="1" x14ac:dyDescent="0.35">
      <c r="A426" s="12">
        <v>300414</v>
      </c>
      <c r="B426" s="59" t="str">
        <f>IFERROR(VLOOKUP(Tabla1[[#This Row],[CODIGO]],INVENTARIO!A:B,2,0)," ")</f>
        <v>Válvula PE100 Dn 50mm</v>
      </c>
      <c r="C426" s="12">
        <v>1</v>
      </c>
      <c r="D426" s="13"/>
      <c r="E426" s="12">
        <v>368</v>
      </c>
      <c r="F426" s="14">
        <v>46084</v>
      </c>
      <c r="G426" s="34"/>
      <c r="H426" s="34" t="s">
        <v>225</v>
      </c>
      <c r="I426" s="34"/>
      <c r="J426" s="9" t="s">
        <v>254</v>
      </c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</row>
    <row r="427" spans="1:28" ht="14.25" customHeight="1" x14ac:dyDescent="0.35">
      <c r="A427" s="12">
        <v>303345</v>
      </c>
      <c r="B427" s="59" t="str">
        <f>IFERROR(VLOOKUP(Tabla1[[#This Row],[CODIGO]],INVENTARIO!A:B,2,0)," ")</f>
        <v>Copla PE100 050mm EF</v>
      </c>
      <c r="C427" s="12">
        <v>4</v>
      </c>
      <c r="D427" s="13"/>
      <c r="E427" s="12">
        <v>368</v>
      </c>
      <c r="F427" s="14">
        <v>46084</v>
      </c>
      <c r="G427" s="34"/>
      <c r="H427" s="34" t="s">
        <v>225</v>
      </c>
      <c r="I427" s="34"/>
      <c r="J427" s="9" t="s">
        <v>254</v>
      </c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</row>
    <row r="428" spans="1:28" ht="14.25" customHeight="1" x14ac:dyDescent="0.35">
      <c r="A428" s="12">
        <v>303439</v>
      </c>
      <c r="B428" s="59" t="str">
        <f>IFERROR(VLOOKUP(Tabla1[[#This Row],[CODIGO]],INVENTARIO!A:B,2,0)," ")</f>
        <v>Reductor PE 110-50 mm Termo F.</v>
      </c>
      <c r="C428" s="12">
        <v>1</v>
      </c>
      <c r="D428" s="13"/>
      <c r="E428" s="12">
        <v>368</v>
      </c>
      <c r="F428" s="14">
        <v>46084</v>
      </c>
      <c r="G428" s="34"/>
      <c r="H428" s="34" t="s">
        <v>225</v>
      </c>
      <c r="I428" s="34"/>
      <c r="J428" s="9" t="s">
        <v>254</v>
      </c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</row>
    <row r="429" spans="1:28" ht="14.25" customHeight="1" x14ac:dyDescent="0.35">
      <c r="A429" s="12">
        <v>303015</v>
      </c>
      <c r="B429" s="59" t="str">
        <f>IFERROR(VLOOKUP(Tabla1[[#This Row],[CODIGO]],INVENTARIO!A:B,2,0)," ")</f>
        <v>Tee PE 110 mm Electro F.</v>
      </c>
      <c r="C429" s="12">
        <v>1</v>
      </c>
      <c r="D429" s="13"/>
      <c r="E429" s="12">
        <v>368</v>
      </c>
      <c r="F429" s="14">
        <v>46084</v>
      </c>
      <c r="G429" s="34"/>
      <c r="H429" s="34" t="s">
        <v>225</v>
      </c>
      <c r="I429" s="34"/>
      <c r="J429" s="9" t="s">
        <v>254</v>
      </c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</row>
    <row r="430" spans="1:28" ht="14.25" customHeight="1" x14ac:dyDescent="0.35">
      <c r="A430" s="12">
        <v>302992</v>
      </c>
      <c r="B430" s="59" t="str">
        <f>IFERROR(VLOOKUP(Tabla1[[#This Row],[CODIGO]],INVENTARIO!A:B,2,0)," ")</f>
        <v>Codo PE100 90° 050mm EF</v>
      </c>
      <c r="C430" s="12">
        <v>1</v>
      </c>
      <c r="D430" s="13"/>
      <c r="E430" s="12">
        <v>368</v>
      </c>
      <c r="F430" s="14">
        <v>46084</v>
      </c>
      <c r="G430" s="34"/>
      <c r="H430" s="34" t="s">
        <v>225</v>
      </c>
      <c r="I430" s="34"/>
      <c r="J430" s="9" t="s">
        <v>254</v>
      </c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</row>
    <row r="431" spans="1:28" ht="14.25" customHeight="1" x14ac:dyDescent="0.35">
      <c r="A431" s="12">
        <v>301751</v>
      </c>
      <c r="B431" s="59" t="str">
        <f>IFERROR(VLOOKUP(Tabla1[[#This Row],[CODIGO]],INVENTARIO!A:B,2,0)," ")</f>
        <v>Tubería PE80 050mm SDR11 Tira</v>
      </c>
      <c r="C431" s="12">
        <v>3</v>
      </c>
      <c r="D431" s="13"/>
      <c r="E431" s="12">
        <v>368</v>
      </c>
      <c r="F431" s="14">
        <v>46084</v>
      </c>
      <c r="G431" s="34"/>
      <c r="H431" s="34" t="s">
        <v>225</v>
      </c>
      <c r="I431" s="34"/>
      <c r="J431" s="9" t="s">
        <v>254</v>
      </c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</row>
    <row r="432" spans="1:28" ht="14.25" customHeight="1" x14ac:dyDescent="0.35">
      <c r="A432" s="12">
        <v>2006391</v>
      </c>
      <c r="B432" s="59" t="str">
        <f>IFERROR(VLOOKUP(Tabla1[[#This Row],[CODIGO]],INVENTARIO!A:B,2,0)," ")</f>
        <v>Guardallave Fierro Fundido C/Tapa</v>
      </c>
      <c r="C432" s="12">
        <v>1</v>
      </c>
      <c r="D432" s="13"/>
      <c r="E432" s="12">
        <v>368</v>
      </c>
      <c r="F432" s="14">
        <v>46084</v>
      </c>
      <c r="G432" s="34"/>
      <c r="H432" s="34" t="s">
        <v>225</v>
      </c>
      <c r="I432" s="34"/>
      <c r="J432" s="9" t="s">
        <v>254</v>
      </c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</row>
    <row r="433" spans="1:28" ht="14.25" customHeight="1" x14ac:dyDescent="0.35">
      <c r="A433" s="12">
        <v>303510</v>
      </c>
      <c r="B433" s="59" t="str">
        <f>IFERROR(VLOOKUP(Tabla1[[#This Row],[CODIGO]],INVENTARIO!A:B,2,0)," ")</f>
        <v>Guardallave Hormigón 125 mm con Tapa</v>
      </c>
      <c r="C433" s="12">
        <v>2</v>
      </c>
      <c r="D433" s="13"/>
      <c r="E433" s="12">
        <v>368</v>
      </c>
      <c r="F433" s="14">
        <v>46084</v>
      </c>
      <c r="G433" s="34"/>
      <c r="H433" s="34" t="s">
        <v>225</v>
      </c>
      <c r="I433" s="34"/>
      <c r="J433" s="9" t="s">
        <v>254</v>
      </c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</row>
    <row r="434" spans="1:28" ht="14.25" customHeight="1" x14ac:dyDescent="0.35">
      <c r="A434" s="12">
        <v>302659</v>
      </c>
      <c r="B434" s="59" t="str">
        <f>IFERROR(VLOOKUP(Tabla1[[#This Row],[CODIGO]],INVENTARIO!A:B,2,0)," ")</f>
        <v>Copla PE100 063mm EF</v>
      </c>
      <c r="C434" s="12">
        <v>1</v>
      </c>
      <c r="D434" s="13"/>
      <c r="E434" s="12">
        <v>368</v>
      </c>
      <c r="F434" s="14">
        <v>46084</v>
      </c>
      <c r="G434" s="34"/>
      <c r="H434" s="34" t="s">
        <v>225</v>
      </c>
      <c r="I434" s="34"/>
      <c r="J434" s="9" t="s">
        <v>254</v>
      </c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</row>
    <row r="435" spans="1:28" ht="14.25" customHeight="1" x14ac:dyDescent="0.35">
      <c r="A435" s="12">
        <v>302992</v>
      </c>
      <c r="B435" s="59" t="str">
        <f>IFERROR(VLOOKUP(Tabla1[[#This Row],[CODIGO]],INVENTARIO!A:B,2,0)," ")</f>
        <v>Codo PE100 90° 050mm EF</v>
      </c>
      <c r="C435" s="12">
        <v>4</v>
      </c>
      <c r="D435" s="13"/>
      <c r="E435" s="12">
        <v>375</v>
      </c>
      <c r="F435" s="14">
        <v>46084</v>
      </c>
      <c r="G435" s="34"/>
      <c r="H435" s="34" t="s">
        <v>318</v>
      </c>
      <c r="I435" s="34"/>
      <c r="J435" s="9" t="s">
        <v>201</v>
      </c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</row>
    <row r="436" spans="1:28" ht="14.25" customHeight="1" x14ac:dyDescent="0.35">
      <c r="A436" s="12">
        <v>301327</v>
      </c>
      <c r="B436" s="59" t="str">
        <f>IFERROR(VLOOKUP(Tabla1[[#This Row],[CODIGO]],INVENTARIO!A:B,2,0)," ")</f>
        <v>Tapa PE  050 mm Termo F.</v>
      </c>
      <c r="C436" s="12">
        <v>4</v>
      </c>
      <c r="D436" s="13"/>
      <c r="E436" s="12">
        <v>375</v>
      </c>
      <c r="F436" s="14">
        <v>46084</v>
      </c>
      <c r="G436" s="34"/>
      <c r="H436" s="34" t="s">
        <v>318</v>
      </c>
      <c r="I436" s="34"/>
      <c r="J436" s="9" t="s">
        <v>201</v>
      </c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</row>
    <row r="437" spans="1:28" ht="14.25" customHeight="1" x14ac:dyDescent="0.35">
      <c r="A437" s="12">
        <v>301749</v>
      </c>
      <c r="B437" s="59" t="str">
        <f>IFERROR(VLOOKUP(Tabla1[[#This Row],[CODIGO]],INVENTARIO!A:B,2,0)," ")</f>
        <v>Tubería PE80 025mm Rollo</v>
      </c>
      <c r="C437" s="12">
        <v>50</v>
      </c>
      <c r="D437" s="13"/>
      <c r="E437" s="12">
        <v>375</v>
      </c>
      <c r="F437" s="14">
        <v>46084</v>
      </c>
      <c r="G437" s="34"/>
      <c r="H437" s="34" t="s">
        <v>318</v>
      </c>
      <c r="I437" s="34"/>
      <c r="J437" s="9" t="s">
        <v>201</v>
      </c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</row>
    <row r="438" spans="1:28" ht="14.25" customHeight="1" x14ac:dyDescent="0.35">
      <c r="A438" s="12">
        <v>302659</v>
      </c>
      <c r="B438" s="59" t="str">
        <f>IFERROR(VLOOKUP(Tabla1[[#This Row],[CODIGO]],INVENTARIO!A:B,2,0)," ")</f>
        <v>Copla PE100 063mm EF</v>
      </c>
      <c r="C438" s="12">
        <v>2</v>
      </c>
      <c r="D438" s="13"/>
      <c r="E438" s="12">
        <v>361</v>
      </c>
      <c r="F438" s="14">
        <v>46083</v>
      </c>
      <c r="G438" s="34"/>
      <c r="H438" s="34" t="s">
        <v>226</v>
      </c>
      <c r="I438" s="34"/>
      <c r="J438" s="9" t="s">
        <v>194</v>
      </c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</row>
    <row r="439" spans="1:28" ht="14.25" customHeight="1" x14ac:dyDescent="0.35">
      <c r="A439" s="12">
        <v>300108</v>
      </c>
      <c r="B439" s="59" t="str">
        <f>IFERROR(VLOOKUP(Tabla1[[#This Row],[CODIGO]],INVENTARIO!A:B,2,0)," ")</f>
        <v>Tapping Tee PE 63-25 mm</v>
      </c>
      <c r="C439" s="12">
        <v>1</v>
      </c>
      <c r="D439" s="13"/>
      <c r="E439" s="12">
        <v>361</v>
      </c>
      <c r="F439" s="14">
        <v>46083</v>
      </c>
      <c r="G439" s="34"/>
      <c r="H439" s="34" t="s">
        <v>226</v>
      </c>
      <c r="I439" s="34"/>
      <c r="J439" s="9" t="s">
        <v>194</v>
      </c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</row>
    <row r="440" spans="1:28" ht="14.25" customHeight="1" x14ac:dyDescent="0.35">
      <c r="A440" s="12">
        <v>2003911</v>
      </c>
      <c r="B440" s="59" t="str">
        <f>IFERROR(VLOOKUP(Tabla1[[#This Row],[CODIGO]],INVENTARIO!A:B,2,0)," ")</f>
        <v>Válvula EFv PE 25 mm Para Tap. Tee</v>
      </c>
      <c r="C440" s="12">
        <v>1</v>
      </c>
      <c r="D440" s="13"/>
      <c r="E440" s="12">
        <v>361</v>
      </c>
      <c r="F440" s="14">
        <v>46083</v>
      </c>
      <c r="G440" s="34"/>
      <c r="H440" s="34" t="s">
        <v>226</v>
      </c>
      <c r="I440" s="34"/>
      <c r="J440" s="9" t="s">
        <v>194</v>
      </c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</row>
    <row r="441" spans="1:28" ht="14.25" customHeight="1" x14ac:dyDescent="0.35">
      <c r="A441" s="9" t="s">
        <v>292</v>
      </c>
      <c r="B441" s="59" t="str">
        <f>IFERROR(VLOOKUP(Tabla1[[#This Row],[CODIGO]],INVENTARIO!A:B,2,0)," ")</f>
        <v>Toalla Nova Clasica</v>
      </c>
      <c r="C441" s="12">
        <v>1</v>
      </c>
      <c r="D441" s="13"/>
      <c r="E441" s="12">
        <v>361</v>
      </c>
      <c r="F441" s="14">
        <v>46083</v>
      </c>
      <c r="G441" s="34"/>
      <c r="H441" s="34" t="s">
        <v>226</v>
      </c>
      <c r="I441" s="34"/>
      <c r="J441" s="9" t="s">
        <v>194</v>
      </c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</row>
    <row r="442" spans="1:28" ht="14.25" customHeight="1" x14ac:dyDescent="0.35">
      <c r="A442" s="12">
        <v>302659</v>
      </c>
      <c r="B442" s="59" t="str">
        <f>IFERROR(VLOOKUP(Tabla1[[#This Row],[CODIGO]],INVENTARIO!A:B,2,0)," ")</f>
        <v>Copla PE100 063mm EF</v>
      </c>
      <c r="C442" s="12">
        <v>2</v>
      </c>
      <c r="D442" s="13"/>
      <c r="E442" s="12">
        <v>363</v>
      </c>
      <c r="F442" s="14">
        <v>46083</v>
      </c>
      <c r="G442" s="34"/>
      <c r="H442" s="34" t="s">
        <v>338</v>
      </c>
      <c r="I442" s="34"/>
      <c r="J442" s="9" t="s">
        <v>286</v>
      </c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</row>
    <row r="443" spans="1:28" ht="14.25" customHeight="1" x14ac:dyDescent="0.35">
      <c r="A443" s="9" t="s">
        <v>292</v>
      </c>
      <c r="B443" s="59" t="str">
        <f>IFERROR(VLOOKUP(Tabla1[[#This Row],[CODIGO]],INVENTARIO!A:B,2,0)," ")</f>
        <v>Toalla Nova Clasica</v>
      </c>
      <c r="C443" s="12">
        <v>1</v>
      </c>
      <c r="D443" s="13"/>
      <c r="E443" s="12">
        <v>363</v>
      </c>
      <c r="F443" s="14">
        <v>46083</v>
      </c>
      <c r="G443" s="34"/>
      <c r="H443" s="34" t="s">
        <v>338</v>
      </c>
      <c r="I443" s="34"/>
      <c r="J443" s="9" t="s">
        <v>286</v>
      </c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</row>
    <row r="444" spans="1:28" ht="14.25" customHeight="1" x14ac:dyDescent="0.35">
      <c r="A444" s="12">
        <v>300108</v>
      </c>
      <c r="B444" s="59" t="str">
        <f>IFERROR(VLOOKUP(Tabla1[[#This Row],[CODIGO]],INVENTARIO!A:B,2,0)," ")</f>
        <v>Tapping Tee PE 63-25 mm</v>
      </c>
      <c r="C444" s="12">
        <v>1</v>
      </c>
      <c r="D444" s="13"/>
      <c r="E444" s="12">
        <v>365</v>
      </c>
      <c r="F444" s="14">
        <v>46083</v>
      </c>
      <c r="G444" s="34"/>
      <c r="H444" s="34" t="s">
        <v>287</v>
      </c>
      <c r="I444" s="34"/>
      <c r="J444" s="9" t="s">
        <v>326</v>
      </c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</row>
    <row r="445" spans="1:28" ht="14.25" customHeight="1" x14ac:dyDescent="0.35">
      <c r="A445" s="12">
        <v>2000350</v>
      </c>
      <c r="B445" s="59" t="str">
        <f>IFERROR(VLOOKUP(Tabla1[[#This Row],[CODIGO]],INVENTARIO!A:B,2,0)," ")</f>
        <v>Codo PE 90º  25 mm EF.</v>
      </c>
      <c r="C445" s="12">
        <v>4</v>
      </c>
      <c r="D445" s="13"/>
      <c r="E445" s="12">
        <v>365</v>
      </c>
      <c r="F445" s="14">
        <v>46083</v>
      </c>
      <c r="G445" s="34"/>
      <c r="H445" s="34" t="s">
        <v>287</v>
      </c>
      <c r="I445" s="34"/>
      <c r="J445" s="9" t="s">
        <v>326</v>
      </c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</row>
    <row r="446" spans="1:28" ht="14.25" customHeight="1" x14ac:dyDescent="0.35">
      <c r="A446" s="12">
        <v>301099</v>
      </c>
      <c r="B446" s="59" t="str">
        <f>IFERROR(VLOOKUP(Tabla1[[#This Row],[CODIGO]],INVENTARIO!A:B,2,0)," ")</f>
        <v>Válvula PE100 Dn 25mm</v>
      </c>
      <c r="C446" s="12">
        <v>1</v>
      </c>
      <c r="D446" s="13"/>
      <c r="E446" s="12">
        <v>365</v>
      </c>
      <c r="F446" s="14">
        <v>46083</v>
      </c>
      <c r="G446" s="34"/>
      <c r="H446" s="34" t="s">
        <v>287</v>
      </c>
      <c r="I446" s="34"/>
      <c r="J446" s="9" t="s">
        <v>326</v>
      </c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</row>
    <row r="447" spans="1:28" ht="14.25" customHeight="1" x14ac:dyDescent="0.35">
      <c r="A447" s="12">
        <v>301329</v>
      </c>
      <c r="B447" s="59" t="str">
        <f>IFERROR(VLOOKUP(Tabla1[[#This Row],[CODIGO]],INVENTARIO!A:B,2,0)," ")</f>
        <v>Copla PE100 025mm EF</v>
      </c>
      <c r="C447" s="12">
        <v>4</v>
      </c>
      <c r="D447" s="13"/>
      <c r="E447" s="12">
        <v>365</v>
      </c>
      <c r="F447" s="14">
        <v>46083</v>
      </c>
      <c r="G447" s="34"/>
      <c r="H447" s="34" t="s">
        <v>287</v>
      </c>
      <c r="I447" s="34"/>
      <c r="J447" s="9" t="s">
        <v>326</v>
      </c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</row>
    <row r="448" spans="1:28" ht="14.25" customHeight="1" x14ac:dyDescent="0.35">
      <c r="A448" s="12">
        <v>101618</v>
      </c>
      <c r="B448" s="59" t="str">
        <f>IFERROR(VLOOKUP(Tabla1[[#This Row],[CODIGO]],INVENTARIO!A:B,2,0)," ")</f>
        <v>Risers Ac,Recto 3/4 "x25 mm</v>
      </c>
      <c r="C448" s="12">
        <v>1</v>
      </c>
      <c r="D448" s="13"/>
      <c r="E448" s="12">
        <v>365</v>
      </c>
      <c r="F448" s="14">
        <v>46083</v>
      </c>
      <c r="G448" s="34"/>
      <c r="H448" s="34" t="s">
        <v>287</v>
      </c>
      <c r="I448" s="34"/>
      <c r="J448" s="9" t="s">
        <v>326</v>
      </c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</row>
    <row r="449" spans="1:28" ht="14.25" customHeight="1" x14ac:dyDescent="0.35">
      <c r="A449" s="12">
        <v>301738</v>
      </c>
      <c r="B449" s="59" t="str">
        <f>IFERROR(VLOOKUP(Tabla1[[#This Row],[CODIGO]],INVENTARIO!A:B,2,0)," ")</f>
        <v>Regulador Sum. Fe-25, 20 Mbar P.Fior</v>
      </c>
      <c r="C449" s="12">
        <v>1</v>
      </c>
      <c r="D449" s="13"/>
      <c r="E449" s="12">
        <v>365</v>
      </c>
      <c r="F449" s="14">
        <v>46083</v>
      </c>
      <c r="G449" s="34"/>
      <c r="H449" s="34" t="s">
        <v>287</v>
      </c>
      <c r="I449" s="34"/>
      <c r="J449" s="9" t="s">
        <v>326</v>
      </c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</row>
    <row r="450" spans="1:28" ht="14.25" customHeight="1" x14ac:dyDescent="0.35">
      <c r="A450" s="12">
        <v>301749</v>
      </c>
      <c r="B450" s="59" t="str">
        <f>IFERROR(VLOOKUP(Tabla1[[#This Row],[CODIGO]],INVENTARIO!A:B,2,0)," ")</f>
        <v>Tubería PE80 025mm Rollo</v>
      </c>
      <c r="C450" s="12">
        <v>4</v>
      </c>
      <c r="D450" s="13"/>
      <c r="E450" s="12">
        <v>365</v>
      </c>
      <c r="F450" s="14">
        <v>46083</v>
      </c>
      <c r="G450" s="34"/>
      <c r="H450" s="34" t="s">
        <v>287</v>
      </c>
      <c r="I450" s="34"/>
      <c r="J450" s="9" t="s">
        <v>326</v>
      </c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</row>
    <row r="451" spans="1:28" ht="14.25" customHeight="1" x14ac:dyDescent="0.35">
      <c r="A451" s="12">
        <v>2006391</v>
      </c>
      <c r="B451" s="59" t="str">
        <f>IFERROR(VLOOKUP(Tabla1[[#This Row],[CODIGO]],INVENTARIO!A:B,2,0)," ")</f>
        <v>Guardallave Fierro Fundido C/Tapa</v>
      </c>
      <c r="C451" s="12">
        <v>1</v>
      </c>
      <c r="D451" s="13"/>
      <c r="E451" s="12">
        <v>365</v>
      </c>
      <c r="F451" s="14">
        <v>46083</v>
      </c>
      <c r="G451" s="34"/>
      <c r="H451" s="34" t="s">
        <v>287</v>
      </c>
      <c r="I451" s="34"/>
      <c r="J451" s="9" t="s">
        <v>326</v>
      </c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</row>
    <row r="452" spans="1:28" ht="14.25" customHeight="1" x14ac:dyDescent="0.35">
      <c r="A452" s="12">
        <v>2007948</v>
      </c>
      <c r="B452" s="59" t="str">
        <f>IFERROR(VLOOKUP(Tabla1[[#This Row],[CODIGO]],INVENTARIO!A:B,2,0)," ")</f>
        <v>Tubo PVC Hidraulico 110 mm Pn6 Celeste</v>
      </c>
      <c r="C452" s="12">
        <v>1</v>
      </c>
      <c r="D452" s="13"/>
      <c r="E452" s="12">
        <v>365</v>
      </c>
      <c r="F452" s="14">
        <v>46083</v>
      </c>
      <c r="G452" s="34"/>
      <c r="H452" s="34" t="s">
        <v>287</v>
      </c>
      <c r="I452" s="34"/>
      <c r="J452" s="9" t="s">
        <v>326</v>
      </c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</row>
    <row r="453" spans="1:28" ht="14.25" customHeight="1" x14ac:dyDescent="0.35">
      <c r="A453" s="12">
        <v>302737</v>
      </c>
      <c r="B453" s="59" t="str">
        <f>IFERROR(VLOOKUP(Tabla1[[#This Row],[CODIGO]],INVENTARIO!A:B,2,0)," ")</f>
        <v>Válvula Bola 3/4" Hi Un Cuerpo Pn5 Arco</v>
      </c>
      <c r="C453" s="12">
        <v>1</v>
      </c>
      <c r="D453" s="13"/>
      <c r="E453" s="12">
        <v>365</v>
      </c>
      <c r="F453" s="14">
        <v>46083</v>
      </c>
      <c r="G453" s="34"/>
      <c r="H453" s="34" t="s">
        <v>287</v>
      </c>
      <c r="I453" s="34"/>
      <c r="J453" s="9" t="s">
        <v>326</v>
      </c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</row>
    <row r="454" spans="1:28" ht="14.25" customHeight="1" x14ac:dyDescent="0.35">
      <c r="A454" s="12">
        <v>303368</v>
      </c>
      <c r="B454" s="59" t="str">
        <f>IFERROR(VLOOKUP(Tabla1[[#This Row],[CODIGO]],INVENTARIO!A:B,2,0)," ")</f>
        <v>Cinta Plástica "Línea GN", 30 x 0.1</v>
      </c>
      <c r="C454" s="12">
        <v>3</v>
      </c>
      <c r="D454" s="13"/>
      <c r="E454" s="12">
        <v>365</v>
      </c>
      <c r="F454" s="14">
        <v>46083</v>
      </c>
      <c r="G454" s="34"/>
      <c r="H454" s="34" t="s">
        <v>287</v>
      </c>
      <c r="I454" s="34"/>
      <c r="J454" s="9" t="s">
        <v>326</v>
      </c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</row>
    <row r="455" spans="1:28" ht="14.25" customHeight="1" x14ac:dyDescent="0.35">
      <c r="A455" s="12">
        <v>1002167</v>
      </c>
      <c r="B455" s="59" t="str">
        <f>IFERROR(VLOOKUP(Tabla1[[#This Row],[CODIGO]],INVENTARIO!A:B,2,0)," ")</f>
        <v>Cable Trazador Cu 14 AWG Aisl. THW Roj</v>
      </c>
      <c r="C455" s="12">
        <v>3</v>
      </c>
      <c r="D455" s="13"/>
      <c r="E455" s="12">
        <v>365</v>
      </c>
      <c r="F455" s="14">
        <v>46083</v>
      </c>
      <c r="G455" s="34"/>
      <c r="H455" s="34" t="s">
        <v>287</v>
      </c>
      <c r="I455" s="34"/>
      <c r="J455" s="9" t="s">
        <v>326</v>
      </c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</row>
    <row r="456" spans="1:28" ht="14.25" customHeight="1" x14ac:dyDescent="0.35">
      <c r="A456" s="9" t="s">
        <v>292</v>
      </c>
      <c r="B456" s="59" t="str">
        <f>IFERROR(VLOOKUP(Tabla1[[#This Row],[CODIGO]],INVENTARIO!A:B,2,0)," ")</f>
        <v>Toalla Nova Clasica</v>
      </c>
      <c r="C456" s="12">
        <v>2</v>
      </c>
      <c r="D456" s="13"/>
      <c r="E456" s="12">
        <v>239</v>
      </c>
      <c r="F456" s="14">
        <v>46083</v>
      </c>
      <c r="G456" s="34"/>
      <c r="H456" s="34" t="s">
        <v>314</v>
      </c>
      <c r="I456" s="34"/>
      <c r="J456" s="9" t="s">
        <v>274</v>
      </c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</row>
    <row r="457" spans="1:28" ht="14.25" customHeight="1" x14ac:dyDescent="0.35">
      <c r="A457" s="9" t="s">
        <v>291</v>
      </c>
      <c r="B457" s="59" t="str">
        <f>IFERROR(VLOOKUP(Tabla1[[#This Row],[CODIGO]],INVENTARIO!A:B,2,0)," ")</f>
        <v>Alcohol Isopropilico  500 ml</v>
      </c>
      <c r="C457" s="12">
        <v>2</v>
      </c>
      <c r="D457" s="13"/>
      <c r="E457" s="12">
        <v>239</v>
      </c>
      <c r="F457" s="14">
        <v>46083</v>
      </c>
      <c r="G457" s="34"/>
      <c r="H457" s="34" t="s">
        <v>314</v>
      </c>
      <c r="I457" s="34"/>
      <c r="J457" s="9" t="s">
        <v>274</v>
      </c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</row>
    <row r="458" spans="1:28" ht="14.25" customHeight="1" x14ac:dyDescent="0.35">
      <c r="A458" s="12">
        <v>303015</v>
      </c>
      <c r="B458" s="59" t="str">
        <f>IFERROR(VLOOKUP(Tabla1[[#This Row],[CODIGO]],INVENTARIO!A:B,2,0)," ")</f>
        <v>Tee PE 110 mm Electro F.</v>
      </c>
      <c r="C458" s="12">
        <v>2</v>
      </c>
      <c r="D458" s="13"/>
      <c r="E458" s="12">
        <v>364</v>
      </c>
      <c r="F458" s="14">
        <v>46083</v>
      </c>
      <c r="G458" s="34"/>
      <c r="H458" s="34" t="s">
        <v>314</v>
      </c>
      <c r="I458" s="34"/>
      <c r="J458" s="9" t="s">
        <v>274</v>
      </c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</row>
    <row r="459" spans="1:28" ht="14.25" customHeight="1" x14ac:dyDescent="0.35">
      <c r="A459" s="12">
        <v>302317</v>
      </c>
      <c r="B459" s="59" t="str">
        <f>IFERROR(VLOOKUP(Tabla1[[#This Row],[CODIGO]],INVENTARIO!A:B,2,0)," ")</f>
        <v>Tapa PE 110 mm Termo F.</v>
      </c>
      <c r="C459" s="12">
        <v>1</v>
      </c>
      <c r="D459" s="13"/>
      <c r="E459" s="12">
        <v>364</v>
      </c>
      <c r="F459" s="14">
        <v>46083</v>
      </c>
      <c r="G459" s="34"/>
      <c r="H459" s="34" t="s">
        <v>314</v>
      </c>
      <c r="I459" s="34"/>
      <c r="J459" s="9" t="s">
        <v>274</v>
      </c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</row>
    <row r="460" spans="1:28" ht="14.25" customHeight="1" x14ac:dyDescent="0.35">
      <c r="A460" s="12">
        <v>303017</v>
      </c>
      <c r="B460" s="59" t="str">
        <f>IFERROR(VLOOKUP(Tabla1[[#This Row],[CODIGO]],INVENTARIO!A:B,2,0)," ")</f>
        <v>Codo PE100 90° 110mm EF</v>
      </c>
      <c r="C460" s="12">
        <v>4</v>
      </c>
      <c r="D460" s="13"/>
      <c r="E460" s="12">
        <v>364</v>
      </c>
      <c r="F460" s="14">
        <v>46083</v>
      </c>
      <c r="G460" s="34"/>
      <c r="H460" s="34" t="s">
        <v>314</v>
      </c>
      <c r="I460" s="34"/>
      <c r="J460" s="9" t="s">
        <v>274</v>
      </c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</row>
    <row r="461" spans="1:28" ht="14.25" customHeight="1" x14ac:dyDescent="0.35">
      <c r="A461" s="12">
        <v>2005135</v>
      </c>
      <c r="B461" s="59" t="str">
        <f>IFERROR(VLOOKUP(Tabla1[[#This Row],[CODIGO]],INVENTARIO!A:B,2,0)," ")</f>
        <v>Tubo PVC 110 mm PN6 CG Amarillo Tira 6 m</v>
      </c>
      <c r="C461" s="12">
        <v>1</v>
      </c>
      <c r="D461" s="13"/>
      <c r="E461" s="12">
        <v>241</v>
      </c>
      <c r="F461" s="14">
        <v>46084</v>
      </c>
      <c r="G461" s="34"/>
      <c r="H461" s="34" t="s">
        <v>223</v>
      </c>
      <c r="I461" s="34"/>
      <c r="J461" s="9" t="s">
        <v>207</v>
      </c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</row>
    <row r="462" spans="1:28" ht="14.25" customHeight="1" x14ac:dyDescent="0.35">
      <c r="A462" s="12">
        <v>2002262</v>
      </c>
      <c r="B462" s="59" t="str">
        <f>IFERROR(VLOOKUP(Tabla1[[#This Row],[CODIGO]],INVENTARIO!A:B,2,0)," ")</f>
        <v>Tubería PE80 050mm Rollo</v>
      </c>
      <c r="C462" s="12">
        <v>100</v>
      </c>
      <c r="D462" s="13"/>
      <c r="E462" s="12">
        <v>367</v>
      </c>
      <c r="F462" s="14">
        <v>46083</v>
      </c>
      <c r="G462" s="34"/>
      <c r="H462" s="34" t="s">
        <v>352</v>
      </c>
      <c r="I462" s="34"/>
      <c r="J462" s="9" t="s">
        <v>207</v>
      </c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</row>
    <row r="463" spans="1:28" ht="14.25" customHeight="1" x14ac:dyDescent="0.35">
      <c r="A463" s="12">
        <v>2005135</v>
      </c>
      <c r="B463" s="59" t="str">
        <f>IFERROR(VLOOKUP(Tabla1[[#This Row],[CODIGO]],INVENTARIO!A:B,2,0)," ")</f>
        <v>Tubo PVC 110 mm PN6 CG Amarillo Tira 6 m</v>
      </c>
      <c r="C463" s="12">
        <v>1</v>
      </c>
      <c r="D463" s="13"/>
      <c r="E463" s="12">
        <v>367</v>
      </c>
      <c r="F463" s="14">
        <v>46083</v>
      </c>
      <c r="G463" s="34"/>
      <c r="H463" s="34" t="s">
        <v>352</v>
      </c>
      <c r="I463" s="34"/>
      <c r="J463" s="9" t="s">
        <v>207</v>
      </c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</row>
    <row r="464" spans="1:28" ht="14.25" customHeight="1" x14ac:dyDescent="0.35">
      <c r="A464" s="12">
        <v>303368</v>
      </c>
      <c r="B464" s="59" t="str">
        <f>IFERROR(VLOOKUP(Tabla1[[#This Row],[CODIGO]],INVENTARIO!A:B,2,0)," ")</f>
        <v>Cinta Plástica "Línea GN", 30 x 0.1</v>
      </c>
      <c r="C464" s="12">
        <v>100</v>
      </c>
      <c r="D464" s="13"/>
      <c r="E464" s="12">
        <v>238</v>
      </c>
      <c r="F464" s="14">
        <v>46083</v>
      </c>
      <c r="G464" s="34"/>
      <c r="H464" s="34" t="s">
        <v>223</v>
      </c>
      <c r="I464" s="34"/>
      <c r="J464" s="9" t="s">
        <v>207</v>
      </c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</row>
    <row r="465" spans="1:28" ht="14.25" customHeight="1" x14ac:dyDescent="0.35">
      <c r="A465" s="12">
        <v>1002167</v>
      </c>
      <c r="B465" s="59" t="str">
        <f>IFERROR(VLOOKUP(Tabla1[[#This Row],[CODIGO]],INVENTARIO!A:B,2,0)," ")</f>
        <v>Cable Trazador Cu 14 AWG Aisl. THW Roj</v>
      </c>
      <c r="C465" s="12">
        <v>100</v>
      </c>
      <c r="D465" s="13"/>
      <c r="E465" s="12">
        <v>238</v>
      </c>
      <c r="F465" s="14">
        <v>46083</v>
      </c>
      <c r="G465" s="34"/>
      <c r="H465" s="34" t="s">
        <v>223</v>
      </c>
      <c r="I465" s="34"/>
      <c r="J465" s="9" t="s">
        <v>207</v>
      </c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</row>
    <row r="466" spans="1:28" ht="14.25" customHeight="1" x14ac:dyDescent="0.35">
      <c r="A466" s="12">
        <v>301327</v>
      </c>
      <c r="B466" s="59" t="str">
        <f>IFERROR(VLOOKUP(Tabla1[[#This Row],[CODIGO]],INVENTARIO!A:B,2,0)," ")</f>
        <v>Tapa PE  050 mm Termo F.</v>
      </c>
      <c r="C466" s="12">
        <v>2</v>
      </c>
      <c r="D466" s="13"/>
      <c r="E466" s="12">
        <v>238</v>
      </c>
      <c r="F466" s="14">
        <v>46083</v>
      </c>
      <c r="G466" s="34"/>
      <c r="H466" s="34" t="s">
        <v>223</v>
      </c>
      <c r="I466" s="34"/>
      <c r="J466" s="9" t="s">
        <v>207</v>
      </c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</row>
    <row r="467" spans="1:28" ht="14.25" customHeight="1" x14ac:dyDescent="0.35">
      <c r="A467" s="12">
        <v>303345</v>
      </c>
      <c r="B467" s="59" t="str">
        <f>IFERROR(VLOOKUP(Tabla1[[#This Row],[CODIGO]],INVENTARIO!A:B,2,0)," ")</f>
        <v>Copla PE100 050mm EF</v>
      </c>
      <c r="C467" s="12">
        <v>3</v>
      </c>
      <c r="D467" s="13"/>
      <c r="E467" s="12">
        <v>238</v>
      </c>
      <c r="F467" s="14">
        <v>46083</v>
      </c>
      <c r="G467" s="34"/>
      <c r="H467" s="34" t="s">
        <v>223</v>
      </c>
      <c r="I467" s="34"/>
      <c r="J467" s="9" t="s">
        <v>207</v>
      </c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</row>
    <row r="468" spans="1:28" ht="14.25" customHeight="1" x14ac:dyDescent="0.35">
      <c r="A468" s="12">
        <v>302065</v>
      </c>
      <c r="B468" s="59" t="str">
        <f>IFERROR(VLOOKUP(Tabla1[[#This Row],[CODIGO]],INVENTARIO!A:B,2,0)," ")</f>
        <v>Tubería PE80 110mm Tira</v>
      </c>
      <c r="C468" s="12">
        <v>120</v>
      </c>
      <c r="D468" s="13"/>
      <c r="E468" s="12">
        <v>975</v>
      </c>
      <c r="F468" s="14">
        <v>46373</v>
      </c>
      <c r="G468" s="34"/>
      <c r="H468" s="34" t="s">
        <v>314</v>
      </c>
      <c r="I468" s="34"/>
      <c r="J468" s="9" t="s">
        <v>274</v>
      </c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</row>
    <row r="469" spans="1:28" ht="14.25" customHeight="1" x14ac:dyDescent="0.35">
      <c r="A469" s="12">
        <v>300820</v>
      </c>
      <c r="B469" s="59" t="str">
        <f>IFERROR(VLOOKUP(Tabla1[[#This Row],[CODIGO]],INVENTARIO!A:B,2,0)," ")</f>
        <v>Tubería PE80 160mm Tira</v>
      </c>
      <c r="C469" s="12">
        <v>384</v>
      </c>
      <c r="D469" s="13"/>
      <c r="E469" s="12">
        <v>350</v>
      </c>
      <c r="F469" s="14">
        <v>46080</v>
      </c>
      <c r="G469" s="34"/>
      <c r="H469" s="34" t="s">
        <v>267</v>
      </c>
      <c r="I469" s="34"/>
      <c r="J469" s="9" t="s">
        <v>341</v>
      </c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</row>
    <row r="470" spans="1:28" ht="14.25" customHeight="1" x14ac:dyDescent="0.35">
      <c r="A470" s="12">
        <v>301047</v>
      </c>
      <c r="B470" s="59" t="str">
        <f>IFERROR(VLOOKUP(Tabla1[[#This Row],[CODIGO]],INVENTARIO!A:B,2,0)," ")</f>
        <v>Tee PE 160 mm Electro F.</v>
      </c>
      <c r="C470" s="12">
        <v>1</v>
      </c>
      <c r="D470" s="13"/>
      <c r="E470" s="12">
        <v>350</v>
      </c>
      <c r="F470" s="14">
        <v>46080</v>
      </c>
      <c r="G470" s="34"/>
      <c r="H470" s="34" t="s">
        <v>267</v>
      </c>
      <c r="I470" s="34"/>
      <c r="J470" s="9" t="s">
        <v>341</v>
      </c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</row>
    <row r="471" spans="1:28" ht="14.25" customHeight="1" x14ac:dyDescent="0.35">
      <c r="A471" s="12">
        <v>301334</v>
      </c>
      <c r="B471" s="59" t="str">
        <f>IFERROR(VLOOKUP(Tabla1[[#This Row],[CODIGO]],INVENTARIO!A:B,2,0)," ")</f>
        <v>Codo PE100 90° 160mm TF</v>
      </c>
      <c r="C471" s="12">
        <v>5</v>
      </c>
      <c r="D471" s="13"/>
      <c r="E471" s="12">
        <v>350</v>
      </c>
      <c r="F471" s="14">
        <v>46080</v>
      </c>
      <c r="G471" s="34"/>
      <c r="H471" s="34" t="s">
        <v>267</v>
      </c>
      <c r="I471" s="34"/>
      <c r="J471" s="9" t="s">
        <v>341</v>
      </c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</row>
    <row r="472" spans="1:28" ht="14.25" customHeight="1" x14ac:dyDescent="0.35">
      <c r="A472" s="12">
        <v>302683</v>
      </c>
      <c r="B472" s="59" t="str">
        <f>IFERROR(VLOOKUP(Tabla1[[#This Row],[CODIGO]],INVENTARIO!A:B,2,0)," ")</f>
        <v>Codo PE100 45° 160mm EF</v>
      </c>
      <c r="C472" s="12">
        <v>5</v>
      </c>
      <c r="D472" s="13"/>
      <c r="E472" s="12">
        <v>350</v>
      </c>
      <c r="F472" s="14">
        <v>46080</v>
      </c>
      <c r="G472" s="34"/>
      <c r="H472" s="34" t="s">
        <v>267</v>
      </c>
      <c r="I472" s="34"/>
      <c r="J472" s="9" t="s">
        <v>341</v>
      </c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</row>
    <row r="473" spans="1:28" ht="14.25" customHeight="1" x14ac:dyDescent="0.35">
      <c r="A473" s="12">
        <v>300117</v>
      </c>
      <c r="B473" s="59" t="str">
        <f>IFERROR(VLOOKUP(Tabla1[[#This Row],[CODIGO]],INVENTARIO!A:B,2,0)," ")</f>
        <v>Copla PE100 160mm EF</v>
      </c>
      <c r="C473" s="12">
        <v>16</v>
      </c>
      <c r="D473" s="13"/>
      <c r="E473" s="12">
        <v>350</v>
      </c>
      <c r="F473" s="14">
        <v>46080</v>
      </c>
      <c r="G473" s="34"/>
      <c r="H473" s="34" t="s">
        <v>267</v>
      </c>
      <c r="I473" s="34"/>
      <c r="J473" s="9" t="s">
        <v>341</v>
      </c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</row>
    <row r="474" spans="1:28" ht="14.25" customHeight="1" x14ac:dyDescent="0.35">
      <c r="A474" s="12">
        <v>300422</v>
      </c>
      <c r="B474" s="59" t="str">
        <f>IFERROR(VLOOKUP(Tabla1[[#This Row],[CODIGO]],INVENTARIO!A:B,2,0)," ")</f>
        <v>Tapa PE 160 mm Termo F.</v>
      </c>
      <c r="C474" s="12">
        <v>2</v>
      </c>
      <c r="D474" s="13"/>
      <c r="E474" s="12">
        <v>350</v>
      </c>
      <c r="F474" s="14">
        <v>46080</v>
      </c>
      <c r="G474" s="34"/>
      <c r="H474" s="34" t="s">
        <v>267</v>
      </c>
      <c r="I474" s="34"/>
      <c r="J474" s="9" t="s">
        <v>341</v>
      </c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</row>
    <row r="475" spans="1:28" ht="14.25" customHeight="1" x14ac:dyDescent="0.35">
      <c r="A475" s="12">
        <v>303510</v>
      </c>
      <c r="B475" s="59" t="str">
        <f>IFERROR(VLOOKUP(Tabla1[[#This Row],[CODIGO]],INVENTARIO!A:B,2,0)," ")</f>
        <v>Guardallave Hormigón 125 mm con Tapa</v>
      </c>
      <c r="C475" s="12">
        <v>4</v>
      </c>
      <c r="D475" s="13"/>
      <c r="E475" s="12">
        <v>350</v>
      </c>
      <c r="F475" s="14">
        <v>46080</v>
      </c>
      <c r="G475" s="34"/>
      <c r="H475" s="34" t="s">
        <v>267</v>
      </c>
      <c r="I475" s="34"/>
      <c r="J475" s="9" t="s">
        <v>341</v>
      </c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</row>
    <row r="476" spans="1:28" ht="14.25" customHeight="1" x14ac:dyDescent="0.35">
      <c r="A476" s="12">
        <v>303368</v>
      </c>
      <c r="B476" s="59" t="str">
        <f>IFERROR(VLOOKUP(Tabla1[[#This Row],[CODIGO]],INVENTARIO!A:B,2,0)," ")</f>
        <v>Cinta Plástica "Línea GN", 30 x 0.1</v>
      </c>
      <c r="C476" s="12">
        <v>394</v>
      </c>
      <c r="D476" s="13"/>
      <c r="E476" s="12">
        <v>350</v>
      </c>
      <c r="F476" s="14">
        <v>46080</v>
      </c>
      <c r="G476" s="34"/>
      <c r="H476" s="34" t="s">
        <v>267</v>
      </c>
      <c r="I476" s="34"/>
      <c r="J476" s="9" t="s">
        <v>341</v>
      </c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</row>
    <row r="477" spans="1:28" ht="14.25" customHeight="1" x14ac:dyDescent="0.35">
      <c r="A477" s="12">
        <v>1002167</v>
      </c>
      <c r="B477" s="59" t="str">
        <f>IFERROR(VLOOKUP(Tabla1[[#This Row],[CODIGO]],INVENTARIO!A:B,2,0)," ")</f>
        <v>Cable Trazador Cu 14 AWG Aisl. THW Roj</v>
      </c>
      <c r="C477" s="12">
        <v>394</v>
      </c>
      <c r="D477" s="13"/>
      <c r="E477" s="12">
        <v>350</v>
      </c>
      <c r="F477" s="14">
        <v>46080</v>
      </c>
      <c r="G477" s="34"/>
      <c r="H477" s="34" t="s">
        <v>267</v>
      </c>
      <c r="I477" s="34"/>
      <c r="J477" s="9" t="s">
        <v>341</v>
      </c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</row>
    <row r="478" spans="1:28" ht="14.25" customHeight="1" x14ac:dyDescent="0.35">
      <c r="A478" s="12">
        <v>300527</v>
      </c>
      <c r="B478" s="59" t="str">
        <f>IFERROR(VLOOKUP(Tabla1[[#This Row],[CODIGO]],INVENTARIO!A:B,2,0)," ")</f>
        <v>Tapping Tee PE 160-25 mm</v>
      </c>
      <c r="C478" s="12">
        <v>6</v>
      </c>
      <c r="D478" s="13"/>
      <c r="E478" s="12">
        <v>350</v>
      </c>
      <c r="F478" s="14">
        <v>46080</v>
      </c>
      <c r="G478" s="34"/>
      <c r="H478" s="34" t="s">
        <v>267</v>
      </c>
      <c r="I478" s="34"/>
      <c r="J478" s="9" t="s">
        <v>341</v>
      </c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</row>
    <row r="479" spans="1:28" ht="14.25" customHeight="1" x14ac:dyDescent="0.35">
      <c r="A479" s="12">
        <v>300109</v>
      </c>
      <c r="B479" s="59" t="str">
        <f>IFERROR(VLOOKUP(Tabla1[[#This Row],[CODIGO]],INVENTARIO!A:B,2,0)," ")</f>
        <v>Risers de Acero 3/4" Bsp x 25 mm</v>
      </c>
      <c r="C479" s="12">
        <v>4</v>
      </c>
      <c r="D479" s="13"/>
      <c r="E479" s="12">
        <v>350</v>
      </c>
      <c r="F479" s="14">
        <v>46080</v>
      </c>
      <c r="G479" s="34"/>
      <c r="H479" s="34" t="s">
        <v>267</v>
      </c>
      <c r="I479" s="34"/>
      <c r="J479" s="9" t="s">
        <v>341</v>
      </c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</row>
    <row r="480" spans="1:28" ht="14.25" customHeight="1" x14ac:dyDescent="0.35">
      <c r="A480" s="12">
        <v>302184</v>
      </c>
      <c r="B480" s="59" t="str">
        <f>IFERROR(VLOOKUP(Tabla1[[#This Row],[CODIGO]],INVENTARIO!A:B,2,0)," ")</f>
        <v>Tapa Tornillo Cambio de Codigo por: 2008481</v>
      </c>
      <c r="C480" s="12">
        <v>6</v>
      </c>
      <c r="D480" s="13"/>
      <c r="E480" s="12">
        <v>350</v>
      </c>
      <c r="F480" s="14">
        <v>46080</v>
      </c>
      <c r="G480" s="34"/>
      <c r="H480" s="34" t="s">
        <v>267</v>
      </c>
      <c r="I480" s="34"/>
      <c r="J480" s="9" t="s">
        <v>341</v>
      </c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</row>
    <row r="481" spans="1:28" ht="14.25" customHeight="1" x14ac:dyDescent="0.35">
      <c r="A481" s="12">
        <v>302737</v>
      </c>
      <c r="B481" s="59" t="str">
        <f>IFERROR(VLOOKUP(Tabla1[[#This Row],[CODIGO]],INVENTARIO!A:B,2,0)," ")</f>
        <v>Válvula Bola 3/4" Hi Un Cuerpo Pn5 Arco</v>
      </c>
      <c r="C481" s="12">
        <v>6</v>
      </c>
      <c r="D481" s="13"/>
      <c r="E481" s="12">
        <v>350</v>
      </c>
      <c r="F481" s="14">
        <v>46080</v>
      </c>
      <c r="G481" s="34"/>
      <c r="H481" s="34" t="s">
        <v>267</v>
      </c>
      <c r="I481" s="34"/>
      <c r="J481" s="9" t="s">
        <v>341</v>
      </c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</row>
    <row r="482" spans="1:28" ht="14.25" customHeight="1" x14ac:dyDescent="0.35">
      <c r="A482" s="12">
        <v>301329</v>
      </c>
      <c r="B482" s="59" t="str">
        <f>IFERROR(VLOOKUP(Tabla1[[#This Row],[CODIGO]],INVENTARIO!A:B,2,0)," ")</f>
        <v>Copla PE100 025mm EF</v>
      </c>
      <c r="C482" s="12">
        <v>17</v>
      </c>
      <c r="D482" s="13"/>
      <c r="E482" s="12">
        <v>350</v>
      </c>
      <c r="F482" s="14">
        <v>46080</v>
      </c>
      <c r="G482" s="34"/>
      <c r="H482" s="34" t="s">
        <v>267</v>
      </c>
      <c r="I482" s="34"/>
      <c r="J482" s="9" t="s">
        <v>341</v>
      </c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</row>
    <row r="483" spans="1:28" ht="14.25" customHeight="1" x14ac:dyDescent="0.35">
      <c r="A483" s="12">
        <v>300712</v>
      </c>
      <c r="B483" s="59" t="str">
        <f>IFERROR(VLOOKUP(Tabla1[[#This Row],[CODIGO]],INVENTARIO!A:B,2,0)," ")</f>
        <v>Tapa PE  025 mm Termo F.</v>
      </c>
      <c r="C483" s="12">
        <v>2</v>
      </c>
      <c r="D483" s="13"/>
      <c r="E483" s="12">
        <v>350</v>
      </c>
      <c r="F483" s="14">
        <v>46080</v>
      </c>
      <c r="G483" s="34"/>
      <c r="H483" s="34" t="s">
        <v>267</v>
      </c>
      <c r="I483" s="34"/>
      <c r="J483" s="9" t="s">
        <v>341</v>
      </c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</row>
    <row r="484" spans="1:28" ht="14.25" customHeight="1" x14ac:dyDescent="0.35">
      <c r="A484" s="12">
        <v>301770</v>
      </c>
      <c r="B484" s="59" t="str">
        <f>IFERROR(VLOOKUP(Tabla1[[#This Row],[CODIGO]],INVENTARIO!A:B,2,0)," ")</f>
        <v>Válvula PE100 Dn 160mm</v>
      </c>
      <c r="C484" s="12">
        <v>1</v>
      </c>
      <c r="D484" s="13"/>
      <c r="E484" s="12">
        <v>350</v>
      </c>
      <c r="F484" s="14">
        <v>46080</v>
      </c>
      <c r="G484" s="34"/>
      <c r="H484" s="34" t="s">
        <v>267</v>
      </c>
      <c r="I484" s="34"/>
      <c r="J484" s="9" t="s">
        <v>341</v>
      </c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</row>
    <row r="485" spans="1:28" ht="14.25" customHeight="1" x14ac:dyDescent="0.35">
      <c r="A485" s="12">
        <v>2000350</v>
      </c>
      <c r="B485" s="59" t="str">
        <f>IFERROR(VLOOKUP(Tabla1[[#This Row],[CODIGO]],INVENTARIO!A:B,2,0)," ")</f>
        <v>Codo PE 90º  25 mm EF.</v>
      </c>
      <c r="C485" s="12">
        <v>10</v>
      </c>
      <c r="D485" s="13"/>
      <c r="E485" s="12">
        <v>350</v>
      </c>
      <c r="F485" s="14">
        <v>46080</v>
      </c>
      <c r="G485" s="34"/>
      <c r="H485" s="34" t="s">
        <v>267</v>
      </c>
      <c r="I485" s="34"/>
      <c r="J485" s="9" t="s">
        <v>341</v>
      </c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</row>
    <row r="486" spans="1:28" ht="14.25" customHeight="1" x14ac:dyDescent="0.35">
      <c r="A486" s="12">
        <v>301749</v>
      </c>
      <c r="B486" s="59" t="str">
        <f>IFERROR(VLOOKUP(Tabla1[[#This Row],[CODIGO]],INVENTARIO!A:B,2,0)," ")</f>
        <v>Tubería PE80 025mm Rollo</v>
      </c>
      <c r="C486" s="12">
        <v>14</v>
      </c>
      <c r="D486" s="13"/>
      <c r="E486" s="12">
        <v>350</v>
      </c>
      <c r="F486" s="14">
        <v>46080</v>
      </c>
      <c r="G486" s="34"/>
      <c r="H486" s="34" t="s">
        <v>267</v>
      </c>
      <c r="I486" s="34"/>
      <c r="J486" s="9" t="s">
        <v>341</v>
      </c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</row>
    <row r="487" spans="1:28" ht="14.25" customHeight="1" x14ac:dyDescent="0.35">
      <c r="A487" s="12">
        <v>2007948</v>
      </c>
      <c r="B487" s="59" t="str">
        <f>IFERROR(VLOOKUP(Tabla1[[#This Row],[CODIGO]],INVENTARIO!A:B,2,0)," ")</f>
        <v>Tubo PVC Hidraulico 110 mm Pn6 Celeste</v>
      </c>
      <c r="C487" s="12">
        <v>7</v>
      </c>
      <c r="D487" s="13"/>
      <c r="E487" s="12">
        <v>350</v>
      </c>
      <c r="F487" s="14">
        <v>46080</v>
      </c>
      <c r="G487" s="34"/>
      <c r="H487" s="34" t="s">
        <v>267</v>
      </c>
      <c r="I487" s="34"/>
      <c r="J487" s="9" t="s">
        <v>341</v>
      </c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</row>
    <row r="488" spans="1:28" ht="14.25" customHeight="1" x14ac:dyDescent="0.35">
      <c r="A488" s="12">
        <v>2006391</v>
      </c>
      <c r="B488" s="59" t="str">
        <f>IFERROR(VLOOKUP(Tabla1[[#This Row],[CODIGO]],INVENTARIO!A:B,2,0)," ")</f>
        <v>Guardallave Fierro Fundido C/Tapa</v>
      </c>
      <c r="C488" s="12">
        <v>5</v>
      </c>
      <c r="D488" s="13"/>
      <c r="E488" s="12">
        <v>350</v>
      </c>
      <c r="F488" s="14">
        <v>46080</v>
      </c>
      <c r="G488" s="34"/>
      <c r="H488" s="34" t="s">
        <v>267</v>
      </c>
      <c r="I488" s="34"/>
      <c r="J488" s="9" t="s">
        <v>341</v>
      </c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</row>
    <row r="489" spans="1:28" ht="14.25" customHeight="1" x14ac:dyDescent="0.35">
      <c r="A489" s="12">
        <v>2006393</v>
      </c>
      <c r="B489" s="59" t="str">
        <f>IFERROR(VLOOKUP(Tabla1[[#This Row],[CODIGO]],INVENTARIO!A:B,2,0)," ")</f>
        <v>Transición Latón 3/4"x25 MM PE100, SDR11</v>
      </c>
      <c r="C489" s="12">
        <v>2</v>
      </c>
      <c r="D489" s="13"/>
      <c r="E489" s="12">
        <v>350</v>
      </c>
      <c r="F489" s="14">
        <v>46080</v>
      </c>
      <c r="G489" s="34"/>
      <c r="H489" s="34" t="s">
        <v>267</v>
      </c>
      <c r="I489" s="34"/>
      <c r="J489" s="9" t="s">
        <v>341</v>
      </c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</row>
    <row r="490" spans="1:28" ht="14.25" customHeight="1" x14ac:dyDescent="0.35">
      <c r="A490" s="12">
        <v>2006392</v>
      </c>
      <c r="B490" s="59" t="str">
        <f>IFERROR(VLOOKUP(Tabla1[[#This Row],[CODIGO]],INVENTARIO!A:B,2,0)," ")</f>
        <v>Limitador Flujo P/Tapping Tee 25 MM</v>
      </c>
      <c r="C490" s="12">
        <v>2</v>
      </c>
      <c r="D490" s="13"/>
      <c r="E490" s="12">
        <v>350</v>
      </c>
      <c r="F490" s="14">
        <v>46080</v>
      </c>
      <c r="G490" s="34"/>
      <c r="H490" s="34" t="s">
        <v>267</v>
      </c>
      <c r="I490" s="34"/>
      <c r="J490" s="9" t="s">
        <v>341</v>
      </c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</row>
    <row r="491" spans="1:28" ht="14.25" customHeight="1" x14ac:dyDescent="0.35">
      <c r="A491" s="12">
        <v>303511</v>
      </c>
      <c r="B491" s="59" t="str">
        <f>IFERROR(VLOOKUP(Tabla1[[#This Row],[CODIGO]],INVENTARIO!A:B,2,0)," ")</f>
        <v>Lata de Espuma Poliuretano Adimus / 500 ML</v>
      </c>
      <c r="C491" s="12">
        <v>2</v>
      </c>
      <c r="D491" s="13"/>
      <c r="E491" s="12">
        <v>350</v>
      </c>
      <c r="F491" s="14">
        <v>46080</v>
      </c>
      <c r="G491" s="34"/>
      <c r="H491" s="34" t="s">
        <v>267</v>
      </c>
      <c r="I491" s="34"/>
      <c r="J491" s="9" t="s">
        <v>341</v>
      </c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</row>
    <row r="492" spans="1:28" ht="14.25" customHeight="1" x14ac:dyDescent="0.35">
      <c r="A492" s="12">
        <v>301815</v>
      </c>
      <c r="B492" s="59" t="str">
        <f>IFERROR(VLOOKUP(Tabla1[[#This Row],[CODIGO]],INVENTARIO!A:B,2,0)," ")</f>
        <v>Ánodo Magne. Alto Potencial 9 Lbs</v>
      </c>
      <c r="C492" s="12">
        <v>1</v>
      </c>
      <c r="D492" s="13"/>
      <c r="E492" s="12">
        <v>350</v>
      </c>
      <c r="F492" s="14">
        <v>46080</v>
      </c>
      <c r="G492" s="34"/>
      <c r="H492" s="34" t="s">
        <v>267</v>
      </c>
      <c r="I492" s="34"/>
      <c r="J492" s="9" t="s">
        <v>341</v>
      </c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</row>
    <row r="493" spans="1:28" ht="14.25" customHeight="1" x14ac:dyDescent="0.35">
      <c r="A493" s="12">
        <v>301099</v>
      </c>
      <c r="B493" s="59" t="str">
        <f>IFERROR(VLOOKUP(Tabla1[[#This Row],[CODIGO]],INVENTARIO!A:B,2,0)," ")</f>
        <v>Válvula PE100 Dn 25mm</v>
      </c>
      <c r="C493" s="12">
        <v>2</v>
      </c>
      <c r="D493" s="13"/>
      <c r="E493" s="12">
        <v>350</v>
      </c>
      <c r="F493" s="14">
        <v>46080</v>
      </c>
      <c r="G493" s="34"/>
      <c r="H493" s="34" t="s">
        <v>267</v>
      </c>
      <c r="I493" s="34"/>
      <c r="J493" s="9" t="s">
        <v>341</v>
      </c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</row>
    <row r="494" spans="1:28" ht="14.25" customHeight="1" x14ac:dyDescent="0.35">
      <c r="A494" s="12">
        <v>2003911</v>
      </c>
      <c r="B494" s="59" t="str">
        <f>IFERROR(VLOOKUP(Tabla1[[#This Row],[CODIGO]],INVENTARIO!A:B,2,0)," ")</f>
        <v>Válvula EFv PE 25 mm Para Tap. Tee</v>
      </c>
      <c r="C494" s="12">
        <v>2</v>
      </c>
      <c r="D494" s="13"/>
      <c r="E494" s="12">
        <v>350</v>
      </c>
      <c r="F494" s="14">
        <v>46080</v>
      </c>
      <c r="G494" s="34"/>
      <c r="H494" s="34" t="s">
        <v>267</v>
      </c>
      <c r="I494" s="34"/>
      <c r="J494" s="9" t="s">
        <v>341</v>
      </c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</row>
    <row r="495" spans="1:28" ht="14.25" customHeight="1" x14ac:dyDescent="0.35">
      <c r="A495" s="12">
        <v>2000350</v>
      </c>
      <c r="B495" s="59" t="str">
        <f>IFERROR(VLOOKUP(Tabla1[[#This Row],[CODIGO]],INVENTARIO!A:B,2,0)," ")</f>
        <v>Codo PE 90º  25 mm EF.</v>
      </c>
      <c r="C495" s="12">
        <v>2</v>
      </c>
      <c r="D495" s="13"/>
      <c r="E495" s="12">
        <v>233</v>
      </c>
      <c r="F495" s="14">
        <v>46079</v>
      </c>
      <c r="G495" s="34"/>
      <c r="H495" s="34" t="s">
        <v>309</v>
      </c>
      <c r="I495" s="34"/>
      <c r="J495" s="9" t="s">
        <v>324</v>
      </c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</row>
    <row r="496" spans="1:28" ht="14.25" customHeight="1" x14ac:dyDescent="0.35">
      <c r="A496" s="12">
        <v>2008481</v>
      </c>
      <c r="B496" s="59" t="str">
        <f>IFERROR(VLOOKUP(Tabla1[[#This Row],[CODIGO]],INVENTARIO!A:B,2,0)," ")</f>
        <v>Tapa Tornillo Bronce 3/4" HE Bspt.</v>
      </c>
      <c r="C496" s="12">
        <v>1</v>
      </c>
      <c r="D496" s="13"/>
      <c r="E496" s="12">
        <v>236</v>
      </c>
      <c r="F496" s="14">
        <v>46080</v>
      </c>
      <c r="G496" s="34"/>
      <c r="H496" s="34" t="s">
        <v>314</v>
      </c>
      <c r="I496" s="34"/>
      <c r="J496" s="9" t="s">
        <v>274</v>
      </c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</row>
    <row r="497" spans="1:28" ht="14.25" customHeight="1" x14ac:dyDescent="0.35">
      <c r="A497" s="12">
        <v>302737</v>
      </c>
      <c r="B497" s="59" t="str">
        <f>IFERROR(VLOOKUP(Tabla1[[#This Row],[CODIGO]],INVENTARIO!A:B,2,0)," ")</f>
        <v>Válvula Bola 3/4" Hi Un Cuerpo Pn5 Arco</v>
      </c>
      <c r="C497" s="12">
        <v>1</v>
      </c>
      <c r="D497" s="13"/>
      <c r="E497" s="12">
        <v>236</v>
      </c>
      <c r="F497" s="14">
        <v>46080</v>
      </c>
      <c r="G497" s="34"/>
      <c r="H497" s="34" t="s">
        <v>314</v>
      </c>
      <c r="I497" s="34"/>
      <c r="J497" s="9" t="s">
        <v>274</v>
      </c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</row>
    <row r="498" spans="1:28" ht="14.25" customHeight="1" x14ac:dyDescent="0.35">
      <c r="A498" s="12">
        <v>302317</v>
      </c>
      <c r="B498" s="59" t="str">
        <f>IFERROR(VLOOKUP(Tabla1[[#This Row],[CODIGO]],INVENTARIO!A:B,2,0)," ")</f>
        <v>Tapa PE 110 mm Termo F.</v>
      </c>
      <c r="C498" s="12">
        <v>1</v>
      </c>
      <c r="D498" s="13"/>
      <c r="E498" s="12">
        <v>236</v>
      </c>
      <c r="F498" s="14">
        <v>46080</v>
      </c>
      <c r="G498" s="34"/>
      <c r="H498" s="34" t="s">
        <v>314</v>
      </c>
      <c r="I498" s="34"/>
      <c r="J498" s="9" t="s">
        <v>274</v>
      </c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</row>
    <row r="499" spans="1:28" ht="14.25" customHeight="1" x14ac:dyDescent="0.35">
      <c r="A499" s="12">
        <v>302065</v>
      </c>
      <c r="B499" s="59" t="str">
        <f>IFERROR(VLOOKUP(Tabla1[[#This Row],[CODIGO]],INVENTARIO!A:B,2,0)," ")</f>
        <v>Tubería PE80 110mm Tira</v>
      </c>
      <c r="C499" s="12">
        <v>60</v>
      </c>
      <c r="D499" s="13"/>
      <c r="E499" s="12">
        <v>353</v>
      </c>
      <c r="F499" s="14">
        <v>46080</v>
      </c>
      <c r="G499" s="34"/>
      <c r="H499" s="34" t="s">
        <v>314</v>
      </c>
      <c r="I499" s="34"/>
      <c r="J499" s="9" t="s">
        <v>274</v>
      </c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</row>
    <row r="500" spans="1:28" ht="14.25" customHeight="1" x14ac:dyDescent="0.35">
      <c r="A500" s="12">
        <v>302317</v>
      </c>
      <c r="B500" s="59" t="str">
        <f>IFERROR(VLOOKUP(Tabla1[[#This Row],[CODIGO]],INVENTARIO!A:B,2,0)," ")</f>
        <v>Tapa PE 110 mm Termo F.</v>
      </c>
      <c r="C500" s="12">
        <v>9</v>
      </c>
      <c r="D500" s="13"/>
      <c r="E500" s="12">
        <v>357</v>
      </c>
      <c r="F500" s="14">
        <v>46080</v>
      </c>
      <c r="G500" s="34"/>
      <c r="H500" s="34" t="s">
        <v>267</v>
      </c>
      <c r="I500" s="34"/>
      <c r="J500" s="9" t="s">
        <v>197</v>
      </c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</row>
    <row r="501" spans="1:28" ht="14.25" customHeight="1" x14ac:dyDescent="0.35">
      <c r="A501" s="12">
        <v>302991</v>
      </c>
      <c r="B501" s="59" t="str">
        <f>IFERROR(VLOOKUP(Tabla1[[#This Row],[CODIGO]],INVENTARIO!A:B,2,0)," ")</f>
        <v>Copla PE100 110mm EF</v>
      </c>
      <c r="C501" s="12">
        <v>10</v>
      </c>
      <c r="D501" s="13"/>
      <c r="E501" s="12">
        <v>357</v>
      </c>
      <c r="F501" s="14">
        <v>46080</v>
      </c>
      <c r="G501" s="34"/>
      <c r="H501" s="34" t="s">
        <v>267</v>
      </c>
      <c r="I501" s="34"/>
      <c r="J501" s="9" t="s">
        <v>197</v>
      </c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</row>
    <row r="502" spans="1:28" ht="14.25" customHeight="1" x14ac:dyDescent="0.35">
      <c r="A502" s="12">
        <v>300712</v>
      </c>
      <c r="B502" s="59" t="str">
        <f>IFERROR(VLOOKUP(Tabla1[[#This Row],[CODIGO]],INVENTARIO!A:B,2,0)," ")</f>
        <v>Tapa PE  025 mm Termo F.</v>
      </c>
      <c r="C502" s="12">
        <v>10</v>
      </c>
      <c r="D502" s="13"/>
      <c r="E502" s="12">
        <v>357</v>
      </c>
      <c r="F502" s="14">
        <v>46080</v>
      </c>
      <c r="G502" s="34"/>
      <c r="H502" s="34" t="s">
        <v>267</v>
      </c>
      <c r="I502" s="34"/>
      <c r="J502" s="9" t="s">
        <v>197</v>
      </c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</row>
    <row r="503" spans="1:28" ht="14.25" customHeight="1" x14ac:dyDescent="0.35">
      <c r="A503" s="12">
        <v>301329</v>
      </c>
      <c r="B503" s="59" t="str">
        <f>IFERROR(VLOOKUP(Tabla1[[#This Row],[CODIGO]],INVENTARIO!A:B,2,0)," ")</f>
        <v>Copla PE100 025mm EF</v>
      </c>
      <c r="C503" s="12">
        <v>10</v>
      </c>
      <c r="D503" s="13"/>
      <c r="E503" s="12">
        <v>357</v>
      </c>
      <c r="F503" s="14">
        <v>46080</v>
      </c>
      <c r="G503" s="34"/>
      <c r="H503" s="34" t="s">
        <v>267</v>
      </c>
      <c r="I503" s="34"/>
      <c r="J503" s="9" t="s">
        <v>197</v>
      </c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</row>
    <row r="504" spans="1:28" ht="14.25" customHeight="1" x14ac:dyDescent="0.35">
      <c r="A504" s="12">
        <v>2000350</v>
      </c>
      <c r="B504" s="59" t="str">
        <f>IFERROR(VLOOKUP(Tabla1[[#This Row],[CODIGO]],INVENTARIO!A:B,2,0)," ")</f>
        <v>Codo PE 90º  25 mm EF.</v>
      </c>
      <c r="C504" s="12">
        <v>5</v>
      </c>
      <c r="D504" s="13"/>
      <c r="E504" s="12">
        <v>357</v>
      </c>
      <c r="F504" s="14">
        <v>46080</v>
      </c>
      <c r="G504" s="34"/>
      <c r="H504" s="34" t="s">
        <v>267</v>
      </c>
      <c r="I504" s="34"/>
      <c r="J504" s="9" t="s">
        <v>197</v>
      </c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</row>
    <row r="505" spans="1:28" ht="14.25" customHeight="1" x14ac:dyDescent="0.35">
      <c r="A505" s="12">
        <v>300117</v>
      </c>
      <c r="B505" s="59" t="str">
        <f>IFERROR(VLOOKUP(Tabla1[[#This Row],[CODIGO]],INVENTARIO!A:B,2,0)," ")</f>
        <v>Copla PE100 160mm EF</v>
      </c>
      <c r="C505" s="12">
        <v>2</v>
      </c>
      <c r="D505" s="13"/>
      <c r="E505" s="12">
        <v>358</v>
      </c>
      <c r="F505" s="14">
        <v>46080</v>
      </c>
      <c r="G505" s="34"/>
      <c r="H505" s="34" t="s">
        <v>267</v>
      </c>
      <c r="I505" s="34"/>
      <c r="J505" s="9" t="s">
        <v>193</v>
      </c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</row>
    <row r="506" spans="1:28" ht="14.25" customHeight="1" x14ac:dyDescent="0.35">
      <c r="A506" s="12">
        <v>301334</v>
      </c>
      <c r="B506" s="59" t="str">
        <f>IFERROR(VLOOKUP(Tabla1[[#This Row],[CODIGO]],INVENTARIO!A:B,2,0)," ")</f>
        <v>Codo PE100 90° 160mm TF</v>
      </c>
      <c r="C506" s="12">
        <v>1</v>
      </c>
      <c r="D506" s="13"/>
      <c r="E506" s="12">
        <v>358</v>
      </c>
      <c r="F506" s="14">
        <v>46080</v>
      </c>
      <c r="G506" s="34"/>
      <c r="H506" s="34" t="s">
        <v>267</v>
      </c>
      <c r="I506" s="34"/>
      <c r="J506" s="9" t="s">
        <v>193</v>
      </c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</row>
    <row r="507" spans="1:28" ht="14.25" customHeight="1" x14ac:dyDescent="0.35">
      <c r="A507" s="12">
        <v>303015</v>
      </c>
      <c r="B507" s="59" t="str">
        <f>IFERROR(VLOOKUP(Tabla1[[#This Row],[CODIGO]],INVENTARIO!A:B,2,0)," ")</f>
        <v>Tee PE 110 mm Electro F.</v>
      </c>
      <c r="C507" s="12">
        <v>1</v>
      </c>
      <c r="D507" s="13"/>
      <c r="E507" s="12">
        <v>359</v>
      </c>
      <c r="F507" s="14">
        <v>46080</v>
      </c>
      <c r="G507" s="34"/>
      <c r="H507" s="34" t="s">
        <v>351</v>
      </c>
      <c r="I507" s="34"/>
      <c r="J507" s="9" t="s">
        <v>274</v>
      </c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</row>
    <row r="508" spans="1:28" ht="14.25" customHeight="1" x14ac:dyDescent="0.35">
      <c r="A508" s="12">
        <v>2007948</v>
      </c>
      <c r="B508" s="59" t="str">
        <f>IFERROR(VLOOKUP(Tabla1[[#This Row],[CODIGO]],INVENTARIO!A:B,2,0)," ")</f>
        <v>Tubo PVC Hidraulico 110 mm Pn6 Celeste</v>
      </c>
      <c r="C508" s="12">
        <v>3</v>
      </c>
      <c r="D508" s="13"/>
      <c r="E508" s="12">
        <v>360</v>
      </c>
      <c r="F508" s="14">
        <v>46081</v>
      </c>
      <c r="G508" s="34"/>
      <c r="H508" s="34" t="s">
        <v>225</v>
      </c>
      <c r="I508" s="34"/>
      <c r="J508" s="9" t="s">
        <v>254</v>
      </c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</row>
    <row r="509" spans="1:28" ht="14.25" customHeight="1" x14ac:dyDescent="0.35">
      <c r="A509" s="12">
        <v>303017</v>
      </c>
      <c r="B509" s="59" t="str">
        <f>IFERROR(VLOOKUP(Tabla1[[#This Row],[CODIGO]],INVENTARIO!A:B,2,0)," ")</f>
        <v>Codo PE100 90° 110mm EF</v>
      </c>
      <c r="C509" s="12">
        <v>1</v>
      </c>
      <c r="D509" s="13"/>
      <c r="E509" s="12">
        <v>360</v>
      </c>
      <c r="F509" s="14">
        <v>46081</v>
      </c>
      <c r="G509" s="34"/>
      <c r="H509" s="34" t="s">
        <v>225</v>
      </c>
      <c r="I509" s="34"/>
      <c r="J509" s="9" t="s">
        <v>254</v>
      </c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</row>
    <row r="510" spans="1:28" ht="14.25" customHeight="1" x14ac:dyDescent="0.35">
      <c r="A510" s="12">
        <v>2006392</v>
      </c>
      <c r="B510" s="59" t="str">
        <f>IFERROR(VLOOKUP(Tabla1[[#This Row],[CODIGO]],INVENTARIO!A:B,2,0)," ")</f>
        <v>Limitador Flujo P/Tapping Tee 25 MM</v>
      </c>
      <c r="C510" s="12">
        <v>2</v>
      </c>
      <c r="D510" s="13"/>
      <c r="E510" s="12">
        <v>360</v>
      </c>
      <c r="F510" s="14">
        <v>46081</v>
      </c>
      <c r="G510" s="34"/>
      <c r="H510" s="34" t="s">
        <v>225</v>
      </c>
      <c r="I510" s="34"/>
      <c r="J510" s="9" t="s">
        <v>254</v>
      </c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</row>
    <row r="511" spans="1:28" ht="14.25" customHeight="1" x14ac:dyDescent="0.35">
      <c r="A511" s="12">
        <v>2006393</v>
      </c>
      <c r="B511" s="59" t="str">
        <f>IFERROR(VLOOKUP(Tabla1[[#This Row],[CODIGO]],INVENTARIO!A:B,2,0)," ")</f>
        <v>Transición Latón 3/4"x25 MM PE100, SDR11</v>
      </c>
      <c r="C511" s="12">
        <v>2</v>
      </c>
      <c r="D511" s="13"/>
      <c r="E511" s="12">
        <v>360</v>
      </c>
      <c r="F511" s="14">
        <v>46081</v>
      </c>
      <c r="G511" s="34"/>
      <c r="H511" s="34" t="s">
        <v>225</v>
      </c>
      <c r="I511" s="34"/>
      <c r="J511" s="9" t="s">
        <v>254</v>
      </c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</row>
    <row r="512" spans="1:28" ht="14.25" customHeight="1" x14ac:dyDescent="0.35">
      <c r="A512" s="12">
        <v>2000350</v>
      </c>
      <c r="B512" s="59" t="str">
        <f>IFERROR(VLOOKUP(Tabla1[[#This Row],[CODIGO]],INVENTARIO!A:B,2,0)," ")</f>
        <v>Codo PE 90º  25 mm EF.</v>
      </c>
      <c r="C512" s="12">
        <v>2</v>
      </c>
      <c r="D512" s="13"/>
      <c r="E512" s="12">
        <v>360</v>
      </c>
      <c r="F512" s="14">
        <v>46081</v>
      </c>
      <c r="G512" s="34"/>
      <c r="H512" s="34" t="s">
        <v>225</v>
      </c>
      <c r="I512" s="34"/>
      <c r="J512" s="9" t="s">
        <v>254</v>
      </c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</row>
    <row r="513" spans="1:28" ht="14.25" customHeight="1" x14ac:dyDescent="0.35">
      <c r="A513" s="12">
        <v>301329</v>
      </c>
      <c r="B513" s="59" t="str">
        <f>IFERROR(VLOOKUP(Tabla1[[#This Row],[CODIGO]],INVENTARIO!A:B,2,0)," ")</f>
        <v>Copla PE100 025mm EF</v>
      </c>
      <c r="C513" s="12">
        <v>2</v>
      </c>
      <c r="D513" s="13"/>
      <c r="E513" s="12">
        <v>360</v>
      </c>
      <c r="F513" s="14">
        <v>46081</v>
      </c>
      <c r="G513" s="34"/>
      <c r="H513" s="34" t="s">
        <v>225</v>
      </c>
      <c r="I513" s="34"/>
      <c r="J513" s="9" t="s">
        <v>254</v>
      </c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</row>
    <row r="514" spans="1:28" ht="14.25" customHeight="1" x14ac:dyDescent="0.35">
      <c r="A514" s="12">
        <v>301666</v>
      </c>
      <c r="B514" s="59" t="str">
        <f>IFERROR(VLOOKUP(Tabla1[[#This Row],[CODIGO]],INVENTARIO!A:B,2,0)," ")</f>
        <v>Tapping Tee PE 110-25 mm</v>
      </c>
      <c r="C514" s="12">
        <v>2</v>
      </c>
      <c r="D514" s="13"/>
      <c r="E514" s="12">
        <v>360</v>
      </c>
      <c r="F514" s="14">
        <v>46081</v>
      </c>
      <c r="G514" s="34"/>
      <c r="H514" s="34" t="s">
        <v>225</v>
      </c>
      <c r="I514" s="34"/>
      <c r="J514" s="9" t="s">
        <v>254</v>
      </c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</row>
    <row r="515" spans="1:28" ht="14.25" customHeight="1" x14ac:dyDescent="0.35">
      <c r="A515" s="12">
        <v>302991</v>
      </c>
      <c r="B515" s="59" t="str">
        <f>IFERROR(VLOOKUP(Tabla1[[#This Row],[CODIGO]],INVENTARIO!A:B,2,0)," ")</f>
        <v>Copla PE100 110mm EF</v>
      </c>
      <c r="C515" s="12">
        <v>6</v>
      </c>
      <c r="D515" s="13"/>
      <c r="E515" s="12">
        <v>360</v>
      </c>
      <c r="F515" s="14">
        <v>46081</v>
      </c>
      <c r="G515" s="34"/>
      <c r="H515" s="34" t="s">
        <v>225</v>
      </c>
      <c r="I515" s="34"/>
      <c r="J515" s="9" t="s">
        <v>254</v>
      </c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</row>
    <row r="516" spans="1:28" ht="14.25" customHeight="1" x14ac:dyDescent="0.35">
      <c r="A516" s="12">
        <v>2003736</v>
      </c>
      <c r="B516" s="59" t="str">
        <f>IFERROR(VLOOKUP(Tabla1[[#This Row],[CODIGO]],INVENTARIO!A:B,2,0)," ")</f>
        <v>Válvula PE100 Dn 110mm</v>
      </c>
      <c r="C516" s="12">
        <v>1</v>
      </c>
      <c r="D516" s="13"/>
      <c r="E516" s="12">
        <v>360</v>
      </c>
      <c r="F516" s="14">
        <v>46081</v>
      </c>
      <c r="G516" s="34"/>
      <c r="H516" s="34" t="s">
        <v>225</v>
      </c>
      <c r="I516" s="34"/>
      <c r="J516" s="9" t="s">
        <v>254</v>
      </c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</row>
    <row r="517" spans="1:28" ht="14.25" customHeight="1" x14ac:dyDescent="0.35">
      <c r="A517" s="12">
        <v>302317</v>
      </c>
      <c r="B517" s="59" t="str">
        <f>IFERROR(VLOOKUP(Tabla1[[#This Row],[CODIGO]],INVENTARIO!A:B,2,0)," ")</f>
        <v>Tapa PE 110 mm Termo F.</v>
      </c>
      <c r="C517" s="12">
        <v>1</v>
      </c>
      <c r="D517" s="13"/>
      <c r="E517" s="12">
        <v>360</v>
      </c>
      <c r="F517" s="14">
        <v>46081</v>
      </c>
      <c r="G517" s="34"/>
      <c r="H517" s="34" t="s">
        <v>225</v>
      </c>
      <c r="I517" s="34"/>
      <c r="J517" s="9" t="s">
        <v>254</v>
      </c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</row>
    <row r="518" spans="1:28" ht="14.25" customHeight="1" x14ac:dyDescent="0.35">
      <c r="A518" s="12">
        <v>2006450</v>
      </c>
      <c r="B518" s="59" t="str">
        <f>IFERROR(VLOOKUP(Tabla1[[#This Row],[CODIGO]],INVENTARIO!A:B,2,0)," ")</f>
        <v>Toma Supraflow 110 - 110 mm</v>
      </c>
      <c r="C518" s="12">
        <v>1</v>
      </c>
      <c r="D518" s="13"/>
      <c r="E518" s="12">
        <v>360</v>
      </c>
      <c r="F518" s="14">
        <v>46081</v>
      </c>
      <c r="G518" s="34"/>
      <c r="H518" s="34" t="s">
        <v>225</v>
      </c>
      <c r="I518" s="34"/>
      <c r="J518" s="9" t="s">
        <v>254</v>
      </c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</row>
    <row r="519" spans="1:28" ht="14.25" customHeight="1" x14ac:dyDescent="0.35">
      <c r="A519" s="12">
        <v>2006391</v>
      </c>
      <c r="B519" s="59" t="str">
        <f>IFERROR(VLOOKUP(Tabla1[[#This Row],[CODIGO]],INVENTARIO!A:B,2,0)," ")</f>
        <v>Guardallave Fierro Fundido C/Tapa</v>
      </c>
      <c r="C519" s="12">
        <v>3</v>
      </c>
      <c r="D519" s="13"/>
      <c r="E519" s="12">
        <v>360</v>
      </c>
      <c r="F519" s="14">
        <v>46081</v>
      </c>
      <c r="G519" s="34"/>
      <c r="H519" s="34" t="s">
        <v>225</v>
      </c>
      <c r="I519" s="34"/>
      <c r="J519" s="9" t="s">
        <v>254</v>
      </c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</row>
    <row r="520" spans="1:28" ht="14.25" customHeight="1" x14ac:dyDescent="0.35">
      <c r="A520" s="12">
        <v>303368</v>
      </c>
      <c r="B520" s="59" t="str">
        <f>IFERROR(VLOOKUP(Tabla1[[#This Row],[CODIGO]],INVENTARIO!A:B,2,0)," ")</f>
        <v>Cinta Plástica "Línea GN", 30 x 0.1</v>
      </c>
      <c r="C520" s="12">
        <v>12</v>
      </c>
      <c r="D520" s="13"/>
      <c r="E520" s="12">
        <v>360</v>
      </c>
      <c r="F520" s="14">
        <v>46081</v>
      </c>
      <c r="G520" s="34"/>
      <c r="H520" s="34" t="s">
        <v>225</v>
      </c>
      <c r="I520" s="34"/>
      <c r="J520" s="9" t="s">
        <v>254</v>
      </c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</row>
    <row r="521" spans="1:28" ht="14.25" customHeight="1" x14ac:dyDescent="0.35">
      <c r="A521" s="12">
        <v>1002167</v>
      </c>
      <c r="B521" s="59" t="str">
        <f>IFERROR(VLOOKUP(Tabla1[[#This Row],[CODIGO]],INVENTARIO!A:B,2,0)," ")</f>
        <v>Cable Trazador Cu 14 AWG Aisl. THW Roj</v>
      </c>
      <c r="C521" s="12">
        <v>12</v>
      </c>
      <c r="D521" s="13"/>
      <c r="E521" s="12">
        <v>360</v>
      </c>
      <c r="F521" s="14">
        <v>46081</v>
      </c>
      <c r="G521" s="34"/>
      <c r="H521" s="34" t="s">
        <v>225</v>
      </c>
      <c r="I521" s="34"/>
      <c r="J521" s="9" t="s">
        <v>254</v>
      </c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</row>
    <row r="522" spans="1:28" ht="14.25" customHeight="1" x14ac:dyDescent="0.35">
      <c r="A522" s="12">
        <v>302065</v>
      </c>
      <c r="B522" s="59" t="str">
        <f>IFERROR(VLOOKUP(Tabla1[[#This Row],[CODIGO]],INVENTARIO!A:B,2,0)," ")</f>
        <v>Tubería PE80 110mm Tira</v>
      </c>
      <c r="C522" s="12">
        <v>12</v>
      </c>
      <c r="D522" s="13"/>
      <c r="E522" s="12">
        <v>360</v>
      </c>
      <c r="F522" s="14">
        <v>46081</v>
      </c>
      <c r="G522" s="34"/>
      <c r="H522" s="34" t="s">
        <v>225</v>
      </c>
      <c r="I522" s="34"/>
      <c r="J522" s="9" t="s">
        <v>254</v>
      </c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</row>
    <row r="523" spans="1:28" ht="14.25" customHeight="1" x14ac:dyDescent="0.35">
      <c r="A523" s="12">
        <v>2008481</v>
      </c>
      <c r="B523" s="59" t="str">
        <f>IFERROR(VLOOKUP(Tabla1[[#This Row],[CODIGO]],INVENTARIO!A:B,2,0)," ")</f>
        <v>Tapa Tornillo Bronce 3/4" HE Bspt.</v>
      </c>
      <c r="C523" s="12">
        <v>2</v>
      </c>
      <c r="D523" s="13"/>
      <c r="E523" s="12">
        <v>360</v>
      </c>
      <c r="F523" s="14">
        <v>46081</v>
      </c>
      <c r="G523" s="34"/>
      <c r="H523" s="34" t="s">
        <v>225</v>
      </c>
      <c r="I523" s="34"/>
      <c r="J523" s="9" t="s">
        <v>254</v>
      </c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</row>
    <row r="524" spans="1:28" ht="14.25" customHeight="1" x14ac:dyDescent="0.35">
      <c r="A524" s="12">
        <v>302737</v>
      </c>
      <c r="B524" s="59" t="str">
        <f>IFERROR(VLOOKUP(Tabla1[[#This Row],[CODIGO]],INVENTARIO!A:B,2,0)," ")</f>
        <v>Válvula Bola 3/4" Hi Un Cuerpo Pn5 Arco</v>
      </c>
      <c r="C524" s="12">
        <v>2</v>
      </c>
      <c r="D524" s="13"/>
      <c r="E524" s="12">
        <v>360</v>
      </c>
      <c r="F524" s="14">
        <v>46081</v>
      </c>
      <c r="G524" s="34"/>
      <c r="H524" s="34" t="s">
        <v>225</v>
      </c>
      <c r="I524" s="34"/>
      <c r="J524" s="9" t="s">
        <v>254</v>
      </c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</row>
    <row r="525" spans="1:28" ht="14.25" customHeight="1" x14ac:dyDescent="0.35">
      <c r="A525" s="12">
        <v>301749</v>
      </c>
      <c r="B525" s="59" t="str">
        <f>IFERROR(VLOOKUP(Tabla1[[#This Row],[CODIGO]],INVENTARIO!A:B,2,0)," ")</f>
        <v>Tubería PE80 025mm Rollo</v>
      </c>
      <c r="C525" s="12">
        <v>4</v>
      </c>
      <c r="D525" s="13"/>
      <c r="E525" s="12">
        <v>360</v>
      </c>
      <c r="F525" s="14">
        <v>46081</v>
      </c>
      <c r="G525" s="34"/>
      <c r="H525" s="34" t="s">
        <v>225</v>
      </c>
      <c r="I525" s="34"/>
      <c r="J525" s="9" t="s">
        <v>254</v>
      </c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</row>
    <row r="526" spans="1:28" ht="14.25" customHeight="1" x14ac:dyDescent="0.35">
      <c r="A526" s="12">
        <v>1000720</v>
      </c>
      <c r="B526" s="59" t="str">
        <f>IFERROR(VLOOKUP(Tabla1[[#This Row],[CODIGO]],INVENTARIO!A:B,2,0)," ")</f>
        <v>Teflón en Cinta de 3/4" Ancho x 520" a 5</v>
      </c>
      <c r="C526" s="12">
        <v>1</v>
      </c>
      <c r="D526" s="13"/>
      <c r="E526" s="12">
        <v>360</v>
      </c>
      <c r="F526" s="14">
        <v>46081</v>
      </c>
      <c r="G526" s="34"/>
      <c r="H526" s="34" t="s">
        <v>225</v>
      </c>
      <c r="I526" s="34"/>
      <c r="J526" s="9" t="s">
        <v>254</v>
      </c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</row>
    <row r="527" spans="1:28" ht="14.25" customHeight="1" x14ac:dyDescent="0.35">
      <c r="A527" s="12">
        <v>302745</v>
      </c>
      <c r="B527" s="59" t="str">
        <f>IFERROR(VLOOKUP(Tabla1[[#This Row],[CODIGO]],INVENTARIO!A:B,2,0)," ")</f>
        <v>Detector de Fugas Klinsol</v>
      </c>
      <c r="C527" s="12">
        <v>2</v>
      </c>
      <c r="D527" s="13"/>
      <c r="E527" s="12">
        <v>354</v>
      </c>
      <c r="F527" s="14">
        <v>46080</v>
      </c>
      <c r="G527" s="34"/>
      <c r="H527" s="34" t="s">
        <v>269</v>
      </c>
      <c r="I527" s="34"/>
      <c r="J527" s="9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</row>
    <row r="528" spans="1:28" ht="14.25" customHeight="1" x14ac:dyDescent="0.35">
      <c r="A528" s="12">
        <v>302745</v>
      </c>
      <c r="B528" s="59" t="str">
        <f>IFERROR(VLOOKUP(Tabla1[[#This Row],[CODIGO]],INVENTARIO!A:B,2,0)," ")</f>
        <v>Detector de Fugas Klinsol</v>
      </c>
      <c r="C528" s="12">
        <v>2</v>
      </c>
      <c r="D528" s="13"/>
      <c r="E528" s="12">
        <v>352</v>
      </c>
      <c r="F528" s="14">
        <v>46080</v>
      </c>
      <c r="G528" s="34"/>
      <c r="H528" s="34" t="s">
        <v>232</v>
      </c>
      <c r="I528" s="34"/>
      <c r="J528" s="9" t="s">
        <v>200</v>
      </c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</row>
    <row r="529" spans="1:28" ht="14.25" customHeight="1" x14ac:dyDescent="0.35">
      <c r="A529" s="12">
        <v>302065</v>
      </c>
      <c r="B529" s="59" t="str">
        <f>IFERROR(VLOOKUP(Tabla1[[#This Row],[CODIGO]],INVENTARIO!A:B,2,0)," ")</f>
        <v>Tubería PE80 110mm Tira</v>
      </c>
      <c r="C529" s="12">
        <v>276</v>
      </c>
      <c r="D529" s="13"/>
      <c r="E529" s="40">
        <v>341</v>
      </c>
      <c r="F529" s="14">
        <v>46079</v>
      </c>
      <c r="G529" s="34"/>
      <c r="H529" s="34" t="s">
        <v>232</v>
      </c>
      <c r="I529" s="34"/>
      <c r="J529" s="9" t="s">
        <v>200</v>
      </c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</row>
    <row r="530" spans="1:28" ht="14.25" customHeight="1" x14ac:dyDescent="0.35">
      <c r="A530" s="12">
        <v>1002167</v>
      </c>
      <c r="B530" s="59" t="str">
        <f>IFERROR(VLOOKUP(Tabla1[[#This Row],[CODIGO]],INVENTARIO!A:B,2,0)," ")</f>
        <v>Cable Trazador Cu 14 AWG Aisl. THW Roj</v>
      </c>
      <c r="C530" s="12">
        <v>280</v>
      </c>
      <c r="D530" s="13"/>
      <c r="E530" s="40">
        <v>341</v>
      </c>
      <c r="F530" s="14">
        <v>46079</v>
      </c>
      <c r="G530" s="34"/>
      <c r="H530" s="34" t="s">
        <v>232</v>
      </c>
      <c r="I530" s="34"/>
      <c r="J530" s="9" t="s">
        <v>200</v>
      </c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</row>
    <row r="531" spans="1:28" ht="14.25" customHeight="1" x14ac:dyDescent="0.35">
      <c r="A531" s="12">
        <v>303368</v>
      </c>
      <c r="B531" s="59" t="str">
        <f>IFERROR(VLOOKUP(Tabla1[[#This Row],[CODIGO]],INVENTARIO!A:B,2,0)," ")</f>
        <v>Cinta Plástica "Línea GN", 30 x 0.1</v>
      </c>
      <c r="C531" s="12">
        <v>280</v>
      </c>
      <c r="D531" s="13"/>
      <c r="E531" s="40">
        <v>341</v>
      </c>
      <c r="F531" s="14">
        <v>46079</v>
      </c>
      <c r="G531" s="34"/>
      <c r="H531" s="34" t="s">
        <v>232</v>
      </c>
      <c r="I531" s="34"/>
      <c r="J531" s="9" t="s">
        <v>200</v>
      </c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</row>
    <row r="532" spans="1:28" ht="14.25" customHeight="1" x14ac:dyDescent="0.35">
      <c r="A532" s="12">
        <v>302991</v>
      </c>
      <c r="B532" s="59" t="str">
        <f>IFERROR(VLOOKUP(Tabla1[[#This Row],[CODIGO]],INVENTARIO!A:B,2,0)," ")</f>
        <v>Copla PE100 110mm EF</v>
      </c>
      <c r="C532" s="12">
        <v>5</v>
      </c>
      <c r="D532" s="13"/>
      <c r="E532" s="40">
        <v>341</v>
      </c>
      <c r="F532" s="14">
        <v>46079</v>
      </c>
      <c r="G532" s="34"/>
      <c r="H532" s="34" t="s">
        <v>232</v>
      </c>
      <c r="I532" s="34"/>
      <c r="J532" s="9" t="s">
        <v>200</v>
      </c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</row>
    <row r="533" spans="1:28" ht="14.25" customHeight="1" x14ac:dyDescent="0.35">
      <c r="A533" s="12">
        <v>303345</v>
      </c>
      <c r="B533" s="59" t="str">
        <f>IFERROR(VLOOKUP(Tabla1[[#This Row],[CODIGO]],INVENTARIO!A:B,2,0)," ")</f>
        <v>Copla PE100 050mm EF</v>
      </c>
      <c r="C533" s="12">
        <v>6</v>
      </c>
      <c r="D533" s="13"/>
      <c r="E533" s="12">
        <v>235</v>
      </c>
      <c r="F533" s="14">
        <v>46079</v>
      </c>
      <c r="G533" s="34"/>
      <c r="H533" s="34" t="s">
        <v>223</v>
      </c>
      <c r="I533" s="34"/>
      <c r="J533" s="9" t="s">
        <v>207</v>
      </c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</row>
    <row r="534" spans="1:28" ht="14.25" customHeight="1" x14ac:dyDescent="0.35">
      <c r="A534" s="12">
        <v>301327</v>
      </c>
      <c r="B534" s="59" t="str">
        <f>IFERROR(VLOOKUP(Tabla1[[#This Row],[CODIGO]],INVENTARIO!A:B,2,0)," ")</f>
        <v>Tapa PE  050 mm Termo F.</v>
      </c>
      <c r="C534" s="12">
        <v>2</v>
      </c>
      <c r="D534" s="13"/>
      <c r="E534" s="12">
        <v>235</v>
      </c>
      <c r="F534" s="14">
        <v>46079</v>
      </c>
      <c r="G534" s="34"/>
      <c r="H534" s="34" t="s">
        <v>223</v>
      </c>
      <c r="I534" s="34"/>
      <c r="J534" s="9" t="s">
        <v>207</v>
      </c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</row>
    <row r="535" spans="1:28" ht="14.25" customHeight="1" x14ac:dyDescent="0.35">
      <c r="A535" s="9" t="s">
        <v>292</v>
      </c>
      <c r="B535" s="59" t="str">
        <f>IFERROR(VLOOKUP(Tabla1[[#This Row],[CODIGO]],INVENTARIO!A:B,2,0)," ")</f>
        <v>Toalla Nova Clasica</v>
      </c>
      <c r="C535" s="12">
        <v>1</v>
      </c>
      <c r="D535" s="13"/>
      <c r="E535" s="12">
        <v>345</v>
      </c>
      <c r="F535" s="14">
        <v>46079</v>
      </c>
      <c r="G535" s="34"/>
      <c r="H535" s="34" t="s">
        <v>338</v>
      </c>
      <c r="I535" s="34"/>
      <c r="J535" s="9" t="s">
        <v>194</v>
      </c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</row>
    <row r="536" spans="1:28" ht="14.25" customHeight="1" x14ac:dyDescent="0.35">
      <c r="A536" s="9" t="s">
        <v>291</v>
      </c>
      <c r="B536" s="59" t="str">
        <f>IFERROR(VLOOKUP(Tabla1[[#This Row],[CODIGO]],INVENTARIO!A:B,2,0)," ")</f>
        <v>Alcohol Isopropilico  500 ml</v>
      </c>
      <c r="C536" s="12">
        <v>1</v>
      </c>
      <c r="D536" s="13"/>
      <c r="E536" s="12">
        <v>231</v>
      </c>
      <c r="F536" s="14">
        <v>46079</v>
      </c>
      <c r="G536" s="34"/>
      <c r="H536" s="34" t="s">
        <v>314</v>
      </c>
      <c r="I536" s="34"/>
      <c r="J536" s="9" t="s">
        <v>274</v>
      </c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</row>
    <row r="537" spans="1:28" ht="14.25" customHeight="1" x14ac:dyDescent="0.35">
      <c r="A537" s="9" t="s">
        <v>292</v>
      </c>
      <c r="B537" s="59" t="str">
        <f>IFERROR(VLOOKUP(Tabla1[[#This Row],[CODIGO]],INVENTARIO!A:B,2,0)," ")</f>
        <v>Toalla Nova Clasica</v>
      </c>
      <c r="C537" s="12">
        <v>2</v>
      </c>
      <c r="D537" s="13"/>
      <c r="E537" s="12">
        <v>231</v>
      </c>
      <c r="F537" s="14">
        <v>46079</v>
      </c>
      <c r="G537" s="34"/>
      <c r="H537" s="34" t="s">
        <v>314</v>
      </c>
      <c r="I537" s="34"/>
      <c r="J537" s="9" t="s">
        <v>274</v>
      </c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</row>
    <row r="538" spans="1:28" ht="14.25" customHeight="1" x14ac:dyDescent="0.35">
      <c r="A538" s="12">
        <v>302317</v>
      </c>
      <c r="B538" s="59" t="str">
        <f>IFERROR(VLOOKUP(Tabla1[[#This Row],[CODIGO]],INVENTARIO!A:B,2,0)," ")</f>
        <v>Tapa PE 110 mm Termo F.</v>
      </c>
      <c r="C538" s="12">
        <v>2</v>
      </c>
      <c r="D538" s="13"/>
      <c r="E538" s="12">
        <v>231</v>
      </c>
      <c r="F538" s="14">
        <v>46079</v>
      </c>
      <c r="G538" s="34"/>
      <c r="H538" s="34" t="s">
        <v>314</v>
      </c>
      <c r="I538" s="34"/>
      <c r="J538" s="9" t="s">
        <v>274</v>
      </c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</row>
    <row r="539" spans="1:28" ht="14.25" customHeight="1" x14ac:dyDescent="0.35">
      <c r="A539" s="12">
        <v>303017</v>
      </c>
      <c r="B539" s="59" t="str">
        <f>IFERROR(VLOOKUP(Tabla1[[#This Row],[CODIGO]],INVENTARIO!A:B,2,0)," ")</f>
        <v>Codo PE100 90° 110mm EF</v>
      </c>
      <c r="C539" s="12">
        <v>2</v>
      </c>
      <c r="D539" s="13"/>
      <c r="E539" s="12">
        <v>231</v>
      </c>
      <c r="F539" s="14">
        <v>46079</v>
      </c>
      <c r="G539" s="34"/>
      <c r="H539" s="34" t="s">
        <v>314</v>
      </c>
      <c r="I539" s="34"/>
      <c r="J539" s="9" t="s">
        <v>274</v>
      </c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</row>
    <row r="540" spans="1:28" ht="14.25" customHeight="1" x14ac:dyDescent="0.35">
      <c r="A540" s="12">
        <v>300109</v>
      </c>
      <c r="B540" s="59" t="str">
        <f>IFERROR(VLOOKUP(Tabla1[[#This Row],[CODIGO]],INVENTARIO!A:B,2,0)," ")</f>
        <v>Risers de Acero 3/4" Bsp x 25 mm</v>
      </c>
      <c r="C540" s="12">
        <v>17</v>
      </c>
      <c r="D540" s="13"/>
      <c r="E540" s="12">
        <v>342</v>
      </c>
      <c r="F540" s="14">
        <v>38774</v>
      </c>
      <c r="G540" s="34"/>
      <c r="H540" s="34" t="s">
        <v>226</v>
      </c>
      <c r="I540" s="34"/>
      <c r="J540" s="9" t="s">
        <v>194</v>
      </c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</row>
    <row r="541" spans="1:28" ht="14.25" customHeight="1" x14ac:dyDescent="0.35">
      <c r="A541" s="12">
        <v>302737</v>
      </c>
      <c r="B541" s="59" t="str">
        <f>IFERROR(VLOOKUP(Tabla1[[#This Row],[CODIGO]],INVENTARIO!A:B,2,0)," ")</f>
        <v>Válvula Bola 3/4" Hi Un Cuerpo Pn5 Arco</v>
      </c>
      <c r="C541" s="12">
        <v>17</v>
      </c>
      <c r="D541" s="13"/>
      <c r="E541" s="12">
        <v>342</v>
      </c>
      <c r="F541" s="14">
        <v>38774</v>
      </c>
      <c r="G541" s="34"/>
      <c r="H541" s="34" t="s">
        <v>226</v>
      </c>
      <c r="I541" s="34"/>
      <c r="J541" s="9" t="s">
        <v>194</v>
      </c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</row>
    <row r="542" spans="1:28" ht="14.25" customHeight="1" x14ac:dyDescent="0.35">
      <c r="A542" s="12">
        <v>2008481</v>
      </c>
      <c r="B542" s="59" t="str">
        <f>IFERROR(VLOOKUP(Tabla1[[#This Row],[CODIGO]],INVENTARIO!A:B,2,0)," ")</f>
        <v>Tapa Tornillo Bronce 3/4" HE Bspt.</v>
      </c>
      <c r="C542" s="12">
        <v>17</v>
      </c>
      <c r="D542" s="13"/>
      <c r="E542" s="12">
        <v>342</v>
      </c>
      <c r="F542" s="14">
        <v>38774</v>
      </c>
      <c r="G542" s="34"/>
      <c r="H542" s="34" t="s">
        <v>226</v>
      </c>
      <c r="I542" s="34"/>
      <c r="J542" s="9" t="s">
        <v>194</v>
      </c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</row>
    <row r="543" spans="1:28" ht="14.25" customHeight="1" x14ac:dyDescent="0.35">
      <c r="A543" s="12">
        <v>2000350</v>
      </c>
      <c r="B543" s="59" t="str">
        <f>IFERROR(VLOOKUP(Tabla1[[#This Row],[CODIGO]],INVENTARIO!A:B,2,0)," ")</f>
        <v>Codo PE 90º  25 mm EF.</v>
      </c>
      <c r="C543" s="12">
        <v>6</v>
      </c>
      <c r="D543" s="13"/>
      <c r="E543" s="12">
        <v>342</v>
      </c>
      <c r="F543" s="14">
        <v>38774</v>
      </c>
      <c r="G543" s="34"/>
      <c r="H543" s="34" t="s">
        <v>226</v>
      </c>
      <c r="I543" s="34"/>
      <c r="J543" s="9" t="s">
        <v>194</v>
      </c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</row>
    <row r="544" spans="1:28" ht="14.25" customHeight="1" x14ac:dyDescent="0.35">
      <c r="A544" s="12">
        <v>2003911</v>
      </c>
      <c r="B544" s="59" t="str">
        <f>IFERROR(VLOOKUP(Tabla1[[#This Row],[CODIGO]],INVENTARIO!A:B,2,0)," ")</f>
        <v>Válvula EFv PE 25 mm Para Tap. Tee</v>
      </c>
      <c r="C544" s="12">
        <v>6</v>
      </c>
      <c r="D544" s="13"/>
      <c r="E544" s="12">
        <v>342</v>
      </c>
      <c r="F544" s="14">
        <v>38774</v>
      </c>
      <c r="G544" s="34"/>
      <c r="H544" s="34" t="s">
        <v>226</v>
      </c>
      <c r="I544" s="34"/>
      <c r="J544" s="9" t="s">
        <v>194</v>
      </c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</row>
    <row r="545" spans="1:28" ht="14.25" customHeight="1" x14ac:dyDescent="0.35">
      <c r="A545" s="12">
        <v>302659</v>
      </c>
      <c r="B545" s="59" t="str">
        <f>IFERROR(VLOOKUP(Tabla1[[#This Row],[CODIGO]],INVENTARIO!A:B,2,0)," ")</f>
        <v>Copla PE100 063mm EF</v>
      </c>
      <c r="C545" s="12">
        <v>2</v>
      </c>
      <c r="D545" s="13"/>
      <c r="E545" s="12">
        <v>342</v>
      </c>
      <c r="F545" s="14">
        <v>38774</v>
      </c>
      <c r="G545" s="34"/>
      <c r="H545" s="34" t="s">
        <v>226</v>
      </c>
      <c r="I545" s="34"/>
      <c r="J545" s="9" t="s">
        <v>194</v>
      </c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</row>
    <row r="546" spans="1:28" ht="14.25" customHeight="1" x14ac:dyDescent="0.35">
      <c r="A546" s="12">
        <v>300108</v>
      </c>
      <c r="B546" s="59" t="str">
        <f>IFERROR(VLOOKUP(Tabla1[[#This Row],[CODIGO]],INVENTARIO!A:B,2,0)," ")</f>
        <v>Tapping Tee PE 63-25 mm</v>
      </c>
      <c r="C546" s="12">
        <v>1</v>
      </c>
      <c r="D546" s="13"/>
      <c r="E546" s="12">
        <v>342</v>
      </c>
      <c r="F546" s="14">
        <v>38774</v>
      </c>
      <c r="G546" s="34"/>
      <c r="H546" s="34" t="s">
        <v>226</v>
      </c>
      <c r="I546" s="34"/>
      <c r="J546" s="9" t="s">
        <v>194</v>
      </c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</row>
    <row r="547" spans="1:28" ht="14.25" customHeight="1" x14ac:dyDescent="0.35">
      <c r="A547" s="12">
        <v>302992</v>
      </c>
      <c r="B547" s="59" t="str">
        <f>IFERROR(VLOOKUP(Tabla1[[#This Row],[CODIGO]],INVENTARIO!A:B,2,0)," ")</f>
        <v>Codo PE100 90° 050mm EF</v>
      </c>
      <c r="C547" s="12">
        <v>1</v>
      </c>
      <c r="D547" s="13"/>
      <c r="E547" s="12">
        <v>342</v>
      </c>
      <c r="F547" s="14">
        <v>38774</v>
      </c>
      <c r="G547" s="34"/>
      <c r="H547" s="34" t="s">
        <v>226</v>
      </c>
      <c r="I547" s="34"/>
      <c r="J547" s="9" t="s">
        <v>194</v>
      </c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</row>
    <row r="548" spans="1:28" ht="14.25" customHeight="1" x14ac:dyDescent="0.35">
      <c r="A548" s="12">
        <v>303510</v>
      </c>
      <c r="B548" s="59" t="str">
        <f>IFERROR(VLOOKUP(Tabla1[[#This Row],[CODIGO]],INVENTARIO!A:B,2,0)," ")</f>
        <v>Guardallave Hormigón 125 mm con Tapa</v>
      </c>
      <c r="C548" s="12">
        <v>1</v>
      </c>
      <c r="D548" s="13"/>
      <c r="E548" s="12">
        <v>343</v>
      </c>
      <c r="F548" s="14">
        <v>46079</v>
      </c>
      <c r="G548" s="34"/>
      <c r="H548" s="34" t="s">
        <v>346</v>
      </c>
      <c r="I548" s="34"/>
      <c r="J548" s="9" t="s">
        <v>274</v>
      </c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</row>
    <row r="549" spans="1:28" ht="14.25" customHeight="1" x14ac:dyDescent="0.35">
      <c r="A549" s="12">
        <v>302992</v>
      </c>
      <c r="B549" s="59" t="str">
        <f>IFERROR(VLOOKUP(Tabla1[[#This Row],[CODIGO]],INVENTARIO!A:B,2,0)," ")</f>
        <v>Codo PE100 90° 050mm EF</v>
      </c>
      <c r="C549" s="12">
        <v>1</v>
      </c>
      <c r="D549" s="13"/>
      <c r="E549" s="12">
        <v>344</v>
      </c>
      <c r="F549" s="14">
        <v>46079</v>
      </c>
      <c r="G549" s="34"/>
      <c r="H549" s="34" t="s">
        <v>271</v>
      </c>
      <c r="I549" s="34"/>
      <c r="J549" s="9" t="s">
        <v>203</v>
      </c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</row>
    <row r="550" spans="1:28" ht="14.25" customHeight="1" x14ac:dyDescent="0.35">
      <c r="A550" s="12">
        <v>2002262</v>
      </c>
      <c r="B550" s="59" t="str">
        <f>IFERROR(VLOOKUP(Tabla1[[#This Row],[CODIGO]],INVENTARIO!A:B,2,0)," ")</f>
        <v>Tubería PE80 050mm Rollo</v>
      </c>
      <c r="C550" s="12">
        <v>200</v>
      </c>
      <c r="D550" s="13"/>
      <c r="E550" s="12">
        <v>347</v>
      </c>
      <c r="F550" s="14">
        <v>46079</v>
      </c>
      <c r="G550" s="34"/>
      <c r="H550" s="34" t="s">
        <v>318</v>
      </c>
      <c r="I550" s="34"/>
      <c r="J550" s="9" t="s">
        <v>201</v>
      </c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</row>
    <row r="551" spans="1:28" ht="14.25" customHeight="1" x14ac:dyDescent="0.35">
      <c r="A551" s="12">
        <v>303510</v>
      </c>
      <c r="B551" s="59" t="str">
        <f>IFERROR(VLOOKUP(Tabla1[[#This Row],[CODIGO]],INVENTARIO!A:B,2,0)," ")</f>
        <v>Guardallave Hormigón 125 mm con Tapa</v>
      </c>
      <c r="C551" s="12">
        <v>1</v>
      </c>
      <c r="D551" s="13"/>
      <c r="E551" s="12">
        <v>346</v>
      </c>
      <c r="F551" s="14">
        <v>46079</v>
      </c>
      <c r="G551" s="34"/>
      <c r="H551" s="34" t="s">
        <v>271</v>
      </c>
      <c r="I551" s="34"/>
      <c r="J551" s="9" t="s">
        <v>202</v>
      </c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</row>
    <row r="552" spans="1:28" ht="14.25" customHeight="1" x14ac:dyDescent="0.35">
      <c r="A552" s="12">
        <v>303368</v>
      </c>
      <c r="B552" s="59" t="str">
        <f>IFERROR(VLOOKUP(Tabla1[[#This Row],[CODIGO]],INVENTARIO!A:B,2,0)," ")</f>
        <v>Cinta Plástica "Línea GN", 30 x 0.1</v>
      </c>
      <c r="C552" s="12">
        <v>100</v>
      </c>
      <c r="D552" s="13"/>
      <c r="E552" s="12">
        <v>232</v>
      </c>
      <c r="F552" s="14">
        <v>46079</v>
      </c>
      <c r="G552" s="34"/>
      <c r="H552" s="34" t="s">
        <v>314</v>
      </c>
      <c r="I552" s="34"/>
      <c r="J552" s="9" t="s">
        <v>274</v>
      </c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</row>
    <row r="553" spans="1:28" ht="14.25" customHeight="1" x14ac:dyDescent="0.35">
      <c r="A553" s="12">
        <v>1002167</v>
      </c>
      <c r="B553" s="59" t="str">
        <f>IFERROR(VLOOKUP(Tabla1[[#This Row],[CODIGO]],INVENTARIO!A:B,2,0)," ")</f>
        <v>Cable Trazador Cu 14 AWG Aisl. THW Roj</v>
      </c>
      <c r="C553" s="12">
        <v>100</v>
      </c>
      <c r="D553" s="13"/>
      <c r="E553" s="12">
        <v>232</v>
      </c>
      <c r="F553" s="14">
        <v>46079</v>
      </c>
      <c r="G553" s="34"/>
      <c r="H553" s="34" t="s">
        <v>314</v>
      </c>
      <c r="I553" s="34"/>
      <c r="J553" s="9" t="s">
        <v>274</v>
      </c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</row>
    <row r="554" spans="1:28" ht="14.25" customHeight="1" x14ac:dyDescent="0.35">
      <c r="A554" s="12">
        <v>300108</v>
      </c>
      <c r="B554" s="59" t="str">
        <f>IFERROR(VLOOKUP(Tabla1[[#This Row],[CODIGO]],INVENTARIO!A:B,2,0)," ")</f>
        <v>Tapping Tee PE 63-25 mm</v>
      </c>
      <c r="C554" s="12">
        <v>1</v>
      </c>
      <c r="D554" s="13"/>
      <c r="E554" s="12">
        <v>313</v>
      </c>
      <c r="F554" s="14">
        <v>46078</v>
      </c>
      <c r="G554" s="34"/>
      <c r="H554" s="34" t="s">
        <v>304</v>
      </c>
      <c r="I554" s="34"/>
      <c r="J554" s="9" t="s">
        <v>345</v>
      </c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</row>
    <row r="555" spans="1:28" ht="14.25" customHeight="1" x14ac:dyDescent="0.35">
      <c r="A555" s="12">
        <v>301099</v>
      </c>
      <c r="B555" s="59" t="str">
        <f>IFERROR(VLOOKUP(Tabla1[[#This Row],[CODIGO]],INVENTARIO!A:B,2,0)," ")</f>
        <v>Válvula PE100 Dn 25mm</v>
      </c>
      <c r="C555" s="12">
        <v>1</v>
      </c>
      <c r="D555" s="13"/>
      <c r="E555" s="12">
        <v>313</v>
      </c>
      <c r="F555" s="14">
        <v>46078</v>
      </c>
      <c r="G555" s="34"/>
      <c r="H555" s="34" t="s">
        <v>304</v>
      </c>
      <c r="I555" s="34"/>
      <c r="J555" s="9" t="s">
        <v>345</v>
      </c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</row>
    <row r="556" spans="1:28" ht="14.25" customHeight="1" x14ac:dyDescent="0.35">
      <c r="A556" s="12">
        <v>301329</v>
      </c>
      <c r="B556" s="59" t="str">
        <f>IFERROR(VLOOKUP(Tabla1[[#This Row],[CODIGO]],INVENTARIO!A:B,2,0)," ")</f>
        <v>Copla PE100 025mm EF</v>
      </c>
      <c r="C556" s="12">
        <v>4</v>
      </c>
      <c r="D556" s="13"/>
      <c r="E556" s="12">
        <v>313</v>
      </c>
      <c r="F556" s="14">
        <v>46078</v>
      </c>
      <c r="G556" s="34"/>
      <c r="H556" s="34" t="s">
        <v>304</v>
      </c>
      <c r="I556" s="34"/>
      <c r="J556" s="9" t="s">
        <v>345</v>
      </c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</row>
    <row r="557" spans="1:28" ht="14.25" customHeight="1" x14ac:dyDescent="0.35">
      <c r="A557" s="12">
        <v>300109</v>
      </c>
      <c r="B557" s="59" t="str">
        <f>IFERROR(VLOOKUP(Tabla1[[#This Row],[CODIGO]],INVENTARIO!A:B,2,0)," ")</f>
        <v>Risers de Acero 3/4" Bsp x 25 mm</v>
      </c>
      <c r="C557" s="12">
        <v>1</v>
      </c>
      <c r="D557" s="13"/>
      <c r="E557" s="12">
        <v>313</v>
      </c>
      <c r="F557" s="14">
        <v>46078</v>
      </c>
      <c r="G557" s="34"/>
      <c r="H557" s="34" t="s">
        <v>304</v>
      </c>
      <c r="I557" s="34"/>
      <c r="J557" s="9" t="s">
        <v>345</v>
      </c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</row>
    <row r="558" spans="1:28" ht="14.25" customHeight="1" x14ac:dyDescent="0.35">
      <c r="A558" s="12">
        <v>2003911</v>
      </c>
      <c r="B558" s="59" t="str">
        <f>IFERROR(VLOOKUP(Tabla1[[#This Row],[CODIGO]],INVENTARIO!A:B,2,0)," ")</f>
        <v>Válvula EFv PE 25 mm Para Tap. Tee</v>
      </c>
      <c r="C558" s="12">
        <v>1</v>
      </c>
      <c r="D558" s="13"/>
      <c r="E558" s="12">
        <v>313</v>
      </c>
      <c r="F558" s="14">
        <v>46078</v>
      </c>
      <c r="G558" s="34"/>
      <c r="H558" s="34" t="s">
        <v>304</v>
      </c>
      <c r="I558" s="34"/>
      <c r="J558" s="9" t="s">
        <v>345</v>
      </c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</row>
    <row r="559" spans="1:28" ht="14.25" customHeight="1" x14ac:dyDescent="0.35">
      <c r="A559" s="12">
        <v>2000350</v>
      </c>
      <c r="B559" s="59" t="str">
        <f>IFERROR(VLOOKUP(Tabla1[[#This Row],[CODIGO]],INVENTARIO!A:B,2,0)," ")</f>
        <v>Codo PE 90º  25 mm EF.</v>
      </c>
      <c r="C559" s="12">
        <v>4</v>
      </c>
      <c r="D559" s="13"/>
      <c r="E559" s="12">
        <v>313</v>
      </c>
      <c r="F559" s="14">
        <v>46078</v>
      </c>
      <c r="G559" s="34"/>
      <c r="H559" s="34" t="s">
        <v>304</v>
      </c>
      <c r="I559" s="34"/>
      <c r="J559" s="9" t="s">
        <v>345</v>
      </c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</row>
    <row r="560" spans="1:28" ht="14.25" customHeight="1" x14ac:dyDescent="0.35">
      <c r="A560" s="12">
        <v>301749</v>
      </c>
      <c r="B560" s="59" t="str">
        <f>IFERROR(VLOOKUP(Tabla1[[#This Row],[CODIGO]],INVENTARIO!A:B,2,0)," ")</f>
        <v>Tubería PE80 025mm Rollo</v>
      </c>
      <c r="C560" s="12">
        <v>1</v>
      </c>
      <c r="D560" s="13"/>
      <c r="E560" s="12">
        <v>313</v>
      </c>
      <c r="F560" s="14">
        <v>46078</v>
      </c>
      <c r="G560" s="34"/>
      <c r="H560" s="34" t="s">
        <v>304</v>
      </c>
      <c r="I560" s="34"/>
      <c r="J560" s="9" t="s">
        <v>345</v>
      </c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</row>
    <row r="561" spans="1:28" ht="14.25" customHeight="1" x14ac:dyDescent="0.35">
      <c r="A561" s="12">
        <v>2006391</v>
      </c>
      <c r="B561" s="59" t="str">
        <f>IFERROR(VLOOKUP(Tabla1[[#This Row],[CODIGO]],INVENTARIO!A:B,2,0)," ")</f>
        <v>Guardallave Fierro Fundido C/Tapa</v>
      </c>
      <c r="C561" s="12">
        <v>1</v>
      </c>
      <c r="D561" s="13"/>
      <c r="E561" s="12">
        <v>313</v>
      </c>
      <c r="F561" s="14">
        <v>46078</v>
      </c>
      <c r="G561" s="34"/>
      <c r="H561" s="34" t="s">
        <v>304</v>
      </c>
      <c r="I561" s="34"/>
      <c r="J561" s="9" t="s">
        <v>345</v>
      </c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</row>
    <row r="562" spans="1:28" ht="14.25" customHeight="1" x14ac:dyDescent="0.35">
      <c r="A562" s="12">
        <v>302737</v>
      </c>
      <c r="B562" s="59" t="str">
        <f>IFERROR(VLOOKUP(Tabla1[[#This Row],[CODIGO]],INVENTARIO!A:B,2,0)," ")</f>
        <v>Válvula Bola 3/4" Hi Un Cuerpo Pn5 Arco</v>
      </c>
      <c r="C562" s="12">
        <v>1</v>
      </c>
      <c r="D562" s="13"/>
      <c r="E562" s="12">
        <v>313</v>
      </c>
      <c r="F562" s="14">
        <v>46078</v>
      </c>
      <c r="G562" s="34"/>
      <c r="H562" s="34" t="s">
        <v>304</v>
      </c>
      <c r="I562" s="34"/>
      <c r="J562" s="9" t="s">
        <v>345</v>
      </c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</row>
    <row r="563" spans="1:28" ht="14.25" customHeight="1" x14ac:dyDescent="0.35">
      <c r="A563" s="12">
        <v>302184</v>
      </c>
      <c r="B563" s="59" t="str">
        <f>IFERROR(VLOOKUP(Tabla1[[#This Row],[CODIGO]],INVENTARIO!A:B,2,0)," ")</f>
        <v>Tapa Tornillo Cambio de Codigo por: 2008481</v>
      </c>
      <c r="C563" s="12">
        <v>1</v>
      </c>
      <c r="D563" s="13"/>
      <c r="E563" s="12">
        <v>313</v>
      </c>
      <c r="F563" s="14">
        <v>46078</v>
      </c>
      <c r="G563" s="34"/>
      <c r="H563" s="34" t="s">
        <v>304</v>
      </c>
      <c r="I563" s="34"/>
      <c r="J563" s="9" t="s">
        <v>345</v>
      </c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</row>
    <row r="564" spans="1:28" ht="14.25" customHeight="1" x14ac:dyDescent="0.35">
      <c r="A564" s="12">
        <v>303368</v>
      </c>
      <c r="B564" s="59" t="str">
        <f>IFERROR(VLOOKUP(Tabla1[[#This Row],[CODIGO]],INVENTARIO!A:B,2,0)," ")</f>
        <v>Cinta Plástica "Línea GN", 30 x 0.1</v>
      </c>
      <c r="C564" s="12">
        <v>1</v>
      </c>
      <c r="D564" s="13"/>
      <c r="E564" s="12">
        <v>313</v>
      </c>
      <c r="F564" s="14">
        <v>46078</v>
      </c>
      <c r="G564" s="34"/>
      <c r="H564" s="34" t="s">
        <v>304</v>
      </c>
      <c r="I564" s="34"/>
      <c r="J564" s="9" t="s">
        <v>345</v>
      </c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</row>
    <row r="565" spans="1:28" ht="14.25" customHeight="1" x14ac:dyDescent="0.35">
      <c r="A565" s="12">
        <v>2007948</v>
      </c>
      <c r="B565" s="59" t="str">
        <f>IFERROR(VLOOKUP(Tabla1[[#This Row],[CODIGO]],INVENTARIO!A:B,2,0)," ")</f>
        <v>Tubo PVC Hidraulico 110 mm Pn6 Celeste</v>
      </c>
      <c r="C565" s="12">
        <v>1</v>
      </c>
      <c r="D565" s="13"/>
      <c r="E565" s="12">
        <v>313</v>
      </c>
      <c r="F565" s="14">
        <v>46078</v>
      </c>
      <c r="G565" s="34"/>
      <c r="H565" s="34" t="s">
        <v>304</v>
      </c>
      <c r="I565" s="34"/>
      <c r="J565" s="9" t="s">
        <v>345</v>
      </c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</row>
    <row r="566" spans="1:28" ht="14.25" customHeight="1" x14ac:dyDescent="0.35">
      <c r="A566" s="12">
        <v>301749</v>
      </c>
      <c r="B566" s="59" t="str">
        <f>IFERROR(VLOOKUP(Tabla1[[#This Row],[CODIGO]],INVENTARIO!A:B,2,0)," ")</f>
        <v>Tubería PE80 025mm Rollo</v>
      </c>
      <c r="C566" s="12">
        <v>100</v>
      </c>
      <c r="D566" s="13"/>
      <c r="E566" s="12">
        <v>328</v>
      </c>
      <c r="F566" s="14">
        <v>46078</v>
      </c>
      <c r="G566" s="34"/>
      <c r="H566" s="34" t="s">
        <v>226</v>
      </c>
      <c r="I566" s="34"/>
      <c r="J566" s="9" t="s">
        <v>194</v>
      </c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</row>
    <row r="567" spans="1:28" ht="14.25" customHeight="1" x14ac:dyDescent="0.35">
      <c r="A567" s="12">
        <v>2003911</v>
      </c>
      <c r="B567" s="59" t="str">
        <f>IFERROR(VLOOKUP(Tabla1[[#This Row],[CODIGO]],INVENTARIO!A:B,2,0)," ")</f>
        <v>Válvula EFv PE 25 mm Para Tap. Tee</v>
      </c>
      <c r="C567" s="12">
        <v>9</v>
      </c>
      <c r="D567" s="13"/>
      <c r="E567" s="12">
        <v>328</v>
      </c>
      <c r="F567" s="14">
        <v>46078</v>
      </c>
      <c r="G567" s="34"/>
      <c r="H567" s="34" t="s">
        <v>226</v>
      </c>
      <c r="I567" s="34"/>
      <c r="J567" s="9" t="s">
        <v>194</v>
      </c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</row>
    <row r="568" spans="1:28" ht="14.25" customHeight="1" x14ac:dyDescent="0.35">
      <c r="A568" s="12">
        <v>2000350</v>
      </c>
      <c r="B568" s="59" t="str">
        <f>IFERROR(VLOOKUP(Tabla1[[#This Row],[CODIGO]],INVENTARIO!A:B,2,0)," ")</f>
        <v>Codo PE 90º  25 mm EF.</v>
      </c>
      <c r="C568" s="12">
        <v>9</v>
      </c>
      <c r="D568" s="13"/>
      <c r="E568" s="12">
        <v>328</v>
      </c>
      <c r="F568" s="14">
        <v>46078</v>
      </c>
      <c r="G568" s="34"/>
      <c r="H568" s="34" t="s">
        <v>226</v>
      </c>
      <c r="I568" s="34"/>
      <c r="J568" s="9" t="s">
        <v>194</v>
      </c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</row>
    <row r="569" spans="1:28" ht="14.25" customHeight="1" x14ac:dyDescent="0.35">
      <c r="A569" s="12">
        <v>301329</v>
      </c>
      <c r="B569" s="59" t="str">
        <f>IFERROR(VLOOKUP(Tabla1[[#This Row],[CODIGO]],INVENTARIO!A:B,2,0)," ")</f>
        <v>Copla PE100 025mm EF</v>
      </c>
      <c r="C569" s="12">
        <v>50</v>
      </c>
      <c r="D569" s="13"/>
      <c r="E569" s="12">
        <v>328</v>
      </c>
      <c r="F569" s="14">
        <v>46078</v>
      </c>
      <c r="G569" s="34"/>
      <c r="H569" s="34" t="s">
        <v>226</v>
      </c>
      <c r="I569" s="34"/>
      <c r="J569" s="9" t="s">
        <v>194</v>
      </c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</row>
    <row r="570" spans="1:28" ht="14.25" customHeight="1" x14ac:dyDescent="0.35">
      <c r="A570" s="12">
        <v>302065</v>
      </c>
      <c r="B570" s="59" t="str">
        <f>IFERROR(VLOOKUP(Tabla1[[#This Row],[CODIGO]],INVENTARIO!A:B,2,0)," ")</f>
        <v>Tubería PE80 110mm Tira</v>
      </c>
      <c r="C570" s="12">
        <v>60</v>
      </c>
      <c r="D570" s="13"/>
      <c r="E570" s="12">
        <v>230</v>
      </c>
      <c r="F570" s="14">
        <v>46078</v>
      </c>
      <c r="G570" s="34"/>
      <c r="H570" s="34" t="s">
        <v>314</v>
      </c>
      <c r="I570" s="34"/>
      <c r="J570" s="9" t="s">
        <v>274</v>
      </c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</row>
    <row r="571" spans="1:28" ht="14.25" customHeight="1" x14ac:dyDescent="0.35">
      <c r="A571" s="12">
        <v>1002167</v>
      </c>
      <c r="B571" s="59" t="str">
        <f>IFERROR(VLOOKUP(Tabla1[[#This Row],[CODIGO]],INVENTARIO!A:B,2,0)," ")</f>
        <v>Cable Trazador Cu 14 AWG Aisl. THW Roj</v>
      </c>
      <c r="C571" s="12">
        <v>100</v>
      </c>
      <c r="D571" s="13"/>
      <c r="E571" s="12">
        <v>230</v>
      </c>
      <c r="F571" s="14">
        <v>46078</v>
      </c>
      <c r="G571" s="34"/>
      <c r="H571" s="34" t="s">
        <v>314</v>
      </c>
      <c r="I571" s="34"/>
      <c r="J571" s="9" t="s">
        <v>274</v>
      </c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</row>
    <row r="572" spans="1:28" ht="14.25" customHeight="1" x14ac:dyDescent="0.35">
      <c r="A572" s="12">
        <v>302317</v>
      </c>
      <c r="B572" s="59" t="str">
        <f>IFERROR(VLOOKUP(Tabla1[[#This Row],[CODIGO]],INVENTARIO!A:B,2,0)," ")</f>
        <v>Tapa PE 110 mm Termo F.</v>
      </c>
      <c r="C572" s="12">
        <v>1</v>
      </c>
      <c r="D572" s="13"/>
      <c r="E572" s="12">
        <v>230</v>
      </c>
      <c r="F572" s="14">
        <v>46078</v>
      </c>
      <c r="G572" s="34"/>
      <c r="H572" s="34" t="s">
        <v>314</v>
      </c>
      <c r="I572" s="34"/>
      <c r="J572" s="9" t="s">
        <v>274</v>
      </c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</row>
    <row r="573" spans="1:28" ht="14.25" customHeight="1" x14ac:dyDescent="0.35">
      <c r="A573" s="12">
        <v>302991</v>
      </c>
      <c r="B573" s="59" t="str">
        <f>IFERROR(VLOOKUP(Tabla1[[#This Row],[CODIGO]],INVENTARIO!A:B,2,0)," ")</f>
        <v>Copla PE100 110mm EF</v>
      </c>
      <c r="C573" s="12">
        <v>5</v>
      </c>
      <c r="D573" s="13"/>
      <c r="E573" s="12">
        <v>230</v>
      </c>
      <c r="F573" s="14">
        <v>46078</v>
      </c>
      <c r="G573" s="34"/>
      <c r="H573" s="34" t="s">
        <v>314</v>
      </c>
      <c r="I573" s="34"/>
      <c r="J573" s="9" t="s">
        <v>274</v>
      </c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</row>
    <row r="574" spans="1:28" ht="14.25" customHeight="1" x14ac:dyDescent="0.35">
      <c r="A574" s="12">
        <v>301666</v>
      </c>
      <c r="B574" s="59" t="str">
        <f>IFERROR(VLOOKUP(Tabla1[[#This Row],[CODIGO]],INVENTARIO!A:B,2,0)," ")</f>
        <v>Tapping Tee PE 110-25 mm</v>
      </c>
      <c r="C574" s="12">
        <v>1</v>
      </c>
      <c r="D574" s="13"/>
      <c r="E574" s="12">
        <v>230</v>
      </c>
      <c r="F574" s="14">
        <v>46078</v>
      </c>
      <c r="G574" s="34"/>
      <c r="H574" s="34" t="s">
        <v>314</v>
      </c>
      <c r="I574" s="34"/>
      <c r="J574" s="9" t="s">
        <v>274</v>
      </c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</row>
    <row r="575" spans="1:28" ht="14.25" customHeight="1" x14ac:dyDescent="0.35">
      <c r="A575" s="12">
        <v>300109</v>
      </c>
      <c r="B575" s="59" t="str">
        <f>IFERROR(VLOOKUP(Tabla1[[#This Row],[CODIGO]],INVENTARIO!A:B,2,0)," ")</f>
        <v>Risers de Acero 3/4" Bsp x 25 mm</v>
      </c>
      <c r="C575" s="12">
        <v>1</v>
      </c>
      <c r="D575" s="13"/>
      <c r="E575" s="12">
        <v>230</v>
      </c>
      <c r="F575" s="14">
        <v>46078</v>
      </c>
      <c r="G575" s="34"/>
      <c r="H575" s="34" t="s">
        <v>314</v>
      </c>
      <c r="I575" s="34"/>
      <c r="J575" s="9" t="s">
        <v>274</v>
      </c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</row>
    <row r="576" spans="1:28" ht="14.25" customHeight="1" x14ac:dyDescent="0.35">
      <c r="A576" s="12">
        <v>302737</v>
      </c>
      <c r="B576" s="59" t="str">
        <f>IFERROR(VLOOKUP(Tabla1[[#This Row],[CODIGO]],INVENTARIO!A:B,2,0)," ")</f>
        <v>Válvula Bola 3/4" Hi Un Cuerpo Pn5 Arco</v>
      </c>
      <c r="C576" s="12">
        <v>1</v>
      </c>
      <c r="D576" s="13"/>
      <c r="E576" s="12">
        <v>230</v>
      </c>
      <c r="F576" s="14">
        <v>46078</v>
      </c>
      <c r="G576" s="34"/>
      <c r="H576" s="34" t="s">
        <v>314</v>
      </c>
      <c r="I576" s="34"/>
      <c r="J576" s="9" t="s">
        <v>274</v>
      </c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</row>
    <row r="577" spans="1:28" ht="14.25" customHeight="1" x14ac:dyDescent="0.35">
      <c r="A577" s="12">
        <v>2008481</v>
      </c>
      <c r="B577" s="59" t="str">
        <f>IFERROR(VLOOKUP(Tabla1[[#This Row],[CODIGO]],INVENTARIO!A:B,2,0)," ")</f>
        <v>Tapa Tornillo Bronce 3/4" HE Bspt.</v>
      </c>
      <c r="C577" s="12">
        <v>1</v>
      </c>
      <c r="D577" s="13"/>
      <c r="E577" s="12">
        <v>230</v>
      </c>
      <c r="F577" s="14">
        <v>46078</v>
      </c>
      <c r="G577" s="34"/>
      <c r="H577" s="34" t="s">
        <v>314</v>
      </c>
      <c r="I577" s="34"/>
      <c r="J577" s="9" t="s">
        <v>274</v>
      </c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</row>
    <row r="578" spans="1:28" ht="14.25" customHeight="1" x14ac:dyDescent="0.35">
      <c r="A578" s="12">
        <v>303017</v>
      </c>
      <c r="B578" s="59" t="str">
        <f>IFERROR(VLOOKUP(Tabla1[[#This Row],[CODIGO]],INVENTARIO!A:B,2,0)," ")</f>
        <v>Codo PE100 90° 110mm EF</v>
      </c>
      <c r="C578" s="12">
        <v>2</v>
      </c>
      <c r="D578" s="13"/>
      <c r="E578" s="12">
        <v>230</v>
      </c>
      <c r="F578" s="14">
        <v>46078</v>
      </c>
      <c r="G578" s="34"/>
      <c r="H578" s="34" t="s">
        <v>314</v>
      </c>
      <c r="I578" s="34"/>
      <c r="J578" s="9" t="s">
        <v>274</v>
      </c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</row>
    <row r="579" spans="1:28" ht="14.25" customHeight="1" x14ac:dyDescent="0.35">
      <c r="A579" s="12">
        <v>301329</v>
      </c>
      <c r="B579" s="59" t="str">
        <f>IFERROR(VLOOKUP(Tabla1[[#This Row],[CODIGO]],INVENTARIO!A:B,2,0)," ")</f>
        <v>Copla PE100 025mm EF</v>
      </c>
      <c r="C579" s="12">
        <v>4</v>
      </c>
      <c r="D579" s="13"/>
      <c r="E579" s="12">
        <v>230</v>
      </c>
      <c r="F579" s="14">
        <v>46078</v>
      </c>
      <c r="G579" s="34"/>
      <c r="H579" s="34" t="s">
        <v>314</v>
      </c>
      <c r="I579" s="34"/>
      <c r="J579" s="9" t="s">
        <v>274</v>
      </c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</row>
    <row r="580" spans="1:28" ht="14.25" customHeight="1" x14ac:dyDescent="0.35">
      <c r="A580" s="12">
        <v>301749</v>
      </c>
      <c r="B580" s="59" t="str">
        <f>IFERROR(VLOOKUP(Tabla1[[#This Row],[CODIGO]],INVENTARIO!A:B,2,0)," ")</f>
        <v>Tubería PE80 025mm Rollo</v>
      </c>
      <c r="C580" s="12">
        <v>1</v>
      </c>
      <c r="D580" s="13"/>
      <c r="E580" s="12">
        <v>230</v>
      </c>
      <c r="F580" s="14">
        <v>46078</v>
      </c>
      <c r="G580" s="34"/>
      <c r="H580" s="34" t="s">
        <v>314</v>
      </c>
      <c r="I580" s="34"/>
      <c r="J580" s="9" t="s">
        <v>274</v>
      </c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</row>
    <row r="581" spans="1:28" ht="14.25" customHeight="1" x14ac:dyDescent="0.35">
      <c r="A581" s="12">
        <v>300527</v>
      </c>
      <c r="B581" s="59" t="str">
        <f>IFERROR(VLOOKUP(Tabla1[[#This Row],[CODIGO]],INVENTARIO!A:B,2,0)," ")</f>
        <v>Tapping Tee PE 160-25 mm</v>
      </c>
      <c r="C581" s="12">
        <v>1</v>
      </c>
      <c r="D581" s="13"/>
      <c r="E581" s="12">
        <v>334</v>
      </c>
      <c r="F581" s="14">
        <v>46078</v>
      </c>
      <c r="G581" s="34"/>
      <c r="H581" s="34" t="s">
        <v>267</v>
      </c>
      <c r="I581" s="34"/>
      <c r="J581" s="9">
        <v>901816195</v>
      </c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</row>
    <row r="582" spans="1:28" ht="14.25" customHeight="1" x14ac:dyDescent="0.35">
      <c r="A582" s="12">
        <v>301749</v>
      </c>
      <c r="B582" s="59" t="str">
        <f>IFERROR(VLOOKUP(Tabla1[[#This Row],[CODIGO]],INVENTARIO!A:B,2,0)," ")</f>
        <v>Tubería PE80 025mm Rollo</v>
      </c>
      <c r="C582" s="12">
        <v>2</v>
      </c>
      <c r="D582" s="13"/>
      <c r="E582" s="12">
        <v>334</v>
      </c>
      <c r="F582" s="14">
        <v>46078</v>
      </c>
      <c r="G582" s="34"/>
      <c r="H582" s="34" t="s">
        <v>267</v>
      </c>
      <c r="I582" s="34"/>
      <c r="J582" s="9">
        <v>901816195</v>
      </c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</row>
    <row r="583" spans="1:28" ht="14.25" customHeight="1" x14ac:dyDescent="0.35">
      <c r="A583" s="12">
        <v>301099</v>
      </c>
      <c r="B583" s="59" t="str">
        <f>IFERROR(VLOOKUP(Tabla1[[#This Row],[CODIGO]],INVENTARIO!A:B,2,0)," ")</f>
        <v>Válvula PE100 Dn 25mm</v>
      </c>
      <c r="C583" s="12">
        <v>1</v>
      </c>
      <c r="D583" s="13"/>
      <c r="E583" s="12">
        <v>334</v>
      </c>
      <c r="F583" s="14">
        <v>46078</v>
      </c>
      <c r="G583" s="34"/>
      <c r="H583" s="34" t="s">
        <v>267</v>
      </c>
      <c r="I583" s="34"/>
      <c r="J583" s="9">
        <v>901816195</v>
      </c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</row>
    <row r="584" spans="1:28" ht="14.25" customHeight="1" x14ac:dyDescent="0.35">
      <c r="A584" s="12">
        <v>2006391</v>
      </c>
      <c r="B584" s="59" t="str">
        <f>IFERROR(VLOOKUP(Tabla1[[#This Row],[CODIGO]],INVENTARIO!A:B,2,0)," ")</f>
        <v>Guardallave Fierro Fundido C/Tapa</v>
      </c>
      <c r="C584" s="12">
        <v>1</v>
      </c>
      <c r="D584" s="13"/>
      <c r="E584" s="12">
        <v>334</v>
      </c>
      <c r="F584" s="14">
        <v>46078</v>
      </c>
      <c r="G584" s="34"/>
      <c r="H584" s="34" t="s">
        <v>267</v>
      </c>
      <c r="I584" s="34"/>
      <c r="J584" s="9">
        <v>901816195</v>
      </c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</row>
    <row r="585" spans="1:28" ht="14.25" customHeight="1" x14ac:dyDescent="0.35">
      <c r="A585" s="12">
        <v>301329</v>
      </c>
      <c r="B585" s="59" t="str">
        <f>IFERROR(VLOOKUP(Tabla1[[#This Row],[CODIGO]],INVENTARIO!A:B,2,0)," ")</f>
        <v>Copla PE100 025mm EF</v>
      </c>
      <c r="C585" s="12">
        <v>4</v>
      </c>
      <c r="D585" s="13"/>
      <c r="E585" s="12">
        <v>334</v>
      </c>
      <c r="F585" s="14">
        <v>46078</v>
      </c>
      <c r="G585" s="34"/>
      <c r="H585" s="34" t="s">
        <v>267</v>
      </c>
      <c r="I585" s="34"/>
      <c r="J585" s="9">
        <v>901816195</v>
      </c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</row>
    <row r="586" spans="1:28" ht="14.25" customHeight="1" x14ac:dyDescent="0.35">
      <c r="A586" s="12">
        <v>302737</v>
      </c>
      <c r="B586" s="59" t="str">
        <f>IFERROR(VLOOKUP(Tabla1[[#This Row],[CODIGO]],INVENTARIO!A:B,2,0)," ")</f>
        <v>Válvula Bola 3/4" Hi Un Cuerpo Pn5 Arco</v>
      </c>
      <c r="C586" s="12">
        <v>1</v>
      </c>
      <c r="D586" s="13"/>
      <c r="E586" s="12">
        <v>334</v>
      </c>
      <c r="F586" s="14">
        <v>46078</v>
      </c>
      <c r="G586" s="34"/>
      <c r="H586" s="34" t="s">
        <v>267</v>
      </c>
      <c r="I586" s="34"/>
      <c r="J586" s="9">
        <v>901816195</v>
      </c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</row>
    <row r="587" spans="1:28" ht="14.25" customHeight="1" x14ac:dyDescent="0.35">
      <c r="A587" s="12">
        <v>300109</v>
      </c>
      <c r="B587" s="59" t="str">
        <f>IFERROR(VLOOKUP(Tabla1[[#This Row],[CODIGO]],INVENTARIO!A:B,2,0)," ")</f>
        <v>Risers de Acero 3/4" Bsp x 25 mm</v>
      </c>
      <c r="C587" s="12">
        <v>1</v>
      </c>
      <c r="D587" s="13"/>
      <c r="E587" s="12">
        <v>334</v>
      </c>
      <c r="F587" s="14">
        <v>46078</v>
      </c>
      <c r="G587" s="34"/>
      <c r="H587" s="34" t="s">
        <v>267</v>
      </c>
      <c r="I587" s="34"/>
      <c r="J587" s="9">
        <v>901816195</v>
      </c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</row>
    <row r="588" spans="1:28" ht="14.25" customHeight="1" x14ac:dyDescent="0.35">
      <c r="A588" s="12">
        <v>2003911</v>
      </c>
      <c r="B588" s="59" t="str">
        <f>IFERROR(VLOOKUP(Tabla1[[#This Row],[CODIGO]],INVENTARIO!A:B,2,0)," ")</f>
        <v>Válvula EFv PE 25 mm Para Tap. Tee</v>
      </c>
      <c r="C588" s="12">
        <v>1</v>
      </c>
      <c r="D588" s="13"/>
      <c r="E588" s="12">
        <v>334</v>
      </c>
      <c r="F588" s="14">
        <v>46078</v>
      </c>
      <c r="G588" s="34"/>
      <c r="H588" s="34" t="s">
        <v>267</v>
      </c>
      <c r="I588" s="34"/>
      <c r="J588" s="9">
        <v>901816195</v>
      </c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</row>
    <row r="589" spans="1:28" ht="14.25" customHeight="1" x14ac:dyDescent="0.35">
      <c r="A589" s="12">
        <v>2008481</v>
      </c>
      <c r="B589" s="59" t="str">
        <f>IFERROR(VLOOKUP(Tabla1[[#This Row],[CODIGO]],INVENTARIO!A:B,2,0)," ")</f>
        <v>Tapa Tornillo Bronce 3/4" HE Bspt.</v>
      </c>
      <c r="C589" s="12">
        <v>1</v>
      </c>
      <c r="D589" s="13"/>
      <c r="E589" s="12">
        <v>334</v>
      </c>
      <c r="F589" s="14">
        <v>46078</v>
      </c>
      <c r="G589" s="34"/>
      <c r="H589" s="34" t="s">
        <v>267</v>
      </c>
      <c r="I589" s="34"/>
      <c r="J589" s="9">
        <v>901816195</v>
      </c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</row>
    <row r="590" spans="1:28" ht="14.25" customHeight="1" x14ac:dyDescent="0.35">
      <c r="A590" s="12">
        <v>303368</v>
      </c>
      <c r="B590" s="59" t="str">
        <f>IFERROR(VLOOKUP(Tabla1[[#This Row],[CODIGO]],INVENTARIO!A:B,2,0)," ")</f>
        <v>Cinta Plástica "Línea GN", 30 x 0.1</v>
      </c>
      <c r="C590" s="12">
        <v>2</v>
      </c>
      <c r="D590" s="13"/>
      <c r="E590" s="12">
        <v>334</v>
      </c>
      <c r="F590" s="14">
        <v>46078</v>
      </c>
      <c r="G590" s="34"/>
      <c r="H590" s="34" t="s">
        <v>267</v>
      </c>
      <c r="I590" s="34"/>
      <c r="J590" s="9">
        <v>901816195</v>
      </c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</row>
    <row r="591" spans="1:28" ht="14.25" customHeight="1" x14ac:dyDescent="0.35">
      <c r="A591" s="12">
        <v>1002167</v>
      </c>
      <c r="B591" s="59" t="str">
        <f>IFERROR(VLOOKUP(Tabla1[[#This Row],[CODIGO]],INVENTARIO!A:B,2,0)," ")</f>
        <v>Cable Trazador Cu 14 AWG Aisl. THW Roj</v>
      </c>
      <c r="C591" s="12">
        <v>2</v>
      </c>
      <c r="D591" s="13"/>
      <c r="E591" s="12">
        <v>334</v>
      </c>
      <c r="F591" s="14">
        <v>46078</v>
      </c>
      <c r="G591" s="34"/>
      <c r="H591" s="34" t="s">
        <v>267</v>
      </c>
      <c r="I591" s="34"/>
      <c r="J591" s="9">
        <v>901816195</v>
      </c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</row>
    <row r="592" spans="1:28" ht="14.25" customHeight="1" x14ac:dyDescent="0.35">
      <c r="A592" s="12">
        <v>2007948</v>
      </c>
      <c r="B592" s="59" t="str">
        <f>IFERROR(VLOOKUP(Tabla1[[#This Row],[CODIGO]],INVENTARIO!A:B,2,0)," ")</f>
        <v>Tubo PVC Hidraulico 110 mm Pn6 Celeste</v>
      </c>
      <c r="C592" s="12">
        <v>1</v>
      </c>
      <c r="D592" s="13"/>
      <c r="E592" s="12">
        <v>334</v>
      </c>
      <c r="F592" s="14">
        <v>46078</v>
      </c>
      <c r="G592" s="34"/>
      <c r="H592" s="34" t="s">
        <v>267</v>
      </c>
      <c r="I592" s="34"/>
      <c r="J592" s="9">
        <v>901816195</v>
      </c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</row>
    <row r="593" spans="1:28" ht="14.25" customHeight="1" x14ac:dyDescent="0.35">
      <c r="A593" s="12">
        <v>101624</v>
      </c>
      <c r="B593" s="59" t="str">
        <f>IFERROR(VLOOKUP(Tabla1[[#This Row],[CODIGO]],INVENTARIO!A:B,2,0)," ")</f>
        <v>Tapping Tee PE 50-25 mm</v>
      </c>
      <c r="C593" s="12">
        <v>1</v>
      </c>
      <c r="D593" s="13"/>
      <c r="E593" s="12">
        <v>333</v>
      </c>
      <c r="F593" s="14">
        <v>46078</v>
      </c>
      <c r="G593" s="34"/>
      <c r="H593" s="34" t="s">
        <v>267</v>
      </c>
      <c r="I593" s="34"/>
      <c r="J593" s="9">
        <v>500055461</v>
      </c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</row>
    <row r="594" spans="1:28" ht="14.25" customHeight="1" x14ac:dyDescent="0.35">
      <c r="A594" s="12">
        <v>301749</v>
      </c>
      <c r="B594" s="59" t="str">
        <f>IFERROR(VLOOKUP(Tabla1[[#This Row],[CODIGO]],INVENTARIO!A:B,2,0)," ")</f>
        <v>Tubería PE80 025mm Rollo</v>
      </c>
      <c r="C594" s="12">
        <v>2</v>
      </c>
      <c r="D594" s="13"/>
      <c r="E594" s="12">
        <v>333</v>
      </c>
      <c r="F594" s="14">
        <v>46078</v>
      </c>
      <c r="G594" s="34"/>
      <c r="H594" s="34" t="s">
        <v>267</v>
      </c>
      <c r="I594" s="34"/>
      <c r="J594" s="9">
        <v>500055461</v>
      </c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</row>
    <row r="595" spans="1:28" ht="14.25" customHeight="1" x14ac:dyDescent="0.35">
      <c r="A595" s="12">
        <v>301099</v>
      </c>
      <c r="B595" s="59" t="str">
        <f>IFERROR(VLOOKUP(Tabla1[[#This Row],[CODIGO]],INVENTARIO!A:B,2,0)," ")</f>
        <v>Válvula PE100 Dn 25mm</v>
      </c>
      <c r="C595" s="12">
        <v>1</v>
      </c>
      <c r="D595" s="13"/>
      <c r="E595" s="12">
        <v>333</v>
      </c>
      <c r="F595" s="14">
        <v>46078</v>
      </c>
      <c r="G595" s="34"/>
      <c r="H595" s="34" t="s">
        <v>267</v>
      </c>
      <c r="I595" s="34"/>
      <c r="J595" s="9">
        <v>500055461</v>
      </c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</row>
    <row r="596" spans="1:28" ht="14.25" customHeight="1" x14ac:dyDescent="0.35">
      <c r="A596" s="12">
        <v>2006391</v>
      </c>
      <c r="B596" s="59" t="str">
        <f>IFERROR(VLOOKUP(Tabla1[[#This Row],[CODIGO]],INVENTARIO!A:B,2,0)," ")</f>
        <v>Guardallave Fierro Fundido C/Tapa</v>
      </c>
      <c r="C596" s="12">
        <v>1</v>
      </c>
      <c r="D596" s="13"/>
      <c r="E596" s="12">
        <v>333</v>
      </c>
      <c r="F596" s="14">
        <v>46078</v>
      </c>
      <c r="G596" s="34"/>
      <c r="H596" s="34" t="s">
        <v>267</v>
      </c>
      <c r="I596" s="34"/>
      <c r="J596" s="9">
        <v>500055461</v>
      </c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</row>
    <row r="597" spans="1:28" ht="14.25" customHeight="1" x14ac:dyDescent="0.35">
      <c r="A597" s="12">
        <v>301329</v>
      </c>
      <c r="B597" s="59" t="str">
        <f>IFERROR(VLOOKUP(Tabla1[[#This Row],[CODIGO]],INVENTARIO!A:B,2,0)," ")</f>
        <v>Copla PE100 025mm EF</v>
      </c>
      <c r="C597" s="12">
        <v>4</v>
      </c>
      <c r="D597" s="13"/>
      <c r="E597" s="12">
        <v>333</v>
      </c>
      <c r="F597" s="14">
        <v>46078</v>
      </c>
      <c r="G597" s="34"/>
      <c r="H597" s="34" t="s">
        <v>267</v>
      </c>
      <c r="I597" s="34"/>
      <c r="J597" s="9">
        <v>500055461</v>
      </c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</row>
    <row r="598" spans="1:28" ht="14.25" customHeight="1" x14ac:dyDescent="0.35">
      <c r="A598" s="12">
        <v>302737</v>
      </c>
      <c r="B598" s="59" t="str">
        <f>IFERROR(VLOOKUP(Tabla1[[#This Row],[CODIGO]],INVENTARIO!A:B,2,0)," ")</f>
        <v>Válvula Bola 3/4" Hi Un Cuerpo Pn5 Arco</v>
      </c>
      <c r="C598" s="12">
        <v>1</v>
      </c>
      <c r="D598" s="13"/>
      <c r="E598" s="12">
        <v>333</v>
      </c>
      <c r="F598" s="14">
        <v>46078</v>
      </c>
      <c r="G598" s="34"/>
      <c r="H598" s="34" t="s">
        <v>267</v>
      </c>
      <c r="I598" s="34"/>
      <c r="J598" s="9">
        <v>500055461</v>
      </c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</row>
    <row r="599" spans="1:28" ht="14.25" customHeight="1" x14ac:dyDescent="0.35">
      <c r="A599" s="12">
        <v>300109</v>
      </c>
      <c r="B599" s="59" t="str">
        <f>IFERROR(VLOOKUP(Tabla1[[#This Row],[CODIGO]],INVENTARIO!A:B,2,0)," ")</f>
        <v>Risers de Acero 3/4" Bsp x 25 mm</v>
      </c>
      <c r="C599" s="12">
        <v>1</v>
      </c>
      <c r="D599" s="13"/>
      <c r="E599" s="12">
        <v>333</v>
      </c>
      <c r="F599" s="14">
        <v>46078</v>
      </c>
      <c r="G599" s="34"/>
      <c r="H599" s="34" t="s">
        <v>267</v>
      </c>
      <c r="I599" s="34"/>
      <c r="J599" s="9">
        <v>500055461</v>
      </c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</row>
    <row r="600" spans="1:28" ht="14.25" customHeight="1" x14ac:dyDescent="0.35">
      <c r="A600" s="12">
        <v>2003911</v>
      </c>
      <c r="B600" s="59" t="str">
        <f>IFERROR(VLOOKUP(Tabla1[[#This Row],[CODIGO]],INVENTARIO!A:B,2,0)," ")</f>
        <v>Válvula EFv PE 25 mm Para Tap. Tee</v>
      </c>
      <c r="C600" s="12">
        <v>1</v>
      </c>
      <c r="D600" s="13"/>
      <c r="E600" s="12">
        <v>333</v>
      </c>
      <c r="F600" s="14">
        <v>46078</v>
      </c>
      <c r="G600" s="34"/>
      <c r="H600" s="34" t="s">
        <v>267</v>
      </c>
      <c r="I600" s="34"/>
      <c r="J600" s="9">
        <v>500055461</v>
      </c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</row>
    <row r="601" spans="1:28" ht="14.25" customHeight="1" x14ac:dyDescent="0.35">
      <c r="A601" s="12">
        <v>302184</v>
      </c>
      <c r="B601" s="59" t="str">
        <f>IFERROR(VLOOKUP(Tabla1[[#This Row],[CODIGO]],INVENTARIO!A:B,2,0)," ")</f>
        <v>Tapa Tornillo Cambio de Codigo por: 2008481</v>
      </c>
      <c r="C601" s="12">
        <v>1</v>
      </c>
      <c r="D601" s="13"/>
      <c r="E601" s="12">
        <v>333</v>
      </c>
      <c r="F601" s="14">
        <v>46078</v>
      </c>
      <c r="G601" s="34"/>
      <c r="H601" s="34" t="s">
        <v>267</v>
      </c>
      <c r="I601" s="34"/>
      <c r="J601" s="9">
        <v>500055461</v>
      </c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</row>
    <row r="602" spans="1:28" ht="14.25" customHeight="1" x14ac:dyDescent="0.35">
      <c r="A602" s="12">
        <v>303368</v>
      </c>
      <c r="B602" s="59" t="str">
        <f>IFERROR(VLOOKUP(Tabla1[[#This Row],[CODIGO]],INVENTARIO!A:B,2,0)," ")</f>
        <v>Cinta Plástica "Línea GN", 30 x 0.1</v>
      </c>
      <c r="C602" s="12">
        <v>2</v>
      </c>
      <c r="D602" s="13"/>
      <c r="E602" s="12">
        <v>333</v>
      </c>
      <c r="F602" s="14">
        <v>46078</v>
      </c>
      <c r="G602" s="34"/>
      <c r="H602" s="34" t="s">
        <v>267</v>
      </c>
      <c r="I602" s="34"/>
      <c r="J602" s="9">
        <v>500055461</v>
      </c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</row>
    <row r="603" spans="1:28" ht="14.25" customHeight="1" x14ac:dyDescent="0.35">
      <c r="A603" s="12">
        <v>1002167</v>
      </c>
      <c r="B603" s="59" t="str">
        <f>IFERROR(VLOOKUP(Tabla1[[#This Row],[CODIGO]],INVENTARIO!A:B,2,0)," ")</f>
        <v>Cable Trazador Cu 14 AWG Aisl. THW Roj</v>
      </c>
      <c r="C603" s="12">
        <v>2</v>
      </c>
      <c r="D603" s="13"/>
      <c r="E603" s="12">
        <v>333</v>
      </c>
      <c r="F603" s="14">
        <v>46078</v>
      </c>
      <c r="G603" s="34"/>
      <c r="H603" s="34" t="s">
        <v>267</v>
      </c>
      <c r="I603" s="34"/>
      <c r="J603" s="9">
        <v>500055461</v>
      </c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</row>
    <row r="604" spans="1:28" ht="14.25" customHeight="1" x14ac:dyDescent="0.35">
      <c r="A604" s="12">
        <v>2007948</v>
      </c>
      <c r="B604" s="59" t="str">
        <f>IFERROR(VLOOKUP(Tabla1[[#This Row],[CODIGO]],INVENTARIO!A:B,2,0)," ")</f>
        <v>Tubo PVC Hidraulico 110 mm Pn6 Celeste</v>
      </c>
      <c r="C604" s="12">
        <v>1</v>
      </c>
      <c r="D604" s="13"/>
      <c r="E604" s="12">
        <v>333</v>
      </c>
      <c r="F604" s="14">
        <v>46078</v>
      </c>
      <c r="G604" s="34"/>
      <c r="H604" s="34" t="s">
        <v>267</v>
      </c>
      <c r="I604" s="34"/>
      <c r="J604" s="9">
        <v>500055461</v>
      </c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</row>
    <row r="605" spans="1:28" ht="14.25" customHeight="1" x14ac:dyDescent="0.35">
      <c r="A605" s="12">
        <v>101624</v>
      </c>
      <c r="B605" s="59" t="str">
        <f>IFERROR(VLOOKUP(Tabla1[[#This Row],[CODIGO]],INVENTARIO!A:B,2,0)," ")</f>
        <v>Tapping Tee PE 50-25 mm</v>
      </c>
      <c r="C605" s="12">
        <v>1</v>
      </c>
      <c r="D605" s="13"/>
      <c r="E605" s="12">
        <v>332</v>
      </c>
      <c r="F605" s="14">
        <v>46078</v>
      </c>
      <c r="G605" s="34"/>
      <c r="H605" s="34" t="s">
        <v>267</v>
      </c>
      <c r="I605" s="34"/>
      <c r="J605" s="9">
        <v>500054633</v>
      </c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</row>
    <row r="606" spans="1:28" ht="14.25" customHeight="1" x14ac:dyDescent="0.35">
      <c r="A606" s="12">
        <v>301749</v>
      </c>
      <c r="B606" s="59" t="str">
        <f>IFERROR(VLOOKUP(Tabla1[[#This Row],[CODIGO]],INVENTARIO!A:B,2,0)," ")</f>
        <v>Tubería PE80 025mm Rollo</v>
      </c>
      <c r="C606" s="12">
        <v>3</v>
      </c>
      <c r="D606" s="13"/>
      <c r="E606" s="12">
        <v>332</v>
      </c>
      <c r="F606" s="14">
        <v>46078</v>
      </c>
      <c r="G606" s="34"/>
      <c r="H606" s="34" t="s">
        <v>267</v>
      </c>
      <c r="I606" s="34"/>
      <c r="J606" s="9">
        <v>500054633</v>
      </c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</row>
    <row r="607" spans="1:28" ht="14.25" customHeight="1" x14ac:dyDescent="0.35">
      <c r="A607" s="12">
        <v>301099</v>
      </c>
      <c r="B607" s="59" t="str">
        <f>IFERROR(VLOOKUP(Tabla1[[#This Row],[CODIGO]],INVENTARIO!A:B,2,0)," ")</f>
        <v>Válvula PE100 Dn 25mm</v>
      </c>
      <c r="C607" s="12">
        <v>1</v>
      </c>
      <c r="D607" s="13"/>
      <c r="E607" s="12">
        <v>332</v>
      </c>
      <c r="F607" s="14">
        <v>46078</v>
      </c>
      <c r="G607" s="34"/>
      <c r="H607" s="34" t="s">
        <v>267</v>
      </c>
      <c r="I607" s="34"/>
      <c r="J607" s="9">
        <v>500054633</v>
      </c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</row>
    <row r="608" spans="1:28" ht="14.25" customHeight="1" x14ac:dyDescent="0.35">
      <c r="A608" s="12">
        <v>2006391</v>
      </c>
      <c r="B608" s="59" t="str">
        <f>IFERROR(VLOOKUP(Tabla1[[#This Row],[CODIGO]],INVENTARIO!A:B,2,0)," ")</f>
        <v>Guardallave Fierro Fundido C/Tapa</v>
      </c>
      <c r="C608" s="12">
        <v>1</v>
      </c>
      <c r="D608" s="13"/>
      <c r="E608" s="12">
        <v>332</v>
      </c>
      <c r="F608" s="14">
        <v>46078</v>
      </c>
      <c r="G608" s="34"/>
      <c r="H608" s="34" t="s">
        <v>267</v>
      </c>
      <c r="I608" s="34"/>
      <c r="J608" s="9">
        <v>500054633</v>
      </c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</row>
    <row r="609" spans="1:28" ht="14.25" customHeight="1" x14ac:dyDescent="0.35">
      <c r="A609" s="12">
        <v>301329</v>
      </c>
      <c r="B609" s="59" t="str">
        <f>IFERROR(VLOOKUP(Tabla1[[#This Row],[CODIGO]],INVENTARIO!A:B,2,0)," ")</f>
        <v>Copla PE100 025mm EF</v>
      </c>
      <c r="C609" s="12">
        <v>4</v>
      </c>
      <c r="D609" s="13"/>
      <c r="E609" s="12">
        <v>332</v>
      </c>
      <c r="F609" s="14">
        <v>46078</v>
      </c>
      <c r="G609" s="34"/>
      <c r="H609" s="34" t="s">
        <v>267</v>
      </c>
      <c r="I609" s="34"/>
      <c r="J609" s="9">
        <v>500054633</v>
      </c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</row>
    <row r="610" spans="1:28" ht="14.25" customHeight="1" x14ac:dyDescent="0.35">
      <c r="A610" s="12">
        <v>302737</v>
      </c>
      <c r="B610" s="59" t="str">
        <f>IFERROR(VLOOKUP(Tabla1[[#This Row],[CODIGO]],INVENTARIO!A:B,2,0)," ")</f>
        <v>Válvula Bola 3/4" Hi Un Cuerpo Pn5 Arco</v>
      </c>
      <c r="C610" s="12">
        <v>1</v>
      </c>
      <c r="D610" s="13"/>
      <c r="E610" s="12">
        <v>332</v>
      </c>
      <c r="F610" s="14">
        <v>46078</v>
      </c>
      <c r="G610" s="34"/>
      <c r="H610" s="34" t="s">
        <v>267</v>
      </c>
      <c r="I610" s="34"/>
      <c r="J610" s="9">
        <v>500054633</v>
      </c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</row>
    <row r="611" spans="1:28" ht="14.25" customHeight="1" x14ac:dyDescent="0.35">
      <c r="A611" s="12">
        <v>300109</v>
      </c>
      <c r="B611" s="59" t="str">
        <f>IFERROR(VLOOKUP(Tabla1[[#This Row],[CODIGO]],INVENTARIO!A:B,2,0)," ")</f>
        <v>Risers de Acero 3/4" Bsp x 25 mm</v>
      </c>
      <c r="C611" s="12">
        <v>1</v>
      </c>
      <c r="D611" s="13"/>
      <c r="E611" s="12">
        <v>332</v>
      </c>
      <c r="F611" s="14">
        <v>46078</v>
      </c>
      <c r="G611" s="34"/>
      <c r="H611" s="34" t="s">
        <v>267</v>
      </c>
      <c r="I611" s="34"/>
      <c r="J611" s="9">
        <v>500054633</v>
      </c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</row>
    <row r="612" spans="1:28" ht="14.25" customHeight="1" x14ac:dyDescent="0.35">
      <c r="A612" s="12">
        <v>2003911</v>
      </c>
      <c r="B612" s="59" t="str">
        <f>IFERROR(VLOOKUP(Tabla1[[#This Row],[CODIGO]],INVENTARIO!A:B,2,0)," ")</f>
        <v>Válvula EFv PE 25 mm Para Tap. Tee</v>
      </c>
      <c r="C612" s="12">
        <v>1</v>
      </c>
      <c r="D612" s="13"/>
      <c r="E612" s="12">
        <v>332</v>
      </c>
      <c r="F612" s="14">
        <v>46078</v>
      </c>
      <c r="G612" s="34"/>
      <c r="H612" s="34" t="s">
        <v>267</v>
      </c>
      <c r="I612" s="34"/>
      <c r="J612" s="9">
        <v>500054633</v>
      </c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</row>
    <row r="613" spans="1:28" ht="14.25" customHeight="1" x14ac:dyDescent="0.35">
      <c r="A613" s="12">
        <v>302184</v>
      </c>
      <c r="B613" s="59" t="str">
        <f>IFERROR(VLOOKUP(Tabla1[[#This Row],[CODIGO]],INVENTARIO!A:B,2,0)," ")</f>
        <v>Tapa Tornillo Cambio de Codigo por: 2008481</v>
      </c>
      <c r="C613" s="12">
        <v>1</v>
      </c>
      <c r="D613" s="13"/>
      <c r="E613" s="12">
        <v>332</v>
      </c>
      <c r="F613" s="14">
        <v>46078</v>
      </c>
      <c r="G613" s="34"/>
      <c r="H613" s="34" t="s">
        <v>267</v>
      </c>
      <c r="I613" s="34"/>
      <c r="J613" s="9">
        <v>500054633</v>
      </c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</row>
    <row r="614" spans="1:28" ht="14.25" customHeight="1" x14ac:dyDescent="0.35">
      <c r="A614" s="12">
        <v>303368</v>
      </c>
      <c r="B614" s="59" t="str">
        <f>IFERROR(VLOOKUP(Tabla1[[#This Row],[CODIGO]],INVENTARIO!A:B,2,0)," ")</f>
        <v>Cinta Plástica "Línea GN", 30 x 0.1</v>
      </c>
      <c r="C614" s="12">
        <v>3</v>
      </c>
      <c r="D614" s="13"/>
      <c r="E614" s="12">
        <v>332</v>
      </c>
      <c r="F614" s="14">
        <v>46078</v>
      </c>
      <c r="G614" s="34"/>
      <c r="H614" s="34" t="s">
        <v>267</v>
      </c>
      <c r="I614" s="34"/>
      <c r="J614" s="9">
        <v>500054633</v>
      </c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</row>
    <row r="615" spans="1:28" ht="14.25" customHeight="1" x14ac:dyDescent="0.35">
      <c r="A615" s="12">
        <v>1002167</v>
      </c>
      <c r="B615" s="59" t="str">
        <f>IFERROR(VLOOKUP(Tabla1[[#This Row],[CODIGO]],INVENTARIO!A:B,2,0)," ")</f>
        <v>Cable Trazador Cu 14 AWG Aisl. THW Roj</v>
      </c>
      <c r="C615" s="12">
        <v>3</v>
      </c>
      <c r="D615" s="13"/>
      <c r="E615" s="12">
        <v>332</v>
      </c>
      <c r="F615" s="14">
        <v>46078</v>
      </c>
      <c r="G615" s="34"/>
      <c r="H615" s="34" t="s">
        <v>267</v>
      </c>
      <c r="I615" s="34"/>
      <c r="J615" s="9">
        <v>500054633</v>
      </c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</row>
    <row r="616" spans="1:28" ht="14.25" customHeight="1" x14ac:dyDescent="0.35">
      <c r="A616" s="12">
        <v>2007948</v>
      </c>
      <c r="B616" s="59" t="str">
        <f>IFERROR(VLOOKUP(Tabla1[[#This Row],[CODIGO]],INVENTARIO!A:B,2,0)," ")</f>
        <v>Tubo PVC Hidraulico 110 mm Pn6 Celeste</v>
      </c>
      <c r="C616" s="12">
        <v>1</v>
      </c>
      <c r="D616" s="13"/>
      <c r="E616" s="12">
        <v>332</v>
      </c>
      <c r="F616" s="14">
        <v>46078</v>
      </c>
      <c r="G616" s="34"/>
      <c r="H616" s="34" t="s">
        <v>267</v>
      </c>
      <c r="I616" s="34"/>
      <c r="J616" s="9">
        <v>500054633</v>
      </c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</row>
    <row r="617" spans="1:28" ht="14.25" customHeight="1" x14ac:dyDescent="0.35">
      <c r="A617" s="2">
        <v>2006391</v>
      </c>
      <c r="B617" s="59" t="str">
        <f>IFERROR(VLOOKUP(Tabla1[[#This Row],[CODIGO]],INVENTARIO!A:B,2,0)," ")</f>
        <v>Guardallave Fierro Fundido C/Tapa</v>
      </c>
      <c r="C617" s="12">
        <v>1</v>
      </c>
      <c r="D617" s="13"/>
      <c r="E617" s="12">
        <v>983</v>
      </c>
      <c r="F617" s="14">
        <v>46078</v>
      </c>
      <c r="G617" s="34"/>
      <c r="H617" s="34" t="s">
        <v>287</v>
      </c>
      <c r="I617" s="34"/>
      <c r="J617" s="9" t="s">
        <v>344</v>
      </c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</row>
    <row r="618" spans="1:28" ht="14.25" customHeight="1" x14ac:dyDescent="0.35">
      <c r="A618" s="12">
        <v>302446</v>
      </c>
      <c r="B618" s="59" t="str">
        <f>IFERROR(VLOOKUP(Tabla1[[#This Row],[CODIGO]],INVENTARIO!A:B,2,0)," ")</f>
        <v>Tapping Tee PE 200-25 mm</v>
      </c>
      <c r="C618" s="12">
        <v>1</v>
      </c>
      <c r="D618" s="13"/>
      <c r="E618" s="12">
        <v>331</v>
      </c>
      <c r="F618" s="14">
        <v>46078</v>
      </c>
      <c r="G618" s="34"/>
      <c r="H618" s="34" t="s">
        <v>267</v>
      </c>
      <c r="I618" s="34"/>
      <c r="J618" s="9">
        <v>500100028</v>
      </c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</row>
    <row r="619" spans="1:28" ht="14.25" customHeight="1" x14ac:dyDescent="0.35">
      <c r="A619" s="12">
        <v>301749</v>
      </c>
      <c r="B619" s="59" t="str">
        <f>IFERROR(VLOOKUP(Tabla1[[#This Row],[CODIGO]],INVENTARIO!A:B,2,0)," ")</f>
        <v>Tubería PE80 025mm Rollo</v>
      </c>
      <c r="C619" s="12">
        <v>2</v>
      </c>
      <c r="D619" s="13"/>
      <c r="E619" s="12">
        <v>331</v>
      </c>
      <c r="F619" s="14">
        <v>46078</v>
      </c>
      <c r="G619" s="34"/>
      <c r="H619" s="34" t="s">
        <v>267</v>
      </c>
      <c r="I619" s="34"/>
      <c r="J619" s="9">
        <v>500100028</v>
      </c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</row>
    <row r="620" spans="1:28" ht="14.25" customHeight="1" x14ac:dyDescent="0.35">
      <c r="A620" s="12">
        <v>301099</v>
      </c>
      <c r="B620" s="59" t="str">
        <f>IFERROR(VLOOKUP(Tabla1[[#This Row],[CODIGO]],INVENTARIO!A:B,2,0)," ")</f>
        <v>Válvula PE100 Dn 25mm</v>
      </c>
      <c r="C620" s="12">
        <v>1</v>
      </c>
      <c r="D620" s="13"/>
      <c r="E620" s="12">
        <v>331</v>
      </c>
      <c r="F620" s="14">
        <v>46078</v>
      </c>
      <c r="G620" s="34"/>
      <c r="H620" s="34" t="s">
        <v>267</v>
      </c>
      <c r="I620" s="34"/>
      <c r="J620" s="9">
        <v>500100028</v>
      </c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</row>
    <row r="621" spans="1:28" ht="14.25" customHeight="1" x14ac:dyDescent="0.35">
      <c r="A621" s="12">
        <v>2006391</v>
      </c>
      <c r="B621" s="59" t="str">
        <f>IFERROR(VLOOKUP(Tabla1[[#This Row],[CODIGO]],INVENTARIO!A:B,2,0)," ")</f>
        <v>Guardallave Fierro Fundido C/Tapa</v>
      </c>
      <c r="C621" s="12">
        <v>1</v>
      </c>
      <c r="D621" s="13"/>
      <c r="E621" s="12">
        <v>331</v>
      </c>
      <c r="F621" s="14">
        <v>46078</v>
      </c>
      <c r="G621" s="34"/>
      <c r="H621" s="34" t="s">
        <v>267</v>
      </c>
      <c r="I621" s="34"/>
      <c r="J621" s="9">
        <v>500100028</v>
      </c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</row>
    <row r="622" spans="1:28" ht="14.25" customHeight="1" x14ac:dyDescent="0.35">
      <c r="A622" s="12">
        <v>301329</v>
      </c>
      <c r="B622" s="59" t="str">
        <f>IFERROR(VLOOKUP(Tabla1[[#This Row],[CODIGO]],INVENTARIO!A:B,2,0)," ")</f>
        <v>Copla PE100 025mm EF</v>
      </c>
      <c r="C622" s="12">
        <v>4</v>
      </c>
      <c r="D622" s="13"/>
      <c r="E622" s="12">
        <v>331</v>
      </c>
      <c r="F622" s="14">
        <v>46078</v>
      </c>
      <c r="G622" s="34"/>
      <c r="H622" s="34" t="s">
        <v>267</v>
      </c>
      <c r="I622" s="34"/>
      <c r="J622" s="9">
        <v>500100028</v>
      </c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</row>
    <row r="623" spans="1:28" ht="14.25" customHeight="1" x14ac:dyDescent="0.35">
      <c r="A623" s="12">
        <v>302737</v>
      </c>
      <c r="B623" s="59" t="str">
        <f>IFERROR(VLOOKUP(Tabla1[[#This Row],[CODIGO]],INVENTARIO!A:B,2,0)," ")</f>
        <v>Válvula Bola 3/4" Hi Un Cuerpo Pn5 Arco</v>
      </c>
      <c r="C623" s="12">
        <v>1</v>
      </c>
      <c r="D623" s="13"/>
      <c r="E623" s="12">
        <v>331</v>
      </c>
      <c r="F623" s="14">
        <v>46078</v>
      </c>
      <c r="G623" s="34"/>
      <c r="H623" s="34" t="s">
        <v>267</v>
      </c>
      <c r="I623" s="34"/>
      <c r="J623" s="9">
        <v>500100028</v>
      </c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</row>
    <row r="624" spans="1:28" ht="14.25" customHeight="1" x14ac:dyDescent="0.35">
      <c r="A624" s="12">
        <v>300109</v>
      </c>
      <c r="B624" s="59" t="str">
        <f>IFERROR(VLOOKUP(Tabla1[[#This Row],[CODIGO]],INVENTARIO!A:B,2,0)," ")</f>
        <v>Risers de Acero 3/4" Bsp x 25 mm</v>
      </c>
      <c r="C624" s="12">
        <v>1</v>
      </c>
      <c r="D624" s="13"/>
      <c r="E624" s="12">
        <v>331</v>
      </c>
      <c r="F624" s="14">
        <v>46078</v>
      </c>
      <c r="G624" s="34"/>
      <c r="H624" s="34" t="s">
        <v>267</v>
      </c>
      <c r="I624" s="34"/>
      <c r="J624" s="9">
        <v>500100028</v>
      </c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</row>
    <row r="625" spans="1:28" ht="14.25" customHeight="1" x14ac:dyDescent="0.35">
      <c r="A625" s="12">
        <v>2003911</v>
      </c>
      <c r="B625" s="59" t="str">
        <f>IFERROR(VLOOKUP(Tabla1[[#This Row],[CODIGO]],INVENTARIO!A:B,2,0)," ")</f>
        <v>Válvula EFv PE 25 mm Para Tap. Tee</v>
      </c>
      <c r="C625" s="12">
        <v>1</v>
      </c>
      <c r="D625" s="13"/>
      <c r="E625" s="12">
        <v>331</v>
      </c>
      <c r="F625" s="14">
        <v>46078</v>
      </c>
      <c r="G625" s="34"/>
      <c r="H625" s="34" t="s">
        <v>267</v>
      </c>
      <c r="I625" s="34"/>
      <c r="J625" s="9">
        <v>500100028</v>
      </c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</row>
    <row r="626" spans="1:28" ht="14.25" customHeight="1" x14ac:dyDescent="0.35">
      <c r="A626" s="12">
        <v>2008481</v>
      </c>
      <c r="B626" s="59" t="str">
        <f>IFERROR(VLOOKUP(Tabla1[[#This Row],[CODIGO]],INVENTARIO!A:B,2,0)," ")</f>
        <v>Tapa Tornillo Bronce 3/4" HE Bspt.</v>
      </c>
      <c r="C626" s="12">
        <v>1</v>
      </c>
      <c r="D626" s="13"/>
      <c r="E626" s="12">
        <v>331</v>
      </c>
      <c r="F626" s="14">
        <v>46078</v>
      </c>
      <c r="G626" s="34"/>
      <c r="H626" s="34" t="s">
        <v>267</v>
      </c>
      <c r="I626" s="34"/>
      <c r="J626" s="9">
        <v>500100028</v>
      </c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</row>
    <row r="627" spans="1:28" ht="14.25" customHeight="1" x14ac:dyDescent="0.35">
      <c r="A627" s="12">
        <v>303368</v>
      </c>
      <c r="B627" s="59" t="str">
        <f>IFERROR(VLOOKUP(Tabla1[[#This Row],[CODIGO]],INVENTARIO!A:B,2,0)," ")</f>
        <v>Cinta Plástica "Línea GN", 30 x 0.1</v>
      </c>
      <c r="C627" s="12">
        <v>2</v>
      </c>
      <c r="D627" s="13"/>
      <c r="E627" s="12">
        <v>331</v>
      </c>
      <c r="F627" s="14">
        <v>46078</v>
      </c>
      <c r="G627" s="34"/>
      <c r="H627" s="34" t="s">
        <v>267</v>
      </c>
      <c r="I627" s="34"/>
      <c r="J627" s="9">
        <v>500100028</v>
      </c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</row>
    <row r="628" spans="1:28" ht="14.25" customHeight="1" x14ac:dyDescent="0.35">
      <c r="A628" s="12">
        <v>1002167</v>
      </c>
      <c r="B628" s="59" t="str">
        <f>IFERROR(VLOOKUP(Tabla1[[#This Row],[CODIGO]],INVENTARIO!A:B,2,0)," ")</f>
        <v>Cable Trazador Cu 14 AWG Aisl. THW Roj</v>
      </c>
      <c r="C628" s="12">
        <v>2</v>
      </c>
      <c r="D628" s="13"/>
      <c r="E628" s="12">
        <v>331</v>
      </c>
      <c r="F628" s="14">
        <v>46078</v>
      </c>
      <c r="G628" s="34"/>
      <c r="H628" s="34" t="s">
        <v>267</v>
      </c>
      <c r="I628" s="34"/>
      <c r="J628" s="9">
        <v>500100028</v>
      </c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</row>
    <row r="629" spans="1:28" ht="14.25" customHeight="1" x14ac:dyDescent="0.35">
      <c r="A629" s="12">
        <v>2007948</v>
      </c>
      <c r="B629" s="59" t="str">
        <f>IFERROR(VLOOKUP(Tabla1[[#This Row],[CODIGO]],INVENTARIO!A:B,2,0)," ")</f>
        <v>Tubo PVC Hidraulico 110 mm Pn6 Celeste</v>
      </c>
      <c r="C629" s="12">
        <v>1</v>
      </c>
      <c r="D629" s="13"/>
      <c r="E629" s="12">
        <v>331</v>
      </c>
      <c r="F629" s="14">
        <v>46078</v>
      </c>
      <c r="G629" s="34"/>
      <c r="H629" s="34" t="s">
        <v>267</v>
      </c>
      <c r="I629" s="34"/>
      <c r="J629" s="9">
        <v>500100028</v>
      </c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</row>
    <row r="630" spans="1:28" ht="14.25" customHeight="1" x14ac:dyDescent="0.35">
      <c r="A630" s="12">
        <v>302317</v>
      </c>
      <c r="B630" s="59" t="str">
        <f>IFERROR(VLOOKUP(Tabla1[[#This Row],[CODIGO]],INVENTARIO!A:B,2,0)," ")</f>
        <v>Tapa PE 110 mm Termo F.</v>
      </c>
      <c r="C630" s="12">
        <v>1</v>
      </c>
      <c r="D630" s="13"/>
      <c r="E630" s="12">
        <v>336</v>
      </c>
      <c r="F630" s="14">
        <v>46078</v>
      </c>
      <c r="G630" s="34"/>
      <c r="H630" s="34" t="s">
        <v>267</v>
      </c>
      <c r="I630" s="34"/>
      <c r="J630" s="9" t="s">
        <v>343</v>
      </c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</row>
    <row r="631" spans="1:28" ht="14.25" customHeight="1" x14ac:dyDescent="0.35">
      <c r="A631" s="12">
        <v>301666</v>
      </c>
      <c r="B631" s="59" t="str">
        <f>IFERROR(VLOOKUP(Tabla1[[#This Row],[CODIGO]],INVENTARIO!A:B,2,0)," ")</f>
        <v>Tapping Tee PE 110-25 mm</v>
      </c>
      <c r="C631" s="12">
        <v>1</v>
      </c>
      <c r="D631" s="13"/>
      <c r="E631" s="12">
        <v>335</v>
      </c>
      <c r="F631" s="14">
        <v>46078</v>
      </c>
      <c r="G631" s="34"/>
      <c r="H631" s="34" t="s">
        <v>267</v>
      </c>
      <c r="I631" s="34"/>
      <c r="J631" s="9">
        <v>901856529</v>
      </c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</row>
    <row r="632" spans="1:28" ht="14.25" customHeight="1" x14ac:dyDescent="0.35">
      <c r="A632" s="12">
        <v>301749</v>
      </c>
      <c r="B632" s="59" t="str">
        <f>IFERROR(VLOOKUP(Tabla1[[#This Row],[CODIGO]],INVENTARIO!A:B,2,0)," ")</f>
        <v>Tubería PE80 025mm Rollo</v>
      </c>
      <c r="C632" s="12">
        <v>3</v>
      </c>
      <c r="D632" s="13"/>
      <c r="E632" s="12">
        <v>335</v>
      </c>
      <c r="F632" s="14">
        <v>46078</v>
      </c>
      <c r="G632" s="34"/>
      <c r="H632" s="34" t="s">
        <v>267</v>
      </c>
      <c r="I632" s="34"/>
      <c r="J632" s="9">
        <v>901856529</v>
      </c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</row>
    <row r="633" spans="1:28" ht="14.25" customHeight="1" x14ac:dyDescent="0.35">
      <c r="A633" s="12">
        <v>301099</v>
      </c>
      <c r="B633" s="59" t="str">
        <f>IFERROR(VLOOKUP(Tabla1[[#This Row],[CODIGO]],INVENTARIO!A:B,2,0)," ")</f>
        <v>Válvula PE100 Dn 25mm</v>
      </c>
      <c r="C633" s="12">
        <v>1</v>
      </c>
      <c r="D633" s="13"/>
      <c r="E633" s="12">
        <v>335</v>
      </c>
      <c r="F633" s="14">
        <v>46078</v>
      </c>
      <c r="G633" s="34"/>
      <c r="H633" s="34" t="s">
        <v>267</v>
      </c>
      <c r="I633" s="34"/>
      <c r="J633" s="9">
        <v>901856529</v>
      </c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</row>
    <row r="634" spans="1:28" ht="14.25" customHeight="1" x14ac:dyDescent="0.35">
      <c r="A634" s="12">
        <v>2006391</v>
      </c>
      <c r="B634" s="59" t="str">
        <f>IFERROR(VLOOKUP(Tabla1[[#This Row],[CODIGO]],INVENTARIO!A:B,2,0)," ")</f>
        <v>Guardallave Fierro Fundido C/Tapa</v>
      </c>
      <c r="C634" s="12">
        <v>1</v>
      </c>
      <c r="D634" s="13"/>
      <c r="E634" s="12">
        <v>335</v>
      </c>
      <c r="F634" s="14">
        <v>46078</v>
      </c>
      <c r="G634" s="34"/>
      <c r="H634" s="34" t="s">
        <v>267</v>
      </c>
      <c r="I634" s="34"/>
      <c r="J634" s="9">
        <v>901856529</v>
      </c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</row>
    <row r="635" spans="1:28" ht="14.25" customHeight="1" x14ac:dyDescent="0.35">
      <c r="A635" s="12">
        <v>301329</v>
      </c>
      <c r="B635" s="59" t="str">
        <f>IFERROR(VLOOKUP(Tabla1[[#This Row],[CODIGO]],INVENTARIO!A:B,2,0)," ")</f>
        <v>Copla PE100 025mm EF</v>
      </c>
      <c r="C635" s="12">
        <v>4</v>
      </c>
      <c r="D635" s="13"/>
      <c r="E635" s="12">
        <v>335</v>
      </c>
      <c r="F635" s="14">
        <v>46078</v>
      </c>
      <c r="G635" s="34"/>
      <c r="H635" s="34" t="s">
        <v>267</v>
      </c>
      <c r="I635" s="34"/>
      <c r="J635" s="9">
        <v>901856529</v>
      </c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</row>
    <row r="636" spans="1:28" ht="14.25" customHeight="1" x14ac:dyDescent="0.35">
      <c r="A636" s="12">
        <v>302737</v>
      </c>
      <c r="B636" s="59" t="str">
        <f>IFERROR(VLOOKUP(Tabla1[[#This Row],[CODIGO]],INVENTARIO!A:B,2,0)," ")</f>
        <v>Válvula Bola 3/4" Hi Un Cuerpo Pn5 Arco</v>
      </c>
      <c r="C636" s="12">
        <v>1</v>
      </c>
      <c r="D636" s="13"/>
      <c r="E636" s="12">
        <v>335</v>
      </c>
      <c r="F636" s="14">
        <v>46078</v>
      </c>
      <c r="G636" s="34"/>
      <c r="H636" s="34" t="s">
        <v>267</v>
      </c>
      <c r="I636" s="34"/>
      <c r="J636" s="9">
        <v>901856529</v>
      </c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</row>
    <row r="637" spans="1:28" ht="14.25" customHeight="1" x14ac:dyDescent="0.35">
      <c r="A637" s="12">
        <v>300109</v>
      </c>
      <c r="B637" s="59" t="str">
        <f>IFERROR(VLOOKUP(Tabla1[[#This Row],[CODIGO]],INVENTARIO!A:B,2,0)," ")</f>
        <v>Risers de Acero 3/4" Bsp x 25 mm</v>
      </c>
      <c r="C637" s="12">
        <v>1</v>
      </c>
      <c r="D637" s="13"/>
      <c r="E637" s="12">
        <v>335</v>
      </c>
      <c r="F637" s="14">
        <v>46078</v>
      </c>
      <c r="G637" s="34"/>
      <c r="H637" s="34" t="s">
        <v>267</v>
      </c>
      <c r="I637" s="34"/>
      <c r="J637" s="9">
        <v>901856529</v>
      </c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</row>
    <row r="638" spans="1:28" ht="14.25" customHeight="1" x14ac:dyDescent="0.35">
      <c r="A638" s="12">
        <v>2003911</v>
      </c>
      <c r="B638" s="59" t="str">
        <f>IFERROR(VLOOKUP(Tabla1[[#This Row],[CODIGO]],INVENTARIO!A:B,2,0)," ")</f>
        <v>Válvula EFv PE 25 mm Para Tap. Tee</v>
      </c>
      <c r="C638" s="12">
        <v>1</v>
      </c>
      <c r="D638" s="13"/>
      <c r="E638" s="12">
        <v>335</v>
      </c>
      <c r="F638" s="14">
        <v>46078</v>
      </c>
      <c r="G638" s="34"/>
      <c r="H638" s="34" t="s">
        <v>267</v>
      </c>
      <c r="I638" s="34"/>
      <c r="J638" s="9">
        <v>901856529</v>
      </c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</row>
    <row r="639" spans="1:28" ht="14.25" customHeight="1" x14ac:dyDescent="0.35">
      <c r="A639" s="12">
        <v>2008481</v>
      </c>
      <c r="B639" s="59" t="str">
        <f>IFERROR(VLOOKUP(Tabla1[[#This Row],[CODIGO]],INVENTARIO!A:B,2,0)," ")</f>
        <v>Tapa Tornillo Bronce 3/4" HE Bspt.</v>
      </c>
      <c r="C639" s="12">
        <v>1</v>
      </c>
      <c r="D639" s="13"/>
      <c r="E639" s="12">
        <v>335</v>
      </c>
      <c r="F639" s="14">
        <v>46078</v>
      </c>
      <c r="G639" s="34"/>
      <c r="H639" s="34" t="s">
        <v>267</v>
      </c>
      <c r="I639" s="34"/>
      <c r="J639" s="9">
        <v>901856529</v>
      </c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</row>
    <row r="640" spans="1:28" ht="14.25" customHeight="1" x14ac:dyDescent="0.35">
      <c r="A640" s="12">
        <v>303368</v>
      </c>
      <c r="B640" s="59" t="str">
        <f>IFERROR(VLOOKUP(Tabla1[[#This Row],[CODIGO]],INVENTARIO!A:B,2,0)," ")</f>
        <v>Cinta Plástica "Línea GN", 30 x 0.1</v>
      </c>
      <c r="C640" s="12">
        <v>3</v>
      </c>
      <c r="D640" s="13"/>
      <c r="E640" s="12">
        <v>335</v>
      </c>
      <c r="F640" s="14">
        <v>46078</v>
      </c>
      <c r="G640" s="34"/>
      <c r="H640" s="34" t="s">
        <v>267</v>
      </c>
      <c r="I640" s="34"/>
      <c r="J640" s="9">
        <v>901856529</v>
      </c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</row>
    <row r="641" spans="1:28" ht="14.25" customHeight="1" x14ac:dyDescent="0.35">
      <c r="A641" s="12">
        <v>1002167</v>
      </c>
      <c r="B641" s="59" t="str">
        <f>IFERROR(VLOOKUP(Tabla1[[#This Row],[CODIGO]],INVENTARIO!A:B,2,0)," ")</f>
        <v>Cable Trazador Cu 14 AWG Aisl. THW Roj</v>
      </c>
      <c r="C641" s="12">
        <v>3</v>
      </c>
      <c r="D641" s="13"/>
      <c r="E641" s="12">
        <v>335</v>
      </c>
      <c r="F641" s="14">
        <v>46078</v>
      </c>
      <c r="G641" s="34"/>
      <c r="H641" s="34" t="s">
        <v>267</v>
      </c>
      <c r="I641" s="34"/>
      <c r="J641" s="9">
        <v>901856529</v>
      </c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</row>
    <row r="642" spans="1:28" ht="14.25" customHeight="1" x14ac:dyDescent="0.35">
      <c r="A642" s="12">
        <v>2007948</v>
      </c>
      <c r="B642" s="59" t="str">
        <f>IFERROR(VLOOKUP(Tabla1[[#This Row],[CODIGO]],INVENTARIO!A:B,2,0)," ")</f>
        <v>Tubo PVC Hidraulico 110 mm Pn6 Celeste</v>
      </c>
      <c r="C642" s="12">
        <v>1</v>
      </c>
      <c r="D642" s="13"/>
      <c r="E642" s="12">
        <v>335</v>
      </c>
      <c r="F642" s="14">
        <v>46078</v>
      </c>
      <c r="G642" s="34"/>
      <c r="H642" s="34" t="s">
        <v>267</v>
      </c>
      <c r="I642" s="34"/>
      <c r="J642" s="9">
        <v>901856529</v>
      </c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</row>
    <row r="643" spans="1:28" ht="14.25" customHeight="1" x14ac:dyDescent="0.35">
      <c r="A643" s="12">
        <v>2000350</v>
      </c>
      <c r="B643" s="59" t="str">
        <f>IFERROR(VLOOKUP(Tabla1[[#This Row],[CODIGO]],INVENTARIO!A:B,2,0)," ")</f>
        <v>Codo PE 90º  25 mm EF.</v>
      </c>
      <c r="C643" s="12">
        <v>1</v>
      </c>
      <c r="D643" s="13"/>
      <c r="E643" s="12">
        <v>335</v>
      </c>
      <c r="F643" s="14">
        <v>46078</v>
      </c>
      <c r="G643" s="34"/>
      <c r="H643" s="34" t="s">
        <v>267</v>
      </c>
      <c r="I643" s="34"/>
      <c r="J643" s="9">
        <v>901856529</v>
      </c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</row>
    <row r="644" spans="1:28" ht="14.25" customHeight="1" x14ac:dyDescent="0.35">
      <c r="A644" s="12">
        <v>301099</v>
      </c>
      <c r="B644" s="59" t="str">
        <f>IFERROR(VLOOKUP(Tabla1[[#This Row],[CODIGO]],INVENTARIO!A:B,2,0)," ")</f>
        <v>Válvula PE100 Dn 25mm</v>
      </c>
      <c r="C644" s="12">
        <v>1</v>
      </c>
      <c r="D644" s="13"/>
      <c r="E644" s="12">
        <v>997</v>
      </c>
      <c r="F644" s="14">
        <v>46073</v>
      </c>
      <c r="G644" s="34"/>
      <c r="H644" s="34" t="s">
        <v>226</v>
      </c>
      <c r="I644" s="34"/>
      <c r="J644" s="9" t="s">
        <v>186</v>
      </c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</row>
    <row r="645" spans="1:28" ht="14.25" customHeight="1" x14ac:dyDescent="0.35">
      <c r="A645" s="12">
        <v>301749</v>
      </c>
      <c r="B645" s="59" t="str">
        <f>IFERROR(VLOOKUP(Tabla1[[#This Row],[CODIGO]],INVENTARIO!A:B,2,0)," ")</f>
        <v>Tubería PE80 025mm Rollo</v>
      </c>
      <c r="C645" s="12">
        <v>5</v>
      </c>
      <c r="D645" s="13"/>
      <c r="E645" s="12">
        <v>997</v>
      </c>
      <c r="F645" s="14">
        <v>46073</v>
      </c>
      <c r="G645" s="34"/>
      <c r="H645" s="34" t="s">
        <v>226</v>
      </c>
      <c r="I645" s="34"/>
      <c r="J645" s="9" t="s">
        <v>186</v>
      </c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</row>
    <row r="646" spans="1:28" ht="14.25" customHeight="1" x14ac:dyDescent="0.35">
      <c r="A646" s="12">
        <v>301329</v>
      </c>
      <c r="B646" s="59" t="str">
        <f>IFERROR(VLOOKUP(Tabla1[[#This Row],[CODIGO]],INVENTARIO!A:B,2,0)," ")</f>
        <v>Copla PE100 025mm EF</v>
      </c>
      <c r="C646" s="12">
        <v>4</v>
      </c>
      <c r="D646" s="13"/>
      <c r="E646" s="12">
        <v>997</v>
      </c>
      <c r="F646" s="14">
        <v>46073</v>
      </c>
      <c r="G646" s="34"/>
      <c r="H646" s="34" t="s">
        <v>226</v>
      </c>
      <c r="I646" s="34"/>
      <c r="J646" s="9" t="s">
        <v>186</v>
      </c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</row>
    <row r="647" spans="1:28" ht="14.25" customHeight="1" x14ac:dyDescent="0.35">
      <c r="A647" s="12">
        <v>2003911</v>
      </c>
      <c r="B647" s="59" t="str">
        <f>IFERROR(VLOOKUP(Tabla1[[#This Row],[CODIGO]],INVENTARIO!A:B,2,0)," ")</f>
        <v>Válvula EFv PE 25 mm Para Tap. Tee</v>
      </c>
      <c r="C647" s="12">
        <v>1</v>
      </c>
      <c r="D647" s="13"/>
      <c r="E647" s="12">
        <v>997</v>
      </c>
      <c r="F647" s="14">
        <v>46073</v>
      </c>
      <c r="G647" s="34"/>
      <c r="H647" s="34" t="s">
        <v>226</v>
      </c>
      <c r="I647" s="34"/>
      <c r="J647" s="9" t="s">
        <v>186</v>
      </c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</row>
    <row r="648" spans="1:28" ht="14.25" customHeight="1" x14ac:dyDescent="0.35">
      <c r="A648" s="12">
        <v>301099</v>
      </c>
      <c r="B648" s="59" t="str">
        <f>IFERROR(VLOOKUP(Tabla1[[#This Row],[CODIGO]],INVENTARIO!A:B,2,0)," ")</f>
        <v>Válvula PE100 Dn 25mm</v>
      </c>
      <c r="C648" s="12">
        <v>1</v>
      </c>
      <c r="D648" s="13"/>
      <c r="E648" s="12">
        <v>993</v>
      </c>
      <c r="F648" s="14">
        <v>46073</v>
      </c>
      <c r="G648" s="34"/>
      <c r="H648" s="34" t="s">
        <v>226</v>
      </c>
      <c r="I648" s="34"/>
      <c r="J648" s="9" t="s">
        <v>187</v>
      </c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</row>
    <row r="649" spans="1:28" ht="14.25" customHeight="1" x14ac:dyDescent="0.35">
      <c r="A649" s="12">
        <v>301749</v>
      </c>
      <c r="B649" s="59" t="str">
        <f>IFERROR(VLOOKUP(Tabla1[[#This Row],[CODIGO]],INVENTARIO!A:B,2,0)," ")</f>
        <v>Tubería PE80 025mm Rollo</v>
      </c>
      <c r="C649" s="12">
        <v>5</v>
      </c>
      <c r="D649" s="13"/>
      <c r="E649" s="12">
        <v>993</v>
      </c>
      <c r="F649" s="14">
        <v>46073</v>
      </c>
      <c r="G649" s="34"/>
      <c r="H649" s="34" t="s">
        <v>226</v>
      </c>
      <c r="I649" s="34"/>
      <c r="J649" s="9" t="s">
        <v>187</v>
      </c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</row>
    <row r="650" spans="1:28" ht="14.25" customHeight="1" x14ac:dyDescent="0.35">
      <c r="A650" s="12">
        <v>301329</v>
      </c>
      <c r="B650" s="59" t="str">
        <f>IFERROR(VLOOKUP(Tabla1[[#This Row],[CODIGO]],INVENTARIO!A:B,2,0)," ")</f>
        <v>Copla PE100 025mm EF</v>
      </c>
      <c r="C650" s="12">
        <v>4</v>
      </c>
      <c r="D650" s="13"/>
      <c r="E650" s="12">
        <v>993</v>
      </c>
      <c r="F650" s="14">
        <v>46073</v>
      </c>
      <c r="G650" s="34"/>
      <c r="H650" s="34" t="s">
        <v>226</v>
      </c>
      <c r="I650" s="34"/>
      <c r="J650" s="9" t="s">
        <v>187</v>
      </c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</row>
    <row r="651" spans="1:28" ht="14.25" customHeight="1" x14ac:dyDescent="0.35">
      <c r="A651" s="12">
        <v>2003911</v>
      </c>
      <c r="B651" s="59" t="str">
        <f>IFERROR(VLOOKUP(Tabla1[[#This Row],[CODIGO]],INVENTARIO!A:B,2,0)," ")</f>
        <v>Válvula EFv PE 25 mm Para Tap. Tee</v>
      </c>
      <c r="C651" s="12">
        <v>1</v>
      </c>
      <c r="D651" s="13"/>
      <c r="E651" s="12">
        <v>993</v>
      </c>
      <c r="F651" s="14">
        <v>46073</v>
      </c>
      <c r="G651" s="34"/>
      <c r="H651" s="34" t="s">
        <v>226</v>
      </c>
      <c r="I651" s="34"/>
      <c r="J651" s="9" t="s">
        <v>187</v>
      </c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</row>
    <row r="652" spans="1:28" ht="14.25" customHeight="1" x14ac:dyDescent="0.35">
      <c r="A652" s="12">
        <v>302065</v>
      </c>
      <c r="B652" s="59" t="str">
        <f>IFERROR(VLOOKUP(Tabla1[[#This Row],[CODIGO]],INVENTARIO!A:B,2,0)," ")</f>
        <v>Tubería PE80 110mm Tira</v>
      </c>
      <c r="C652" s="12">
        <v>72</v>
      </c>
      <c r="D652" s="13"/>
      <c r="E652" s="12">
        <v>318</v>
      </c>
      <c r="F652" s="14">
        <v>46077</v>
      </c>
      <c r="G652" s="34"/>
      <c r="H652" s="34" t="s">
        <v>314</v>
      </c>
      <c r="I652" s="34"/>
      <c r="J652" s="9" t="s">
        <v>274</v>
      </c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</row>
    <row r="653" spans="1:28" ht="14.25" customHeight="1" x14ac:dyDescent="0.35">
      <c r="A653" s="12">
        <v>303015</v>
      </c>
      <c r="B653" s="59" t="str">
        <f>IFERROR(VLOOKUP(Tabla1[[#This Row],[CODIGO]],INVENTARIO!A:B,2,0)," ")</f>
        <v>Tee PE 110 mm Electro F.</v>
      </c>
      <c r="C653" s="12">
        <v>1</v>
      </c>
      <c r="D653" s="13"/>
      <c r="E653" s="12">
        <v>318</v>
      </c>
      <c r="F653" s="14">
        <v>46077</v>
      </c>
      <c r="G653" s="34"/>
      <c r="H653" s="34" t="s">
        <v>314</v>
      </c>
      <c r="I653" s="34"/>
      <c r="J653" s="9" t="s">
        <v>274</v>
      </c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</row>
    <row r="654" spans="1:28" ht="14.25" customHeight="1" x14ac:dyDescent="0.35">
      <c r="A654" s="12">
        <v>303017</v>
      </c>
      <c r="B654" s="59" t="str">
        <f>IFERROR(VLOOKUP(Tabla1[[#This Row],[CODIGO]],INVENTARIO!A:B,2,0)," ")</f>
        <v>Codo PE100 90° 110mm EF</v>
      </c>
      <c r="C654" s="12">
        <v>1</v>
      </c>
      <c r="D654" s="13"/>
      <c r="E654" s="12">
        <v>318</v>
      </c>
      <c r="F654" s="14">
        <v>46077</v>
      </c>
      <c r="G654" s="34"/>
      <c r="H654" s="34" t="s">
        <v>314</v>
      </c>
      <c r="I654" s="34"/>
      <c r="J654" s="9" t="s">
        <v>274</v>
      </c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</row>
    <row r="655" spans="1:28" ht="14.25" customHeight="1" x14ac:dyDescent="0.35">
      <c r="A655" s="12">
        <v>302317</v>
      </c>
      <c r="B655" s="59" t="str">
        <f>IFERROR(VLOOKUP(Tabla1[[#This Row],[CODIGO]],INVENTARIO!A:B,2,0)," ")</f>
        <v>Tapa PE 110 mm Termo F.</v>
      </c>
      <c r="C655" s="12">
        <v>2</v>
      </c>
      <c r="D655" s="13"/>
      <c r="E655" s="12">
        <v>318</v>
      </c>
      <c r="F655" s="14">
        <v>46077</v>
      </c>
      <c r="G655" s="34"/>
      <c r="H655" s="34" t="s">
        <v>314</v>
      </c>
      <c r="I655" s="34"/>
      <c r="J655" s="9" t="s">
        <v>274</v>
      </c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</row>
    <row r="656" spans="1:28" ht="14.25" customHeight="1" x14ac:dyDescent="0.35">
      <c r="A656" s="12">
        <v>302991</v>
      </c>
      <c r="B656" s="59" t="str">
        <f>IFERROR(VLOOKUP(Tabla1[[#This Row],[CODIGO]],INVENTARIO!A:B,2,0)," ")</f>
        <v>Copla PE100 110mm EF</v>
      </c>
      <c r="C656" s="12">
        <v>4</v>
      </c>
      <c r="D656" s="13"/>
      <c r="E656" s="12">
        <v>318</v>
      </c>
      <c r="F656" s="14">
        <v>46077</v>
      </c>
      <c r="G656" s="34"/>
      <c r="H656" s="34" t="s">
        <v>314</v>
      </c>
      <c r="I656" s="34"/>
      <c r="J656" s="9" t="s">
        <v>274</v>
      </c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</row>
    <row r="657" spans="1:28" ht="14.25" customHeight="1" x14ac:dyDescent="0.35">
      <c r="A657" s="12">
        <v>2002262</v>
      </c>
      <c r="B657" s="59" t="str">
        <f>IFERROR(VLOOKUP(Tabla1[[#This Row],[CODIGO]],INVENTARIO!A:B,2,0)," ")</f>
        <v>Tubería PE80 050mm Rollo</v>
      </c>
      <c r="C657" s="12">
        <v>100</v>
      </c>
      <c r="D657" s="13"/>
      <c r="E657" s="12">
        <v>227</v>
      </c>
      <c r="F657" s="14">
        <v>46077</v>
      </c>
      <c r="G657" s="34"/>
      <c r="H657" s="34" t="s">
        <v>223</v>
      </c>
      <c r="I657" s="34"/>
      <c r="J657" s="9" t="s">
        <v>207</v>
      </c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</row>
    <row r="658" spans="1:28" ht="14.25" customHeight="1" x14ac:dyDescent="0.35">
      <c r="A658" s="12">
        <v>303368</v>
      </c>
      <c r="B658" s="59" t="str">
        <f>IFERROR(VLOOKUP(Tabla1[[#This Row],[CODIGO]],INVENTARIO!A:B,2,0)," ")</f>
        <v>Cinta Plástica "Línea GN", 30 x 0.1</v>
      </c>
      <c r="C658" s="12">
        <v>100</v>
      </c>
      <c r="D658" s="13"/>
      <c r="E658" s="12">
        <v>227</v>
      </c>
      <c r="F658" s="14">
        <v>46077</v>
      </c>
      <c r="G658" s="34"/>
      <c r="H658" s="34" t="s">
        <v>223</v>
      </c>
      <c r="I658" s="34"/>
      <c r="J658" s="9" t="s">
        <v>207</v>
      </c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</row>
    <row r="659" spans="1:28" ht="14.25" customHeight="1" x14ac:dyDescent="0.35">
      <c r="A659" s="12">
        <v>1002167</v>
      </c>
      <c r="B659" s="59" t="str">
        <f>IFERROR(VLOOKUP(Tabla1[[#This Row],[CODIGO]],INVENTARIO!A:B,2,0)," ")</f>
        <v>Cable Trazador Cu 14 AWG Aisl. THW Roj</v>
      </c>
      <c r="C659" s="12">
        <v>100</v>
      </c>
      <c r="D659" s="13"/>
      <c r="E659" s="12">
        <v>227</v>
      </c>
      <c r="F659" s="14">
        <v>46077</v>
      </c>
      <c r="G659" s="34"/>
      <c r="H659" s="34" t="s">
        <v>223</v>
      </c>
      <c r="I659" s="34"/>
      <c r="J659" s="9" t="s">
        <v>207</v>
      </c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</row>
    <row r="660" spans="1:28" ht="14.25" customHeight="1" x14ac:dyDescent="0.35">
      <c r="A660" s="12">
        <v>302065</v>
      </c>
      <c r="B660" s="59" t="str">
        <f>IFERROR(VLOOKUP(Tabla1[[#This Row],[CODIGO]],INVENTARIO!A:B,2,0)," ")</f>
        <v>Tubería PE80 110mm Tira</v>
      </c>
      <c r="C660" s="12">
        <v>24</v>
      </c>
      <c r="D660" s="13"/>
      <c r="E660" s="12">
        <v>317</v>
      </c>
      <c r="F660" s="14">
        <v>46077</v>
      </c>
      <c r="G660" s="34"/>
      <c r="H660" s="34" t="s">
        <v>225</v>
      </c>
      <c r="I660" s="34"/>
      <c r="J660" s="9" t="s">
        <v>254</v>
      </c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</row>
    <row r="661" spans="1:28" ht="14.25" customHeight="1" x14ac:dyDescent="0.35">
      <c r="A661" s="12">
        <v>302991</v>
      </c>
      <c r="B661" s="59" t="str">
        <f>IFERROR(VLOOKUP(Tabla1[[#This Row],[CODIGO]],INVENTARIO!A:B,2,0)," ")</f>
        <v>Copla PE100 110mm EF</v>
      </c>
      <c r="C661" s="12">
        <v>3</v>
      </c>
      <c r="D661" s="13"/>
      <c r="E661" s="12">
        <v>317</v>
      </c>
      <c r="F661" s="14">
        <v>46077</v>
      </c>
      <c r="G661" s="34"/>
      <c r="H661" s="34" t="s">
        <v>225</v>
      </c>
      <c r="I661" s="34"/>
      <c r="J661" s="9" t="s">
        <v>254</v>
      </c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</row>
    <row r="662" spans="1:28" ht="14.25" customHeight="1" x14ac:dyDescent="0.35">
      <c r="A662" s="12">
        <v>1002167</v>
      </c>
      <c r="B662" s="59" t="str">
        <f>IFERROR(VLOOKUP(Tabla1[[#This Row],[CODIGO]],INVENTARIO!A:B,2,0)," ")</f>
        <v>Cable Trazador Cu 14 AWG Aisl. THW Roj</v>
      </c>
      <c r="C662" s="12">
        <v>24</v>
      </c>
      <c r="D662" s="13"/>
      <c r="E662" s="12">
        <v>317</v>
      </c>
      <c r="F662" s="14">
        <v>46077</v>
      </c>
      <c r="G662" s="34"/>
      <c r="H662" s="34" t="s">
        <v>225</v>
      </c>
      <c r="I662" s="34"/>
      <c r="J662" s="9" t="s">
        <v>254</v>
      </c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</row>
    <row r="663" spans="1:28" ht="14.25" customHeight="1" x14ac:dyDescent="0.35">
      <c r="A663" s="12">
        <v>303368</v>
      </c>
      <c r="B663" s="59" t="str">
        <f>IFERROR(VLOOKUP(Tabla1[[#This Row],[CODIGO]],INVENTARIO!A:B,2,0)," ")</f>
        <v>Cinta Plástica "Línea GN", 30 x 0.1</v>
      </c>
      <c r="C663" s="12">
        <v>24</v>
      </c>
      <c r="D663" s="13"/>
      <c r="E663" s="12">
        <v>317</v>
      </c>
      <c r="F663" s="14">
        <v>46077</v>
      </c>
      <c r="G663" s="34"/>
      <c r="H663" s="34" t="s">
        <v>225</v>
      </c>
      <c r="I663" s="34"/>
      <c r="J663" s="9" t="s">
        <v>254</v>
      </c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</row>
    <row r="664" spans="1:28" ht="14.25" customHeight="1" x14ac:dyDescent="0.35">
      <c r="A664" s="12">
        <v>302992</v>
      </c>
      <c r="B664" s="59" t="str">
        <f>IFERROR(VLOOKUP(Tabla1[[#This Row],[CODIGO]],INVENTARIO!A:B,2,0)," ")</f>
        <v>Codo PE100 90° 050mm EF</v>
      </c>
      <c r="C664" s="12">
        <v>1</v>
      </c>
      <c r="D664" s="13"/>
      <c r="E664" s="12">
        <v>326</v>
      </c>
      <c r="F664" s="14">
        <v>46077</v>
      </c>
      <c r="G664" s="34"/>
      <c r="H664" s="34" t="s">
        <v>271</v>
      </c>
      <c r="I664" s="34"/>
      <c r="J664" s="9" t="s">
        <v>202</v>
      </c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</row>
    <row r="665" spans="1:28" ht="14.25" customHeight="1" x14ac:dyDescent="0.35">
      <c r="A665" s="12">
        <v>2004602</v>
      </c>
      <c r="B665" s="59" t="str">
        <f>IFERROR(VLOOKUP(Tabla1[[#This Row],[CODIGO]],INVENTARIO!A:B,2,0)," ")</f>
        <v>MRPC-120-(4/1,2)-(S)-2</v>
      </c>
      <c r="C665" s="12">
        <v>1</v>
      </c>
      <c r="D665" s="13"/>
      <c r="E665" s="12">
        <v>321</v>
      </c>
      <c r="F665" s="14">
        <v>46077</v>
      </c>
      <c r="G665" s="34"/>
      <c r="H665" s="34" t="s">
        <v>271</v>
      </c>
      <c r="I665" s="34"/>
      <c r="J665" s="9" t="s">
        <v>202</v>
      </c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</row>
    <row r="666" spans="1:28" ht="14.25" customHeight="1" x14ac:dyDescent="0.35">
      <c r="A666" s="12">
        <v>303016</v>
      </c>
      <c r="B666" s="59" t="str">
        <f>IFERROR(VLOOKUP(Tabla1[[#This Row],[CODIGO]],INVENTARIO!A:B,2,0)," ")</f>
        <v>Tee PE Reducción  63-50 mm EF</v>
      </c>
      <c r="C666" s="12">
        <v>1</v>
      </c>
      <c r="D666" s="13"/>
      <c r="E666" s="12">
        <v>320</v>
      </c>
      <c r="F666" s="14">
        <v>46077</v>
      </c>
      <c r="G666" s="34"/>
      <c r="H666" s="34" t="s">
        <v>271</v>
      </c>
      <c r="I666" s="34"/>
      <c r="J666" s="9" t="s">
        <v>202</v>
      </c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</row>
    <row r="667" spans="1:28" ht="14.25" customHeight="1" x14ac:dyDescent="0.35">
      <c r="A667" s="12">
        <v>300414</v>
      </c>
      <c r="B667" s="59" t="str">
        <f>IFERROR(VLOOKUP(Tabla1[[#This Row],[CODIGO]],INVENTARIO!A:B,2,0)," ")</f>
        <v>Válvula PE100 Dn 50mm</v>
      </c>
      <c r="C667" s="12">
        <v>1</v>
      </c>
      <c r="D667" s="13"/>
      <c r="E667" s="12">
        <v>320</v>
      </c>
      <c r="F667" s="14">
        <v>46077</v>
      </c>
      <c r="G667" s="34"/>
      <c r="H667" s="34" t="s">
        <v>271</v>
      </c>
      <c r="I667" s="34"/>
      <c r="J667" s="9" t="s">
        <v>202</v>
      </c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</row>
    <row r="668" spans="1:28" ht="14.25" customHeight="1" x14ac:dyDescent="0.35">
      <c r="A668" s="12">
        <v>303345</v>
      </c>
      <c r="B668" s="59" t="str">
        <f>IFERROR(VLOOKUP(Tabla1[[#This Row],[CODIGO]],INVENTARIO!A:B,2,0)," ")</f>
        <v>Copla PE100 050mm EF</v>
      </c>
      <c r="C668" s="12">
        <v>2</v>
      </c>
      <c r="D668" s="13"/>
      <c r="E668" s="12">
        <v>320</v>
      </c>
      <c r="F668" s="14">
        <v>46077</v>
      </c>
      <c r="G668" s="34"/>
      <c r="H668" s="34" t="s">
        <v>271</v>
      </c>
      <c r="I668" s="34"/>
      <c r="J668" s="9" t="s">
        <v>202</v>
      </c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</row>
    <row r="669" spans="1:28" ht="14.25" customHeight="1" x14ac:dyDescent="0.35">
      <c r="A669" s="12">
        <v>302659</v>
      </c>
      <c r="B669" s="59" t="str">
        <f>IFERROR(VLOOKUP(Tabla1[[#This Row],[CODIGO]],INVENTARIO!A:B,2,0)," ")</f>
        <v>Copla PE100 063mm EF</v>
      </c>
      <c r="C669" s="12">
        <v>1</v>
      </c>
      <c r="D669" s="13"/>
      <c r="E669" s="12">
        <v>320</v>
      </c>
      <c r="F669" s="14">
        <v>46077</v>
      </c>
      <c r="G669" s="34"/>
      <c r="H669" s="34" t="s">
        <v>271</v>
      </c>
      <c r="I669" s="34"/>
      <c r="J669" s="9" t="s">
        <v>202</v>
      </c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</row>
    <row r="670" spans="1:28" ht="14.25" customHeight="1" x14ac:dyDescent="0.35">
      <c r="A670" s="12">
        <v>2008302</v>
      </c>
      <c r="B670" s="59" t="str">
        <f>IFERROR(VLOOKUP(Tabla1[[#This Row],[CODIGO]],INVENTARIO!A:B,2,0)," ")</f>
        <v>Tapa PE 063 mm Electro F.</v>
      </c>
      <c r="C670" s="12">
        <v>1</v>
      </c>
      <c r="D670" s="13"/>
      <c r="E670" s="12">
        <v>320</v>
      </c>
      <c r="F670" s="14">
        <v>46077</v>
      </c>
      <c r="G670" s="34"/>
      <c r="H670" s="34" t="s">
        <v>271</v>
      </c>
      <c r="I670" s="34"/>
      <c r="J670" s="9" t="s">
        <v>202</v>
      </c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</row>
    <row r="671" spans="1:28" ht="14.25" customHeight="1" x14ac:dyDescent="0.35">
      <c r="A671" s="12">
        <v>2006391</v>
      </c>
      <c r="B671" s="59" t="str">
        <f>IFERROR(VLOOKUP(Tabla1[[#This Row],[CODIGO]],INVENTARIO!A:B,2,0)," ")</f>
        <v>Guardallave Fierro Fundido C/Tapa</v>
      </c>
      <c r="C671" s="12">
        <v>1</v>
      </c>
      <c r="D671" s="13"/>
      <c r="E671" s="12">
        <v>320</v>
      </c>
      <c r="F671" s="14">
        <v>46077</v>
      </c>
      <c r="G671" s="34"/>
      <c r="H671" s="34" t="s">
        <v>271</v>
      </c>
      <c r="I671" s="34"/>
      <c r="J671" s="9" t="s">
        <v>202</v>
      </c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</row>
    <row r="672" spans="1:28" ht="14.25" customHeight="1" x14ac:dyDescent="0.35">
      <c r="A672" s="12">
        <v>2007948</v>
      </c>
      <c r="B672" s="59" t="str">
        <f>IFERROR(VLOOKUP(Tabla1[[#This Row],[CODIGO]],INVENTARIO!A:B,2,0)," ")</f>
        <v>Tubo PVC Hidraulico 110 mm Pn6 Celeste</v>
      </c>
      <c r="C672" s="12">
        <v>1</v>
      </c>
      <c r="D672" s="13"/>
      <c r="E672" s="12">
        <v>320</v>
      </c>
      <c r="F672" s="14">
        <v>46077</v>
      </c>
      <c r="G672" s="34"/>
      <c r="H672" s="34" t="s">
        <v>271</v>
      </c>
      <c r="I672" s="34"/>
      <c r="J672" s="9" t="s">
        <v>202</v>
      </c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</row>
    <row r="673" spans="1:28" ht="14.25" customHeight="1" x14ac:dyDescent="0.35">
      <c r="A673" s="12">
        <v>300109</v>
      </c>
      <c r="B673" s="59" t="str">
        <f>IFERROR(VLOOKUP(Tabla1[[#This Row],[CODIGO]],INVENTARIO!A:B,2,0)," ")</f>
        <v>Risers de Acero 3/4" Bsp x 25 mm</v>
      </c>
      <c r="C673" s="12">
        <v>20</v>
      </c>
      <c r="D673" s="13"/>
      <c r="E673" s="12">
        <v>224</v>
      </c>
      <c r="F673" s="14">
        <v>46077</v>
      </c>
      <c r="G673" s="34"/>
      <c r="H673" s="34" t="s">
        <v>226</v>
      </c>
      <c r="I673" s="34"/>
      <c r="J673" s="9" t="s">
        <v>194</v>
      </c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</row>
    <row r="674" spans="1:28" ht="14.25" customHeight="1" x14ac:dyDescent="0.35">
      <c r="A674" s="12">
        <v>302737</v>
      </c>
      <c r="B674" s="59" t="str">
        <f>IFERROR(VLOOKUP(Tabla1[[#This Row],[CODIGO]],INVENTARIO!A:B,2,0)," ")</f>
        <v>Válvula Bola 3/4" Hi Un Cuerpo Pn5 Arco</v>
      </c>
      <c r="C674" s="12">
        <v>20</v>
      </c>
      <c r="D674" s="13"/>
      <c r="E674" s="12">
        <v>224</v>
      </c>
      <c r="F674" s="14">
        <v>46077</v>
      </c>
      <c r="G674" s="34"/>
      <c r="H674" s="34" t="s">
        <v>226</v>
      </c>
      <c r="I674" s="34"/>
      <c r="J674" s="9" t="s">
        <v>194</v>
      </c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</row>
    <row r="675" spans="1:28" ht="14.25" customHeight="1" x14ac:dyDescent="0.35">
      <c r="A675" s="12">
        <v>302184</v>
      </c>
      <c r="B675" s="59" t="str">
        <f>IFERROR(VLOOKUP(Tabla1[[#This Row],[CODIGO]],INVENTARIO!A:B,2,0)," ")</f>
        <v>Tapa Tornillo Cambio de Codigo por: 2008481</v>
      </c>
      <c r="C675" s="12">
        <v>20</v>
      </c>
      <c r="D675" s="13"/>
      <c r="E675" s="12">
        <v>224</v>
      </c>
      <c r="F675" s="14">
        <v>46077</v>
      </c>
      <c r="G675" s="34"/>
      <c r="H675" s="34" t="s">
        <v>226</v>
      </c>
      <c r="I675" s="34"/>
      <c r="J675" s="9" t="s">
        <v>194</v>
      </c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</row>
    <row r="676" spans="1:28" ht="14.25" customHeight="1" x14ac:dyDescent="0.35">
      <c r="A676" s="12">
        <v>1000720</v>
      </c>
      <c r="B676" s="59" t="str">
        <f>IFERROR(VLOOKUP(Tabla1[[#This Row],[CODIGO]],INVENTARIO!A:B,2,0)," ")</f>
        <v>Teflón en Cinta de 3/4" Ancho x 520" a 5</v>
      </c>
      <c r="C676" s="12">
        <v>3</v>
      </c>
      <c r="D676" s="13"/>
      <c r="E676" s="12">
        <v>224</v>
      </c>
      <c r="F676" s="14">
        <v>46077</v>
      </c>
      <c r="G676" s="34"/>
      <c r="H676" s="34" t="s">
        <v>226</v>
      </c>
      <c r="I676" s="34"/>
      <c r="J676" s="9" t="s">
        <v>194</v>
      </c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</row>
    <row r="677" spans="1:28" ht="14.25" customHeight="1" x14ac:dyDescent="0.35">
      <c r="A677" s="12">
        <v>301329</v>
      </c>
      <c r="B677" s="59" t="str">
        <f>IFERROR(VLOOKUP(Tabla1[[#This Row],[CODIGO]],INVENTARIO!A:B,2,0)," ")</f>
        <v>Copla PE100 025mm EF</v>
      </c>
      <c r="C677" s="12">
        <v>5</v>
      </c>
      <c r="D677" s="13"/>
      <c r="E677" s="12">
        <v>224</v>
      </c>
      <c r="F677" s="14">
        <v>46077</v>
      </c>
      <c r="G677" s="34"/>
      <c r="H677" s="34" t="s">
        <v>226</v>
      </c>
      <c r="I677" s="34"/>
      <c r="J677" s="9" t="s">
        <v>194</v>
      </c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</row>
    <row r="678" spans="1:28" ht="14.25" customHeight="1" x14ac:dyDescent="0.35">
      <c r="A678" s="9" t="s">
        <v>291</v>
      </c>
      <c r="B678" s="59" t="str">
        <f>IFERROR(VLOOKUP(Tabla1[[#This Row],[CODIGO]],INVENTARIO!A:B,2,0)," ")</f>
        <v>Alcohol Isopropilico  500 ml</v>
      </c>
      <c r="C678" s="12">
        <v>1</v>
      </c>
      <c r="D678" s="13"/>
      <c r="E678" s="12">
        <v>319</v>
      </c>
      <c r="F678" s="14">
        <v>46077</v>
      </c>
      <c r="G678" s="34"/>
      <c r="H678" s="34" t="s">
        <v>338</v>
      </c>
      <c r="I678" s="34"/>
      <c r="J678" s="9" t="s">
        <v>194</v>
      </c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</row>
    <row r="679" spans="1:28" ht="14.25" customHeight="1" x14ac:dyDescent="0.35">
      <c r="A679" s="9" t="s">
        <v>292</v>
      </c>
      <c r="B679" s="59" t="str">
        <f>IFERROR(VLOOKUP(Tabla1[[#This Row],[CODIGO]],INVENTARIO!A:B,2,0)," ")</f>
        <v>Toalla Nova Clasica</v>
      </c>
      <c r="C679" s="12">
        <v>1</v>
      </c>
      <c r="D679" s="13"/>
      <c r="E679" s="12">
        <v>319</v>
      </c>
      <c r="F679" s="14">
        <v>46077</v>
      </c>
      <c r="G679" s="34"/>
      <c r="H679" s="34" t="s">
        <v>338</v>
      </c>
      <c r="I679" s="34"/>
      <c r="J679" s="9" t="s">
        <v>194</v>
      </c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</row>
    <row r="680" spans="1:28" ht="14.25" customHeight="1" x14ac:dyDescent="0.35">
      <c r="A680" s="12">
        <v>2005136</v>
      </c>
      <c r="B680" s="59" t="str">
        <f>IFERROR(VLOOKUP(Tabla1[[#This Row],[CODIGO]],INVENTARIO!A:B,2,0)," ")</f>
        <v>Tubo PVC 160 mm PN6 CG Amarillo</v>
      </c>
      <c r="C680" s="12">
        <v>1</v>
      </c>
      <c r="D680" s="13"/>
      <c r="E680" s="12">
        <v>327</v>
      </c>
      <c r="F680" s="14">
        <v>46077</v>
      </c>
      <c r="G680" s="34"/>
      <c r="H680" s="34" t="s">
        <v>335</v>
      </c>
      <c r="I680" s="34"/>
      <c r="J680" s="9" t="s">
        <v>201</v>
      </c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</row>
    <row r="681" spans="1:28" ht="14.25" customHeight="1" x14ac:dyDescent="0.35">
      <c r="A681" s="12">
        <v>2005136</v>
      </c>
      <c r="B681" s="59" t="str">
        <f>IFERROR(VLOOKUP(Tabla1[[#This Row],[CODIGO]],INVENTARIO!A:B,2,0)," ")</f>
        <v>Tubo PVC 160 mm PN6 CG Amarillo</v>
      </c>
      <c r="C681" s="12">
        <v>2</v>
      </c>
      <c r="D681" s="13"/>
      <c r="E681" s="12">
        <v>325</v>
      </c>
      <c r="F681" s="14">
        <v>46077</v>
      </c>
      <c r="G681" s="34"/>
      <c r="H681" s="34" t="s">
        <v>335</v>
      </c>
      <c r="I681" s="34"/>
      <c r="J681" s="9" t="s">
        <v>201</v>
      </c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</row>
    <row r="682" spans="1:28" ht="14.25" customHeight="1" x14ac:dyDescent="0.35">
      <c r="A682" s="12">
        <v>2005136</v>
      </c>
      <c r="B682" s="59" t="str">
        <f>IFERROR(VLOOKUP(Tabla1[[#This Row],[CODIGO]],INVENTARIO!A:B,2,0)," ")</f>
        <v>Tubo PVC 160 mm PN6 CG Amarillo</v>
      </c>
      <c r="C682" s="12">
        <v>1</v>
      </c>
      <c r="D682" s="13"/>
      <c r="E682" s="12">
        <v>316</v>
      </c>
      <c r="F682" s="14">
        <v>46076</v>
      </c>
      <c r="G682" s="34"/>
      <c r="H682" s="34" t="s">
        <v>335</v>
      </c>
      <c r="I682" s="34"/>
      <c r="J682" s="9" t="s">
        <v>201</v>
      </c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</row>
    <row r="683" spans="1:28" ht="14.25" customHeight="1" x14ac:dyDescent="0.35">
      <c r="A683" s="12">
        <v>2002262</v>
      </c>
      <c r="B683" s="59" t="str">
        <f>IFERROR(VLOOKUP(Tabla1[[#This Row],[CODIGO]],INVENTARIO!A:B,2,0)," ")</f>
        <v>Tubería PE80 050mm Rollo</v>
      </c>
      <c r="C683" s="12">
        <v>50</v>
      </c>
      <c r="D683" s="13"/>
      <c r="E683" s="12">
        <v>322</v>
      </c>
      <c r="F683" s="14">
        <v>46073</v>
      </c>
      <c r="G683" s="34"/>
      <c r="H683" s="34" t="s">
        <v>335</v>
      </c>
      <c r="I683" s="34"/>
      <c r="J683" s="9" t="s">
        <v>201</v>
      </c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</row>
    <row r="684" spans="1:28" ht="14.25" customHeight="1" x14ac:dyDescent="0.35">
      <c r="A684" s="12">
        <v>2002262</v>
      </c>
      <c r="B684" s="59" t="str">
        <f>IFERROR(VLOOKUP(Tabla1[[#This Row],[CODIGO]],INVENTARIO!A:B,2,0)," ")</f>
        <v>Tubería PE80 050mm Rollo</v>
      </c>
      <c r="C684" s="12">
        <v>50</v>
      </c>
      <c r="D684" s="13"/>
      <c r="E684" s="12">
        <v>223</v>
      </c>
      <c r="F684" s="14">
        <v>46072</v>
      </c>
      <c r="G684" s="34"/>
      <c r="H684" s="34" t="s">
        <v>223</v>
      </c>
      <c r="I684" s="34"/>
      <c r="J684" s="9" t="s">
        <v>207</v>
      </c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</row>
    <row r="685" spans="1:28" ht="14.25" customHeight="1" x14ac:dyDescent="0.35">
      <c r="A685" s="12">
        <v>303368</v>
      </c>
      <c r="B685" s="59" t="str">
        <f>IFERROR(VLOOKUP(Tabla1[[#This Row],[CODIGO]],INVENTARIO!A:B,2,0)," ")</f>
        <v>Cinta Plástica "Línea GN", 30 x 0.1</v>
      </c>
      <c r="C685" s="12">
        <v>50</v>
      </c>
      <c r="D685" s="13"/>
      <c r="E685" s="12">
        <v>223</v>
      </c>
      <c r="F685" s="14">
        <v>46072</v>
      </c>
      <c r="G685" s="34"/>
      <c r="H685" s="34" t="s">
        <v>223</v>
      </c>
      <c r="I685" s="34"/>
      <c r="J685" s="9" t="s">
        <v>207</v>
      </c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</row>
    <row r="686" spans="1:28" ht="14.25" customHeight="1" x14ac:dyDescent="0.35">
      <c r="A686" s="12">
        <v>1002167</v>
      </c>
      <c r="B686" s="59" t="str">
        <f>IFERROR(VLOOKUP(Tabla1[[#This Row],[CODIGO]],INVENTARIO!A:B,2,0)," ")</f>
        <v>Cable Trazador Cu 14 AWG Aisl. THW Roj</v>
      </c>
      <c r="C686" s="12">
        <v>50</v>
      </c>
      <c r="D686" s="13"/>
      <c r="E686" s="12">
        <v>223</v>
      </c>
      <c r="F686" s="14">
        <v>46072</v>
      </c>
      <c r="G686" s="34"/>
      <c r="H686" s="34" t="s">
        <v>223</v>
      </c>
      <c r="I686" s="34"/>
      <c r="J686" s="9" t="s">
        <v>207</v>
      </c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</row>
    <row r="687" spans="1:28" ht="14.25" customHeight="1" x14ac:dyDescent="0.35">
      <c r="A687" s="12">
        <v>101624</v>
      </c>
      <c r="B687" s="59" t="str">
        <f>IFERROR(VLOOKUP(Tabla1[[#This Row],[CODIGO]],INVENTARIO!A:B,2,0)," ")</f>
        <v>Tapping Tee PE 50-25 mm</v>
      </c>
      <c r="C687" s="12">
        <v>5</v>
      </c>
      <c r="D687" s="13"/>
      <c r="E687" s="12">
        <v>223</v>
      </c>
      <c r="F687" s="14">
        <v>46072</v>
      </c>
      <c r="G687" s="34"/>
      <c r="H687" s="34" t="s">
        <v>223</v>
      </c>
      <c r="I687" s="34"/>
      <c r="J687" s="9" t="s">
        <v>207</v>
      </c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</row>
    <row r="688" spans="1:28" ht="14.25" customHeight="1" x14ac:dyDescent="0.35">
      <c r="A688" s="12">
        <v>301099</v>
      </c>
      <c r="B688" s="59" t="str">
        <f>IFERROR(VLOOKUP(Tabla1[[#This Row],[CODIGO]],INVENTARIO!A:B,2,0)," ")</f>
        <v>Válvula PE100 Dn 25mm</v>
      </c>
      <c r="C688" s="12">
        <v>5</v>
      </c>
      <c r="D688" s="13"/>
      <c r="E688" s="12">
        <v>223</v>
      </c>
      <c r="F688" s="14">
        <v>46072</v>
      </c>
      <c r="G688" s="34"/>
      <c r="H688" s="34" t="s">
        <v>223</v>
      </c>
      <c r="I688" s="34"/>
      <c r="J688" s="9" t="s">
        <v>207</v>
      </c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</row>
    <row r="689" spans="1:28" ht="14.25" customHeight="1" x14ac:dyDescent="0.35">
      <c r="A689" s="12">
        <v>301329</v>
      </c>
      <c r="B689" s="59" t="str">
        <f>IFERROR(VLOOKUP(Tabla1[[#This Row],[CODIGO]],INVENTARIO!A:B,2,0)," ")</f>
        <v>Copla PE100 025mm EF</v>
      </c>
      <c r="C689" s="12">
        <v>15</v>
      </c>
      <c r="D689" s="13"/>
      <c r="E689" s="12">
        <v>223</v>
      </c>
      <c r="F689" s="14">
        <v>46072</v>
      </c>
      <c r="G689" s="34"/>
      <c r="H689" s="34" t="s">
        <v>223</v>
      </c>
      <c r="I689" s="34"/>
      <c r="J689" s="9" t="s">
        <v>207</v>
      </c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</row>
    <row r="690" spans="1:28" ht="14.25" customHeight="1" x14ac:dyDescent="0.35">
      <c r="A690" s="12">
        <v>2003911</v>
      </c>
      <c r="B690" s="59" t="str">
        <f>IFERROR(VLOOKUP(Tabla1[[#This Row],[CODIGO]],INVENTARIO!A:B,2,0)," ")</f>
        <v>Válvula EFv PE 25 mm Para Tap. Tee</v>
      </c>
      <c r="C690" s="12">
        <v>5</v>
      </c>
      <c r="D690" s="13"/>
      <c r="E690" s="12">
        <v>223</v>
      </c>
      <c r="F690" s="14">
        <v>46072</v>
      </c>
      <c r="G690" s="34"/>
      <c r="H690" s="34" t="s">
        <v>223</v>
      </c>
      <c r="I690" s="34"/>
      <c r="J690" s="9" t="s">
        <v>207</v>
      </c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</row>
    <row r="691" spans="1:28" ht="14.25" customHeight="1" x14ac:dyDescent="0.35">
      <c r="A691" s="12">
        <v>300109</v>
      </c>
      <c r="B691" s="59" t="str">
        <f>IFERROR(VLOOKUP(Tabla1[[#This Row],[CODIGO]],INVENTARIO!A:B,2,0)," ")</f>
        <v>Risers de Acero 3/4" Bsp x 25 mm</v>
      </c>
      <c r="C691" s="12">
        <v>5</v>
      </c>
      <c r="D691" s="13"/>
      <c r="E691" s="12">
        <v>223</v>
      </c>
      <c r="F691" s="14">
        <v>46072</v>
      </c>
      <c r="G691" s="34"/>
      <c r="H691" s="34" t="s">
        <v>223</v>
      </c>
      <c r="I691" s="34"/>
      <c r="J691" s="9" t="s">
        <v>207</v>
      </c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</row>
    <row r="692" spans="1:28" ht="14.25" customHeight="1" x14ac:dyDescent="0.35">
      <c r="A692" s="12">
        <v>302737</v>
      </c>
      <c r="B692" s="59" t="str">
        <f>IFERROR(VLOOKUP(Tabla1[[#This Row],[CODIGO]],INVENTARIO!A:B,2,0)," ")</f>
        <v>Válvula Bola 3/4" Hi Un Cuerpo Pn5 Arco</v>
      </c>
      <c r="C692" s="12">
        <v>5</v>
      </c>
      <c r="D692" s="13"/>
      <c r="E692" s="12">
        <v>223</v>
      </c>
      <c r="F692" s="14">
        <v>46072</v>
      </c>
      <c r="G692" s="34"/>
      <c r="H692" s="34" t="s">
        <v>223</v>
      </c>
      <c r="I692" s="34"/>
      <c r="J692" s="9" t="s">
        <v>207</v>
      </c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</row>
    <row r="693" spans="1:28" ht="14.25" customHeight="1" x14ac:dyDescent="0.35">
      <c r="A693" s="12">
        <v>2008481</v>
      </c>
      <c r="B693" s="59" t="str">
        <f>IFERROR(VLOOKUP(Tabla1[[#This Row],[CODIGO]],INVENTARIO!A:B,2,0)," ")</f>
        <v>Tapa Tornillo Bronce 3/4" HE Bspt.</v>
      </c>
      <c r="C693" s="12">
        <v>5</v>
      </c>
      <c r="D693" s="13"/>
      <c r="E693" s="12">
        <v>223</v>
      </c>
      <c r="F693" s="14">
        <v>46072</v>
      </c>
      <c r="G693" s="34"/>
      <c r="H693" s="34" t="s">
        <v>223</v>
      </c>
      <c r="I693" s="34"/>
      <c r="J693" s="9" t="s">
        <v>207</v>
      </c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</row>
    <row r="694" spans="1:28" ht="14.25" customHeight="1" x14ac:dyDescent="0.35">
      <c r="A694" s="12">
        <v>2007948</v>
      </c>
      <c r="B694" s="59" t="str">
        <f>IFERROR(VLOOKUP(Tabla1[[#This Row],[CODIGO]],INVENTARIO!A:B,2,0)," ")</f>
        <v>Tubo PVC Hidraulico 110 mm Pn6 Celeste</v>
      </c>
      <c r="C694" s="12">
        <v>5</v>
      </c>
      <c r="D694" s="13"/>
      <c r="E694" s="12">
        <v>223</v>
      </c>
      <c r="F694" s="14">
        <v>46072</v>
      </c>
      <c r="G694" s="34"/>
      <c r="H694" s="34" t="s">
        <v>223</v>
      </c>
      <c r="I694" s="34"/>
      <c r="J694" s="9" t="s">
        <v>207</v>
      </c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</row>
    <row r="695" spans="1:28" ht="14.25" customHeight="1" x14ac:dyDescent="0.35">
      <c r="A695" s="12">
        <v>2006391</v>
      </c>
      <c r="B695" s="59" t="str">
        <f>IFERROR(VLOOKUP(Tabla1[[#This Row],[CODIGO]],INVENTARIO!A:B,2,0)," ")</f>
        <v>Guardallave Fierro Fundido C/Tapa</v>
      </c>
      <c r="C695" s="12">
        <v>5</v>
      </c>
      <c r="D695" s="13"/>
      <c r="E695" s="12">
        <v>223</v>
      </c>
      <c r="F695" s="14">
        <v>46072</v>
      </c>
      <c r="G695" s="34"/>
      <c r="H695" s="34" t="s">
        <v>223</v>
      </c>
      <c r="I695" s="34"/>
      <c r="J695" s="9" t="s">
        <v>207</v>
      </c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</row>
    <row r="696" spans="1:28" ht="14.25" customHeight="1" x14ac:dyDescent="0.35">
      <c r="A696" s="12">
        <v>2000350</v>
      </c>
      <c r="B696" s="59" t="str">
        <f>IFERROR(VLOOKUP(Tabla1[[#This Row],[CODIGO]],INVENTARIO!A:B,2,0)," ")</f>
        <v>Codo PE 90º  25 mm EF.</v>
      </c>
      <c r="C696" s="12">
        <v>10</v>
      </c>
      <c r="D696" s="13"/>
      <c r="E696" s="12">
        <v>223</v>
      </c>
      <c r="F696" s="14">
        <v>46072</v>
      </c>
      <c r="G696" s="34"/>
      <c r="H696" s="34" t="s">
        <v>223</v>
      </c>
      <c r="I696" s="34"/>
      <c r="J696" s="9" t="s">
        <v>207</v>
      </c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</row>
    <row r="697" spans="1:28" ht="14.25" customHeight="1" x14ac:dyDescent="0.35">
      <c r="A697" s="12">
        <v>1000720</v>
      </c>
      <c r="B697" s="59" t="str">
        <f>IFERROR(VLOOKUP(Tabla1[[#This Row],[CODIGO]],INVENTARIO!A:B,2,0)," ")</f>
        <v>Teflón en Cinta de 3/4" Ancho x 520" a 5</v>
      </c>
      <c r="C697" s="12">
        <v>1</v>
      </c>
      <c r="D697" s="13"/>
      <c r="E697" s="12">
        <v>223</v>
      </c>
      <c r="F697" s="14">
        <v>46072</v>
      </c>
      <c r="G697" s="34"/>
      <c r="H697" s="34" t="s">
        <v>223</v>
      </c>
      <c r="I697" s="34"/>
      <c r="J697" s="9" t="s">
        <v>207</v>
      </c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</row>
    <row r="698" spans="1:28" ht="14.25" customHeight="1" x14ac:dyDescent="0.35">
      <c r="A698" s="12">
        <v>302992</v>
      </c>
      <c r="B698" s="59" t="str">
        <f>IFERROR(VLOOKUP(Tabla1[[#This Row],[CODIGO]],INVENTARIO!A:B,2,0)," ")</f>
        <v>Codo PE100 90° 050mm EF</v>
      </c>
      <c r="C698" s="12">
        <v>1</v>
      </c>
      <c r="D698" s="13"/>
      <c r="E698" s="12">
        <v>221</v>
      </c>
      <c r="F698" s="14">
        <v>46071</v>
      </c>
      <c r="G698" s="34"/>
      <c r="H698" s="34" t="s">
        <v>223</v>
      </c>
      <c r="I698" s="34"/>
      <c r="J698" s="9" t="s">
        <v>322</v>
      </c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</row>
    <row r="699" spans="1:28" ht="14.25" customHeight="1" x14ac:dyDescent="0.35">
      <c r="A699" s="12">
        <v>302654</v>
      </c>
      <c r="B699" s="59" t="str">
        <f>IFERROR(VLOOKUP(Tabla1[[#This Row],[CODIGO]],INVENTARIO!A:B,2,0)," ")</f>
        <v>Tee PE  50 mm Termo F.</v>
      </c>
      <c r="C699" s="12">
        <v>2</v>
      </c>
      <c r="D699" s="13"/>
      <c r="E699" s="12">
        <v>221</v>
      </c>
      <c r="F699" s="14">
        <v>46071</v>
      </c>
      <c r="G699" s="34"/>
      <c r="H699" s="34" t="s">
        <v>223</v>
      </c>
      <c r="I699" s="34"/>
      <c r="J699" s="9" t="s">
        <v>322</v>
      </c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</row>
    <row r="700" spans="1:28" ht="14.25" customHeight="1" x14ac:dyDescent="0.35">
      <c r="A700" s="12">
        <v>2004602</v>
      </c>
      <c r="B700" s="59" t="str">
        <f>IFERROR(VLOOKUP(Tabla1[[#This Row],[CODIGO]],INVENTARIO!A:B,2,0)," ")</f>
        <v>MRPC-120-(4/1,2)-(S)-2</v>
      </c>
      <c r="C700" s="12">
        <v>1</v>
      </c>
      <c r="D700" s="13"/>
      <c r="E700" s="12">
        <v>221</v>
      </c>
      <c r="F700" s="14">
        <v>46071</v>
      </c>
      <c r="G700" s="34"/>
      <c r="H700" s="34" t="s">
        <v>223</v>
      </c>
      <c r="I700" s="34"/>
      <c r="J700" s="9" t="s">
        <v>322</v>
      </c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</row>
    <row r="701" spans="1:28" ht="14.25" customHeight="1" x14ac:dyDescent="0.35">
      <c r="A701" s="12">
        <v>301327</v>
      </c>
      <c r="B701" s="59" t="str">
        <f>IFERROR(VLOOKUP(Tabla1[[#This Row],[CODIGO]],INVENTARIO!A:B,2,0)," ")</f>
        <v>Tapa PE  050 mm Termo F.</v>
      </c>
      <c r="C701" s="12">
        <v>1</v>
      </c>
      <c r="D701" s="13"/>
      <c r="E701" s="12">
        <v>221</v>
      </c>
      <c r="F701" s="14">
        <v>46071</v>
      </c>
      <c r="G701" s="34"/>
      <c r="H701" s="34" t="s">
        <v>223</v>
      </c>
      <c r="I701" s="34"/>
      <c r="J701" s="9" t="s">
        <v>322</v>
      </c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</row>
    <row r="702" spans="1:28" ht="14.25" customHeight="1" x14ac:dyDescent="0.35">
      <c r="A702" s="12">
        <v>303345</v>
      </c>
      <c r="B702" s="59" t="str">
        <f>IFERROR(VLOOKUP(Tabla1[[#This Row],[CODIGO]],INVENTARIO!A:B,2,0)," ")</f>
        <v>Copla PE100 050mm EF</v>
      </c>
      <c r="C702" s="12">
        <v>7</v>
      </c>
      <c r="D702" s="13"/>
      <c r="E702" s="12">
        <v>221</v>
      </c>
      <c r="F702" s="14">
        <v>46071</v>
      </c>
      <c r="G702" s="34"/>
      <c r="H702" s="34" t="s">
        <v>223</v>
      </c>
      <c r="I702" s="34"/>
      <c r="J702" s="9" t="s">
        <v>322</v>
      </c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</row>
    <row r="703" spans="1:28" ht="14.25" customHeight="1" x14ac:dyDescent="0.35">
      <c r="A703" s="12">
        <v>300414</v>
      </c>
      <c r="B703" s="59" t="str">
        <f>IFERROR(VLOOKUP(Tabla1[[#This Row],[CODIGO]],INVENTARIO!A:B,2,0)," ")</f>
        <v>Válvula PE100 Dn 50mm</v>
      </c>
      <c r="C703" s="12">
        <v>1</v>
      </c>
      <c r="D703" s="13"/>
      <c r="E703" s="12">
        <v>221</v>
      </c>
      <c r="F703" s="14">
        <v>46071</v>
      </c>
      <c r="G703" s="34"/>
      <c r="H703" s="34" t="s">
        <v>223</v>
      </c>
      <c r="I703" s="34"/>
      <c r="J703" s="9" t="s">
        <v>322</v>
      </c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</row>
    <row r="704" spans="1:28" ht="14.25" customHeight="1" x14ac:dyDescent="0.35">
      <c r="A704" s="12">
        <v>2006391</v>
      </c>
      <c r="B704" s="59" t="str">
        <f>IFERROR(VLOOKUP(Tabla1[[#This Row],[CODIGO]],INVENTARIO!A:B,2,0)," ")</f>
        <v>Guardallave Fierro Fundido C/Tapa</v>
      </c>
      <c r="C704" s="12">
        <v>1</v>
      </c>
      <c r="D704" s="13"/>
      <c r="E704" s="12">
        <v>221</v>
      </c>
      <c r="F704" s="14">
        <v>46071</v>
      </c>
      <c r="G704" s="34"/>
      <c r="H704" s="34" t="s">
        <v>223</v>
      </c>
      <c r="I704" s="34"/>
      <c r="J704" s="9" t="s">
        <v>322</v>
      </c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</row>
    <row r="705" spans="1:28" ht="14.25" customHeight="1" x14ac:dyDescent="0.35">
      <c r="A705" s="12">
        <v>2007948</v>
      </c>
      <c r="B705" s="59" t="str">
        <f>IFERROR(VLOOKUP(Tabla1[[#This Row],[CODIGO]],INVENTARIO!A:B,2,0)," ")</f>
        <v>Tubo PVC Hidraulico 110 mm Pn6 Celeste</v>
      </c>
      <c r="C705" s="12">
        <v>1</v>
      </c>
      <c r="D705" s="13"/>
      <c r="E705" s="12">
        <v>221</v>
      </c>
      <c r="F705" s="14">
        <v>46071</v>
      </c>
      <c r="G705" s="34"/>
      <c r="H705" s="34" t="s">
        <v>223</v>
      </c>
      <c r="I705" s="34"/>
      <c r="J705" s="9" t="s">
        <v>322</v>
      </c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</row>
    <row r="706" spans="1:28" ht="14.25" customHeight="1" x14ac:dyDescent="0.35">
      <c r="A706" s="12">
        <v>2002262</v>
      </c>
      <c r="B706" s="59" t="str">
        <f>IFERROR(VLOOKUP(Tabla1[[#This Row],[CODIGO]],INVENTARIO!A:B,2,0)," ")</f>
        <v>Tubería PE80 050mm Rollo</v>
      </c>
      <c r="C706" s="12">
        <v>7</v>
      </c>
      <c r="D706" s="13"/>
      <c r="E706" s="12">
        <v>987</v>
      </c>
      <c r="F706" s="14">
        <v>46072</v>
      </c>
      <c r="G706" s="34"/>
      <c r="H706" s="34" t="s">
        <v>225</v>
      </c>
      <c r="I706" s="34"/>
      <c r="J706" s="9" t="s">
        <v>322</v>
      </c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</row>
    <row r="707" spans="1:28" ht="14.25" customHeight="1" x14ac:dyDescent="0.35">
      <c r="A707" s="12">
        <v>303368</v>
      </c>
      <c r="B707" s="59" t="str">
        <f>IFERROR(VLOOKUP(Tabla1[[#This Row],[CODIGO]],INVENTARIO!A:B,2,0)," ")</f>
        <v>Cinta Plástica "Línea GN", 30 x 0.1</v>
      </c>
      <c r="C707" s="12">
        <v>7</v>
      </c>
      <c r="D707" s="13"/>
      <c r="E707" s="12">
        <v>987</v>
      </c>
      <c r="F707" s="14">
        <v>46072</v>
      </c>
      <c r="G707" s="34"/>
      <c r="H707" s="34" t="s">
        <v>225</v>
      </c>
      <c r="I707" s="34"/>
      <c r="J707" s="9" t="s">
        <v>322</v>
      </c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</row>
    <row r="708" spans="1:28" ht="14.25" customHeight="1" x14ac:dyDescent="0.35">
      <c r="A708" s="12">
        <v>1002167</v>
      </c>
      <c r="B708" s="59" t="str">
        <f>IFERROR(VLOOKUP(Tabla1[[#This Row],[CODIGO]],INVENTARIO!A:B,2,0)," ")</f>
        <v>Cable Trazador Cu 14 AWG Aisl. THW Roj</v>
      </c>
      <c r="C708" s="12">
        <v>7</v>
      </c>
      <c r="D708" s="13"/>
      <c r="E708" s="12">
        <v>987</v>
      </c>
      <c r="F708" s="14">
        <v>46072</v>
      </c>
      <c r="G708" s="34"/>
      <c r="H708" s="34" t="s">
        <v>225</v>
      </c>
      <c r="I708" s="34"/>
      <c r="J708" s="9" t="s">
        <v>322</v>
      </c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</row>
    <row r="709" spans="1:28" ht="14.25" customHeight="1" x14ac:dyDescent="0.35">
      <c r="A709" s="12">
        <v>303345</v>
      </c>
      <c r="B709" s="59" t="str">
        <f>IFERROR(VLOOKUP(Tabla1[[#This Row],[CODIGO]],INVENTARIO!A:B,2,0)," ")</f>
        <v>Copla PE100 050mm EF</v>
      </c>
      <c r="C709" s="12">
        <v>1</v>
      </c>
      <c r="D709" s="13"/>
      <c r="E709" s="12">
        <v>987</v>
      </c>
      <c r="F709" s="14">
        <v>46072</v>
      </c>
      <c r="G709" s="34"/>
      <c r="H709" s="34" t="s">
        <v>225</v>
      </c>
      <c r="I709" s="34"/>
      <c r="J709" s="9" t="s">
        <v>322</v>
      </c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</row>
    <row r="710" spans="1:28" ht="14.25" customHeight="1" x14ac:dyDescent="0.35">
      <c r="A710" s="12">
        <v>303510</v>
      </c>
      <c r="B710" s="59" t="str">
        <f>IFERROR(VLOOKUP(Tabla1[[#This Row],[CODIGO]],INVENTARIO!A:B,2,0)," ")</f>
        <v>Guardallave Hormigón 125 mm con Tapa</v>
      </c>
      <c r="C710" s="12">
        <v>3</v>
      </c>
      <c r="D710" s="13"/>
      <c r="E710" s="12">
        <v>987</v>
      </c>
      <c r="F710" s="14">
        <v>46072</v>
      </c>
      <c r="G710" s="34"/>
      <c r="H710" s="34" t="s">
        <v>225</v>
      </c>
      <c r="I710" s="34"/>
      <c r="J710" s="9" t="s">
        <v>322</v>
      </c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</row>
    <row r="711" spans="1:28" ht="14.25" customHeight="1" x14ac:dyDescent="0.35">
      <c r="A711" s="12">
        <v>302991</v>
      </c>
      <c r="B711" s="59" t="str">
        <f>IFERROR(VLOOKUP(Tabla1[[#This Row],[CODIGO]],INVENTARIO!A:B,2,0)," ")</f>
        <v>Copla PE100 110mm EF</v>
      </c>
      <c r="C711" s="12">
        <v>2</v>
      </c>
      <c r="D711" s="13"/>
      <c r="E711" s="12">
        <v>988</v>
      </c>
      <c r="F711" s="14">
        <v>46072</v>
      </c>
      <c r="G711" s="34"/>
      <c r="H711" s="34" t="s">
        <v>314</v>
      </c>
      <c r="I711" s="34"/>
      <c r="J711" s="9" t="s">
        <v>274</v>
      </c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</row>
    <row r="712" spans="1:28" ht="14.25" customHeight="1" x14ac:dyDescent="0.35">
      <c r="A712" s="12">
        <v>303510</v>
      </c>
      <c r="B712" s="59" t="str">
        <f>IFERROR(VLOOKUP(Tabla1[[#This Row],[CODIGO]],INVENTARIO!A:B,2,0)," ")</f>
        <v>Guardallave Hormigón 125 mm con Tapa</v>
      </c>
      <c r="C712" s="92">
        <v>5</v>
      </c>
      <c r="D712" s="13"/>
      <c r="E712" s="92">
        <v>988</v>
      </c>
      <c r="F712" s="14">
        <v>46072</v>
      </c>
      <c r="G712" s="34"/>
      <c r="H712" s="34" t="s">
        <v>314</v>
      </c>
      <c r="I712" s="34"/>
      <c r="J712" s="9" t="s">
        <v>274</v>
      </c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</row>
    <row r="713" spans="1:28" ht="14.25" customHeight="1" x14ac:dyDescent="0.35">
      <c r="A713" s="12">
        <v>2005136</v>
      </c>
      <c r="B713" s="59" t="str">
        <f>IFERROR(VLOOKUP(Tabla1[[#This Row],[CODIGO]],INVENTARIO!A:B,2,0)," ")</f>
        <v>Tubo PVC 160 mm PN6 CG Amarillo</v>
      </c>
      <c r="C713" s="12">
        <v>1</v>
      </c>
      <c r="D713" s="13"/>
      <c r="E713" s="12">
        <v>988</v>
      </c>
      <c r="F713" s="14">
        <v>46072</v>
      </c>
      <c r="G713" s="34"/>
      <c r="H713" s="34" t="s">
        <v>314</v>
      </c>
      <c r="I713" s="34"/>
      <c r="J713" s="9" t="s">
        <v>274</v>
      </c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</row>
    <row r="714" spans="1:28" ht="14.25" customHeight="1" x14ac:dyDescent="0.35">
      <c r="A714" s="12">
        <v>1002167</v>
      </c>
      <c r="B714" s="59" t="str">
        <f>IFERROR(VLOOKUP(Tabla1[[#This Row],[CODIGO]],INVENTARIO!A:B,2,0)," ")</f>
        <v>Cable Trazador Cu 14 AWG Aisl. THW Roj</v>
      </c>
      <c r="C714" s="12">
        <v>100</v>
      </c>
      <c r="D714" s="13"/>
      <c r="E714" s="12">
        <v>988</v>
      </c>
      <c r="F714" s="14">
        <v>46072</v>
      </c>
      <c r="G714" s="34"/>
      <c r="H714" s="34" t="s">
        <v>314</v>
      </c>
      <c r="I714" s="34"/>
      <c r="J714" s="9" t="s">
        <v>274</v>
      </c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</row>
    <row r="715" spans="1:28" ht="14.25" customHeight="1" x14ac:dyDescent="0.35">
      <c r="A715" s="12">
        <v>303368</v>
      </c>
      <c r="B715" s="59" t="str">
        <f>IFERROR(VLOOKUP(Tabla1[[#This Row],[CODIGO]],INVENTARIO!A:B,2,0)," ")</f>
        <v>Cinta Plástica "Línea GN", 30 x 0.1</v>
      </c>
      <c r="C715" s="12">
        <v>100</v>
      </c>
      <c r="D715" s="13"/>
      <c r="E715" s="12">
        <v>988</v>
      </c>
      <c r="F715" s="14">
        <v>46072</v>
      </c>
      <c r="G715" s="34"/>
      <c r="H715" s="34" t="s">
        <v>314</v>
      </c>
      <c r="I715" s="34"/>
      <c r="J715" s="9" t="s">
        <v>274</v>
      </c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</row>
    <row r="716" spans="1:28" ht="14.25" customHeight="1" x14ac:dyDescent="0.35">
      <c r="A716" s="12">
        <v>300820</v>
      </c>
      <c r="B716" s="59" t="str">
        <f>IFERROR(VLOOKUP(Tabla1[[#This Row],[CODIGO]],INVENTARIO!A:B,2,0)," ")</f>
        <v>Tubería PE80 160mm Tira</v>
      </c>
      <c r="C716" s="12">
        <v>96</v>
      </c>
      <c r="D716" s="13"/>
      <c r="E716" s="12">
        <v>303</v>
      </c>
      <c r="F716" s="14">
        <v>46073</v>
      </c>
      <c r="G716" s="34"/>
      <c r="H716" s="34" t="s">
        <v>336</v>
      </c>
      <c r="I716" s="34"/>
      <c r="J716" s="9" t="s">
        <v>193</v>
      </c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</row>
    <row r="717" spans="1:28" ht="14.25" customHeight="1" x14ac:dyDescent="0.35">
      <c r="A717" s="12">
        <v>2003131</v>
      </c>
      <c r="B717" s="59" t="str">
        <f>IFERROR(VLOOKUP(Tabla1[[#This Row],[CODIGO]],INVENTARIO!A:B,2,0)," ")</f>
        <v>Tapping Tee PE 50-40 mm</v>
      </c>
      <c r="C717" s="12">
        <v>1</v>
      </c>
      <c r="D717" s="13"/>
      <c r="E717" s="12">
        <v>995</v>
      </c>
      <c r="F717" s="14">
        <v>46073</v>
      </c>
      <c r="G717" s="34"/>
      <c r="H717" s="34" t="s">
        <v>287</v>
      </c>
      <c r="I717" s="34"/>
      <c r="J717" s="9" t="s">
        <v>330</v>
      </c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</row>
    <row r="718" spans="1:28" ht="14.25" customHeight="1" x14ac:dyDescent="0.35">
      <c r="A718" s="12">
        <v>303362</v>
      </c>
      <c r="B718" s="59" t="str">
        <f>IFERROR(VLOOKUP(Tabla1[[#This Row],[CODIGO]],INVENTARIO!A:B,2,0)," ")</f>
        <v>Reductor PE  50-40 mm Electro F.</v>
      </c>
      <c r="C718" s="12">
        <v>1</v>
      </c>
      <c r="D718" s="13"/>
      <c r="E718" s="12">
        <v>995</v>
      </c>
      <c r="F718" s="14">
        <v>46073</v>
      </c>
      <c r="G718" s="34"/>
      <c r="H718" s="34" t="s">
        <v>287</v>
      </c>
      <c r="I718" s="34"/>
      <c r="J718" s="9" t="s">
        <v>330</v>
      </c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</row>
    <row r="719" spans="1:28" ht="14.25" customHeight="1" x14ac:dyDescent="0.35">
      <c r="A719" s="12">
        <v>303345</v>
      </c>
      <c r="B719" s="59" t="str">
        <f>IFERROR(VLOOKUP(Tabla1[[#This Row],[CODIGO]],INVENTARIO!A:B,2,0)," ")</f>
        <v>Copla PE100 050mm EF</v>
      </c>
      <c r="C719" s="12">
        <v>3</v>
      </c>
      <c r="D719" s="13"/>
      <c r="E719" s="12">
        <v>995</v>
      </c>
      <c r="F719" s="14">
        <v>46073</v>
      </c>
      <c r="G719" s="34"/>
      <c r="H719" s="34" t="s">
        <v>287</v>
      </c>
      <c r="I719" s="34"/>
      <c r="J719" s="9" t="s">
        <v>330</v>
      </c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</row>
    <row r="720" spans="1:28" ht="14.25" customHeight="1" x14ac:dyDescent="0.35">
      <c r="A720" s="12">
        <v>300414</v>
      </c>
      <c r="B720" s="59" t="str">
        <f>IFERROR(VLOOKUP(Tabla1[[#This Row],[CODIGO]],INVENTARIO!A:B,2,0)," ")</f>
        <v>Válvula PE100 Dn 50mm</v>
      </c>
      <c r="C720" s="12">
        <v>1</v>
      </c>
      <c r="D720" s="13"/>
      <c r="E720" s="12">
        <v>995</v>
      </c>
      <c r="F720" s="14">
        <v>46073</v>
      </c>
      <c r="G720" s="34"/>
      <c r="H720" s="34" t="s">
        <v>287</v>
      </c>
      <c r="I720" s="34"/>
      <c r="J720" s="9" t="s">
        <v>330</v>
      </c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</row>
    <row r="721" spans="1:28" ht="14.25" customHeight="1" x14ac:dyDescent="0.35">
      <c r="A721" s="12">
        <v>302992</v>
      </c>
      <c r="B721" s="59" t="str">
        <f>IFERROR(VLOOKUP(Tabla1[[#This Row],[CODIGO]],INVENTARIO!A:B,2,0)," ")</f>
        <v>Codo PE100 90° 050mm EF</v>
      </c>
      <c r="C721" s="12">
        <v>2</v>
      </c>
      <c r="D721" s="13"/>
      <c r="E721" s="12">
        <v>995</v>
      </c>
      <c r="F721" s="14">
        <v>46073</v>
      </c>
      <c r="G721" s="34"/>
      <c r="H721" s="34" t="s">
        <v>287</v>
      </c>
      <c r="I721" s="34"/>
      <c r="J721" s="9" t="s">
        <v>330</v>
      </c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</row>
    <row r="722" spans="1:28" ht="14.25" customHeight="1" x14ac:dyDescent="0.35">
      <c r="A722" s="12">
        <v>301327</v>
      </c>
      <c r="B722" s="59" t="str">
        <f>IFERROR(VLOOKUP(Tabla1[[#This Row],[CODIGO]],INVENTARIO!A:B,2,0)," ")</f>
        <v>Tapa PE  050 mm Termo F.</v>
      </c>
      <c r="C722" s="12">
        <v>1</v>
      </c>
      <c r="D722" s="13"/>
      <c r="E722" s="12">
        <v>995</v>
      </c>
      <c r="F722" s="14">
        <v>46073</v>
      </c>
      <c r="G722" s="34"/>
      <c r="H722" s="34" t="s">
        <v>287</v>
      </c>
      <c r="I722" s="34"/>
      <c r="J722" s="9" t="s">
        <v>330</v>
      </c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</row>
    <row r="723" spans="1:28" ht="14.25" customHeight="1" x14ac:dyDescent="0.35">
      <c r="A723" s="12">
        <v>303362</v>
      </c>
      <c r="B723" s="59" t="str">
        <f>IFERROR(VLOOKUP(Tabla1[[#This Row],[CODIGO]],INVENTARIO!A:B,2,0)," ")</f>
        <v>Reductor PE  50-40 mm Electro F.</v>
      </c>
      <c r="C723" s="12">
        <v>1</v>
      </c>
      <c r="D723" s="13"/>
      <c r="E723" s="12">
        <v>995</v>
      </c>
      <c r="F723" s="14">
        <v>46073</v>
      </c>
      <c r="G723" s="34"/>
      <c r="H723" s="34" t="s">
        <v>287</v>
      </c>
      <c r="I723" s="34"/>
      <c r="J723" s="9" t="s">
        <v>330</v>
      </c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</row>
    <row r="724" spans="1:28" ht="14.25" customHeight="1" x14ac:dyDescent="0.35">
      <c r="A724" s="12">
        <v>2004602</v>
      </c>
      <c r="B724" s="59" t="str">
        <f>IFERROR(VLOOKUP(Tabla1[[#This Row],[CODIGO]],INVENTARIO!A:B,2,0)," ")</f>
        <v>MRPC-120-(4/1,2)-(S)-2</v>
      </c>
      <c r="C724" s="12">
        <v>1</v>
      </c>
      <c r="D724" s="13"/>
      <c r="E724" s="12">
        <v>995</v>
      </c>
      <c r="F724" s="14">
        <v>46073</v>
      </c>
      <c r="G724" s="34"/>
      <c r="H724" s="34" t="s">
        <v>287</v>
      </c>
      <c r="I724" s="34"/>
      <c r="J724" s="9" t="s">
        <v>330</v>
      </c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</row>
    <row r="725" spans="1:28" ht="14.25" customHeight="1" x14ac:dyDescent="0.35">
      <c r="A725" s="12">
        <v>2002262</v>
      </c>
      <c r="B725" s="59" t="str">
        <f>IFERROR(VLOOKUP(Tabla1[[#This Row],[CODIGO]],INVENTARIO!A:B,2,0)," ")</f>
        <v>Tubería PE80 050mm Rollo</v>
      </c>
      <c r="C725" s="12">
        <v>3</v>
      </c>
      <c r="D725" s="13"/>
      <c r="E725" s="12">
        <v>995</v>
      </c>
      <c r="F725" s="14">
        <v>46073</v>
      </c>
      <c r="G725" s="34"/>
      <c r="H725" s="34" t="s">
        <v>287</v>
      </c>
      <c r="I725" s="34"/>
      <c r="J725" s="9" t="s">
        <v>330</v>
      </c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</row>
    <row r="726" spans="1:28" ht="14.25" customHeight="1" x14ac:dyDescent="0.35">
      <c r="A726" s="12">
        <v>2006391</v>
      </c>
      <c r="B726" s="59" t="str">
        <f>IFERROR(VLOOKUP(Tabla1[[#This Row],[CODIGO]],INVENTARIO!A:B,2,0)," ")</f>
        <v>Guardallave Fierro Fundido C/Tapa</v>
      </c>
      <c r="C726" s="12">
        <v>1</v>
      </c>
      <c r="D726" s="13"/>
      <c r="E726" s="12">
        <v>995</v>
      </c>
      <c r="F726" s="14">
        <v>46073</v>
      </c>
      <c r="G726" s="34"/>
      <c r="H726" s="34" t="s">
        <v>287</v>
      </c>
      <c r="I726" s="34"/>
      <c r="J726" s="9" t="s">
        <v>330</v>
      </c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</row>
    <row r="727" spans="1:28" ht="14.25" customHeight="1" x14ac:dyDescent="0.35">
      <c r="A727" s="12">
        <v>2007948</v>
      </c>
      <c r="B727" s="59" t="str">
        <f>IFERROR(VLOOKUP(Tabla1[[#This Row],[CODIGO]],INVENTARIO!A:B,2,0)," ")</f>
        <v>Tubo PVC Hidraulico 110 mm Pn6 Celeste</v>
      </c>
      <c r="C727" s="12">
        <v>1</v>
      </c>
      <c r="D727" s="13"/>
      <c r="E727" s="12">
        <v>995</v>
      </c>
      <c r="F727" s="14">
        <v>46073</v>
      </c>
      <c r="G727" s="34"/>
      <c r="H727" s="34" t="s">
        <v>287</v>
      </c>
      <c r="I727" s="34"/>
      <c r="J727" s="9" t="s">
        <v>330</v>
      </c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</row>
    <row r="728" spans="1:28" ht="14.25" customHeight="1" x14ac:dyDescent="0.35">
      <c r="A728" s="12">
        <v>303368</v>
      </c>
      <c r="B728" s="59" t="str">
        <f>IFERROR(VLOOKUP(Tabla1[[#This Row],[CODIGO]],INVENTARIO!A:B,2,0)," ")</f>
        <v>Cinta Plástica "Línea GN", 30 x 0.1</v>
      </c>
      <c r="C728" s="12">
        <v>3</v>
      </c>
      <c r="D728" s="13"/>
      <c r="E728" s="12">
        <v>995</v>
      </c>
      <c r="F728" s="14">
        <v>46073</v>
      </c>
      <c r="G728" s="34"/>
      <c r="H728" s="34" t="s">
        <v>287</v>
      </c>
      <c r="I728" s="34"/>
      <c r="J728" s="9" t="s">
        <v>330</v>
      </c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</row>
    <row r="729" spans="1:28" ht="14.25" customHeight="1" x14ac:dyDescent="0.35">
      <c r="A729" s="12">
        <v>1002167</v>
      </c>
      <c r="B729" s="59" t="str">
        <f>IFERROR(VLOOKUP(Tabla1[[#This Row],[CODIGO]],INVENTARIO!A:B,2,0)," ")</f>
        <v>Cable Trazador Cu 14 AWG Aisl. THW Roj</v>
      </c>
      <c r="C729" s="12">
        <v>3</v>
      </c>
      <c r="D729" s="13"/>
      <c r="E729" s="12">
        <v>995</v>
      </c>
      <c r="F729" s="14">
        <v>46073</v>
      </c>
      <c r="G729" s="34"/>
      <c r="H729" s="34" t="s">
        <v>287</v>
      </c>
      <c r="I729" s="34"/>
      <c r="J729" s="9" t="s">
        <v>330</v>
      </c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</row>
    <row r="730" spans="1:28" ht="14.25" customHeight="1" x14ac:dyDescent="0.35">
      <c r="A730" s="12">
        <v>1000720</v>
      </c>
      <c r="B730" s="59" t="str">
        <f>IFERROR(VLOOKUP(Tabla1[[#This Row],[CODIGO]],INVENTARIO!A:B,2,0)," ")</f>
        <v>Teflón en Cinta de 3/4" Ancho x 520" a 5</v>
      </c>
      <c r="C730" s="12">
        <v>1</v>
      </c>
      <c r="D730" s="13"/>
      <c r="E730" s="12">
        <v>995</v>
      </c>
      <c r="F730" s="14">
        <v>46073</v>
      </c>
      <c r="G730" s="34"/>
      <c r="H730" s="34" t="s">
        <v>287</v>
      </c>
      <c r="I730" s="34"/>
      <c r="J730" s="9" t="s">
        <v>330</v>
      </c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</row>
    <row r="731" spans="1:28" ht="14.25" customHeight="1" x14ac:dyDescent="0.35">
      <c r="A731" s="12">
        <v>101624</v>
      </c>
      <c r="B731" s="59" t="str">
        <f>IFERROR(VLOOKUP(Tabla1[[#This Row],[CODIGO]],INVENTARIO!A:B,2,0)," ")</f>
        <v>Tapping Tee PE 50-25 mm</v>
      </c>
      <c r="C731" s="12">
        <v>1</v>
      </c>
      <c r="D731" s="13"/>
      <c r="E731" s="12">
        <v>225</v>
      </c>
      <c r="F731" s="14">
        <v>46073</v>
      </c>
      <c r="G731" s="34"/>
      <c r="H731" s="34" t="s">
        <v>309</v>
      </c>
      <c r="I731" s="34"/>
      <c r="J731" s="9" t="s">
        <v>325</v>
      </c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</row>
    <row r="732" spans="1:28" ht="14.25" customHeight="1" x14ac:dyDescent="0.35">
      <c r="A732" s="12">
        <v>301099</v>
      </c>
      <c r="B732" s="59" t="str">
        <f>IFERROR(VLOOKUP(Tabla1[[#This Row],[CODIGO]],INVENTARIO!A:B,2,0)," ")</f>
        <v>Válvula PE100 Dn 25mm</v>
      </c>
      <c r="C732" s="12">
        <v>1</v>
      </c>
      <c r="D732" s="13"/>
      <c r="E732" s="12">
        <v>225</v>
      </c>
      <c r="F732" s="14">
        <v>46073</v>
      </c>
      <c r="G732" s="34"/>
      <c r="H732" s="34" t="s">
        <v>309</v>
      </c>
      <c r="I732" s="34"/>
      <c r="J732" s="9" t="s">
        <v>325</v>
      </c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</row>
    <row r="733" spans="1:28" ht="14.25" customHeight="1" x14ac:dyDescent="0.35">
      <c r="A733" s="12">
        <v>301329</v>
      </c>
      <c r="B733" s="59" t="str">
        <f>IFERROR(VLOOKUP(Tabla1[[#This Row],[CODIGO]],INVENTARIO!A:B,2,0)," ")</f>
        <v>Copla PE100 025mm EF</v>
      </c>
      <c r="C733" s="12">
        <v>4</v>
      </c>
      <c r="D733" s="13"/>
      <c r="E733" s="12">
        <v>225</v>
      </c>
      <c r="F733" s="14">
        <v>46073</v>
      </c>
      <c r="G733" s="34"/>
      <c r="H733" s="34" t="s">
        <v>309</v>
      </c>
      <c r="I733" s="34"/>
      <c r="J733" s="9" t="s">
        <v>325</v>
      </c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</row>
    <row r="734" spans="1:28" ht="14.25" customHeight="1" x14ac:dyDescent="0.35">
      <c r="A734" s="12">
        <v>300109</v>
      </c>
      <c r="B734" s="59" t="str">
        <f>IFERROR(VLOOKUP(Tabla1[[#This Row],[CODIGO]],INVENTARIO!A:B,2,0)," ")</f>
        <v>Risers de Acero 3/4" Bsp x 25 mm</v>
      </c>
      <c r="C734" s="12">
        <v>1</v>
      </c>
      <c r="D734" s="13"/>
      <c r="E734" s="12">
        <v>225</v>
      </c>
      <c r="F734" s="14">
        <v>46073</v>
      </c>
      <c r="G734" s="34"/>
      <c r="H734" s="34" t="s">
        <v>309</v>
      </c>
      <c r="I734" s="34"/>
      <c r="J734" s="9" t="s">
        <v>325</v>
      </c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</row>
    <row r="735" spans="1:28" ht="14.25" customHeight="1" x14ac:dyDescent="0.35">
      <c r="A735" s="12">
        <v>2003911</v>
      </c>
      <c r="B735" s="59" t="str">
        <f>IFERROR(VLOOKUP(Tabla1[[#This Row],[CODIGO]],INVENTARIO!A:B,2,0)," ")</f>
        <v>Válvula EFv PE 25 mm Para Tap. Tee</v>
      </c>
      <c r="C735" s="12">
        <v>1</v>
      </c>
      <c r="D735" s="13"/>
      <c r="E735" s="12">
        <v>225</v>
      </c>
      <c r="F735" s="14">
        <v>46073</v>
      </c>
      <c r="G735" s="34"/>
      <c r="H735" s="34" t="s">
        <v>309</v>
      </c>
      <c r="I735" s="34"/>
      <c r="J735" s="9" t="s">
        <v>325</v>
      </c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</row>
    <row r="736" spans="1:28" ht="14.25" customHeight="1" x14ac:dyDescent="0.35">
      <c r="A736" s="12">
        <v>301749</v>
      </c>
      <c r="B736" s="59" t="str">
        <f>IFERROR(VLOOKUP(Tabla1[[#This Row],[CODIGO]],INVENTARIO!A:B,2,0)," ")</f>
        <v>Tubería PE80 025mm Rollo</v>
      </c>
      <c r="C736" s="12">
        <v>5</v>
      </c>
      <c r="D736" s="13"/>
      <c r="E736" s="12">
        <v>225</v>
      </c>
      <c r="F736" s="14">
        <v>46073</v>
      </c>
      <c r="G736" s="34"/>
      <c r="H736" s="34" t="s">
        <v>309</v>
      </c>
      <c r="I736" s="34"/>
      <c r="J736" s="9" t="s">
        <v>325</v>
      </c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</row>
    <row r="737" spans="1:28" ht="14.25" customHeight="1" x14ac:dyDescent="0.35">
      <c r="A737" s="12">
        <v>2006391</v>
      </c>
      <c r="B737" s="59" t="str">
        <f>IFERROR(VLOOKUP(Tabla1[[#This Row],[CODIGO]],INVENTARIO!A:B,2,0)," ")</f>
        <v>Guardallave Fierro Fundido C/Tapa</v>
      </c>
      <c r="C737" s="12">
        <v>1</v>
      </c>
      <c r="D737" s="13"/>
      <c r="E737" s="12">
        <v>225</v>
      </c>
      <c r="F737" s="14">
        <v>46073</v>
      </c>
      <c r="G737" s="34"/>
      <c r="H737" s="34" t="s">
        <v>309</v>
      </c>
      <c r="I737" s="34"/>
      <c r="J737" s="9" t="s">
        <v>325</v>
      </c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</row>
    <row r="738" spans="1:28" ht="14.25" customHeight="1" x14ac:dyDescent="0.35">
      <c r="A738" s="12">
        <v>302737</v>
      </c>
      <c r="B738" s="59" t="str">
        <f>IFERROR(VLOOKUP(Tabla1[[#This Row],[CODIGO]],INVENTARIO!A:B,2,0)," ")</f>
        <v>Válvula Bola 3/4" Hi Un Cuerpo Pn5 Arco</v>
      </c>
      <c r="C738" s="12">
        <v>1</v>
      </c>
      <c r="D738" s="13"/>
      <c r="E738" s="12">
        <v>225</v>
      </c>
      <c r="F738" s="14">
        <v>46073</v>
      </c>
      <c r="G738" s="34"/>
      <c r="H738" s="34" t="s">
        <v>309</v>
      </c>
      <c r="I738" s="34"/>
      <c r="J738" s="9" t="s">
        <v>325</v>
      </c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</row>
    <row r="739" spans="1:28" ht="14.25" customHeight="1" x14ac:dyDescent="0.35">
      <c r="A739" s="12">
        <v>303368</v>
      </c>
      <c r="B739" s="59" t="str">
        <f>IFERROR(VLOOKUP(Tabla1[[#This Row],[CODIGO]],INVENTARIO!A:B,2,0)," ")</f>
        <v>Cinta Plástica "Línea GN", 30 x 0.1</v>
      </c>
      <c r="C739" s="12">
        <v>5</v>
      </c>
      <c r="D739" s="13"/>
      <c r="E739" s="12">
        <v>225</v>
      </c>
      <c r="F739" s="14">
        <v>46073</v>
      </c>
      <c r="G739" s="34"/>
      <c r="H739" s="34" t="s">
        <v>309</v>
      </c>
      <c r="I739" s="34"/>
      <c r="J739" s="9" t="s">
        <v>325</v>
      </c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</row>
    <row r="740" spans="1:28" ht="14.25" customHeight="1" x14ac:dyDescent="0.35">
      <c r="A740" s="12">
        <v>302184</v>
      </c>
      <c r="B740" s="59" t="str">
        <f>IFERROR(VLOOKUP(Tabla1[[#This Row],[CODIGO]],INVENTARIO!A:B,2,0)," ")</f>
        <v>Tapa Tornillo Cambio de Codigo por: 2008481</v>
      </c>
      <c r="C740" s="12">
        <v>1</v>
      </c>
      <c r="D740" s="13"/>
      <c r="E740" s="12">
        <v>225</v>
      </c>
      <c r="F740" s="14">
        <v>46073</v>
      </c>
      <c r="G740" s="34"/>
      <c r="H740" s="34" t="s">
        <v>309</v>
      </c>
      <c r="I740" s="34"/>
      <c r="J740" s="9" t="s">
        <v>325</v>
      </c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</row>
    <row r="741" spans="1:28" ht="14.25" customHeight="1" x14ac:dyDescent="0.35">
      <c r="A741" s="12">
        <v>2007948</v>
      </c>
      <c r="B741" s="59" t="str">
        <f>IFERROR(VLOOKUP(Tabla1[[#This Row],[CODIGO]],INVENTARIO!A:B,2,0)," ")</f>
        <v>Tubo PVC Hidraulico 110 mm Pn6 Celeste</v>
      </c>
      <c r="C741" s="12">
        <v>1</v>
      </c>
      <c r="D741" s="13"/>
      <c r="E741" s="12">
        <v>225</v>
      </c>
      <c r="F741" s="14">
        <v>46073</v>
      </c>
      <c r="G741" s="34"/>
      <c r="H741" s="34" t="s">
        <v>309</v>
      </c>
      <c r="I741" s="34"/>
      <c r="J741" s="9" t="s">
        <v>325</v>
      </c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</row>
    <row r="742" spans="1:28" ht="14.25" customHeight="1" x14ac:dyDescent="0.35">
      <c r="A742" s="12">
        <v>1000720</v>
      </c>
      <c r="B742" s="59" t="str">
        <f>IFERROR(VLOOKUP(Tabla1[[#This Row],[CODIGO]],INVENTARIO!A:B,2,0)," ")</f>
        <v>Teflón en Cinta de 3/4" Ancho x 520" a 5</v>
      </c>
      <c r="C742" s="12">
        <v>1</v>
      </c>
      <c r="D742" s="13"/>
      <c r="E742" s="12">
        <v>225</v>
      </c>
      <c r="F742" s="14">
        <v>46073</v>
      </c>
      <c r="G742" s="34"/>
      <c r="H742" s="34" t="s">
        <v>309</v>
      </c>
      <c r="I742" s="34"/>
      <c r="J742" s="9" t="s">
        <v>325</v>
      </c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</row>
    <row r="743" spans="1:28" ht="14.25" customHeight="1" x14ac:dyDescent="0.35">
      <c r="A743" s="12">
        <v>300108</v>
      </c>
      <c r="B743" s="59" t="str">
        <f>IFERROR(VLOOKUP(Tabla1[[#This Row],[CODIGO]],INVENTARIO!A:B,2,0)," ")</f>
        <v>Tapping Tee PE 63-25 mm</v>
      </c>
      <c r="C743" s="12">
        <v>6</v>
      </c>
      <c r="D743" s="13"/>
      <c r="E743" s="12">
        <v>922</v>
      </c>
      <c r="F743" s="14">
        <v>46073</v>
      </c>
      <c r="G743" s="34"/>
      <c r="H743" s="34" t="s">
        <v>232</v>
      </c>
      <c r="I743" s="34"/>
      <c r="J743" s="9" t="s">
        <v>200</v>
      </c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</row>
    <row r="744" spans="1:28" ht="14.25" customHeight="1" x14ac:dyDescent="0.35">
      <c r="A744" s="12">
        <v>2003911</v>
      </c>
      <c r="B744" s="59" t="str">
        <f>IFERROR(VLOOKUP(Tabla1[[#This Row],[CODIGO]],INVENTARIO!A:B,2,0)," ")</f>
        <v>Válvula EFv PE 25 mm Para Tap. Tee</v>
      </c>
      <c r="C744" s="12">
        <v>6</v>
      </c>
      <c r="D744" s="13"/>
      <c r="E744" s="12">
        <v>922</v>
      </c>
      <c r="F744" s="14">
        <v>46073</v>
      </c>
      <c r="G744" s="34"/>
      <c r="H744" s="34" t="s">
        <v>232</v>
      </c>
      <c r="I744" s="34"/>
      <c r="J744" s="9" t="s">
        <v>200</v>
      </c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</row>
    <row r="745" spans="1:28" ht="14.25" customHeight="1" x14ac:dyDescent="0.35">
      <c r="A745" s="12">
        <v>300109</v>
      </c>
      <c r="B745" s="59" t="str">
        <f>IFERROR(VLOOKUP(Tabla1[[#This Row],[CODIGO]],INVENTARIO!A:B,2,0)," ")</f>
        <v>Risers de Acero 3/4" Bsp x 25 mm</v>
      </c>
      <c r="C745" s="12">
        <v>6</v>
      </c>
      <c r="D745" s="13"/>
      <c r="E745" s="12">
        <v>922</v>
      </c>
      <c r="F745" s="14">
        <v>46073</v>
      </c>
      <c r="G745" s="34"/>
      <c r="H745" s="34" t="s">
        <v>232</v>
      </c>
      <c r="I745" s="34"/>
      <c r="J745" s="9" t="s">
        <v>200</v>
      </c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</row>
    <row r="746" spans="1:28" ht="14.25" customHeight="1" x14ac:dyDescent="0.35">
      <c r="A746" s="12">
        <v>302737</v>
      </c>
      <c r="B746" s="59" t="str">
        <f>IFERROR(VLOOKUP(Tabla1[[#This Row],[CODIGO]],INVENTARIO!A:B,2,0)," ")</f>
        <v>Válvula Bola 3/4" Hi Un Cuerpo Pn5 Arco</v>
      </c>
      <c r="C746" s="12">
        <v>6</v>
      </c>
      <c r="D746" s="13"/>
      <c r="E746" s="12">
        <v>922</v>
      </c>
      <c r="F746" s="14">
        <v>46073</v>
      </c>
      <c r="G746" s="34"/>
      <c r="H746" s="34" t="s">
        <v>232</v>
      </c>
      <c r="I746" s="34"/>
      <c r="J746" s="9" t="s">
        <v>200</v>
      </c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</row>
    <row r="747" spans="1:28" ht="14.25" customHeight="1" x14ac:dyDescent="0.35">
      <c r="A747" s="12">
        <v>302184</v>
      </c>
      <c r="B747" s="59" t="str">
        <f>IFERROR(VLOOKUP(Tabla1[[#This Row],[CODIGO]],INVENTARIO!A:B,2,0)," ")</f>
        <v>Tapa Tornillo Cambio de Codigo por: 2008481</v>
      </c>
      <c r="C747" s="12">
        <v>6</v>
      </c>
      <c r="D747" s="13"/>
      <c r="E747" s="12">
        <v>922</v>
      </c>
      <c r="F747" s="14">
        <v>46073</v>
      </c>
      <c r="G747" s="34"/>
      <c r="H747" s="34" t="s">
        <v>232</v>
      </c>
      <c r="I747" s="34"/>
      <c r="J747" s="9" t="s">
        <v>200</v>
      </c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</row>
    <row r="748" spans="1:28" ht="14.25" customHeight="1" x14ac:dyDescent="0.35">
      <c r="A748" s="12">
        <v>1000720</v>
      </c>
      <c r="B748" s="59" t="str">
        <f>IFERROR(VLOOKUP(Tabla1[[#This Row],[CODIGO]],INVENTARIO!A:B,2,0)," ")</f>
        <v>Teflón en Cinta de 3/4" Ancho x 520" a 5</v>
      </c>
      <c r="C748" s="12">
        <v>1</v>
      </c>
      <c r="D748" s="13"/>
      <c r="E748" s="12">
        <v>922</v>
      </c>
      <c r="F748" s="14">
        <v>46073</v>
      </c>
      <c r="G748" s="34"/>
      <c r="H748" s="34" t="s">
        <v>232</v>
      </c>
      <c r="I748" s="34"/>
      <c r="J748" s="9" t="s">
        <v>200</v>
      </c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</row>
    <row r="749" spans="1:28" ht="14.25" customHeight="1" x14ac:dyDescent="0.35">
      <c r="A749" s="12">
        <v>302659</v>
      </c>
      <c r="B749" s="59" t="str">
        <f>IFERROR(VLOOKUP(Tabla1[[#This Row],[CODIGO]],INVENTARIO!A:B,2,0)," ")</f>
        <v>Copla PE100 063mm EF</v>
      </c>
      <c r="C749" s="12">
        <v>2</v>
      </c>
      <c r="D749" s="13"/>
      <c r="E749" s="12">
        <v>922</v>
      </c>
      <c r="F749" s="14">
        <v>46073</v>
      </c>
      <c r="G749" s="34"/>
      <c r="H749" s="34" t="s">
        <v>232</v>
      </c>
      <c r="I749" s="34"/>
      <c r="J749" s="9" t="s">
        <v>200</v>
      </c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</row>
    <row r="750" spans="1:28" ht="14.25" customHeight="1" x14ac:dyDescent="0.35">
      <c r="A750" s="12">
        <v>303015</v>
      </c>
      <c r="B750" s="59" t="str">
        <f>IFERROR(VLOOKUP(Tabla1[[#This Row],[CODIGO]],INVENTARIO!A:B,2,0)," ")</f>
        <v>Tee PE 110 mm Electro F.</v>
      </c>
      <c r="C750" s="12">
        <v>1</v>
      </c>
      <c r="D750" s="13"/>
      <c r="E750" s="12">
        <v>301</v>
      </c>
      <c r="F750" s="14">
        <v>46073</v>
      </c>
      <c r="G750" s="34"/>
      <c r="H750" s="34" t="s">
        <v>335</v>
      </c>
      <c r="I750" s="34"/>
      <c r="J750" s="9" t="s">
        <v>201</v>
      </c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</row>
    <row r="751" spans="1:28" ht="14.25" customHeight="1" x14ac:dyDescent="0.35">
      <c r="A751" s="12">
        <v>303439</v>
      </c>
      <c r="B751" s="59" t="str">
        <f>IFERROR(VLOOKUP(Tabla1[[#This Row],[CODIGO]],INVENTARIO!A:B,2,0)," ")</f>
        <v>Reductor PE 110-50 mm Termo F.</v>
      </c>
      <c r="C751" s="12">
        <v>1</v>
      </c>
      <c r="D751" s="13"/>
      <c r="E751" s="12">
        <v>301</v>
      </c>
      <c r="F751" s="14">
        <v>46073</v>
      </c>
      <c r="G751" s="34"/>
      <c r="H751" s="34" t="s">
        <v>335</v>
      </c>
      <c r="I751" s="34"/>
      <c r="J751" s="9" t="s">
        <v>201</v>
      </c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</row>
    <row r="752" spans="1:28" ht="14.25" customHeight="1" x14ac:dyDescent="0.35">
      <c r="A752" s="12">
        <v>301685</v>
      </c>
      <c r="B752" s="59" t="str">
        <f>IFERROR(VLOOKUP(Tabla1[[#This Row],[CODIGO]],INVENTARIO!A:B,2,0)," ")</f>
        <v>Reductor PE100 110-63 mm TF.</v>
      </c>
      <c r="C752" s="12">
        <v>1</v>
      </c>
      <c r="D752" s="13"/>
      <c r="E752" s="12">
        <v>301</v>
      </c>
      <c r="F752" s="14">
        <v>46073</v>
      </c>
      <c r="G752" s="34"/>
      <c r="H752" s="34" t="s">
        <v>335</v>
      </c>
      <c r="I752" s="34"/>
      <c r="J752" s="9" t="s">
        <v>201</v>
      </c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</row>
    <row r="753" spans="1:28" ht="14.25" customHeight="1" x14ac:dyDescent="0.35">
      <c r="A753" s="12">
        <v>302317</v>
      </c>
      <c r="B753" s="59" t="str">
        <f>IFERROR(VLOOKUP(Tabla1[[#This Row],[CODIGO]],INVENTARIO!A:B,2,0)," ")</f>
        <v>Tapa PE 110 mm Termo F.</v>
      </c>
      <c r="C753" s="12">
        <v>1</v>
      </c>
      <c r="D753" s="13"/>
      <c r="E753" s="12">
        <v>301</v>
      </c>
      <c r="F753" s="14">
        <v>46073</v>
      </c>
      <c r="G753" s="34"/>
      <c r="H753" s="34" t="s">
        <v>335</v>
      </c>
      <c r="I753" s="34"/>
      <c r="J753" s="9" t="s">
        <v>201</v>
      </c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</row>
    <row r="754" spans="1:28" ht="14.25" customHeight="1" x14ac:dyDescent="0.35">
      <c r="A754" s="12">
        <v>2002262</v>
      </c>
      <c r="B754" s="59" t="str">
        <f>IFERROR(VLOOKUP(Tabla1[[#This Row],[CODIGO]],INVENTARIO!A:B,2,0)," ")</f>
        <v>Tubería PE80 050mm Rollo</v>
      </c>
      <c r="C754" s="12">
        <v>100</v>
      </c>
      <c r="D754" s="13"/>
      <c r="E754" s="12">
        <v>226</v>
      </c>
      <c r="F754" s="14">
        <v>46076</v>
      </c>
      <c r="G754" s="34"/>
      <c r="H754" s="34" t="s">
        <v>223</v>
      </c>
      <c r="I754" s="34"/>
      <c r="J754" s="9" t="s">
        <v>207</v>
      </c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</row>
    <row r="755" spans="1:28" ht="14.25" customHeight="1" x14ac:dyDescent="0.35">
      <c r="A755" s="12">
        <v>303368</v>
      </c>
      <c r="B755" s="59" t="str">
        <f>IFERROR(VLOOKUP(Tabla1[[#This Row],[CODIGO]],INVENTARIO!A:B,2,0)," ")</f>
        <v>Cinta Plástica "Línea GN", 30 x 0.1</v>
      </c>
      <c r="C755" s="12">
        <v>100</v>
      </c>
      <c r="D755" s="13"/>
      <c r="E755" s="12">
        <v>226</v>
      </c>
      <c r="F755" s="14">
        <v>46076</v>
      </c>
      <c r="G755" s="34"/>
      <c r="H755" s="34" t="s">
        <v>223</v>
      </c>
      <c r="I755" s="34"/>
      <c r="J755" s="9" t="s">
        <v>207</v>
      </c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</row>
    <row r="756" spans="1:28" ht="14.25" customHeight="1" x14ac:dyDescent="0.35">
      <c r="A756" s="12">
        <v>1002167</v>
      </c>
      <c r="B756" s="59" t="str">
        <f>IFERROR(VLOOKUP(Tabla1[[#This Row],[CODIGO]],INVENTARIO!A:B,2,0)," ")</f>
        <v>Cable Trazador Cu 14 AWG Aisl. THW Roj</v>
      </c>
      <c r="C756" s="12">
        <v>100</v>
      </c>
      <c r="D756" s="13"/>
      <c r="E756" s="12">
        <v>226</v>
      </c>
      <c r="F756" s="14">
        <v>46076</v>
      </c>
      <c r="G756" s="34"/>
      <c r="H756" s="34" t="s">
        <v>223</v>
      </c>
      <c r="I756" s="34"/>
      <c r="J756" s="9" t="s">
        <v>207</v>
      </c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</row>
    <row r="757" spans="1:28" ht="14.25" customHeight="1" x14ac:dyDescent="0.35">
      <c r="A757" s="12">
        <v>303345</v>
      </c>
      <c r="B757" s="59" t="str">
        <f>IFERROR(VLOOKUP(Tabla1[[#This Row],[CODIGO]],INVENTARIO!A:B,2,0)," ")</f>
        <v>Copla PE100 050mm EF</v>
      </c>
      <c r="C757" s="12">
        <v>3</v>
      </c>
      <c r="D757" s="13"/>
      <c r="E757" s="12">
        <v>226</v>
      </c>
      <c r="F757" s="14">
        <v>46076</v>
      </c>
      <c r="G757" s="34"/>
      <c r="H757" s="34" t="s">
        <v>223</v>
      </c>
      <c r="I757" s="34"/>
      <c r="J757" s="9" t="s">
        <v>207</v>
      </c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</row>
    <row r="758" spans="1:28" ht="14.25" customHeight="1" x14ac:dyDescent="0.35">
      <c r="A758" s="12">
        <v>301327</v>
      </c>
      <c r="B758" s="59" t="str">
        <f>IFERROR(VLOOKUP(Tabla1[[#This Row],[CODIGO]],INVENTARIO!A:B,2,0)," ")</f>
        <v>Tapa PE  050 mm Termo F.</v>
      </c>
      <c r="C758" s="12">
        <v>2</v>
      </c>
      <c r="D758" s="13"/>
      <c r="E758" s="12">
        <v>226</v>
      </c>
      <c r="F758" s="14">
        <v>46076</v>
      </c>
      <c r="G758" s="34"/>
      <c r="H758" s="34" t="s">
        <v>223</v>
      </c>
      <c r="I758" s="34"/>
      <c r="J758" s="9" t="s">
        <v>207</v>
      </c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</row>
    <row r="759" spans="1:28" ht="14.25" customHeight="1" x14ac:dyDescent="0.35">
      <c r="A759" s="12">
        <v>2005135</v>
      </c>
      <c r="B759" s="59" t="str">
        <f>IFERROR(VLOOKUP(Tabla1[[#This Row],[CODIGO]],INVENTARIO!A:B,2,0)," ")</f>
        <v>Tubo PVC 110 mm PN6 CG Amarillo Tira 6 m</v>
      </c>
      <c r="C759" s="12">
        <v>1</v>
      </c>
      <c r="D759" s="13"/>
      <c r="E759" s="12">
        <v>226</v>
      </c>
      <c r="F759" s="14">
        <v>46076</v>
      </c>
      <c r="G759" s="34"/>
      <c r="H759" s="34" t="s">
        <v>223</v>
      </c>
      <c r="I759" s="34"/>
      <c r="J759" s="9" t="s">
        <v>207</v>
      </c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</row>
    <row r="760" spans="1:28" ht="14.25" customHeight="1" x14ac:dyDescent="0.35">
      <c r="A760" s="12">
        <v>303368</v>
      </c>
      <c r="B760" s="59" t="str">
        <f>IFERROR(VLOOKUP(Tabla1[[#This Row],[CODIGO]],INVENTARIO!A:B,2,0)," ")</f>
        <v>Cinta Plástica "Línea GN", 30 x 0.1</v>
      </c>
      <c r="C760" s="12">
        <v>50</v>
      </c>
      <c r="D760" s="13"/>
      <c r="E760" s="12">
        <v>315</v>
      </c>
      <c r="F760" s="14">
        <v>46076</v>
      </c>
      <c r="G760" s="34"/>
      <c r="H760" s="34" t="s">
        <v>305</v>
      </c>
      <c r="I760" s="34"/>
      <c r="J760" s="9" t="s">
        <v>202</v>
      </c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</row>
    <row r="761" spans="1:28" ht="14.25" customHeight="1" x14ac:dyDescent="0.35">
      <c r="A761" s="12">
        <v>1002167</v>
      </c>
      <c r="B761" s="59" t="str">
        <f>IFERROR(VLOOKUP(Tabla1[[#This Row],[CODIGO]],INVENTARIO!A:B,2,0)," ")</f>
        <v>Cable Trazador Cu 14 AWG Aisl. THW Roj</v>
      </c>
      <c r="C761" s="12">
        <v>50</v>
      </c>
      <c r="D761" s="13"/>
      <c r="E761" s="12">
        <v>315</v>
      </c>
      <c r="F761" s="14">
        <v>46076</v>
      </c>
      <c r="G761" s="34"/>
      <c r="H761" s="34" t="s">
        <v>305</v>
      </c>
      <c r="I761" s="34"/>
      <c r="J761" s="9" t="s">
        <v>202</v>
      </c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</row>
    <row r="762" spans="1:28" ht="14.25" customHeight="1" x14ac:dyDescent="0.35">
      <c r="A762" s="12">
        <v>2000350</v>
      </c>
      <c r="B762" s="59" t="str">
        <f>IFERROR(VLOOKUP(Tabla1[[#This Row],[CODIGO]],INVENTARIO!A:B,2,0)," ")</f>
        <v>Codo PE 90º  25 mm EF.</v>
      </c>
      <c r="C762" s="12">
        <v>1</v>
      </c>
      <c r="D762" s="13"/>
      <c r="E762" s="12">
        <v>314</v>
      </c>
      <c r="F762" s="14">
        <v>46076</v>
      </c>
      <c r="G762" s="34"/>
      <c r="H762" s="34" t="s">
        <v>309</v>
      </c>
      <c r="I762" s="34"/>
      <c r="J762" s="9" t="s">
        <v>204</v>
      </c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</row>
    <row r="763" spans="1:28" ht="14.25" customHeight="1" x14ac:dyDescent="0.35">
      <c r="A763" s="12">
        <v>302065</v>
      </c>
      <c r="B763" s="59" t="str">
        <f>IFERROR(VLOOKUP(Tabla1[[#This Row],[CODIGO]],INVENTARIO!A:B,2,0)," ")</f>
        <v>Tubería PE80 110mm Tira</v>
      </c>
      <c r="C763" s="9">
        <v>36</v>
      </c>
      <c r="D763" s="13"/>
      <c r="E763" s="12">
        <v>312</v>
      </c>
      <c r="F763" s="14">
        <v>46076</v>
      </c>
      <c r="G763" s="34"/>
      <c r="H763" s="34" t="s">
        <v>314</v>
      </c>
      <c r="I763" s="34"/>
      <c r="J763" s="9" t="s">
        <v>274</v>
      </c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</row>
    <row r="764" spans="1:28" ht="14.25" customHeight="1" x14ac:dyDescent="0.35">
      <c r="A764" s="12">
        <v>302991</v>
      </c>
      <c r="B764" s="59" t="str">
        <f>IFERROR(VLOOKUP(Tabla1[[#This Row],[CODIGO]],INVENTARIO!A:B,2,0)," ")</f>
        <v>Copla PE100 110mm EF</v>
      </c>
      <c r="C764" s="12">
        <v>4</v>
      </c>
      <c r="D764" s="13"/>
      <c r="E764" s="12">
        <v>312</v>
      </c>
      <c r="F764" s="14">
        <v>46076</v>
      </c>
      <c r="G764" s="34"/>
      <c r="H764" s="34" t="s">
        <v>314</v>
      </c>
      <c r="I764" s="34"/>
      <c r="J764" s="9" t="s">
        <v>274</v>
      </c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</row>
    <row r="765" spans="1:28" ht="14.25" customHeight="1" x14ac:dyDescent="0.35">
      <c r="A765" s="12">
        <v>1002167</v>
      </c>
      <c r="B765" s="59" t="str">
        <f>IFERROR(VLOOKUP(Tabla1[[#This Row],[CODIGO]],INVENTARIO!A:B,2,0)," ")</f>
        <v>Cable Trazador Cu 14 AWG Aisl. THW Roj</v>
      </c>
      <c r="C765" s="12">
        <v>100</v>
      </c>
      <c r="D765" s="13"/>
      <c r="E765" s="12">
        <v>312</v>
      </c>
      <c r="F765" s="14">
        <v>46076</v>
      </c>
      <c r="G765" s="34"/>
      <c r="H765" s="34" t="s">
        <v>314</v>
      </c>
      <c r="I765" s="34"/>
      <c r="J765" s="9" t="s">
        <v>274</v>
      </c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</row>
    <row r="766" spans="1:28" ht="14.25" customHeight="1" x14ac:dyDescent="0.35">
      <c r="A766" s="9" t="s">
        <v>292</v>
      </c>
      <c r="B766" s="59" t="str">
        <f>IFERROR(VLOOKUP(Tabla1[[#This Row],[CODIGO]],INVENTARIO!A:B,2,0)," ")</f>
        <v>Toalla Nova Clasica</v>
      </c>
      <c r="C766" s="12">
        <v>2</v>
      </c>
      <c r="D766" s="13"/>
      <c r="E766" s="12">
        <v>312</v>
      </c>
      <c r="F766" s="14">
        <v>46076</v>
      </c>
      <c r="G766" s="34"/>
      <c r="H766" s="34" t="s">
        <v>314</v>
      </c>
      <c r="I766" s="34"/>
      <c r="J766" s="9" t="s">
        <v>274</v>
      </c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</row>
    <row r="767" spans="1:28" ht="14.25" customHeight="1" x14ac:dyDescent="0.35">
      <c r="A767" s="9" t="s">
        <v>291</v>
      </c>
      <c r="B767" s="59" t="str">
        <f>IFERROR(VLOOKUP(Tabla1[[#This Row],[CODIGO]],INVENTARIO!A:B,2,0)," ")</f>
        <v>Alcohol Isopropilico  500 ml</v>
      </c>
      <c r="C767" s="12">
        <v>1</v>
      </c>
      <c r="D767" s="13"/>
      <c r="E767" s="12">
        <v>312</v>
      </c>
      <c r="F767" s="14">
        <v>46076</v>
      </c>
      <c r="G767" s="34"/>
      <c r="H767" s="34" t="s">
        <v>314</v>
      </c>
      <c r="I767" s="34"/>
      <c r="J767" s="9" t="s">
        <v>274</v>
      </c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</row>
    <row r="768" spans="1:28" ht="14.25" customHeight="1" x14ac:dyDescent="0.35">
      <c r="A768" s="9" t="s">
        <v>292</v>
      </c>
      <c r="B768" s="59" t="str">
        <f>IFERROR(VLOOKUP(Tabla1[[#This Row],[CODIGO]],INVENTARIO!A:B,2,0)," ")</f>
        <v>Toalla Nova Clasica</v>
      </c>
      <c r="C768" s="12">
        <v>1</v>
      </c>
      <c r="D768" s="13"/>
      <c r="E768" s="12">
        <v>310</v>
      </c>
      <c r="F768" s="14">
        <v>46076</v>
      </c>
      <c r="G768" s="34"/>
      <c r="H768" s="34" t="s">
        <v>232</v>
      </c>
      <c r="I768" s="34"/>
      <c r="J768" s="9" t="s">
        <v>200</v>
      </c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</row>
    <row r="769" spans="1:28" ht="14.25" customHeight="1" x14ac:dyDescent="0.35">
      <c r="A769" s="9" t="s">
        <v>291</v>
      </c>
      <c r="B769" s="59" t="str">
        <f>IFERROR(VLOOKUP(Tabla1[[#This Row],[CODIGO]],INVENTARIO!A:B,2,0)," ")</f>
        <v>Alcohol Isopropilico  500 ml</v>
      </c>
      <c r="C769" s="12">
        <v>1</v>
      </c>
      <c r="D769" s="13"/>
      <c r="E769" s="12">
        <v>310</v>
      </c>
      <c r="F769" s="14">
        <v>46076</v>
      </c>
      <c r="G769" s="34"/>
      <c r="H769" s="34" t="s">
        <v>232</v>
      </c>
      <c r="I769" s="34"/>
      <c r="J769" s="9" t="s">
        <v>200</v>
      </c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</row>
    <row r="770" spans="1:28" ht="14.25" customHeight="1" x14ac:dyDescent="0.35">
      <c r="A770" s="12">
        <v>2002263</v>
      </c>
      <c r="B770" s="59" t="str">
        <f>IFERROR(VLOOKUP(Tabla1[[#This Row],[CODIGO]],INVENTARIO!A:B,2,0)," ")</f>
        <v>Tubería PE80 063mm Rollo</v>
      </c>
      <c r="C770" s="12">
        <v>35</v>
      </c>
      <c r="D770" s="13"/>
      <c r="E770" s="12">
        <v>311</v>
      </c>
      <c r="F770" s="14">
        <v>46076</v>
      </c>
      <c r="G770" s="34"/>
      <c r="H770" s="34" t="s">
        <v>232</v>
      </c>
      <c r="I770" s="34"/>
      <c r="J770" s="9" t="s">
        <v>202</v>
      </c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</row>
    <row r="771" spans="1:28" ht="14.25" customHeight="1" x14ac:dyDescent="0.35">
      <c r="A771" s="12">
        <v>2002263</v>
      </c>
      <c r="B771" s="59" t="str">
        <f>IFERROR(VLOOKUP(Tabla1[[#This Row],[CODIGO]],INVENTARIO!A:B,2,0)," ")</f>
        <v>Tubería PE80 063mm Rollo</v>
      </c>
      <c r="C771" s="12">
        <v>200</v>
      </c>
      <c r="D771" s="13"/>
      <c r="E771" s="12">
        <v>921</v>
      </c>
      <c r="F771" s="14">
        <v>46070</v>
      </c>
      <c r="G771" s="34"/>
      <c r="H771" s="34" t="s">
        <v>232</v>
      </c>
      <c r="I771" s="34"/>
      <c r="J771" s="9" t="s">
        <v>333</v>
      </c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</row>
    <row r="772" spans="1:28" ht="14.25" customHeight="1" x14ac:dyDescent="0.35">
      <c r="A772" s="12">
        <v>303368</v>
      </c>
      <c r="B772" s="59" t="str">
        <f>IFERROR(VLOOKUP(Tabla1[[#This Row],[CODIGO]],INVENTARIO!A:B,2,0)," ")</f>
        <v>Cinta Plástica "Línea GN", 30 x 0.1</v>
      </c>
      <c r="C772" s="12">
        <v>200</v>
      </c>
      <c r="D772" s="13"/>
      <c r="E772" s="12">
        <v>921</v>
      </c>
      <c r="F772" s="14">
        <v>46070</v>
      </c>
      <c r="G772" s="34"/>
      <c r="H772" s="34" t="s">
        <v>232</v>
      </c>
      <c r="I772" s="34"/>
      <c r="J772" s="9" t="s">
        <v>333</v>
      </c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</row>
    <row r="773" spans="1:28" ht="14.25" customHeight="1" x14ac:dyDescent="0.35">
      <c r="A773" s="12">
        <v>1002167</v>
      </c>
      <c r="B773" s="59" t="str">
        <f>IFERROR(VLOOKUP(Tabla1[[#This Row],[CODIGO]],INVENTARIO!A:B,2,0)," ")</f>
        <v>Cable Trazador Cu 14 AWG Aisl. THW Roj</v>
      </c>
      <c r="C773" s="12">
        <v>200</v>
      </c>
      <c r="D773" s="13"/>
      <c r="E773" s="12">
        <v>921</v>
      </c>
      <c r="F773" s="14">
        <v>46070</v>
      </c>
      <c r="G773" s="34"/>
      <c r="H773" s="34" t="s">
        <v>232</v>
      </c>
      <c r="I773" s="34"/>
      <c r="J773" s="9" t="s">
        <v>333</v>
      </c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</row>
    <row r="774" spans="1:28" ht="14.25" customHeight="1" x14ac:dyDescent="0.35">
      <c r="A774" s="12">
        <v>302659</v>
      </c>
      <c r="B774" s="59" t="str">
        <f>IFERROR(VLOOKUP(Tabla1[[#This Row],[CODIGO]],INVENTARIO!A:B,2,0)," ")</f>
        <v>Copla PE100 063mm EF</v>
      </c>
      <c r="C774" s="12">
        <v>4</v>
      </c>
      <c r="D774" s="13"/>
      <c r="E774" s="12">
        <v>921</v>
      </c>
      <c r="F774" s="14">
        <v>46070</v>
      </c>
      <c r="G774" s="34"/>
      <c r="H774" s="34" t="s">
        <v>232</v>
      </c>
      <c r="I774" s="34"/>
      <c r="J774" s="9" t="s">
        <v>333</v>
      </c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</row>
    <row r="775" spans="1:28" ht="14.25" customHeight="1" x14ac:dyDescent="0.35">
      <c r="A775" s="9" t="s">
        <v>292</v>
      </c>
      <c r="B775" s="59" t="str">
        <f>IFERROR(VLOOKUP(Tabla1[[#This Row],[CODIGO]],INVENTARIO!A:B,2,0)," ")</f>
        <v>Toalla Nova Clasica</v>
      </c>
      <c r="C775" s="12">
        <v>1</v>
      </c>
      <c r="D775" s="13"/>
      <c r="E775" s="12">
        <v>921</v>
      </c>
      <c r="F775" s="14">
        <v>46070</v>
      </c>
      <c r="G775" s="34"/>
      <c r="H775" s="34" t="s">
        <v>232</v>
      </c>
      <c r="I775" s="34"/>
      <c r="J775" s="9" t="s">
        <v>333</v>
      </c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</row>
    <row r="776" spans="1:28" ht="14.25" customHeight="1" x14ac:dyDescent="0.35">
      <c r="A776" s="9" t="s">
        <v>291</v>
      </c>
      <c r="B776" s="59" t="str">
        <f>IFERROR(VLOOKUP(Tabla1[[#This Row],[CODIGO]],INVENTARIO!A:B,2,0)," ")</f>
        <v>Alcohol Isopropilico  500 ml</v>
      </c>
      <c r="C776" s="12">
        <v>1</v>
      </c>
      <c r="D776" s="13"/>
      <c r="E776" s="12">
        <v>921</v>
      </c>
      <c r="F776" s="14">
        <v>46070</v>
      </c>
      <c r="G776" s="34"/>
      <c r="H776" s="34" t="s">
        <v>232</v>
      </c>
      <c r="I776" s="34"/>
      <c r="J776" s="9" t="s">
        <v>333</v>
      </c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</row>
    <row r="777" spans="1:28" ht="14.25" customHeight="1" x14ac:dyDescent="0.35">
      <c r="A777" s="12">
        <v>301781</v>
      </c>
      <c r="B777" s="59" t="str">
        <f>IFERROR(VLOOKUP(Tabla1[[#This Row],[CODIGO]],INVENTARIO!A:B,2,0)," ")</f>
        <v>Reductor PE 50-32 mm Electro F.</v>
      </c>
      <c r="C777" s="12">
        <v>2</v>
      </c>
      <c r="D777" s="13"/>
      <c r="E777" s="12">
        <v>22</v>
      </c>
      <c r="F777" s="14">
        <v>46070</v>
      </c>
      <c r="G777" s="34"/>
      <c r="H777" s="34" t="s">
        <v>223</v>
      </c>
      <c r="I777" s="34"/>
      <c r="J777" s="9" t="s">
        <v>322</v>
      </c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</row>
    <row r="778" spans="1:28" ht="14.25" customHeight="1" x14ac:dyDescent="0.35">
      <c r="A778" s="12">
        <v>2003131</v>
      </c>
      <c r="B778" s="59" t="str">
        <f>IFERROR(VLOOKUP(Tabla1[[#This Row],[CODIGO]],INVENTARIO!A:B,2,0)," ")</f>
        <v>Tapping Tee PE 50-40 mm</v>
      </c>
      <c r="C778" s="12">
        <v>2</v>
      </c>
      <c r="D778" s="13"/>
      <c r="E778" s="12">
        <v>22</v>
      </c>
      <c r="F778" s="14">
        <v>46070</v>
      </c>
      <c r="G778" s="34"/>
      <c r="H778" s="34" t="s">
        <v>223</v>
      </c>
      <c r="I778" s="34"/>
      <c r="J778" s="9" t="s">
        <v>322</v>
      </c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</row>
    <row r="779" spans="1:28" ht="14.25" customHeight="1" x14ac:dyDescent="0.35">
      <c r="A779" s="12">
        <v>302654</v>
      </c>
      <c r="B779" s="59" t="str">
        <f>IFERROR(VLOOKUP(Tabla1[[#This Row],[CODIGO]],INVENTARIO!A:B,2,0)," ")</f>
        <v>Tee PE  50 mm Termo F.</v>
      </c>
      <c r="C779" s="12">
        <v>1</v>
      </c>
      <c r="D779" s="13"/>
      <c r="E779" s="12">
        <v>22</v>
      </c>
      <c r="F779" s="14">
        <v>46070</v>
      </c>
      <c r="G779" s="34"/>
      <c r="H779" s="34" t="s">
        <v>223</v>
      </c>
      <c r="I779" s="34"/>
      <c r="J779" s="9" t="s">
        <v>322</v>
      </c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</row>
    <row r="780" spans="1:28" ht="14.25" customHeight="1" x14ac:dyDescent="0.35">
      <c r="A780" s="12">
        <v>302992</v>
      </c>
      <c r="B780" s="59" t="str">
        <f>IFERROR(VLOOKUP(Tabla1[[#This Row],[CODIGO]],INVENTARIO!A:B,2,0)," ")</f>
        <v>Codo PE100 90° 050mm EF</v>
      </c>
      <c r="C780" s="12">
        <v>2</v>
      </c>
      <c r="D780" s="13"/>
      <c r="E780" s="12">
        <v>22</v>
      </c>
      <c r="F780" s="14">
        <v>46070</v>
      </c>
      <c r="G780" s="34"/>
      <c r="H780" s="34" t="s">
        <v>223</v>
      </c>
      <c r="I780" s="34"/>
      <c r="J780" s="9" t="s">
        <v>322</v>
      </c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</row>
    <row r="781" spans="1:28" ht="14.25" customHeight="1" x14ac:dyDescent="0.35">
      <c r="A781" s="12">
        <v>301327</v>
      </c>
      <c r="B781" s="59" t="str">
        <f>IFERROR(VLOOKUP(Tabla1[[#This Row],[CODIGO]],INVENTARIO!A:B,2,0)," ")</f>
        <v>Tapa PE  050 mm Termo F.</v>
      </c>
      <c r="C781" s="12">
        <v>1</v>
      </c>
      <c r="D781" s="13"/>
      <c r="E781" s="12">
        <v>22</v>
      </c>
      <c r="F781" s="14">
        <v>46070</v>
      </c>
      <c r="G781" s="34"/>
      <c r="H781" s="34" t="s">
        <v>223</v>
      </c>
      <c r="I781" s="34"/>
      <c r="J781" s="9" t="s">
        <v>322</v>
      </c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</row>
    <row r="782" spans="1:28" ht="14.25" customHeight="1" x14ac:dyDescent="0.35">
      <c r="A782" s="12">
        <v>2002262</v>
      </c>
      <c r="B782" s="59" t="str">
        <f>IFERROR(VLOOKUP(Tabla1[[#This Row],[CODIGO]],INVENTARIO!A:B,2,0)," ")</f>
        <v>Tubería PE80 050mm Rollo</v>
      </c>
      <c r="C782" s="12">
        <v>10</v>
      </c>
      <c r="D782" s="13"/>
      <c r="E782" s="12">
        <v>22</v>
      </c>
      <c r="F782" s="14">
        <v>46070</v>
      </c>
      <c r="G782" s="34"/>
      <c r="H782" s="34" t="s">
        <v>223</v>
      </c>
      <c r="I782" s="34"/>
      <c r="J782" s="9" t="s">
        <v>322</v>
      </c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</row>
    <row r="783" spans="1:28" ht="14.25" customHeight="1" x14ac:dyDescent="0.35">
      <c r="A783" s="12">
        <v>303368</v>
      </c>
      <c r="B783" s="59" t="str">
        <f>IFERROR(VLOOKUP(Tabla1[[#This Row],[CODIGO]],INVENTARIO!A:B,2,0)," ")</f>
        <v>Cinta Plástica "Línea GN", 30 x 0.1</v>
      </c>
      <c r="C783" s="12">
        <v>10</v>
      </c>
      <c r="D783" s="13"/>
      <c r="E783" s="12">
        <v>22</v>
      </c>
      <c r="F783" s="14">
        <v>46070</v>
      </c>
      <c r="G783" s="34"/>
      <c r="H783" s="34" t="s">
        <v>223</v>
      </c>
      <c r="I783" s="34"/>
      <c r="J783" s="9" t="s">
        <v>322</v>
      </c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</row>
    <row r="784" spans="1:28" ht="14.25" customHeight="1" x14ac:dyDescent="0.35">
      <c r="A784" s="12">
        <v>1002167</v>
      </c>
      <c r="B784" s="59" t="str">
        <f>IFERROR(VLOOKUP(Tabla1[[#This Row],[CODIGO]],INVENTARIO!A:B,2,0)," ")</f>
        <v>Cable Trazador Cu 14 AWG Aisl. THW Roj</v>
      </c>
      <c r="C784" s="12">
        <v>10</v>
      </c>
      <c r="D784" s="13"/>
      <c r="E784" s="12">
        <v>22</v>
      </c>
      <c r="F784" s="14">
        <v>46070</v>
      </c>
      <c r="G784" s="34"/>
      <c r="H784" s="34" t="s">
        <v>223</v>
      </c>
      <c r="I784" s="34"/>
      <c r="J784" s="9" t="s">
        <v>322</v>
      </c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</row>
    <row r="785" spans="1:28" ht="14.25" customHeight="1" x14ac:dyDescent="0.35">
      <c r="A785" s="12">
        <v>303345</v>
      </c>
      <c r="B785" s="59" t="str">
        <f>IFERROR(VLOOKUP(Tabla1[[#This Row],[CODIGO]],INVENTARIO!A:B,2,0)," ")</f>
        <v>Copla PE100 050mm EF</v>
      </c>
      <c r="C785" s="12">
        <v>4</v>
      </c>
      <c r="D785" s="13"/>
      <c r="E785" s="12">
        <v>22</v>
      </c>
      <c r="F785" s="14">
        <v>46070</v>
      </c>
      <c r="G785" s="34"/>
      <c r="H785" s="34" t="s">
        <v>223</v>
      </c>
      <c r="I785" s="34"/>
      <c r="J785" s="9" t="s">
        <v>322</v>
      </c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</row>
    <row r="786" spans="1:28" ht="14.25" customHeight="1" x14ac:dyDescent="0.35">
      <c r="A786" s="12">
        <v>101624</v>
      </c>
      <c r="B786" s="59" t="str">
        <f>IFERROR(VLOOKUP(Tabla1[[#This Row],[CODIGO]],INVENTARIO!A:B,2,0)," ")</f>
        <v>Tapping Tee PE 50-25 mm</v>
      </c>
      <c r="C786" s="12">
        <v>1</v>
      </c>
      <c r="D786" s="13"/>
      <c r="E786" s="12">
        <v>974</v>
      </c>
      <c r="F786" s="14">
        <v>46070</v>
      </c>
      <c r="G786" s="34"/>
      <c r="H786" s="34" t="s">
        <v>304</v>
      </c>
      <c r="I786" s="34"/>
      <c r="J786" s="9" t="s">
        <v>324</v>
      </c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</row>
    <row r="787" spans="1:28" ht="14.25" customHeight="1" x14ac:dyDescent="0.35">
      <c r="A787" s="12">
        <v>301099</v>
      </c>
      <c r="B787" s="59" t="str">
        <f>IFERROR(VLOOKUP(Tabla1[[#This Row],[CODIGO]],INVENTARIO!A:B,2,0)," ")</f>
        <v>Válvula PE100 Dn 25mm</v>
      </c>
      <c r="C787" s="12">
        <v>1</v>
      </c>
      <c r="D787" s="13"/>
      <c r="E787" s="12">
        <v>974</v>
      </c>
      <c r="F787" s="14">
        <v>46070</v>
      </c>
      <c r="G787" s="34"/>
      <c r="H787" s="34" t="s">
        <v>304</v>
      </c>
      <c r="I787" s="34"/>
      <c r="J787" s="9" t="s">
        <v>324</v>
      </c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</row>
    <row r="788" spans="1:28" ht="14.25" customHeight="1" x14ac:dyDescent="0.35">
      <c r="A788" s="12">
        <v>301329</v>
      </c>
      <c r="B788" s="59" t="str">
        <f>IFERROR(VLOOKUP(Tabla1[[#This Row],[CODIGO]],INVENTARIO!A:B,2,0)," ")</f>
        <v>Copla PE100 025mm EF</v>
      </c>
      <c r="C788" s="12">
        <v>4</v>
      </c>
      <c r="D788" s="13"/>
      <c r="E788" s="12">
        <v>974</v>
      </c>
      <c r="F788" s="14">
        <v>46070</v>
      </c>
      <c r="G788" s="34"/>
      <c r="H788" s="34" t="s">
        <v>304</v>
      </c>
      <c r="I788" s="34"/>
      <c r="J788" s="9" t="s">
        <v>324</v>
      </c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</row>
    <row r="789" spans="1:28" ht="14.25" customHeight="1" x14ac:dyDescent="0.35">
      <c r="A789" s="12">
        <v>300109</v>
      </c>
      <c r="B789" s="59" t="str">
        <f>IFERROR(VLOOKUP(Tabla1[[#This Row],[CODIGO]],INVENTARIO!A:B,2,0)," ")</f>
        <v>Risers de Acero 3/4" Bsp x 25 mm</v>
      </c>
      <c r="C789" s="12">
        <v>1</v>
      </c>
      <c r="D789" s="13"/>
      <c r="E789" s="12">
        <v>974</v>
      </c>
      <c r="F789" s="14">
        <v>46070</v>
      </c>
      <c r="G789" s="34"/>
      <c r="H789" s="34" t="s">
        <v>304</v>
      </c>
      <c r="I789" s="34"/>
      <c r="J789" s="9" t="s">
        <v>324</v>
      </c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</row>
    <row r="790" spans="1:28" ht="14.25" customHeight="1" x14ac:dyDescent="0.35">
      <c r="A790" s="12">
        <v>2003911</v>
      </c>
      <c r="B790" s="59" t="str">
        <f>IFERROR(VLOOKUP(Tabla1[[#This Row],[CODIGO]],INVENTARIO!A:B,2,0)," ")</f>
        <v>Válvula EFv PE 25 mm Para Tap. Tee</v>
      </c>
      <c r="C790" s="12">
        <v>1</v>
      </c>
      <c r="D790" s="13"/>
      <c r="E790" s="12">
        <v>974</v>
      </c>
      <c r="F790" s="14">
        <v>46070</v>
      </c>
      <c r="G790" s="34"/>
      <c r="H790" s="34" t="s">
        <v>304</v>
      </c>
      <c r="I790" s="34"/>
      <c r="J790" s="9" t="s">
        <v>324</v>
      </c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</row>
    <row r="791" spans="1:28" ht="14.25" customHeight="1" x14ac:dyDescent="0.35">
      <c r="A791" s="12">
        <v>301749</v>
      </c>
      <c r="B791" s="59" t="str">
        <f>IFERROR(VLOOKUP(Tabla1[[#This Row],[CODIGO]],INVENTARIO!A:B,2,0)," ")</f>
        <v>Tubería PE80 025mm Rollo</v>
      </c>
      <c r="C791" s="12">
        <v>2</v>
      </c>
      <c r="D791" s="13"/>
      <c r="E791" s="12">
        <v>974</v>
      </c>
      <c r="F791" s="14">
        <v>46070</v>
      </c>
      <c r="G791" s="34"/>
      <c r="H791" s="34" t="s">
        <v>304</v>
      </c>
      <c r="I791" s="34"/>
      <c r="J791" s="9" t="s">
        <v>324</v>
      </c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</row>
    <row r="792" spans="1:28" ht="14.25" customHeight="1" x14ac:dyDescent="0.35">
      <c r="A792" s="12">
        <v>2006391</v>
      </c>
      <c r="B792" s="59" t="str">
        <f>IFERROR(VLOOKUP(Tabla1[[#This Row],[CODIGO]],INVENTARIO!A:B,2,0)," ")</f>
        <v>Guardallave Fierro Fundido C/Tapa</v>
      </c>
      <c r="C792" s="12">
        <v>1</v>
      </c>
      <c r="D792" s="13"/>
      <c r="E792" s="12">
        <v>974</v>
      </c>
      <c r="F792" s="14">
        <v>46070</v>
      </c>
      <c r="G792" s="34"/>
      <c r="H792" s="34" t="s">
        <v>304</v>
      </c>
      <c r="I792" s="34"/>
      <c r="J792" s="9" t="s">
        <v>324</v>
      </c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</row>
    <row r="793" spans="1:28" ht="14.25" customHeight="1" x14ac:dyDescent="0.35">
      <c r="A793" s="12">
        <v>302737</v>
      </c>
      <c r="B793" s="59" t="str">
        <f>IFERROR(VLOOKUP(Tabla1[[#This Row],[CODIGO]],INVENTARIO!A:B,2,0)," ")</f>
        <v>Válvula Bola 3/4" Hi Un Cuerpo Pn5 Arco</v>
      </c>
      <c r="C793" s="12">
        <v>1</v>
      </c>
      <c r="D793" s="13"/>
      <c r="E793" s="12">
        <v>974</v>
      </c>
      <c r="F793" s="14">
        <v>46070</v>
      </c>
      <c r="G793" s="34"/>
      <c r="H793" s="34" t="s">
        <v>304</v>
      </c>
      <c r="I793" s="34"/>
      <c r="J793" s="9" t="s">
        <v>324</v>
      </c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</row>
    <row r="794" spans="1:28" ht="14.25" customHeight="1" x14ac:dyDescent="0.35">
      <c r="A794" s="12">
        <v>302184</v>
      </c>
      <c r="B794" s="59" t="str">
        <f>IFERROR(VLOOKUP(Tabla1[[#This Row],[CODIGO]],INVENTARIO!A:B,2,0)," ")</f>
        <v>Tapa Tornillo Cambio de Codigo por: 2008481</v>
      </c>
      <c r="C794" s="12">
        <v>1</v>
      </c>
      <c r="D794" s="13"/>
      <c r="E794" s="12">
        <v>974</v>
      </c>
      <c r="F794" s="14">
        <v>46070</v>
      </c>
      <c r="G794" s="34"/>
      <c r="H794" s="34" t="s">
        <v>304</v>
      </c>
      <c r="I794" s="34"/>
      <c r="J794" s="9" t="s">
        <v>324</v>
      </c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</row>
    <row r="795" spans="1:28" ht="14.25" customHeight="1" x14ac:dyDescent="0.35">
      <c r="A795" s="12">
        <v>303368</v>
      </c>
      <c r="B795" s="59" t="str">
        <f>IFERROR(VLOOKUP(Tabla1[[#This Row],[CODIGO]],INVENTARIO!A:B,2,0)," ")</f>
        <v>Cinta Plástica "Línea GN", 30 x 0.1</v>
      </c>
      <c r="C795" s="12">
        <v>2</v>
      </c>
      <c r="D795" s="13"/>
      <c r="E795" s="12">
        <v>974</v>
      </c>
      <c r="F795" s="14">
        <v>46070</v>
      </c>
      <c r="G795" s="34"/>
      <c r="H795" s="34" t="s">
        <v>304</v>
      </c>
      <c r="I795" s="34"/>
      <c r="J795" s="9" t="s">
        <v>324</v>
      </c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</row>
    <row r="796" spans="1:28" ht="14.25" customHeight="1" x14ac:dyDescent="0.35">
      <c r="A796" s="12">
        <v>2007948</v>
      </c>
      <c r="B796" s="59" t="str">
        <f>IFERROR(VLOOKUP(Tabla1[[#This Row],[CODIGO]],INVENTARIO!A:B,2,0)," ")</f>
        <v>Tubo PVC Hidraulico 110 mm Pn6 Celeste</v>
      </c>
      <c r="C796" s="12">
        <v>1</v>
      </c>
      <c r="D796" s="13"/>
      <c r="E796" s="12">
        <v>974</v>
      </c>
      <c r="F796" s="14">
        <v>46070</v>
      </c>
      <c r="G796" s="34"/>
      <c r="H796" s="34" t="s">
        <v>304</v>
      </c>
      <c r="I796" s="34"/>
      <c r="J796" s="9" t="s">
        <v>324</v>
      </c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</row>
    <row r="797" spans="1:28" ht="14.25" customHeight="1" x14ac:dyDescent="0.35">
      <c r="A797" s="12">
        <v>2000350</v>
      </c>
      <c r="B797" s="59" t="str">
        <f>IFERROR(VLOOKUP(Tabla1[[#This Row],[CODIGO]],INVENTARIO!A:B,2,0)," ")</f>
        <v>Codo PE 90º  25 mm EF.</v>
      </c>
      <c r="C797" s="12">
        <v>19</v>
      </c>
      <c r="D797" s="13"/>
      <c r="E797" s="12">
        <v>976</v>
      </c>
      <c r="F797" s="14">
        <v>46071</v>
      </c>
      <c r="G797" s="34"/>
      <c r="H797" s="34" t="s">
        <v>226</v>
      </c>
      <c r="I797" s="34"/>
      <c r="J797" s="9" t="s">
        <v>194</v>
      </c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</row>
    <row r="798" spans="1:28" ht="14.25" customHeight="1" x14ac:dyDescent="0.35">
      <c r="A798" s="12">
        <v>2000350</v>
      </c>
      <c r="B798" s="59" t="str">
        <f>IFERROR(VLOOKUP(Tabla1[[#This Row],[CODIGO]],INVENTARIO!A:B,2,0)," ")</f>
        <v>Codo PE 90º  25 mm EF.</v>
      </c>
      <c r="C798" s="12">
        <v>10</v>
      </c>
      <c r="D798" s="13"/>
      <c r="E798" s="12">
        <v>977</v>
      </c>
      <c r="F798" s="14">
        <v>46071</v>
      </c>
      <c r="G798" s="34"/>
      <c r="H798" s="34" t="s">
        <v>223</v>
      </c>
      <c r="I798" s="34"/>
      <c r="J798" s="9" t="s">
        <v>207</v>
      </c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</row>
    <row r="799" spans="1:28" ht="14.25" customHeight="1" x14ac:dyDescent="0.35">
      <c r="A799" s="12">
        <v>303015</v>
      </c>
      <c r="B799" s="59" t="str">
        <f>IFERROR(VLOOKUP(Tabla1[[#This Row],[CODIGO]],INVENTARIO!A:B,2,0)," ")</f>
        <v>Tee PE 110 mm Electro F.</v>
      </c>
      <c r="C799" s="12">
        <v>1</v>
      </c>
      <c r="D799" s="13"/>
      <c r="E799" s="12">
        <v>978</v>
      </c>
      <c r="F799" s="14">
        <v>46071</v>
      </c>
      <c r="G799" s="34"/>
      <c r="H799" s="34" t="s">
        <v>314</v>
      </c>
      <c r="I799" s="34"/>
      <c r="J799" s="9" t="s">
        <v>274</v>
      </c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</row>
    <row r="800" spans="1:28" ht="14.25" customHeight="1" x14ac:dyDescent="0.35">
      <c r="A800" s="12">
        <v>303017</v>
      </c>
      <c r="B800" s="59" t="str">
        <f>IFERROR(VLOOKUP(Tabla1[[#This Row],[CODIGO]],INVENTARIO!A:B,2,0)," ")</f>
        <v>Codo PE100 90° 110mm EF</v>
      </c>
      <c r="C800" s="12">
        <v>1</v>
      </c>
      <c r="D800" s="13"/>
      <c r="E800" s="12">
        <v>978</v>
      </c>
      <c r="F800" s="14">
        <v>46071</v>
      </c>
      <c r="G800" s="34"/>
      <c r="H800" s="34" t="s">
        <v>314</v>
      </c>
      <c r="I800" s="34"/>
      <c r="J800" s="9" t="s">
        <v>274</v>
      </c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</row>
    <row r="801" spans="1:28" ht="14.25" customHeight="1" x14ac:dyDescent="0.35">
      <c r="A801" s="12">
        <v>302317</v>
      </c>
      <c r="B801" s="59" t="str">
        <f>IFERROR(VLOOKUP(Tabla1[[#This Row],[CODIGO]],INVENTARIO!A:B,2,0)," ")</f>
        <v>Tapa PE 110 mm Termo F.</v>
      </c>
      <c r="C801" s="12">
        <v>1</v>
      </c>
      <c r="D801" s="13"/>
      <c r="E801" s="12">
        <v>978</v>
      </c>
      <c r="F801" s="14">
        <v>46071</v>
      </c>
      <c r="G801" s="34"/>
      <c r="H801" s="34" t="s">
        <v>314</v>
      </c>
      <c r="I801" s="34"/>
      <c r="J801" s="9" t="s">
        <v>274</v>
      </c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</row>
    <row r="802" spans="1:28" ht="14.25" customHeight="1" x14ac:dyDescent="0.35">
      <c r="A802" s="9" t="s">
        <v>292</v>
      </c>
      <c r="B802" s="59" t="str">
        <f>IFERROR(VLOOKUP(Tabla1[[#This Row],[CODIGO]],INVENTARIO!A:B,2,0)," ")</f>
        <v>Toalla Nova Clasica</v>
      </c>
      <c r="C802" s="12">
        <v>2</v>
      </c>
      <c r="D802" s="13"/>
      <c r="E802" s="12">
        <v>978</v>
      </c>
      <c r="F802" s="14">
        <v>46071</v>
      </c>
      <c r="G802" s="34"/>
      <c r="H802" s="34" t="s">
        <v>314</v>
      </c>
      <c r="I802" s="34"/>
      <c r="J802" s="9" t="s">
        <v>274</v>
      </c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</row>
    <row r="803" spans="1:28" ht="14.25" customHeight="1" x14ac:dyDescent="0.35">
      <c r="A803" s="9" t="s">
        <v>291</v>
      </c>
      <c r="B803" s="59" t="str">
        <f>IFERROR(VLOOKUP(Tabla1[[#This Row],[CODIGO]],INVENTARIO!A:B,2,0)," ")</f>
        <v>Alcohol Isopropilico  500 ml</v>
      </c>
      <c r="C803" s="12">
        <v>1</v>
      </c>
      <c r="D803" s="13"/>
      <c r="E803" s="12">
        <v>978</v>
      </c>
      <c r="F803" s="14">
        <v>46071</v>
      </c>
      <c r="G803" s="34"/>
      <c r="H803" s="34" t="s">
        <v>314</v>
      </c>
      <c r="I803" s="34"/>
      <c r="J803" s="9" t="s">
        <v>274</v>
      </c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</row>
    <row r="804" spans="1:28" ht="14.25" customHeight="1" x14ac:dyDescent="0.35">
      <c r="A804" s="12">
        <v>2005136</v>
      </c>
      <c r="B804" s="59" t="str">
        <f>IFERROR(VLOOKUP(Tabla1[[#This Row],[CODIGO]],INVENTARIO!A:B,2,0)," ")</f>
        <v>Tubo PVC 160 mm PN6 CG Amarillo</v>
      </c>
      <c r="C804" s="12">
        <v>1</v>
      </c>
      <c r="D804" s="13"/>
      <c r="E804" s="12">
        <v>978</v>
      </c>
      <c r="F804" s="14">
        <v>46071</v>
      </c>
      <c r="G804" s="34"/>
      <c r="H804" s="34" t="s">
        <v>314</v>
      </c>
      <c r="I804" s="34"/>
      <c r="J804" s="9" t="s">
        <v>274</v>
      </c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</row>
    <row r="805" spans="1:28" ht="14.25" customHeight="1" x14ac:dyDescent="0.35">
      <c r="A805" s="9" t="s">
        <v>291</v>
      </c>
      <c r="B805" s="59" t="str">
        <f>IFERROR(VLOOKUP(Tabla1[[#This Row],[CODIGO]],INVENTARIO!A:B,2,0)," ")</f>
        <v>Alcohol Isopropilico  500 ml</v>
      </c>
      <c r="C805" s="12">
        <v>1</v>
      </c>
      <c r="D805" s="13"/>
      <c r="E805" s="12">
        <v>979</v>
      </c>
      <c r="F805" s="14">
        <v>46071</v>
      </c>
      <c r="G805" s="34"/>
      <c r="H805" s="34" t="s">
        <v>269</v>
      </c>
      <c r="I805" s="34"/>
      <c r="J805" s="9" t="s">
        <v>202</v>
      </c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</row>
    <row r="806" spans="1:28" ht="14.25" customHeight="1" x14ac:dyDescent="0.35">
      <c r="A806" s="9" t="s">
        <v>292</v>
      </c>
      <c r="B806" s="59" t="str">
        <f>IFERROR(VLOOKUP(Tabla1[[#This Row],[CODIGO]],INVENTARIO!A:B,2,0)," ")</f>
        <v>Toalla Nova Clasica</v>
      </c>
      <c r="C806" s="12">
        <v>1</v>
      </c>
      <c r="D806" s="13"/>
      <c r="E806" s="12">
        <v>979</v>
      </c>
      <c r="F806" s="14">
        <v>46071</v>
      </c>
      <c r="G806" s="34"/>
      <c r="H806" s="34" t="s">
        <v>269</v>
      </c>
      <c r="I806" s="34"/>
      <c r="J806" s="9" t="s">
        <v>202</v>
      </c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</row>
    <row r="807" spans="1:28" ht="14.25" customHeight="1" x14ac:dyDescent="0.35">
      <c r="A807" s="12">
        <v>2002263</v>
      </c>
      <c r="B807" s="59" t="str">
        <f>IFERROR(VLOOKUP(Tabla1[[#This Row],[CODIGO]],INVENTARIO!A:B,2,0)," ")</f>
        <v>Tubería PE80 063mm Rollo</v>
      </c>
      <c r="C807" s="12">
        <v>63</v>
      </c>
      <c r="D807" s="13"/>
      <c r="E807" s="12">
        <v>980</v>
      </c>
      <c r="F807" s="14">
        <v>46071</v>
      </c>
      <c r="G807" s="34"/>
      <c r="H807" s="34" t="s">
        <v>232</v>
      </c>
      <c r="I807" s="34"/>
      <c r="J807" s="9" t="s">
        <v>200</v>
      </c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</row>
    <row r="808" spans="1:28" ht="14.25" customHeight="1" x14ac:dyDescent="0.35">
      <c r="A808" s="12">
        <v>303368</v>
      </c>
      <c r="B808" s="59" t="str">
        <f>IFERROR(VLOOKUP(Tabla1[[#This Row],[CODIGO]],INVENTARIO!A:B,2,0)," ")</f>
        <v>Cinta Plástica "Línea GN", 30 x 0.1</v>
      </c>
      <c r="C808" s="12">
        <v>63</v>
      </c>
      <c r="D808" s="13"/>
      <c r="E808" s="12">
        <v>980</v>
      </c>
      <c r="F808" s="14">
        <v>46071</v>
      </c>
      <c r="G808" s="34"/>
      <c r="H808" s="34" t="s">
        <v>232</v>
      </c>
      <c r="I808" s="34"/>
      <c r="J808" s="9" t="s">
        <v>200</v>
      </c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</row>
    <row r="809" spans="1:28" ht="14.25" customHeight="1" x14ac:dyDescent="0.35">
      <c r="A809" s="12">
        <v>1002167</v>
      </c>
      <c r="B809" s="59" t="str">
        <f>IFERROR(VLOOKUP(Tabla1[[#This Row],[CODIGO]],INVENTARIO!A:B,2,0)," ")</f>
        <v>Cable Trazador Cu 14 AWG Aisl. THW Roj</v>
      </c>
      <c r="C809" s="12">
        <v>63</v>
      </c>
      <c r="D809" s="13"/>
      <c r="E809" s="12">
        <v>980</v>
      </c>
      <c r="F809" s="14">
        <v>46071</v>
      </c>
      <c r="G809" s="34"/>
      <c r="H809" s="34" t="s">
        <v>232</v>
      </c>
      <c r="I809" s="34"/>
      <c r="J809" s="9" t="s">
        <v>200</v>
      </c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</row>
    <row r="810" spans="1:28" ht="14.25" customHeight="1" x14ac:dyDescent="0.35">
      <c r="A810" s="12">
        <v>301987</v>
      </c>
      <c r="B810" s="59" t="str">
        <f>IFERROR(VLOOKUP(Tabla1[[#This Row],[CODIGO]],INVENTARIO!A:B,2,0)," ")</f>
        <v>Codo PE100 90° 063mm EF</v>
      </c>
      <c r="C810" s="12">
        <v>0</v>
      </c>
      <c r="D810" s="13"/>
      <c r="E810" s="12">
        <v>980</v>
      </c>
      <c r="F810" s="14">
        <v>46071</v>
      </c>
      <c r="G810" s="34"/>
      <c r="H810" s="34" t="s">
        <v>232</v>
      </c>
      <c r="I810" s="34"/>
      <c r="J810" s="9" t="s">
        <v>200</v>
      </c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</row>
    <row r="811" spans="1:28" ht="14.25" customHeight="1" x14ac:dyDescent="0.35">
      <c r="A811" s="12">
        <v>302659</v>
      </c>
      <c r="B811" s="59" t="str">
        <f>IFERROR(VLOOKUP(Tabla1[[#This Row],[CODIGO]],INVENTARIO!A:B,2,0)," ")</f>
        <v>Copla PE100 063mm EF</v>
      </c>
      <c r="C811" s="12">
        <v>2</v>
      </c>
      <c r="D811" s="13"/>
      <c r="E811" s="12">
        <v>981</v>
      </c>
      <c r="F811" s="14">
        <v>46071</v>
      </c>
      <c r="G811" s="34"/>
      <c r="H811" s="34" t="s">
        <v>271</v>
      </c>
      <c r="I811" s="34"/>
      <c r="J811" s="9" t="s">
        <v>202</v>
      </c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</row>
    <row r="812" spans="1:28" ht="14.25" customHeight="1" x14ac:dyDescent="0.35">
      <c r="A812" s="12">
        <v>2008302</v>
      </c>
      <c r="B812" s="59" t="str">
        <f>IFERROR(VLOOKUP(Tabla1[[#This Row],[CODIGO]],INVENTARIO!A:B,2,0)," ")</f>
        <v>Tapa PE 063 mm Electro F.</v>
      </c>
      <c r="C812" s="12">
        <v>2</v>
      </c>
      <c r="D812" s="13"/>
      <c r="E812" s="12">
        <v>981</v>
      </c>
      <c r="F812" s="14">
        <v>46071</v>
      </c>
      <c r="G812" s="34"/>
      <c r="H812" s="34" t="s">
        <v>271</v>
      </c>
      <c r="I812" s="34"/>
      <c r="J812" s="9" t="s">
        <v>202</v>
      </c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</row>
    <row r="813" spans="1:28" ht="14.25" customHeight="1" x14ac:dyDescent="0.35">
      <c r="A813" s="12">
        <v>301749</v>
      </c>
      <c r="B813" s="59" t="str">
        <f>IFERROR(VLOOKUP(Tabla1[[#This Row],[CODIGO]],INVENTARIO!A:B,2,0)," ")</f>
        <v>Tubería PE80 025mm Rollo</v>
      </c>
      <c r="C813" s="12">
        <v>6</v>
      </c>
      <c r="D813" s="13"/>
      <c r="E813" s="12">
        <v>984</v>
      </c>
      <c r="F813" s="14">
        <v>46071</v>
      </c>
      <c r="G813" s="34"/>
      <c r="H813" s="34" t="s">
        <v>287</v>
      </c>
      <c r="I813" s="34"/>
      <c r="J813" s="9" t="s">
        <v>231</v>
      </c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</row>
    <row r="814" spans="1:28" ht="14.25" customHeight="1" x14ac:dyDescent="0.35">
      <c r="A814" s="12">
        <v>2002263</v>
      </c>
      <c r="B814" s="59" t="str">
        <f>IFERROR(VLOOKUP(Tabla1[[#This Row],[CODIGO]],INVENTARIO!A:B,2,0)," ")</f>
        <v>Tubería PE80 063mm Rollo</v>
      </c>
      <c r="C814" s="12">
        <v>100</v>
      </c>
      <c r="D814" s="13"/>
      <c r="E814" s="12">
        <v>985</v>
      </c>
      <c r="F814" s="14">
        <v>46071</v>
      </c>
      <c r="G814" s="34"/>
      <c r="H814" s="34" t="s">
        <v>305</v>
      </c>
      <c r="I814" s="34"/>
      <c r="J814" s="9" t="s">
        <v>202</v>
      </c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</row>
    <row r="815" spans="1:28" ht="14.25" customHeight="1" x14ac:dyDescent="0.35">
      <c r="A815" s="12">
        <v>303368</v>
      </c>
      <c r="B815" s="59" t="str">
        <f>IFERROR(VLOOKUP(Tabla1[[#This Row],[CODIGO]],INVENTARIO!A:B,2,0)," ")</f>
        <v>Cinta Plástica "Línea GN", 30 x 0.1</v>
      </c>
      <c r="C815" s="12">
        <v>40</v>
      </c>
      <c r="D815" s="13"/>
      <c r="E815" s="12">
        <v>985</v>
      </c>
      <c r="F815" s="14">
        <v>46071</v>
      </c>
      <c r="G815" s="34"/>
      <c r="H815" s="34" t="s">
        <v>305</v>
      </c>
      <c r="I815" s="34"/>
      <c r="J815" s="9" t="s">
        <v>202</v>
      </c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</row>
    <row r="816" spans="1:28" ht="14.25" customHeight="1" x14ac:dyDescent="0.35">
      <c r="A816" s="12">
        <v>1002167</v>
      </c>
      <c r="B816" s="59" t="str">
        <f>IFERROR(VLOOKUP(Tabla1[[#This Row],[CODIGO]],INVENTARIO!A:B,2,0)," ")</f>
        <v>Cable Trazador Cu 14 AWG Aisl. THW Roj</v>
      </c>
      <c r="C816" s="12">
        <v>90</v>
      </c>
      <c r="D816" s="13"/>
      <c r="E816" s="12">
        <v>985</v>
      </c>
      <c r="F816" s="14">
        <v>46071</v>
      </c>
      <c r="G816" s="34"/>
      <c r="H816" s="34" t="s">
        <v>305</v>
      </c>
      <c r="I816" s="34"/>
      <c r="J816" s="9" t="s">
        <v>202</v>
      </c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</row>
    <row r="817" spans="1:28" ht="14.25" customHeight="1" x14ac:dyDescent="0.35">
      <c r="A817" s="12">
        <v>301749</v>
      </c>
      <c r="B817" s="59" t="str">
        <f>IFERROR(VLOOKUP(Tabla1[[#This Row],[CODIGO]],INVENTARIO!A:B,2,0)," ")</f>
        <v>Tubería PE80 025mm Rollo</v>
      </c>
      <c r="C817" s="12">
        <v>4</v>
      </c>
      <c r="D817" s="13"/>
      <c r="E817" s="12">
        <v>986</v>
      </c>
      <c r="F817" s="14">
        <v>46071</v>
      </c>
      <c r="G817" s="34"/>
      <c r="H817" s="34" t="s">
        <v>304</v>
      </c>
      <c r="I817" s="34"/>
      <c r="J817" s="9" t="s">
        <v>183</v>
      </c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</row>
    <row r="818" spans="1:28" ht="14.25" customHeight="1" x14ac:dyDescent="0.35">
      <c r="A818" s="12">
        <v>303368</v>
      </c>
      <c r="B818" s="59" t="str">
        <f>IFERROR(VLOOKUP(Tabla1[[#This Row],[CODIGO]],INVENTARIO!A:B,2,0)," ")</f>
        <v>Cinta Plástica "Línea GN", 30 x 0.1</v>
      </c>
      <c r="C818" s="12">
        <v>4</v>
      </c>
      <c r="D818" s="13"/>
      <c r="E818" s="12">
        <v>986</v>
      </c>
      <c r="F818" s="14">
        <v>46071</v>
      </c>
      <c r="G818" s="34"/>
      <c r="H818" s="34" t="s">
        <v>304</v>
      </c>
      <c r="I818" s="34"/>
      <c r="J818" s="9" t="s">
        <v>183</v>
      </c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</row>
    <row r="819" spans="1:28" ht="14.25" customHeight="1" x14ac:dyDescent="0.35">
      <c r="A819" s="12">
        <v>2000350</v>
      </c>
      <c r="B819" s="59" t="str">
        <f>IFERROR(VLOOKUP(Tabla1[[#This Row],[CODIGO]],INVENTARIO!A:B,2,0)," ")</f>
        <v>Codo PE 90º  25 mm EF.</v>
      </c>
      <c r="C819" s="12">
        <v>3</v>
      </c>
      <c r="D819" s="13"/>
      <c r="E819" s="12">
        <v>986</v>
      </c>
      <c r="F819" s="14">
        <v>46071</v>
      </c>
      <c r="G819" s="34"/>
      <c r="H819" s="34" t="s">
        <v>304</v>
      </c>
      <c r="I819" s="34"/>
      <c r="J819" s="9" t="s">
        <v>183</v>
      </c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</row>
    <row r="820" spans="1:28" ht="14.25" customHeight="1" x14ac:dyDescent="0.35">
      <c r="A820" s="12">
        <v>300712</v>
      </c>
      <c r="B820" s="59" t="str">
        <f>IFERROR(VLOOKUP(Tabla1[[#This Row],[CODIGO]],INVENTARIO!A:B,2,0)," ")</f>
        <v>Tapa PE  025 mm Termo F.</v>
      </c>
      <c r="C820" s="12">
        <v>1</v>
      </c>
      <c r="D820" s="13"/>
      <c r="E820" s="12">
        <v>986</v>
      </c>
      <c r="F820" s="14">
        <v>46071</v>
      </c>
      <c r="G820" s="34"/>
      <c r="H820" s="34" t="s">
        <v>304</v>
      </c>
      <c r="I820" s="34"/>
      <c r="J820" s="9" t="s">
        <v>183</v>
      </c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</row>
    <row r="821" spans="1:28" ht="14.25" customHeight="1" x14ac:dyDescent="0.35">
      <c r="A821" s="12">
        <v>301099</v>
      </c>
      <c r="B821" s="59" t="str">
        <f>IFERROR(VLOOKUP(Tabla1[[#This Row],[CODIGO]],INVENTARIO!A:B,2,0)," ")</f>
        <v>Válvula PE100 Dn 25mm</v>
      </c>
      <c r="C821" s="12">
        <v>1</v>
      </c>
      <c r="D821" s="13"/>
      <c r="E821" s="12">
        <v>986</v>
      </c>
      <c r="F821" s="14">
        <v>46071</v>
      </c>
      <c r="G821" s="34"/>
      <c r="H821" s="34" t="s">
        <v>304</v>
      </c>
      <c r="I821" s="34"/>
      <c r="J821" s="9" t="s">
        <v>183</v>
      </c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</row>
    <row r="822" spans="1:28" ht="14.25" customHeight="1" x14ac:dyDescent="0.35">
      <c r="A822" s="12">
        <v>300108</v>
      </c>
      <c r="B822" s="59" t="str">
        <f>IFERROR(VLOOKUP(Tabla1[[#This Row],[CODIGO]],INVENTARIO!A:B,2,0)," ")</f>
        <v>Tapping Tee PE 63-25 mm</v>
      </c>
      <c r="C822" s="12">
        <v>1</v>
      </c>
      <c r="D822" s="13"/>
      <c r="E822" s="12">
        <v>986</v>
      </c>
      <c r="F822" s="14">
        <v>46071</v>
      </c>
      <c r="G822" s="34"/>
      <c r="H822" s="34" t="s">
        <v>304</v>
      </c>
      <c r="I822" s="34"/>
      <c r="J822" s="9" t="s">
        <v>183</v>
      </c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</row>
    <row r="823" spans="1:28" ht="14.25" customHeight="1" x14ac:dyDescent="0.35">
      <c r="A823" s="12">
        <v>301329</v>
      </c>
      <c r="B823" s="59" t="str">
        <f>IFERROR(VLOOKUP(Tabla1[[#This Row],[CODIGO]],INVENTARIO!A:B,2,0)," ")</f>
        <v>Copla PE100 025mm EF</v>
      </c>
      <c r="C823" s="12">
        <v>2</v>
      </c>
      <c r="D823" s="13"/>
      <c r="E823" s="12">
        <v>986</v>
      </c>
      <c r="F823" s="14">
        <v>46071</v>
      </c>
      <c r="G823" s="34"/>
      <c r="H823" s="34" t="s">
        <v>304</v>
      </c>
      <c r="I823" s="34"/>
      <c r="J823" s="9" t="s">
        <v>183</v>
      </c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</row>
    <row r="824" spans="1:28" ht="14.25" customHeight="1" x14ac:dyDescent="0.35">
      <c r="A824" s="12">
        <v>101618</v>
      </c>
      <c r="B824" s="59" t="str">
        <f>IFERROR(VLOOKUP(Tabla1[[#This Row],[CODIGO]],INVENTARIO!A:B,2,0)," ")</f>
        <v>Risers Ac,Recto 3/4 "x25 mm</v>
      </c>
      <c r="C824" s="12">
        <v>1</v>
      </c>
      <c r="D824" s="13"/>
      <c r="E824" s="12">
        <v>986</v>
      </c>
      <c r="F824" s="14">
        <v>46071</v>
      </c>
      <c r="G824" s="34"/>
      <c r="H824" s="34" t="s">
        <v>304</v>
      </c>
      <c r="I824" s="34"/>
      <c r="J824" s="9" t="s">
        <v>183</v>
      </c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</row>
    <row r="825" spans="1:28" ht="14.25" customHeight="1" x14ac:dyDescent="0.35">
      <c r="A825" s="12">
        <v>2005135</v>
      </c>
      <c r="B825" s="59" t="str">
        <f>IFERROR(VLOOKUP(Tabla1[[#This Row],[CODIGO]],INVENTARIO!A:B,2,0)," ")</f>
        <v>Tubo PVC 110 mm PN6 CG Amarillo Tira 6 m</v>
      </c>
      <c r="C825" s="12">
        <v>1</v>
      </c>
      <c r="D825" s="13"/>
      <c r="E825" s="12">
        <v>21</v>
      </c>
      <c r="F825" s="14">
        <v>46069</v>
      </c>
      <c r="G825" s="34"/>
      <c r="H825" s="34" t="s">
        <v>223</v>
      </c>
      <c r="I825" s="34"/>
      <c r="J825" s="9" t="s">
        <v>322</v>
      </c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</row>
    <row r="826" spans="1:28" ht="14.25" customHeight="1" x14ac:dyDescent="0.35">
      <c r="A826" s="12">
        <v>2002262</v>
      </c>
      <c r="B826" s="59" t="str">
        <f>IFERROR(VLOOKUP(Tabla1[[#This Row],[CODIGO]],INVENTARIO!A:B,2,0)," ")</f>
        <v>Tubería PE80 050mm Rollo</v>
      </c>
      <c r="C826" s="12">
        <v>100</v>
      </c>
      <c r="D826" s="13"/>
      <c r="E826" s="12">
        <v>20</v>
      </c>
      <c r="F826" s="14">
        <v>46069</v>
      </c>
      <c r="G826" s="34"/>
      <c r="H826" s="34" t="s">
        <v>223</v>
      </c>
      <c r="I826" s="34"/>
      <c r="J826" s="9" t="s">
        <v>207</v>
      </c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</row>
    <row r="827" spans="1:28" ht="14.25" customHeight="1" x14ac:dyDescent="0.35">
      <c r="A827" s="12">
        <v>303368</v>
      </c>
      <c r="B827" s="59" t="str">
        <f>IFERROR(VLOOKUP(Tabla1[[#This Row],[CODIGO]],INVENTARIO!A:B,2,0)," ")</f>
        <v>Cinta Plástica "Línea GN", 30 x 0.1</v>
      </c>
      <c r="C827" s="12">
        <v>100</v>
      </c>
      <c r="D827" s="13"/>
      <c r="E827" s="12">
        <v>20</v>
      </c>
      <c r="F827" s="14">
        <v>46069</v>
      </c>
      <c r="G827" s="34"/>
      <c r="H827" s="34" t="s">
        <v>223</v>
      </c>
      <c r="I827" s="34"/>
      <c r="J827" s="9" t="s">
        <v>207</v>
      </c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</row>
    <row r="828" spans="1:28" ht="14.25" customHeight="1" x14ac:dyDescent="0.35">
      <c r="A828" s="12">
        <v>1002167</v>
      </c>
      <c r="B828" s="59" t="str">
        <f>IFERROR(VLOOKUP(Tabla1[[#This Row],[CODIGO]],INVENTARIO!A:B,2,0)," ")</f>
        <v>Cable Trazador Cu 14 AWG Aisl. THW Roj</v>
      </c>
      <c r="C828" s="12">
        <v>100</v>
      </c>
      <c r="D828" s="13"/>
      <c r="E828" s="12">
        <v>20</v>
      </c>
      <c r="F828" s="14">
        <v>46069</v>
      </c>
      <c r="G828" s="34"/>
      <c r="H828" s="34" t="s">
        <v>223</v>
      </c>
      <c r="I828" s="34"/>
      <c r="J828" s="9" t="s">
        <v>207</v>
      </c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</row>
    <row r="829" spans="1:28" ht="14.25" customHeight="1" x14ac:dyDescent="0.35">
      <c r="A829" s="12">
        <v>301327</v>
      </c>
      <c r="B829" s="59" t="str">
        <f>IFERROR(VLOOKUP(Tabla1[[#This Row],[CODIGO]],INVENTARIO!A:B,2,0)," ")</f>
        <v>Tapa PE  050 mm Termo F.</v>
      </c>
      <c r="C829" s="12">
        <v>2</v>
      </c>
      <c r="D829" s="13"/>
      <c r="E829" s="12">
        <v>20</v>
      </c>
      <c r="F829" s="14">
        <v>46069</v>
      </c>
      <c r="G829" s="34"/>
      <c r="H829" s="34" t="s">
        <v>223</v>
      </c>
      <c r="I829" s="34"/>
      <c r="J829" s="9" t="s">
        <v>207</v>
      </c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</row>
    <row r="830" spans="1:28" ht="14.25" customHeight="1" x14ac:dyDescent="0.35">
      <c r="A830" s="12">
        <v>303345</v>
      </c>
      <c r="B830" s="59" t="str">
        <f>IFERROR(VLOOKUP(Tabla1[[#This Row],[CODIGO]],INVENTARIO!A:B,2,0)," ")</f>
        <v>Copla PE100 050mm EF</v>
      </c>
      <c r="C830" s="12">
        <v>2</v>
      </c>
      <c r="D830" s="13"/>
      <c r="E830" s="12">
        <v>20</v>
      </c>
      <c r="F830" s="14">
        <v>46069</v>
      </c>
      <c r="G830" s="34"/>
      <c r="H830" s="34" t="s">
        <v>223</v>
      </c>
      <c r="I830" s="34"/>
      <c r="J830" s="9" t="s">
        <v>207</v>
      </c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</row>
    <row r="831" spans="1:28" ht="14.25" customHeight="1" x14ac:dyDescent="0.35">
      <c r="A831" s="12">
        <v>2006391</v>
      </c>
      <c r="B831" s="59" t="str">
        <f>IFERROR(VLOOKUP(Tabla1[[#This Row],[CODIGO]],INVENTARIO!A:B,2,0)," ")</f>
        <v>Guardallave Fierro Fundido C/Tapa</v>
      </c>
      <c r="C831" s="12">
        <v>2</v>
      </c>
      <c r="D831" s="13"/>
      <c r="E831" s="12">
        <v>20</v>
      </c>
      <c r="F831" s="14">
        <v>46069</v>
      </c>
      <c r="G831" s="34"/>
      <c r="H831" s="34" t="s">
        <v>223</v>
      </c>
      <c r="I831" s="34"/>
      <c r="J831" s="9" t="s">
        <v>207</v>
      </c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</row>
    <row r="832" spans="1:28" ht="14.25" customHeight="1" x14ac:dyDescent="0.35">
      <c r="A832" s="12">
        <v>101624</v>
      </c>
      <c r="B832" s="59" t="str">
        <f>IFERROR(VLOOKUP(Tabla1[[#This Row],[CODIGO]],INVENTARIO!A:B,2,0)," ")</f>
        <v>Tapping Tee PE 50-25 mm</v>
      </c>
      <c r="C832" s="12">
        <v>8</v>
      </c>
      <c r="D832" s="13"/>
      <c r="E832" s="12">
        <v>964</v>
      </c>
      <c r="F832" s="14">
        <v>46069</v>
      </c>
      <c r="G832" s="34"/>
      <c r="H832" s="34" t="s">
        <v>226</v>
      </c>
      <c r="I832" s="34"/>
      <c r="J832" s="9" t="s">
        <v>194</v>
      </c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</row>
    <row r="833" spans="1:28" ht="14.25" customHeight="1" x14ac:dyDescent="0.35">
      <c r="A833" s="12">
        <v>300712</v>
      </c>
      <c r="B833" s="59" t="str">
        <f>IFERROR(VLOOKUP(Tabla1[[#This Row],[CODIGO]],INVENTARIO!A:B,2,0)," ")</f>
        <v>Tapa PE  025 mm Termo F.</v>
      </c>
      <c r="C833" s="12">
        <v>32</v>
      </c>
      <c r="D833" s="13"/>
      <c r="E833" s="12">
        <v>964</v>
      </c>
      <c r="F833" s="14">
        <v>46069</v>
      </c>
      <c r="G833" s="34"/>
      <c r="H833" s="34" t="s">
        <v>226</v>
      </c>
      <c r="I833" s="34"/>
      <c r="J833" s="9" t="s">
        <v>194</v>
      </c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</row>
    <row r="834" spans="1:28" ht="14.25" customHeight="1" x14ac:dyDescent="0.35">
      <c r="A834" s="12">
        <v>2003911</v>
      </c>
      <c r="B834" s="59" t="str">
        <f>IFERROR(VLOOKUP(Tabla1[[#This Row],[CODIGO]],INVENTARIO!A:B,2,0)," ")</f>
        <v>Válvula EFv PE 25 mm Para Tap. Tee</v>
      </c>
      <c r="C834" s="12">
        <v>8</v>
      </c>
      <c r="D834" s="13"/>
      <c r="E834" s="12">
        <v>964</v>
      </c>
      <c r="F834" s="14">
        <v>46069</v>
      </c>
      <c r="G834" s="34"/>
      <c r="H834" s="34" t="s">
        <v>226</v>
      </c>
      <c r="I834" s="34"/>
      <c r="J834" s="9" t="s">
        <v>194</v>
      </c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</row>
    <row r="835" spans="1:28" ht="14.25" customHeight="1" x14ac:dyDescent="0.35">
      <c r="A835" s="12">
        <v>302065</v>
      </c>
      <c r="B835" s="59" t="str">
        <f>IFERROR(VLOOKUP(Tabla1[[#This Row],[CODIGO]],INVENTARIO!A:B,2,0)," ")</f>
        <v>Tubería PE80 110mm Tira</v>
      </c>
      <c r="C835" s="12">
        <v>12</v>
      </c>
      <c r="D835" s="13"/>
      <c r="E835" s="12">
        <v>972</v>
      </c>
      <c r="F835" s="14">
        <v>46069</v>
      </c>
      <c r="G835" s="34"/>
      <c r="H835" s="34" t="s">
        <v>314</v>
      </c>
      <c r="I835" s="34"/>
      <c r="J835" s="9" t="s">
        <v>274</v>
      </c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</row>
    <row r="836" spans="1:28" ht="14.25" customHeight="1" x14ac:dyDescent="0.35">
      <c r="A836" s="12">
        <v>1002167</v>
      </c>
      <c r="B836" s="59" t="str">
        <f>IFERROR(VLOOKUP(Tabla1[[#This Row],[CODIGO]],INVENTARIO!A:B,2,0)," ")</f>
        <v>Cable Trazador Cu 14 AWG Aisl. THW Roj</v>
      </c>
      <c r="C836" s="12">
        <v>100</v>
      </c>
      <c r="D836" s="13"/>
      <c r="E836" s="12">
        <v>972</v>
      </c>
      <c r="F836" s="14">
        <v>46069</v>
      </c>
      <c r="G836" s="34"/>
      <c r="H836" s="34" t="s">
        <v>314</v>
      </c>
      <c r="I836" s="34"/>
      <c r="J836" s="9" t="s">
        <v>274</v>
      </c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</row>
    <row r="837" spans="1:28" ht="14.25" customHeight="1" x14ac:dyDescent="0.35">
      <c r="A837" s="12">
        <v>303368</v>
      </c>
      <c r="B837" s="59" t="str">
        <f>IFERROR(VLOOKUP(Tabla1[[#This Row],[CODIGO]],INVENTARIO!A:B,2,0)," ")</f>
        <v>Cinta Plástica "Línea GN", 30 x 0.1</v>
      </c>
      <c r="C837" s="12">
        <v>100</v>
      </c>
      <c r="D837" s="13"/>
      <c r="E837" s="12">
        <v>972</v>
      </c>
      <c r="F837" s="14">
        <v>46069</v>
      </c>
      <c r="G837" s="34"/>
      <c r="H837" s="34" t="s">
        <v>314</v>
      </c>
      <c r="I837" s="34"/>
      <c r="J837" s="9" t="s">
        <v>274</v>
      </c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</row>
    <row r="838" spans="1:28" ht="14.25" customHeight="1" x14ac:dyDescent="0.35">
      <c r="A838" s="12">
        <v>302317</v>
      </c>
      <c r="B838" s="59" t="str">
        <f>IFERROR(VLOOKUP(Tabla1[[#This Row],[CODIGO]],INVENTARIO!A:B,2,0)," ")</f>
        <v>Tapa PE 110 mm Termo F.</v>
      </c>
      <c r="C838" s="12">
        <v>1</v>
      </c>
      <c r="D838" s="13"/>
      <c r="E838" s="12">
        <v>972</v>
      </c>
      <c r="F838" s="14">
        <v>46069</v>
      </c>
      <c r="G838" s="34"/>
      <c r="H838" s="34" t="s">
        <v>314</v>
      </c>
      <c r="I838" s="34"/>
      <c r="J838" s="9" t="s">
        <v>274</v>
      </c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</row>
    <row r="839" spans="1:28" ht="14.25" customHeight="1" x14ac:dyDescent="0.35">
      <c r="A839" s="12">
        <v>302991</v>
      </c>
      <c r="B839" s="59" t="str">
        <f>IFERROR(VLOOKUP(Tabla1[[#This Row],[CODIGO]],INVENTARIO!A:B,2,0)," ")</f>
        <v>Copla PE100 110mm EF</v>
      </c>
      <c r="C839" s="12">
        <v>2</v>
      </c>
      <c r="D839" s="13"/>
      <c r="E839" s="12">
        <v>972</v>
      </c>
      <c r="F839" s="14">
        <v>46069</v>
      </c>
      <c r="G839" s="34"/>
      <c r="H839" s="34" t="s">
        <v>314</v>
      </c>
      <c r="I839" s="34"/>
      <c r="J839" s="9" t="s">
        <v>274</v>
      </c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</row>
    <row r="840" spans="1:28" ht="14.25" customHeight="1" x14ac:dyDescent="0.35">
      <c r="A840" s="12">
        <v>2002263</v>
      </c>
      <c r="B840" s="59" t="str">
        <f>IFERROR(VLOOKUP(Tabla1[[#This Row],[CODIGO]],INVENTARIO!A:B,2,0)," ")</f>
        <v>Tubería PE80 063mm Rollo</v>
      </c>
      <c r="C840" s="12">
        <v>50</v>
      </c>
      <c r="D840" s="13"/>
      <c r="E840" s="12">
        <v>973</v>
      </c>
      <c r="F840" s="14">
        <v>46069</v>
      </c>
      <c r="G840" s="34"/>
      <c r="H840" s="34" t="s">
        <v>305</v>
      </c>
      <c r="I840" s="34"/>
      <c r="J840" s="9" t="s">
        <v>202</v>
      </c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</row>
    <row r="841" spans="1:28" ht="14.25" customHeight="1" x14ac:dyDescent="0.35">
      <c r="A841" s="12">
        <v>303368</v>
      </c>
      <c r="B841" s="59" t="str">
        <f>IFERROR(VLOOKUP(Tabla1[[#This Row],[CODIGO]],INVENTARIO!A:B,2,0)," ")</f>
        <v>Cinta Plástica "Línea GN", 30 x 0.1</v>
      </c>
      <c r="C841" s="12">
        <v>50</v>
      </c>
      <c r="D841" s="13"/>
      <c r="E841" s="12">
        <v>973</v>
      </c>
      <c r="F841" s="14">
        <v>46069</v>
      </c>
      <c r="G841" s="34"/>
      <c r="H841" s="34" t="s">
        <v>305</v>
      </c>
      <c r="I841" s="34"/>
      <c r="J841" s="9" t="s">
        <v>202</v>
      </c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</row>
    <row r="842" spans="1:28" ht="14.25" customHeight="1" x14ac:dyDescent="0.35">
      <c r="A842" s="12">
        <v>1002167</v>
      </c>
      <c r="B842" s="59" t="str">
        <f>IFERROR(VLOOKUP(Tabla1[[#This Row],[CODIGO]],INVENTARIO!A:B,2,0)," ")</f>
        <v>Cable Trazador Cu 14 AWG Aisl. THW Roj</v>
      </c>
      <c r="C842" s="12">
        <v>50</v>
      </c>
      <c r="D842" s="13"/>
      <c r="E842" s="12">
        <v>973</v>
      </c>
      <c r="F842" s="14">
        <v>46069</v>
      </c>
      <c r="G842" s="34"/>
      <c r="H842" s="34" t="s">
        <v>305</v>
      </c>
      <c r="I842" s="34"/>
      <c r="J842" s="9" t="s">
        <v>202</v>
      </c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</row>
    <row r="843" spans="1:28" ht="14.25" customHeight="1" x14ac:dyDescent="0.35">
      <c r="A843" s="12">
        <v>2007948</v>
      </c>
      <c r="B843" s="59" t="str">
        <f>IFERROR(VLOOKUP(Tabla1[[#This Row],[CODIGO]],INVENTARIO!A:B,2,0)," ")</f>
        <v>Tubo PVC Hidraulico 110 mm Pn6 Celeste</v>
      </c>
      <c r="C843" s="12">
        <v>5</v>
      </c>
      <c r="D843" s="13"/>
      <c r="E843" s="12">
        <v>219</v>
      </c>
      <c r="F843" s="14">
        <v>46066</v>
      </c>
      <c r="G843" s="34"/>
      <c r="H843" s="34" t="s">
        <v>223</v>
      </c>
      <c r="I843" s="34"/>
      <c r="J843" s="9" t="s">
        <v>207</v>
      </c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</row>
    <row r="844" spans="1:28" ht="14.25" customHeight="1" x14ac:dyDescent="0.35">
      <c r="A844" s="12">
        <v>301343</v>
      </c>
      <c r="B844" s="59" t="str">
        <f>IFERROR(VLOOKUP(Tabla1[[#This Row],[CODIGO]],INVENTARIO!A:B,2,0)," ")</f>
        <v>Tapping Tee PE 63-63 mm</v>
      </c>
      <c r="C844" s="12">
        <v>1</v>
      </c>
      <c r="D844" s="13"/>
      <c r="E844" s="12">
        <v>966</v>
      </c>
      <c r="F844" s="14">
        <v>46066</v>
      </c>
      <c r="G844" s="34"/>
      <c r="H844" s="34" t="s">
        <v>287</v>
      </c>
      <c r="I844" s="34"/>
      <c r="J844" s="9" t="s">
        <v>263</v>
      </c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</row>
    <row r="845" spans="1:28" ht="14.25" customHeight="1" x14ac:dyDescent="0.35">
      <c r="A845" s="12">
        <v>302678</v>
      </c>
      <c r="B845" s="59" t="str">
        <f>IFERROR(VLOOKUP(Tabla1[[#This Row],[CODIGO]],INVENTARIO!A:B,2,0)," ")</f>
        <v>Reductor PE  63-50 mm Electro F.</v>
      </c>
      <c r="C845" s="12">
        <v>1</v>
      </c>
      <c r="D845" s="13"/>
      <c r="E845" s="12">
        <v>966</v>
      </c>
      <c r="F845" s="14">
        <v>46066</v>
      </c>
      <c r="G845" s="34"/>
      <c r="H845" s="34" t="s">
        <v>287</v>
      </c>
      <c r="I845" s="34"/>
      <c r="J845" s="9" t="s">
        <v>263</v>
      </c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</row>
    <row r="846" spans="1:28" ht="14.25" customHeight="1" x14ac:dyDescent="0.35">
      <c r="A846" s="12">
        <v>303345</v>
      </c>
      <c r="B846" s="59" t="str">
        <f>IFERROR(VLOOKUP(Tabla1[[#This Row],[CODIGO]],INVENTARIO!A:B,2,0)," ")</f>
        <v>Copla PE100 050mm EF</v>
      </c>
      <c r="C846" s="12">
        <v>3</v>
      </c>
      <c r="D846" s="13"/>
      <c r="E846" s="12">
        <v>966</v>
      </c>
      <c r="F846" s="14">
        <v>46066</v>
      </c>
      <c r="G846" s="34"/>
      <c r="H846" s="34" t="s">
        <v>287</v>
      </c>
      <c r="I846" s="34"/>
      <c r="J846" s="9" t="s">
        <v>263</v>
      </c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</row>
    <row r="847" spans="1:28" ht="14.25" customHeight="1" x14ac:dyDescent="0.35">
      <c r="A847" s="12">
        <v>300414</v>
      </c>
      <c r="B847" s="59" t="str">
        <f>IFERROR(VLOOKUP(Tabla1[[#This Row],[CODIGO]],INVENTARIO!A:B,2,0)," ")</f>
        <v>Válvula PE100 Dn 50mm</v>
      </c>
      <c r="C847" s="12">
        <v>1</v>
      </c>
      <c r="D847" s="13"/>
      <c r="E847" s="12">
        <v>966</v>
      </c>
      <c r="F847" s="14">
        <v>46066</v>
      </c>
      <c r="G847" s="34"/>
      <c r="H847" s="34" t="s">
        <v>287</v>
      </c>
      <c r="I847" s="34"/>
      <c r="J847" s="9" t="s">
        <v>263</v>
      </c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</row>
    <row r="848" spans="1:28" ht="14.25" customHeight="1" x14ac:dyDescent="0.35">
      <c r="A848" s="12">
        <v>302992</v>
      </c>
      <c r="B848" s="59" t="str">
        <f>IFERROR(VLOOKUP(Tabla1[[#This Row],[CODIGO]],INVENTARIO!A:B,2,0)," ")</f>
        <v>Codo PE100 90° 050mm EF</v>
      </c>
      <c r="C848" s="12">
        <v>3</v>
      </c>
      <c r="D848" s="13"/>
      <c r="E848" s="12">
        <v>966</v>
      </c>
      <c r="F848" s="14">
        <v>46066</v>
      </c>
      <c r="G848" s="34"/>
      <c r="H848" s="34" t="s">
        <v>287</v>
      </c>
      <c r="I848" s="34"/>
      <c r="J848" s="9" t="s">
        <v>263</v>
      </c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</row>
    <row r="849" spans="1:28" ht="14.25" customHeight="1" x14ac:dyDescent="0.35">
      <c r="A849" s="12">
        <v>301327</v>
      </c>
      <c r="B849" s="59" t="str">
        <f>IFERROR(VLOOKUP(Tabla1[[#This Row],[CODIGO]],INVENTARIO!A:B,2,0)," ")</f>
        <v>Tapa PE  050 mm Termo F.</v>
      </c>
      <c r="C849" s="12">
        <v>1</v>
      </c>
      <c r="D849" s="13"/>
      <c r="E849" s="12">
        <v>966</v>
      </c>
      <c r="F849" s="14">
        <v>46066</v>
      </c>
      <c r="G849" s="34"/>
      <c r="H849" s="34" t="s">
        <v>287</v>
      </c>
      <c r="I849" s="34"/>
      <c r="J849" s="9" t="s">
        <v>263</v>
      </c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</row>
    <row r="850" spans="1:28" ht="14.25" customHeight="1" x14ac:dyDescent="0.35">
      <c r="A850" s="12">
        <v>303362</v>
      </c>
      <c r="B850" s="59" t="str">
        <f>IFERROR(VLOOKUP(Tabla1[[#This Row],[CODIGO]],INVENTARIO!A:B,2,0)," ")</f>
        <v>Reductor PE  50-40 mm Electro F.</v>
      </c>
      <c r="C850" s="12">
        <v>1</v>
      </c>
      <c r="D850" s="13"/>
      <c r="E850" s="12">
        <v>966</v>
      </c>
      <c r="F850" s="14">
        <v>46066</v>
      </c>
      <c r="G850" s="34"/>
      <c r="H850" s="34" t="s">
        <v>287</v>
      </c>
      <c r="I850" s="34"/>
      <c r="J850" s="9" t="s">
        <v>263</v>
      </c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</row>
    <row r="851" spans="1:28" ht="14.25" customHeight="1" x14ac:dyDescent="0.35">
      <c r="A851" s="12">
        <v>2004602</v>
      </c>
      <c r="B851" s="59" t="str">
        <f>IFERROR(VLOOKUP(Tabla1[[#This Row],[CODIGO]],INVENTARIO!A:B,2,0)," ")</f>
        <v>MRPC-120-(4/1,2)-(S)-2</v>
      </c>
      <c r="C851" s="12">
        <v>1</v>
      </c>
      <c r="D851" s="13"/>
      <c r="E851" s="12">
        <v>966</v>
      </c>
      <c r="F851" s="14">
        <v>46066</v>
      </c>
      <c r="G851" s="34"/>
      <c r="H851" s="34" t="s">
        <v>287</v>
      </c>
      <c r="I851" s="34"/>
      <c r="J851" s="9" t="s">
        <v>263</v>
      </c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</row>
    <row r="852" spans="1:28" ht="14.25" customHeight="1" x14ac:dyDescent="0.35">
      <c r="A852" s="12">
        <v>2002262</v>
      </c>
      <c r="B852" s="59" t="str">
        <f>IFERROR(VLOOKUP(Tabla1[[#This Row],[CODIGO]],INVENTARIO!A:B,2,0)," ")</f>
        <v>Tubería PE80 050mm Rollo</v>
      </c>
      <c r="C852" s="12">
        <v>3</v>
      </c>
      <c r="D852" s="13"/>
      <c r="E852" s="12">
        <v>966</v>
      </c>
      <c r="F852" s="14">
        <v>46066</v>
      </c>
      <c r="G852" s="34"/>
      <c r="H852" s="34" t="s">
        <v>287</v>
      </c>
      <c r="I852" s="34"/>
      <c r="J852" s="9" t="s">
        <v>263</v>
      </c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</row>
    <row r="853" spans="1:28" ht="14.25" customHeight="1" x14ac:dyDescent="0.35">
      <c r="A853" s="12">
        <v>2006391</v>
      </c>
      <c r="B853" s="59" t="str">
        <f>IFERROR(VLOOKUP(Tabla1[[#This Row],[CODIGO]],INVENTARIO!A:B,2,0)," ")</f>
        <v>Guardallave Fierro Fundido C/Tapa</v>
      </c>
      <c r="C853" s="12">
        <v>1</v>
      </c>
      <c r="D853" s="13"/>
      <c r="E853" s="12">
        <v>966</v>
      </c>
      <c r="F853" s="14">
        <v>46066</v>
      </c>
      <c r="G853" s="34"/>
      <c r="H853" s="34" t="s">
        <v>287</v>
      </c>
      <c r="I853" s="34"/>
      <c r="J853" s="9" t="s">
        <v>263</v>
      </c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</row>
    <row r="854" spans="1:28" ht="14.25" customHeight="1" x14ac:dyDescent="0.35">
      <c r="A854" s="12">
        <v>2007948</v>
      </c>
      <c r="B854" s="59" t="str">
        <f>IFERROR(VLOOKUP(Tabla1[[#This Row],[CODIGO]],INVENTARIO!A:B,2,0)," ")</f>
        <v>Tubo PVC Hidraulico 110 mm Pn6 Celeste</v>
      </c>
      <c r="C854" s="12">
        <v>1</v>
      </c>
      <c r="D854" s="13"/>
      <c r="E854" s="12">
        <v>966</v>
      </c>
      <c r="F854" s="14">
        <v>46066</v>
      </c>
      <c r="G854" s="34"/>
      <c r="H854" s="34" t="s">
        <v>287</v>
      </c>
      <c r="I854" s="34"/>
      <c r="J854" s="9" t="s">
        <v>263</v>
      </c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</row>
    <row r="855" spans="1:28" ht="14.25" customHeight="1" x14ac:dyDescent="0.35">
      <c r="A855" s="12">
        <v>303368</v>
      </c>
      <c r="B855" s="59" t="str">
        <f>IFERROR(VLOOKUP(Tabla1[[#This Row],[CODIGO]],INVENTARIO!A:B,2,0)," ")</f>
        <v>Cinta Plástica "Línea GN", 30 x 0.1</v>
      </c>
      <c r="C855" s="12">
        <v>3</v>
      </c>
      <c r="D855" s="13"/>
      <c r="E855" s="12">
        <v>966</v>
      </c>
      <c r="F855" s="14">
        <v>46066</v>
      </c>
      <c r="G855" s="34"/>
      <c r="H855" s="34" t="s">
        <v>287</v>
      </c>
      <c r="I855" s="34"/>
      <c r="J855" s="9" t="s">
        <v>263</v>
      </c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</row>
    <row r="856" spans="1:28" ht="14.25" customHeight="1" x14ac:dyDescent="0.35">
      <c r="A856" s="12">
        <v>1002167</v>
      </c>
      <c r="B856" s="59" t="str">
        <f>IFERROR(VLOOKUP(Tabla1[[#This Row],[CODIGO]],INVENTARIO!A:B,2,0)," ")</f>
        <v>Cable Trazador Cu 14 AWG Aisl. THW Roj</v>
      </c>
      <c r="C856" s="12">
        <v>1</v>
      </c>
      <c r="D856" s="13"/>
      <c r="E856" s="12">
        <v>966</v>
      </c>
      <c r="F856" s="14">
        <v>46066</v>
      </c>
      <c r="G856" s="34"/>
      <c r="H856" s="34" t="s">
        <v>287</v>
      </c>
      <c r="I856" s="34"/>
      <c r="J856" s="9" t="s">
        <v>263</v>
      </c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</row>
    <row r="857" spans="1:28" ht="14.25" customHeight="1" x14ac:dyDescent="0.35">
      <c r="A857" s="12">
        <v>300130</v>
      </c>
      <c r="B857" s="59" t="str">
        <f>IFERROR(VLOOKUP(Tabla1[[#This Row],[CODIGO]],INVENTARIO!A:B,2,0)," ")</f>
        <v>Tee PE  63 mm Electro F.</v>
      </c>
      <c r="C857" s="12">
        <v>2</v>
      </c>
      <c r="D857" s="13"/>
      <c r="E857" s="12">
        <v>956</v>
      </c>
      <c r="F857" s="14">
        <v>46065</v>
      </c>
      <c r="G857" s="34"/>
      <c r="H857" s="34" t="s">
        <v>271</v>
      </c>
      <c r="I857" s="34"/>
      <c r="J857" s="9" t="s">
        <v>202</v>
      </c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</row>
    <row r="858" spans="1:28" ht="14.25" customHeight="1" x14ac:dyDescent="0.35">
      <c r="A858" s="12">
        <v>302659</v>
      </c>
      <c r="B858" s="59" t="str">
        <f>IFERROR(VLOOKUP(Tabla1[[#This Row],[CODIGO]],INVENTARIO!A:B,2,0)," ")</f>
        <v>Copla PE100 063mm EF</v>
      </c>
      <c r="C858" s="12">
        <v>1</v>
      </c>
      <c r="D858" s="13"/>
      <c r="E858" s="12">
        <v>956</v>
      </c>
      <c r="F858" s="14">
        <v>46065</v>
      </c>
      <c r="G858" s="34"/>
      <c r="H858" s="34" t="s">
        <v>271</v>
      </c>
      <c r="I858" s="34"/>
      <c r="J858" s="9" t="s">
        <v>202</v>
      </c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</row>
    <row r="859" spans="1:28" ht="14.25" customHeight="1" x14ac:dyDescent="0.35">
      <c r="A859" s="12">
        <v>2002263</v>
      </c>
      <c r="B859" s="59" t="str">
        <f>IFERROR(VLOOKUP(Tabla1[[#This Row],[CODIGO]],INVENTARIO!A:B,2,0)," ")</f>
        <v>Tubería PE80 063mm Rollo</v>
      </c>
      <c r="C859" s="12">
        <v>50</v>
      </c>
      <c r="D859" s="13"/>
      <c r="E859" s="12">
        <v>956</v>
      </c>
      <c r="F859" s="14">
        <v>46065</v>
      </c>
      <c r="G859" s="34"/>
      <c r="H859" s="34" t="s">
        <v>271</v>
      </c>
      <c r="I859" s="34"/>
      <c r="J859" s="9" t="s">
        <v>202</v>
      </c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</row>
    <row r="860" spans="1:28" ht="14.25" customHeight="1" x14ac:dyDescent="0.35">
      <c r="A860" s="12">
        <v>303368</v>
      </c>
      <c r="B860" s="59" t="str">
        <f>IFERROR(VLOOKUP(Tabla1[[#This Row],[CODIGO]],INVENTARIO!A:B,2,0)," ")</f>
        <v>Cinta Plástica "Línea GN", 30 x 0.1</v>
      </c>
      <c r="C860" s="12">
        <v>50</v>
      </c>
      <c r="D860" s="13"/>
      <c r="E860" s="12">
        <v>956</v>
      </c>
      <c r="F860" s="14">
        <v>46065</v>
      </c>
      <c r="G860" s="34"/>
      <c r="H860" s="34" t="s">
        <v>271</v>
      </c>
      <c r="I860" s="34"/>
      <c r="J860" s="9" t="s">
        <v>202</v>
      </c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</row>
    <row r="861" spans="1:28" ht="14.25" customHeight="1" x14ac:dyDescent="0.35">
      <c r="A861" s="12">
        <v>1002167</v>
      </c>
      <c r="B861" s="59" t="str">
        <f>IFERROR(VLOOKUP(Tabla1[[#This Row],[CODIGO]],INVENTARIO!A:B,2,0)," ")</f>
        <v>Cable Trazador Cu 14 AWG Aisl. THW Roj</v>
      </c>
      <c r="C861" s="12">
        <v>50</v>
      </c>
      <c r="D861" s="13"/>
      <c r="E861" s="12">
        <v>956</v>
      </c>
      <c r="F861" s="14">
        <v>46065</v>
      </c>
      <c r="G861" s="34"/>
      <c r="H861" s="34" t="s">
        <v>271</v>
      </c>
      <c r="I861" s="34"/>
      <c r="J861" s="9" t="s">
        <v>202</v>
      </c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</row>
    <row r="862" spans="1:28" ht="14.25" customHeight="1" x14ac:dyDescent="0.35">
      <c r="A862" s="12">
        <v>300109</v>
      </c>
      <c r="B862" s="59" t="str">
        <f>IFERROR(VLOOKUP(Tabla1[[#This Row],[CODIGO]],INVENTARIO!A:B,2,0)," ")</f>
        <v>Risers de Acero 3/4" Bsp x 25 mm</v>
      </c>
      <c r="C862" s="12">
        <v>1</v>
      </c>
      <c r="D862" s="13"/>
      <c r="E862" s="12">
        <v>956</v>
      </c>
      <c r="F862" s="14">
        <v>46065</v>
      </c>
      <c r="G862" s="34"/>
      <c r="H862" s="34" t="s">
        <v>271</v>
      </c>
      <c r="I862" s="34"/>
      <c r="J862" s="9" t="s">
        <v>202</v>
      </c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</row>
    <row r="863" spans="1:28" ht="14.25" customHeight="1" x14ac:dyDescent="0.35">
      <c r="A863" s="12">
        <v>302737</v>
      </c>
      <c r="B863" s="59" t="str">
        <f>IFERROR(VLOOKUP(Tabla1[[#This Row],[CODIGO]],INVENTARIO!A:B,2,0)," ")</f>
        <v>Válvula Bola 3/4" Hi Un Cuerpo Pn5 Arco</v>
      </c>
      <c r="C863" s="12">
        <v>1</v>
      </c>
      <c r="D863" s="13"/>
      <c r="E863" s="12">
        <v>956</v>
      </c>
      <c r="F863" s="14">
        <v>46065</v>
      </c>
      <c r="G863" s="34"/>
      <c r="H863" s="34" t="s">
        <v>271</v>
      </c>
      <c r="I863" s="34"/>
      <c r="J863" s="9" t="s">
        <v>202</v>
      </c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</row>
    <row r="864" spans="1:28" ht="14.25" customHeight="1" x14ac:dyDescent="0.35">
      <c r="A864" s="12">
        <v>2008481</v>
      </c>
      <c r="B864" s="59" t="str">
        <f>IFERROR(VLOOKUP(Tabla1[[#This Row],[CODIGO]],INVENTARIO!A:B,2,0)," ")</f>
        <v>Tapa Tornillo Bronce 3/4" HE Bspt.</v>
      </c>
      <c r="C864" s="12">
        <v>1</v>
      </c>
      <c r="D864" s="13"/>
      <c r="E864" s="12">
        <v>956</v>
      </c>
      <c r="F864" s="14">
        <v>46065</v>
      </c>
      <c r="G864" s="34"/>
      <c r="H864" s="34" t="s">
        <v>271</v>
      </c>
      <c r="I864" s="34"/>
      <c r="J864" s="9" t="s">
        <v>202</v>
      </c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</row>
    <row r="865" spans="1:28" ht="14.25" customHeight="1" x14ac:dyDescent="0.35">
      <c r="A865" s="12">
        <v>300108</v>
      </c>
      <c r="B865" s="59" t="str">
        <f>IFERROR(VLOOKUP(Tabla1[[#This Row],[CODIGO]],INVENTARIO!A:B,2,0)," ")</f>
        <v>Tapping Tee PE 63-25 mm</v>
      </c>
      <c r="C865" s="12">
        <v>1</v>
      </c>
      <c r="D865" s="13"/>
      <c r="E865" s="12">
        <v>956</v>
      </c>
      <c r="F865" s="14">
        <v>46065</v>
      </c>
      <c r="G865" s="34"/>
      <c r="H865" s="34" t="s">
        <v>271</v>
      </c>
      <c r="I865" s="34"/>
      <c r="J865" s="9" t="s">
        <v>202</v>
      </c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</row>
    <row r="866" spans="1:28" ht="14.25" customHeight="1" x14ac:dyDescent="0.35">
      <c r="A866" s="12">
        <v>2005136</v>
      </c>
      <c r="B866" s="59" t="str">
        <f>IFERROR(VLOOKUP(Tabla1[[#This Row],[CODIGO]],INVENTARIO!A:B,2,0)," ")</f>
        <v>Tubo PVC 160 mm PN6 CG Amarillo</v>
      </c>
      <c r="C866" s="12">
        <v>1</v>
      </c>
      <c r="D866" s="13"/>
      <c r="E866" s="12">
        <v>957</v>
      </c>
      <c r="F866" s="14">
        <v>46065</v>
      </c>
      <c r="G866" s="34"/>
      <c r="H866" s="34" t="s">
        <v>319</v>
      </c>
      <c r="I866" s="34"/>
      <c r="J866" s="9" t="s">
        <v>274</v>
      </c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</row>
    <row r="867" spans="1:28" ht="14.25" customHeight="1" x14ac:dyDescent="0.35">
      <c r="A867" s="12">
        <v>303368</v>
      </c>
      <c r="B867" s="59" t="str">
        <f>IFERROR(VLOOKUP(Tabla1[[#This Row],[CODIGO]],INVENTARIO!A:B,2,0)," ")</f>
        <v>Cinta Plástica "Línea GN", 30 x 0.1</v>
      </c>
      <c r="C867" s="12">
        <v>100</v>
      </c>
      <c r="D867" s="13"/>
      <c r="E867" s="12">
        <v>957</v>
      </c>
      <c r="F867" s="14">
        <v>46065</v>
      </c>
      <c r="G867" s="34"/>
      <c r="H867" s="34" t="s">
        <v>319</v>
      </c>
      <c r="I867" s="34"/>
      <c r="J867" s="9" t="s">
        <v>274</v>
      </c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</row>
    <row r="868" spans="1:28" ht="14.25" customHeight="1" x14ac:dyDescent="0.35">
      <c r="A868" s="12">
        <v>302659</v>
      </c>
      <c r="B868" s="59" t="str">
        <f>IFERROR(VLOOKUP(Tabla1[[#This Row],[CODIGO]],INVENTARIO!A:B,2,0)," ")</f>
        <v>Copla PE100 063mm EF</v>
      </c>
      <c r="C868" s="12">
        <v>2</v>
      </c>
      <c r="D868" s="13"/>
      <c r="E868" s="12">
        <v>958</v>
      </c>
      <c r="F868" s="14">
        <v>46065</v>
      </c>
      <c r="G868" s="34"/>
      <c r="H868" s="34" t="s">
        <v>271</v>
      </c>
      <c r="I868" s="34"/>
      <c r="J868" s="9" t="s">
        <v>202</v>
      </c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</row>
    <row r="869" spans="1:28" ht="14.25" customHeight="1" x14ac:dyDescent="0.35">
      <c r="A869" s="9" t="s">
        <v>291</v>
      </c>
      <c r="B869" s="59" t="str">
        <f>IFERROR(VLOOKUP(Tabla1[[#This Row],[CODIGO]],INVENTARIO!A:B,2,0)," ")</f>
        <v>Alcohol Isopropilico  500 ml</v>
      </c>
      <c r="C869" s="12">
        <v>1</v>
      </c>
      <c r="D869" s="13"/>
      <c r="E869" s="12">
        <v>955</v>
      </c>
      <c r="F869" s="14">
        <v>46065</v>
      </c>
      <c r="G869" s="34"/>
      <c r="H869" s="34" t="s">
        <v>226</v>
      </c>
      <c r="I869" s="34"/>
      <c r="J869" s="9" t="s">
        <v>194</v>
      </c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</row>
    <row r="870" spans="1:28" ht="14.25" customHeight="1" x14ac:dyDescent="0.35">
      <c r="A870" s="9" t="s">
        <v>292</v>
      </c>
      <c r="B870" s="59" t="str">
        <f>IFERROR(VLOOKUP(Tabla1[[#This Row],[CODIGO]],INVENTARIO!A:B,2,0)," ")</f>
        <v>Toalla Nova Clasica</v>
      </c>
      <c r="C870" s="12">
        <v>1</v>
      </c>
      <c r="D870" s="13"/>
      <c r="E870" s="12">
        <v>955</v>
      </c>
      <c r="F870" s="14">
        <v>46065</v>
      </c>
      <c r="G870" s="34"/>
      <c r="H870" s="34" t="s">
        <v>226</v>
      </c>
      <c r="I870" s="34"/>
      <c r="J870" s="9" t="s">
        <v>194</v>
      </c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</row>
    <row r="871" spans="1:28" ht="14.25" customHeight="1" x14ac:dyDescent="0.35">
      <c r="A871" s="12">
        <v>2005135</v>
      </c>
      <c r="B871" s="59" t="str">
        <f>IFERROR(VLOOKUP(Tabla1[[#This Row],[CODIGO]],INVENTARIO!A:B,2,0)," ")</f>
        <v>Tubo PVC 110 mm PN6 CG Amarillo Tira 6 m</v>
      </c>
      <c r="C871" s="12">
        <v>1</v>
      </c>
      <c r="D871" s="13"/>
      <c r="E871" s="12">
        <v>217</v>
      </c>
      <c r="F871" s="14">
        <v>46065</v>
      </c>
      <c r="G871" s="34"/>
      <c r="H871" s="34" t="s">
        <v>223</v>
      </c>
      <c r="I871" s="34"/>
      <c r="J871" s="9" t="s">
        <v>207</v>
      </c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</row>
    <row r="872" spans="1:28" ht="14.25" customHeight="1" x14ac:dyDescent="0.35">
      <c r="A872" s="12">
        <v>2002262</v>
      </c>
      <c r="B872" s="59" t="str">
        <f>IFERROR(VLOOKUP(Tabla1[[#This Row],[CODIGO]],INVENTARIO!A:B,2,0)," ")</f>
        <v>Tubería PE80 050mm Rollo</v>
      </c>
      <c r="C872" s="12">
        <v>100</v>
      </c>
      <c r="D872" s="13"/>
      <c r="E872" s="12">
        <v>882</v>
      </c>
      <c r="F872" s="14">
        <v>46064</v>
      </c>
      <c r="G872" s="34"/>
      <c r="H872" s="34" t="s">
        <v>226</v>
      </c>
      <c r="I872" s="34"/>
      <c r="J872" s="9" t="s">
        <v>194</v>
      </c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</row>
    <row r="873" spans="1:28" ht="14.25" customHeight="1" x14ac:dyDescent="0.35">
      <c r="A873" s="12">
        <v>303368</v>
      </c>
      <c r="B873" s="59" t="str">
        <f>IFERROR(VLOOKUP(Tabla1[[#This Row],[CODIGO]],INVENTARIO!A:B,2,0)," ")</f>
        <v>Cinta Plástica "Línea GN", 30 x 0.1</v>
      </c>
      <c r="C873" s="12">
        <v>100</v>
      </c>
      <c r="D873" s="13"/>
      <c r="E873" s="12">
        <v>882</v>
      </c>
      <c r="F873" s="14">
        <v>46064</v>
      </c>
      <c r="G873" s="34"/>
      <c r="H873" s="34" t="s">
        <v>226</v>
      </c>
      <c r="I873" s="34"/>
      <c r="J873" s="9" t="s">
        <v>194</v>
      </c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</row>
    <row r="874" spans="1:28" ht="14.25" customHeight="1" x14ac:dyDescent="0.35">
      <c r="A874" s="12">
        <v>1002167</v>
      </c>
      <c r="B874" s="59" t="str">
        <f>IFERROR(VLOOKUP(Tabla1[[#This Row],[CODIGO]],INVENTARIO!A:B,2,0)," ")</f>
        <v>Cable Trazador Cu 14 AWG Aisl. THW Roj</v>
      </c>
      <c r="C874" s="12">
        <v>100</v>
      </c>
      <c r="D874" s="13"/>
      <c r="E874" s="12">
        <v>882</v>
      </c>
      <c r="F874" s="14">
        <v>46064</v>
      </c>
      <c r="G874" s="34"/>
      <c r="H874" s="34" t="s">
        <v>226</v>
      </c>
      <c r="I874" s="34"/>
      <c r="J874" s="9" t="s">
        <v>194</v>
      </c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</row>
    <row r="875" spans="1:28" ht="14.25" customHeight="1" x14ac:dyDescent="0.35">
      <c r="A875" s="12">
        <v>300130</v>
      </c>
      <c r="B875" s="59" t="str">
        <f>IFERROR(VLOOKUP(Tabla1[[#This Row],[CODIGO]],INVENTARIO!A:B,2,0)," ")</f>
        <v>Tee PE  63 mm Electro F.</v>
      </c>
      <c r="C875" s="12">
        <v>1</v>
      </c>
      <c r="D875" s="13"/>
      <c r="E875" s="12">
        <v>882</v>
      </c>
      <c r="F875" s="14">
        <v>46064</v>
      </c>
      <c r="G875" s="34"/>
      <c r="H875" s="34" t="s">
        <v>226</v>
      </c>
      <c r="I875" s="34"/>
      <c r="J875" s="9" t="s">
        <v>194</v>
      </c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</row>
    <row r="876" spans="1:28" ht="14.25" customHeight="1" x14ac:dyDescent="0.35">
      <c r="A876" s="12">
        <v>302659</v>
      </c>
      <c r="B876" s="59" t="str">
        <f>IFERROR(VLOOKUP(Tabla1[[#This Row],[CODIGO]],INVENTARIO!A:B,2,0)," ")</f>
        <v>Copla PE100 063mm EF</v>
      </c>
      <c r="C876" s="12">
        <v>1</v>
      </c>
      <c r="D876" s="13"/>
      <c r="E876" s="12">
        <v>882</v>
      </c>
      <c r="F876" s="14">
        <v>46064</v>
      </c>
      <c r="G876" s="34"/>
      <c r="H876" s="34" t="s">
        <v>226</v>
      </c>
      <c r="I876" s="34"/>
      <c r="J876" s="9" t="s">
        <v>194</v>
      </c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</row>
    <row r="877" spans="1:28" ht="14.25" customHeight="1" x14ac:dyDescent="0.35">
      <c r="A877" s="12">
        <v>302678</v>
      </c>
      <c r="B877" s="59" t="str">
        <f>IFERROR(VLOOKUP(Tabla1[[#This Row],[CODIGO]],INVENTARIO!A:B,2,0)," ")</f>
        <v>Reductor PE  63-50 mm Electro F.</v>
      </c>
      <c r="C877" s="12">
        <v>1</v>
      </c>
      <c r="D877" s="13"/>
      <c r="E877" s="12">
        <v>882</v>
      </c>
      <c r="F877" s="14">
        <v>46064</v>
      </c>
      <c r="G877" s="34"/>
      <c r="H877" s="34" t="s">
        <v>226</v>
      </c>
      <c r="I877" s="34"/>
      <c r="J877" s="9" t="s">
        <v>194</v>
      </c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</row>
    <row r="878" spans="1:28" ht="14.25" customHeight="1" x14ac:dyDescent="0.35">
      <c r="A878" s="12">
        <v>302992</v>
      </c>
      <c r="B878" s="59" t="str">
        <f>IFERROR(VLOOKUP(Tabla1[[#This Row],[CODIGO]],INVENTARIO!A:B,2,0)," ")</f>
        <v>Codo PE100 90° 050mm EF</v>
      </c>
      <c r="C878" s="12">
        <v>1</v>
      </c>
      <c r="D878" s="13"/>
      <c r="E878" s="12">
        <v>882</v>
      </c>
      <c r="F878" s="14">
        <v>46064</v>
      </c>
      <c r="G878" s="34"/>
      <c r="H878" s="34" t="s">
        <v>226</v>
      </c>
      <c r="I878" s="34"/>
      <c r="J878" s="9" t="s">
        <v>194</v>
      </c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</row>
    <row r="879" spans="1:28" ht="14.25" customHeight="1" x14ac:dyDescent="0.35">
      <c r="A879" s="12">
        <v>303345</v>
      </c>
      <c r="B879" s="59" t="str">
        <f>IFERROR(VLOOKUP(Tabla1[[#This Row],[CODIGO]],INVENTARIO!A:B,2,0)," ")</f>
        <v>Copla PE100 050mm EF</v>
      </c>
      <c r="C879" s="12">
        <v>2</v>
      </c>
      <c r="D879" s="13"/>
      <c r="E879" s="12">
        <v>882</v>
      </c>
      <c r="F879" s="14">
        <v>46064</v>
      </c>
      <c r="G879" s="34"/>
      <c r="H879" s="34" t="s">
        <v>226</v>
      </c>
      <c r="I879" s="34"/>
      <c r="J879" s="9" t="s">
        <v>194</v>
      </c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</row>
    <row r="880" spans="1:28" ht="14.25" customHeight="1" x14ac:dyDescent="0.35">
      <c r="A880" s="12">
        <v>301327</v>
      </c>
      <c r="B880" s="59" t="str">
        <f>IFERROR(VLOOKUP(Tabla1[[#This Row],[CODIGO]],INVENTARIO!A:B,2,0)," ")</f>
        <v>Tapa PE  050 mm Termo F.</v>
      </c>
      <c r="C880" s="12">
        <v>1</v>
      </c>
      <c r="D880" s="13"/>
      <c r="E880" s="12">
        <v>882</v>
      </c>
      <c r="F880" s="14">
        <v>46064</v>
      </c>
      <c r="G880" s="34"/>
      <c r="H880" s="34" t="s">
        <v>226</v>
      </c>
      <c r="I880" s="34"/>
      <c r="J880" s="9" t="s">
        <v>194</v>
      </c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</row>
    <row r="881" spans="1:28" ht="14.25" customHeight="1" x14ac:dyDescent="0.35">
      <c r="A881" s="12">
        <v>303510</v>
      </c>
      <c r="B881" s="59" t="str">
        <f>IFERROR(VLOOKUP(Tabla1[[#This Row],[CODIGO]],INVENTARIO!A:B,2,0)," ")</f>
        <v>Guardallave Hormigón 125 mm con Tapa</v>
      </c>
      <c r="C881" s="12">
        <v>2</v>
      </c>
      <c r="D881" s="13"/>
      <c r="E881" s="12">
        <v>970</v>
      </c>
      <c r="F881" s="14">
        <v>46066</v>
      </c>
      <c r="G881" s="34"/>
      <c r="H881" s="34" t="s">
        <v>232</v>
      </c>
      <c r="I881" s="34"/>
      <c r="J881" s="9" t="s">
        <v>202</v>
      </c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</row>
    <row r="882" spans="1:28" ht="14.25" customHeight="1" x14ac:dyDescent="0.35">
      <c r="A882" s="12">
        <v>101624</v>
      </c>
      <c r="B882" s="59" t="str">
        <f>IFERROR(VLOOKUP(Tabla1[[#This Row],[CODIGO]],INVENTARIO!A:B,2,0)," ")</f>
        <v>Tapping Tee PE 50-25 mm</v>
      </c>
      <c r="C882" s="12">
        <v>5</v>
      </c>
      <c r="D882" s="13"/>
      <c r="E882" s="12">
        <v>218</v>
      </c>
      <c r="F882" s="14">
        <v>46066</v>
      </c>
      <c r="G882" s="34"/>
      <c r="H882" s="34" t="s">
        <v>223</v>
      </c>
      <c r="I882" s="34"/>
      <c r="J882" s="9" t="s">
        <v>207</v>
      </c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</row>
    <row r="883" spans="1:28" ht="14.25" customHeight="1" x14ac:dyDescent="0.35">
      <c r="A883" s="12">
        <v>300109</v>
      </c>
      <c r="B883" s="59" t="str">
        <f>IFERROR(VLOOKUP(Tabla1[[#This Row],[CODIGO]],INVENTARIO!A:B,2,0)," ")</f>
        <v>Risers de Acero 3/4" Bsp x 25 mm</v>
      </c>
      <c r="C883" s="12">
        <v>5</v>
      </c>
      <c r="D883" s="13"/>
      <c r="E883" s="12">
        <v>218</v>
      </c>
      <c r="F883" s="14">
        <v>46066</v>
      </c>
      <c r="G883" s="34"/>
      <c r="H883" s="34" t="s">
        <v>223</v>
      </c>
      <c r="I883" s="34"/>
      <c r="J883" s="9" t="s">
        <v>207</v>
      </c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</row>
    <row r="884" spans="1:28" ht="14.25" customHeight="1" x14ac:dyDescent="0.35">
      <c r="A884" s="12">
        <v>302737</v>
      </c>
      <c r="B884" s="59" t="str">
        <f>IFERROR(VLOOKUP(Tabla1[[#This Row],[CODIGO]],INVENTARIO!A:B,2,0)," ")</f>
        <v>Válvula Bola 3/4" Hi Un Cuerpo Pn5 Arco</v>
      </c>
      <c r="C884" s="12">
        <v>5</v>
      </c>
      <c r="D884" s="13"/>
      <c r="E884" s="12">
        <v>218</v>
      </c>
      <c r="F884" s="14">
        <v>46066</v>
      </c>
      <c r="G884" s="34"/>
      <c r="H884" s="34" t="s">
        <v>223</v>
      </c>
      <c r="I884" s="34"/>
      <c r="J884" s="9" t="s">
        <v>207</v>
      </c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</row>
    <row r="885" spans="1:28" ht="14.25" customHeight="1" x14ac:dyDescent="0.35">
      <c r="A885" s="12">
        <v>302184</v>
      </c>
      <c r="B885" s="59" t="str">
        <f>IFERROR(VLOOKUP(Tabla1[[#This Row],[CODIGO]],INVENTARIO!A:B,2,0)," ")</f>
        <v>Tapa Tornillo Cambio de Codigo por: 2008481</v>
      </c>
      <c r="C885" s="12">
        <v>5</v>
      </c>
      <c r="D885" s="13"/>
      <c r="E885" s="12">
        <v>218</v>
      </c>
      <c r="F885" s="14">
        <v>46066</v>
      </c>
      <c r="G885" s="34"/>
      <c r="H885" s="34" t="s">
        <v>223</v>
      </c>
      <c r="I885" s="34"/>
      <c r="J885" s="9" t="s">
        <v>207</v>
      </c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</row>
    <row r="886" spans="1:28" ht="14.25" customHeight="1" x14ac:dyDescent="0.35">
      <c r="A886" s="12">
        <v>1000720</v>
      </c>
      <c r="B886" s="59" t="str">
        <f>IFERROR(VLOOKUP(Tabla1[[#This Row],[CODIGO]],INVENTARIO!A:B,2,0)," ")</f>
        <v>Teflón en Cinta de 3/4" Ancho x 520" a 5</v>
      </c>
      <c r="C886" s="12">
        <v>2</v>
      </c>
      <c r="D886" s="13"/>
      <c r="E886" s="12">
        <v>218</v>
      </c>
      <c r="F886" s="14">
        <v>46066</v>
      </c>
      <c r="G886" s="34"/>
      <c r="H886" s="34" t="s">
        <v>223</v>
      </c>
      <c r="I886" s="34"/>
      <c r="J886" s="9" t="s">
        <v>207</v>
      </c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</row>
    <row r="887" spans="1:28" ht="14.25" customHeight="1" x14ac:dyDescent="0.35">
      <c r="A887" s="12">
        <v>303368</v>
      </c>
      <c r="B887" s="59" t="str">
        <f>IFERROR(VLOOKUP(Tabla1[[#This Row],[CODIGO]],INVENTARIO!A:B,2,0)," ")</f>
        <v>Cinta Plástica "Línea GN", 30 x 0.1</v>
      </c>
      <c r="C887" s="12">
        <v>10</v>
      </c>
      <c r="D887" s="13"/>
      <c r="E887" s="12">
        <v>218</v>
      </c>
      <c r="F887" s="14">
        <v>46066</v>
      </c>
      <c r="G887" s="34"/>
      <c r="H887" s="34" t="s">
        <v>223</v>
      </c>
      <c r="I887" s="34"/>
      <c r="J887" s="9" t="s">
        <v>207</v>
      </c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</row>
    <row r="888" spans="1:28" ht="14.25" customHeight="1" x14ac:dyDescent="0.35">
      <c r="A888" s="12">
        <v>303510</v>
      </c>
      <c r="B888" s="59" t="str">
        <f>IFERROR(VLOOKUP(Tabla1[[#This Row],[CODIGO]],INVENTARIO!A:B,2,0)," ")</f>
        <v>Guardallave Hormigón 125 mm con Tapa</v>
      </c>
      <c r="C888" s="12">
        <v>2</v>
      </c>
      <c r="D888" s="13"/>
      <c r="E888" s="12">
        <v>971</v>
      </c>
      <c r="F888" s="14">
        <v>46094</v>
      </c>
      <c r="G888" s="34"/>
      <c r="H888" s="34" t="s">
        <v>271</v>
      </c>
      <c r="I888" s="34"/>
      <c r="J888" s="9" t="s">
        <v>202</v>
      </c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</row>
    <row r="889" spans="1:28" ht="14.25" customHeight="1" x14ac:dyDescent="0.35">
      <c r="A889" s="12">
        <v>301749</v>
      </c>
      <c r="B889" s="59" t="str">
        <f>IFERROR(VLOOKUP(Tabla1[[#This Row],[CODIGO]],INVENTARIO!A:B,2,0)," ")</f>
        <v>Tubería PE80 025mm Rollo</v>
      </c>
      <c r="C889" s="12">
        <v>3</v>
      </c>
      <c r="D889" s="13"/>
      <c r="E889" s="12">
        <v>959</v>
      </c>
      <c r="F889" s="14">
        <v>46066</v>
      </c>
      <c r="G889" s="34"/>
      <c r="H889" s="34" t="s">
        <v>304</v>
      </c>
      <c r="I889" s="34"/>
      <c r="J889" s="9" t="s">
        <v>192</v>
      </c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</row>
    <row r="890" spans="1:28" ht="14.25" customHeight="1" x14ac:dyDescent="0.35">
      <c r="A890" s="12">
        <v>2000350</v>
      </c>
      <c r="B890" s="59" t="str">
        <f>IFERROR(VLOOKUP(Tabla1[[#This Row],[CODIGO]],INVENTARIO!A:B,2,0)," ")</f>
        <v>Codo PE 90º  25 mm EF.</v>
      </c>
      <c r="C890" s="12">
        <v>2</v>
      </c>
      <c r="D890" s="13"/>
      <c r="E890" s="12">
        <v>959</v>
      </c>
      <c r="F890" s="14">
        <v>46066</v>
      </c>
      <c r="G890" s="34"/>
      <c r="H890" s="34" t="s">
        <v>304</v>
      </c>
      <c r="I890" s="34"/>
      <c r="J890" s="9" t="s">
        <v>192</v>
      </c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</row>
    <row r="891" spans="1:28" ht="14.25" customHeight="1" x14ac:dyDescent="0.35">
      <c r="A891" s="12">
        <v>301329</v>
      </c>
      <c r="B891" s="59" t="str">
        <f>IFERROR(VLOOKUP(Tabla1[[#This Row],[CODIGO]],INVENTARIO!A:B,2,0)," ")</f>
        <v>Copla PE100 025mm EF</v>
      </c>
      <c r="C891" s="12">
        <v>2</v>
      </c>
      <c r="D891" s="13"/>
      <c r="E891" s="12">
        <v>959</v>
      </c>
      <c r="F891" s="14">
        <v>46066</v>
      </c>
      <c r="G891" s="34"/>
      <c r="H891" s="34" t="s">
        <v>304</v>
      </c>
      <c r="I891" s="34"/>
      <c r="J891" s="9" t="s">
        <v>192</v>
      </c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</row>
    <row r="892" spans="1:28" ht="14.25" customHeight="1" x14ac:dyDescent="0.35">
      <c r="A892" s="12">
        <v>303368</v>
      </c>
      <c r="B892" s="59" t="str">
        <f>IFERROR(VLOOKUP(Tabla1[[#This Row],[CODIGO]],INVENTARIO!A:B,2,0)," ")</f>
        <v>Cinta Plástica "Línea GN", 30 x 0.1</v>
      </c>
      <c r="C892" s="12">
        <v>3</v>
      </c>
      <c r="D892" s="13"/>
      <c r="E892" s="12">
        <v>959</v>
      </c>
      <c r="F892" s="14">
        <v>46066</v>
      </c>
      <c r="G892" s="34"/>
      <c r="H892" s="34" t="s">
        <v>304</v>
      </c>
      <c r="I892" s="34"/>
      <c r="J892" s="9" t="s">
        <v>192</v>
      </c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</row>
    <row r="893" spans="1:28" ht="14.25" customHeight="1" x14ac:dyDescent="0.35">
      <c r="A893" s="12">
        <v>301099</v>
      </c>
      <c r="B893" s="59" t="str">
        <f>IFERROR(VLOOKUP(Tabla1[[#This Row],[CODIGO]],INVENTARIO!A:B,2,0)," ")</f>
        <v>Válvula PE100 Dn 25mm</v>
      </c>
      <c r="C893" s="12">
        <v>1</v>
      </c>
      <c r="D893" s="13"/>
      <c r="E893" s="12">
        <v>959</v>
      </c>
      <c r="F893" s="14">
        <v>46066</v>
      </c>
      <c r="G893" s="34"/>
      <c r="H893" s="34" t="s">
        <v>304</v>
      </c>
      <c r="I893" s="34"/>
      <c r="J893" s="9" t="s">
        <v>192</v>
      </c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</row>
    <row r="894" spans="1:28" ht="14.25" customHeight="1" x14ac:dyDescent="0.35">
      <c r="A894" s="12">
        <v>2000350</v>
      </c>
      <c r="B894" s="59" t="str">
        <f>IFERROR(VLOOKUP(Tabla1[[#This Row],[CODIGO]],INVENTARIO!A:B,2,0)," ")</f>
        <v>Codo PE 90º  25 mm EF.</v>
      </c>
      <c r="C894" s="12">
        <v>15</v>
      </c>
      <c r="D894" s="13"/>
      <c r="E894" s="12">
        <v>962</v>
      </c>
      <c r="F894" s="14">
        <v>46066</v>
      </c>
      <c r="G894" s="34"/>
      <c r="H894" s="34" t="s">
        <v>226</v>
      </c>
      <c r="I894" s="34"/>
      <c r="J894" s="9" t="s">
        <v>194</v>
      </c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</row>
    <row r="895" spans="1:28" ht="14.25" customHeight="1" x14ac:dyDescent="0.35">
      <c r="A895" s="12">
        <v>302317</v>
      </c>
      <c r="B895" s="59" t="str">
        <f>IFERROR(VLOOKUP(Tabla1[[#This Row],[CODIGO]],INVENTARIO!A:B,2,0)," ")</f>
        <v>Tapa PE 110 mm Termo F.</v>
      </c>
      <c r="C895" s="12">
        <v>1</v>
      </c>
      <c r="D895" s="13"/>
      <c r="E895" s="12">
        <v>960</v>
      </c>
      <c r="F895" s="14">
        <v>46065</v>
      </c>
      <c r="G895" s="34"/>
      <c r="H895" s="34" t="s">
        <v>318</v>
      </c>
      <c r="I895" s="34"/>
      <c r="J895" s="9" t="s">
        <v>201</v>
      </c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</row>
    <row r="896" spans="1:28" ht="14.25" customHeight="1" x14ac:dyDescent="0.35">
      <c r="A896" s="12">
        <v>302991</v>
      </c>
      <c r="B896" s="59" t="str">
        <f>IFERROR(VLOOKUP(Tabla1[[#This Row],[CODIGO]],INVENTARIO!A:B,2,0)," ")</f>
        <v>Copla PE100 110mm EF</v>
      </c>
      <c r="C896" s="12">
        <v>1</v>
      </c>
      <c r="D896" s="13"/>
      <c r="E896" s="12">
        <v>960</v>
      </c>
      <c r="F896" s="14">
        <v>46065</v>
      </c>
      <c r="G896" s="34"/>
      <c r="H896" s="34" t="s">
        <v>318</v>
      </c>
      <c r="I896" s="34"/>
      <c r="J896" s="9" t="s">
        <v>201</v>
      </c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</row>
    <row r="897" spans="1:28" ht="14.25" customHeight="1" x14ac:dyDescent="0.35">
      <c r="A897" s="9" t="s">
        <v>292</v>
      </c>
      <c r="B897" s="59" t="str">
        <f>IFERROR(VLOOKUP(Tabla1[[#This Row],[CODIGO]],INVENTARIO!A:B,2,0)," ")</f>
        <v>Toalla Nova Clasica</v>
      </c>
      <c r="C897" s="12">
        <v>2</v>
      </c>
      <c r="D897" s="13"/>
      <c r="E897" s="12">
        <v>216</v>
      </c>
      <c r="F897" s="14">
        <v>46064</v>
      </c>
      <c r="G897" s="34"/>
      <c r="H897" s="34" t="s">
        <v>223</v>
      </c>
      <c r="I897" s="34"/>
      <c r="J897" s="9" t="s">
        <v>207</v>
      </c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</row>
    <row r="898" spans="1:28" ht="14.25" customHeight="1" x14ac:dyDescent="0.35">
      <c r="A898" s="9" t="s">
        <v>291</v>
      </c>
      <c r="B898" s="59" t="str">
        <f>IFERROR(VLOOKUP(Tabla1[[#This Row],[CODIGO]],INVENTARIO!A:B,2,0)," ")</f>
        <v>Alcohol Isopropilico  500 ml</v>
      </c>
      <c r="C898" s="12">
        <v>1</v>
      </c>
      <c r="D898" s="13"/>
      <c r="E898" s="12">
        <v>216</v>
      </c>
      <c r="F898" s="14">
        <v>46064</v>
      </c>
      <c r="G898" s="34"/>
      <c r="H898" s="34" t="s">
        <v>223</v>
      </c>
      <c r="I898" s="34"/>
      <c r="J898" s="9" t="s">
        <v>207</v>
      </c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</row>
    <row r="899" spans="1:28" ht="14.25" customHeight="1" x14ac:dyDescent="0.35">
      <c r="A899" s="12">
        <v>2005135</v>
      </c>
      <c r="B899" s="59" t="str">
        <f>IFERROR(VLOOKUP(Tabla1[[#This Row],[CODIGO]],INVENTARIO!A:B,2,0)," ")</f>
        <v>Tubo PVC 110 mm PN6 CG Amarillo Tira 6 m</v>
      </c>
      <c r="C899" s="12">
        <v>1</v>
      </c>
      <c r="D899" s="13"/>
      <c r="E899" s="12">
        <v>216</v>
      </c>
      <c r="F899" s="14">
        <v>46064</v>
      </c>
      <c r="G899" s="34"/>
      <c r="H899" s="34" t="s">
        <v>223</v>
      </c>
      <c r="I899" s="34"/>
      <c r="J899" s="9" t="s">
        <v>207</v>
      </c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</row>
    <row r="900" spans="1:28" ht="14.25" customHeight="1" x14ac:dyDescent="0.35">
      <c r="A900" s="12">
        <v>303368</v>
      </c>
      <c r="B900" s="59" t="str">
        <f>IFERROR(VLOOKUP(Tabla1[[#This Row],[CODIGO]],INVENTARIO!A:B,2,0)," ")</f>
        <v>Cinta Plástica "Línea GN", 30 x 0.1</v>
      </c>
      <c r="C900" s="12">
        <v>100</v>
      </c>
      <c r="D900" s="13"/>
      <c r="E900" s="12">
        <v>216</v>
      </c>
      <c r="F900" s="14">
        <v>46064</v>
      </c>
      <c r="G900" s="34"/>
      <c r="H900" s="34" t="s">
        <v>223</v>
      </c>
      <c r="I900" s="34"/>
      <c r="J900" s="9" t="s">
        <v>207</v>
      </c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</row>
    <row r="901" spans="1:28" ht="14.25" customHeight="1" x14ac:dyDescent="0.35">
      <c r="A901" s="12">
        <v>1002167</v>
      </c>
      <c r="B901" s="59" t="str">
        <f>IFERROR(VLOOKUP(Tabla1[[#This Row],[CODIGO]],INVENTARIO!A:B,2,0)," ")</f>
        <v>Cable Trazador Cu 14 AWG Aisl. THW Roj</v>
      </c>
      <c r="C901" s="12">
        <v>100</v>
      </c>
      <c r="D901" s="13"/>
      <c r="E901" s="12">
        <v>216</v>
      </c>
      <c r="F901" s="14">
        <v>46064</v>
      </c>
      <c r="G901" s="34"/>
      <c r="H901" s="34" t="s">
        <v>223</v>
      </c>
      <c r="I901" s="34"/>
      <c r="J901" s="9" t="s">
        <v>207</v>
      </c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</row>
    <row r="902" spans="1:28" ht="14.25" customHeight="1" x14ac:dyDescent="0.35">
      <c r="A902" s="12">
        <v>2002262</v>
      </c>
      <c r="B902" s="59" t="str">
        <f>IFERROR(VLOOKUP(Tabla1[[#This Row],[CODIGO]],INVENTARIO!A:B,2,0)," ")</f>
        <v>Tubería PE80 050mm Rollo</v>
      </c>
      <c r="C902" s="12">
        <v>100</v>
      </c>
      <c r="D902" s="13"/>
      <c r="E902" s="12">
        <v>216</v>
      </c>
      <c r="F902" s="14">
        <v>46064</v>
      </c>
      <c r="G902" s="34"/>
      <c r="H902" s="34" t="s">
        <v>223</v>
      </c>
      <c r="I902" s="34"/>
      <c r="J902" s="9" t="s">
        <v>207</v>
      </c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</row>
    <row r="903" spans="1:28" ht="14.25" customHeight="1" x14ac:dyDescent="0.35">
      <c r="A903" s="12">
        <v>303017</v>
      </c>
      <c r="B903" s="59" t="str">
        <f>IFERROR(VLOOKUP(Tabla1[[#This Row],[CODIGO]],INVENTARIO!A:B,2,0)," ")</f>
        <v>Codo PE100 90° 110mm EF</v>
      </c>
      <c r="C903" s="12">
        <v>4</v>
      </c>
      <c r="D903" s="13"/>
      <c r="E903" s="12">
        <v>952</v>
      </c>
      <c r="F903" s="14">
        <v>46064</v>
      </c>
      <c r="G903" s="34"/>
      <c r="H903" s="34" t="s">
        <v>314</v>
      </c>
      <c r="I903" s="34"/>
      <c r="J903" s="9" t="s">
        <v>201</v>
      </c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</row>
    <row r="904" spans="1:28" ht="14.25" customHeight="1" x14ac:dyDescent="0.35">
      <c r="A904" s="12">
        <v>2002263</v>
      </c>
      <c r="B904" s="59" t="str">
        <f>IFERROR(VLOOKUP(Tabla1[[#This Row],[CODIGO]],INVENTARIO!A:B,2,0)," ")</f>
        <v>Tubería PE80 063mm Rollo</v>
      </c>
      <c r="C904" s="12">
        <v>50</v>
      </c>
      <c r="D904" s="13"/>
      <c r="E904" s="12">
        <v>953</v>
      </c>
      <c r="F904" s="14">
        <v>46064</v>
      </c>
      <c r="G904" s="34"/>
      <c r="H904" s="34" t="s">
        <v>305</v>
      </c>
      <c r="I904" s="34"/>
      <c r="J904" s="9" t="s">
        <v>202</v>
      </c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</row>
    <row r="905" spans="1:28" ht="14.25" customHeight="1" x14ac:dyDescent="0.35">
      <c r="A905" s="12">
        <v>1002167</v>
      </c>
      <c r="B905" s="59" t="str">
        <f>IFERROR(VLOOKUP(Tabla1[[#This Row],[CODIGO]],INVENTARIO!A:B,2,0)," ")</f>
        <v>Cable Trazador Cu 14 AWG Aisl. THW Roj</v>
      </c>
      <c r="C905" s="12">
        <v>50</v>
      </c>
      <c r="D905" s="13"/>
      <c r="E905" s="12">
        <v>953</v>
      </c>
      <c r="F905" s="14">
        <v>46064</v>
      </c>
      <c r="G905" s="34"/>
      <c r="H905" s="34" t="s">
        <v>305</v>
      </c>
      <c r="I905" s="34"/>
      <c r="J905" s="9" t="s">
        <v>202</v>
      </c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</row>
    <row r="906" spans="1:28" ht="14.25" customHeight="1" x14ac:dyDescent="0.35">
      <c r="A906" s="12">
        <v>303368</v>
      </c>
      <c r="B906" s="59" t="str">
        <f>IFERROR(VLOOKUP(Tabla1[[#This Row],[CODIGO]],INVENTARIO!A:B,2,0)," ")</f>
        <v>Cinta Plástica "Línea GN", 30 x 0.1</v>
      </c>
      <c r="C906" s="12">
        <v>50</v>
      </c>
      <c r="D906" s="13"/>
      <c r="E906" s="12">
        <v>953</v>
      </c>
      <c r="F906" s="14">
        <v>46064</v>
      </c>
      <c r="G906" s="34"/>
      <c r="H906" s="34" t="s">
        <v>305</v>
      </c>
      <c r="I906" s="34"/>
      <c r="J906" s="9" t="s">
        <v>202</v>
      </c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</row>
    <row r="907" spans="1:28" ht="14.25" customHeight="1" x14ac:dyDescent="0.35">
      <c r="A907" s="12">
        <v>101624</v>
      </c>
      <c r="B907" s="59" t="str">
        <f>IFERROR(VLOOKUP(Tabla1[[#This Row],[CODIGO]],INVENTARIO!A:B,2,0)," ")</f>
        <v>Tapping Tee PE 50-25 mm</v>
      </c>
      <c r="C907" s="12">
        <v>1</v>
      </c>
      <c r="D907" s="13"/>
      <c r="E907" s="12">
        <v>945</v>
      </c>
      <c r="F907" s="14">
        <v>46063</v>
      </c>
      <c r="G907" s="34"/>
      <c r="H907" s="34" t="s">
        <v>304</v>
      </c>
      <c r="I907" s="34"/>
      <c r="J907" s="9" t="s">
        <v>204</v>
      </c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</row>
    <row r="908" spans="1:28" ht="14.25" customHeight="1" x14ac:dyDescent="0.35">
      <c r="A908" s="12">
        <v>301099</v>
      </c>
      <c r="B908" s="59" t="str">
        <f>IFERROR(VLOOKUP(Tabla1[[#This Row],[CODIGO]],INVENTARIO!A:B,2,0)," ")</f>
        <v>Válvula PE100 Dn 25mm</v>
      </c>
      <c r="C908" s="12">
        <v>1</v>
      </c>
      <c r="D908" s="13"/>
      <c r="E908" s="12">
        <v>945</v>
      </c>
      <c r="F908" s="14">
        <v>46063</v>
      </c>
      <c r="G908" s="34"/>
      <c r="H908" s="34" t="s">
        <v>304</v>
      </c>
      <c r="I908" s="34"/>
      <c r="J908" s="9" t="s">
        <v>204</v>
      </c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</row>
    <row r="909" spans="1:28" ht="14.25" customHeight="1" x14ac:dyDescent="0.35">
      <c r="A909" s="12">
        <v>301329</v>
      </c>
      <c r="B909" s="59" t="str">
        <f>IFERROR(VLOOKUP(Tabla1[[#This Row],[CODIGO]],INVENTARIO!A:B,2,0)," ")</f>
        <v>Copla PE100 025mm EF</v>
      </c>
      <c r="C909" s="12">
        <v>4</v>
      </c>
      <c r="D909" s="13"/>
      <c r="E909" s="12">
        <v>945</v>
      </c>
      <c r="F909" s="14">
        <v>46063</v>
      </c>
      <c r="G909" s="34"/>
      <c r="H909" s="34" t="s">
        <v>304</v>
      </c>
      <c r="I909" s="34"/>
      <c r="J909" s="9" t="s">
        <v>204</v>
      </c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</row>
    <row r="910" spans="1:28" ht="14.25" customHeight="1" x14ac:dyDescent="0.35">
      <c r="A910" s="12">
        <v>300109</v>
      </c>
      <c r="B910" s="59" t="str">
        <f>IFERROR(VLOOKUP(Tabla1[[#This Row],[CODIGO]],INVENTARIO!A:B,2,0)," ")</f>
        <v>Risers de Acero 3/4" Bsp x 25 mm</v>
      </c>
      <c r="C910" s="12">
        <v>1</v>
      </c>
      <c r="D910" s="13"/>
      <c r="E910" s="12">
        <v>945</v>
      </c>
      <c r="F910" s="14">
        <v>46063</v>
      </c>
      <c r="G910" s="34"/>
      <c r="H910" s="34" t="s">
        <v>304</v>
      </c>
      <c r="I910" s="34"/>
      <c r="J910" s="9" t="s">
        <v>204</v>
      </c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</row>
    <row r="911" spans="1:28" ht="14.25" customHeight="1" x14ac:dyDescent="0.35">
      <c r="A911" s="12">
        <v>2003911</v>
      </c>
      <c r="B911" s="59" t="str">
        <f>IFERROR(VLOOKUP(Tabla1[[#This Row],[CODIGO]],INVENTARIO!A:B,2,0)," ")</f>
        <v>Válvula EFv PE 25 mm Para Tap. Tee</v>
      </c>
      <c r="C911" s="12">
        <v>1</v>
      </c>
      <c r="D911" s="13"/>
      <c r="E911" s="12">
        <v>945</v>
      </c>
      <c r="F911" s="14">
        <v>46063</v>
      </c>
      <c r="G911" s="34"/>
      <c r="H911" s="34" t="s">
        <v>304</v>
      </c>
      <c r="I911" s="34"/>
      <c r="J911" s="9" t="s">
        <v>204</v>
      </c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</row>
    <row r="912" spans="1:28" ht="14.25" customHeight="1" x14ac:dyDescent="0.35">
      <c r="A912" s="12">
        <v>301749</v>
      </c>
      <c r="B912" s="59" t="str">
        <f>IFERROR(VLOOKUP(Tabla1[[#This Row],[CODIGO]],INVENTARIO!A:B,2,0)," ")</f>
        <v>Tubería PE80 025mm Rollo</v>
      </c>
      <c r="C912" s="12">
        <v>7</v>
      </c>
      <c r="D912" s="13"/>
      <c r="E912" s="12">
        <v>945</v>
      </c>
      <c r="F912" s="14">
        <v>46063</v>
      </c>
      <c r="G912" s="34"/>
      <c r="H912" s="34" t="s">
        <v>304</v>
      </c>
      <c r="I912" s="34"/>
      <c r="J912" s="9" t="s">
        <v>204</v>
      </c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</row>
    <row r="913" spans="1:28" ht="14.25" customHeight="1" x14ac:dyDescent="0.35">
      <c r="A913" s="12">
        <v>2006391</v>
      </c>
      <c r="B913" s="59" t="str">
        <f>IFERROR(VLOOKUP(Tabla1[[#This Row],[CODIGO]],INVENTARIO!A:B,2,0)," ")</f>
        <v>Guardallave Fierro Fundido C/Tapa</v>
      </c>
      <c r="C913" s="12">
        <v>1</v>
      </c>
      <c r="D913" s="13"/>
      <c r="E913" s="12">
        <v>945</v>
      </c>
      <c r="F913" s="14">
        <v>46063</v>
      </c>
      <c r="G913" s="34"/>
      <c r="H913" s="34" t="s">
        <v>304</v>
      </c>
      <c r="I913" s="34"/>
      <c r="J913" s="9" t="s">
        <v>204</v>
      </c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</row>
    <row r="914" spans="1:28" ht="14.25" customHeight="1" x14ac:dyDescent="0.35">
      <c r="A914" s="12">
        <v>302737</v>
      </c>
      <c r="B914" s="59" t="str">
        <f>IFERROR(VLOOKUP(Tabla1[[#This Row],[CODIGO]],INVENTARIO!A:B,2,0)," ")</f>
        <v>Válvula Bola 3/4" Hi Un Cuerpo Pn5 Arco</v>
      </c>
      <c r="C914" s="12">
        <v>1</v>
      </c>
      <c r="D914" s="13"/>
      <c r="E914" s="12">
        <v>945</v>
      </c>
      <c r="F914" s="14">
        <v>46063</v>
      </c>
      <c r="G914" s="34"/>
      <c r="H914" s="34" t="s">
        <v>304</v>
      </c>
      <c r="I914" s="34"/>
      <c r="J914" s="9" t="s">
        <v>204</v>
      </c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</row>
    <row r="915" spans="1:28" ht="14.25" customHeight="1" x14ac:dyDescent="0.35">
      <c r="A915" s="12">
        <v>302184</v>
      </c>
      <c r="B915" s="59" t="str">
        <f>IFERROR(VLOOKUP(Tabla1[[#This Row],[CODIGO]],INVENTARIO!A:B,2,0)," ")</f>
        <v>Tapa Tornillo Cambio de Codigo por: 2008481</v>
      </c>
      <c r="C915" s="12">
        <v>1</v>
      </c>
      <c r="D915" s="13"/>
      <c r="E915" s="12">
        <v>945</v>
      </c>
      <c r="F915" s="14">
        <v>46063</v>
      </c>
      <c r="G915" s="34"/>
      <c r="H915" s="34" t="s">
        <v>304</v>
      </c>
      <c r="I915" s="34"/>
      <c r="J915" s="9" t="s">
        <v>204</v>
      </c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</row>
    <row r="916" spans="1:28" ht="14.25" customHeight="1" x14ac:dyDescent="0.35">
      <c r="A916" s="12">
        <v>303368</v>
      </c>
      <c r="B916" s="59" t="str">
        <f>IFERROR(VLOOKUP(Tabla1[[#This Row],[CODIGO]],INVENTARIO!A:B,2,0)," ")</f>
        <v>Cinta Plástica "Línea GN", 30 x 0.1</v>
      </c>
      <c r="C916" s="12">
        <v>7</v>
      </c>
      <c r="D916" s="13"/>
      <c r="E916" s="12">
        <v>945</v>
      </c>
      <c r="F916" s="14">
        <v>46063</v>
      </c>
      <c r="G916" s="34"/>
      <c r="H916" s="34" t="s">
        <v>304</v>
      </c>
      <c r="I916" s="34"/>
      <c r="J916" s="9" t="s">
        <v>204</v>
      </c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</row>
    <row r="917" spans="1:28" ht="14.25" customHeight="1" x14ac:dyDescent="0.35">
      <c r="A917" s="12">
        <v>2007948</v>
      </c>
      <c r="B917" s="59" t="str">
        <f>IFERROR(VLOOKUP(Tabla1[[#This Row],[CODIGO]],INVENTARIO!A:B,2,0)," ")</f>
        <v>Tubo PVC Hidraulico 110 mm Pn6 Celeste</v>
      </c>
      <c r="C917" s="12">
        <v>1</v>
      </c>
      <c r="D917" s="13"/>
      <c r="E917" s="12">
        <v>945</v>
      </c>
      <c r="F917" s="14">
        <v>46063</v>
      </c>
      <c r="G917" s="34"/>
      <c r="H917" s="34" t="s">
        <v>304</v>
      </c>
      <c r="I917" s="34"/>
      <c r="J917" s="9" t="s">
        <v>204</v>
      </c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</row>
    <row r="918" spans="1:28" ht="14.25" customHeight="1" x14ac:dyDescent="0.35">
      <c r="A918" s="9" t="s">
        <v>292</v>
      </c>
      <c r="B918" s="59" t="str">
        <f>IFERROR(VLOOKUP(Tabla1[[#This Row],[CODIGO]],INVENTARIO!A:B,2,0)," ")</f>
        <v>Toalla Nova Clasica</v>
      </c>
      <c r="C918" s="12">
        <v>1</v>
      </c>
      <c r="D918" s="13"/>
      <c r="E918" s="12">
        <v>946</v>
      </c>
      <c r="F918" s="14">
        <v>46063</v>
      </c>
      <c r="G918" s="34"/>
      <c r="H918" s="34" t="s">
        <v>269</v>
      </c>
      <c r="I918" s="34"/>
      <c r="J918" s="9" t="s">
        <v>202</v>
      </c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</row>
    <row r="919" spans="1:28" ht="14.25" customHeight="1" x14ac:dyDescent="0.35">
      <c r="A919" s="12">
        <v>300130</v>
      </c>
      <c r="B919" s="59" t="str">
        <f>IFERROR(VLOOKUP(Tabla1[[#This Row],[CODIGO]],INVENTARIO!A:B,2,0)," ")</f>
        <v>Tee PE  63 mm Electro F.</v>
      </c>
      <c r="C919" s="12">
        <v>2</v>
      </c>
      <c r="D919" s="13"/>
      <c r="E919" s="12">
        <v>947</v>
      </c>
      <c r="F919" s="14">
        <v>46063</v>
      </c>
      <c r="G919" s="34"/>
      <c r="H919" s="34" t="s">
        <v>271</v>
      </c>
      <c r="I919" s="34"/>
      <c r="J919" s="9" t="s">
        <v>202</v>
      </c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</row>
    <row r="920" spans="1:28" ht="14.25" customHeight="1" x14ac:dyDescent="0.35">
      <c r="A920" s="12">
        <v>302659</v>
      </c>
      <c r="B920" s="59" t="str">
        <f>IFERROR(VLOOKUP(Tabla1[[#This Row],[CODIGO]],INVENTARIO!A:B,2,0)," ")</f>
        <v>Copla PE100 063mm EF</v>
      </c>
      <c r="C920" s="12">
        <v>4</v>
      </c>
      <c r="D920" s="13"/>
      <c r="E920" s="12">
        <v>947</v>
      </c>
      <c r="F920" s="14">
        <v>46063</v>
      </c>
      <c r="G920" s="34"/>
      <c r="H920" s="34" t="s">
        <v>271</v>
      </c>
      <c r="I920" s="34"/>
      <c r="J920" s="9" t="s">
        <v>202</v>
      </c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</row>
    <row r="921" spans="1:28" ht="14.25" customHeight="1" x14ac:dyDescent="0.35">
      <c r="A921" s="12">
        <v>301987</v>
      </c>
      <c r="B921" s="59" t="str">
        <f>IFERROR(VLOOKUP(Tabla1[[#This Row],[CODIGO]],INVENTARIO!A:B,2,0)," ")</f>
        <v>Codo PE100 90° 063mm EF</v>
      </c>
      <c r="C921" s="12">
        <v>1</v>
      </c>
      <c r="D921" s="13"/>
      <c r="E921" s="12">
        <v>947</v>
      </c>
      <c r="F921" s="14">
        <v>46063</v>
      </c>
      <c r="G921" s="34"/>
      <c r="H921" s="34" t="s">
        <v>271</v>
      </c>
      <c r="I921" s="34"/>
      <c r="J921" s="9" t="s">
        <v>202</v>
      </c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</row>
    <row r="922" spans="1:28" ht="14.25" customHeight="1" x14ac:dyDescent="0.35">
      <c r="A922" s="12">
        <v>2005135</v>
      </c>
      <c r="B922" s="59" t="str">
        <f>IFERROR(VLOOKUP(Tabla1[[#This Row],[CODIGO]],INVENTARIO!A:B,2,0)," ")</f>
        <v>Tubo PVC 110 mm PN6 CG Amarillo Tira 6 m</v>
      </c>
      <c r="C922" s="12">
        <v>1</v>
      </c>
      <c r="D922" s="13"/>
      <c r="E922" s="12">
        <v>215</v>
      </c>
      <c r="F922" s="14">
        <v>46063</v>
      </c>
      <c r="G922" s="34"/>
      <c r="H922" s="34" t="s">
        <v>223</v>
      </c>
      <c r="I922" s="34"/>
      <c r="J922" s="9" t="s">
        <v>207</v>
      </c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</row>
    <row r="923" spans="1:28" ht="14.25" customHeight="1" x14ac:dyDescent="0.35">
      <c r="A923" s="12">
        <v>101624</v>
      </c>
      <c r="B923" s="59" t="str">
        <f>IFERROR(VLOOKUP(Tabla1[[#This Row],[CODIGO]],INVENTARIO!A:B,2,0)," ")</f>
        <v>Tapping Tee PE 50-25 mm</v>
      </c>
      <c r="C923" s="12">
        <v>5</v>
      </c>
      <c r="D923" s="13"/>
      <c r="E923" s="12">
        <v>215</v>
      </c>
      <c r="F923" s="14">
        <v>46063</v>
      </c>
      <c r="G923" s="34"/>
      <c r="H923" s="34" t="s">
        <v>223</v>
      </c>
      <c r="I923" s="34"/>
      <c r="J923" s="9" t="s">
        <v>207</v>
      </c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</row>
    <row r="924" spans="1:28" ht="14.25" customHeight="1" x14ac:dyDescent="0.35">
      <c r="A924" s="12">
        <v>2003911</v>
      </c>
      <c r="B924" s="59" t="str">
        <f>IFERROR(VLOOKUP(Tabla1[[#This Row],[CODIGO]],INVENTARIO!A:B,2,0)," ")</f>
        <v>Válvula EFv PE 25 mm Para Tap. Tee</v>
      </c>
      <c r="C924" s="12">
        <v>5</v>
      </c>
      <c r="D924" s="13"/>
      <c r="E924" s="12">
        <v>215</v>
      </c>
      <c r="F924" s="14">
        <v>46063</v>
      </c>
      <c r="G924" s="34"/>
      <c r="H924" s="34" t="s">
        <v>223</v>
      </c>
      <c r="I924" s="34"/>
      <c r="J924" s="9" t="s">
        <v>207</v>
      </c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</row>
    <row r="925" spans="1:28" ht="14.25" customHeight="1" x14ac:dyDescent="0.35">
      <c r="A925" s="12">
        <v>301329</v>
      </c>
      <c r="B925" s="59" t="str">
        <f>IFERROR(VLOOKUP(Tabla1[[#This Row],[CODIGO]],INVENTARIO!A:B,2,0)," ")</f>
        <v>Copla PE100 025mm EF</v>
      </c>
      <c r="C925" s="12">
        <v>15</v>
      </c>
      <c r="D925" s="13"/>
      <c r="E925" s="12">
        <v>215</v>
      </c>
      <c r="F925" s="14">
        <v>46063</v>
      </c>
      <c r="G925" s="34"/>
      <c r="H925" s="34" t="s">
        <v>223</v>
      </c>
      <c r="I925" s="34"/>
      <c r="J925" s="9" t="s">
        <v>207</v>
      </c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</row>
    <row r="926" spans="1:28" ht="14.25" customHeight="1" x14ac:dyDescent="0.35">
      <c r="A926" s="12">
        <v>301099</v>
      </c>
      <c r="B926" s="59" t="str">
        <f>IFERROR(VLOOKUP(Tabla1[[#This Row],[CODIGO]],INVENTARIO!A:B,2,0)," ")</f>
        <v>Válvula PE100 Dn 25mm</v>
      </c>
      <c r="C926" s="12">
        <v>5</v>
      </c>
      <c r="D926" s="13"/>
      <c r="E926" s="12">
        <v>215</v>
      </c>
      <c r="F926" s="14">
        <v>46063</v>
      </c>
      <c r="G926" s="34"/>
      <c r="H926" s="34" t="s">
        <v>223</v>
      </c>
      <c r="I926" s="34"/>
      <c r="J926" s="9" t="s">
        <v>207</v>
      </c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</row>
    <row r="927" spans="1:28" ht="14.25" customHeight="1" x14ac:dyDescent="0.35">
      <c r="A927" s="12">
        <v>300109</v>
      </c>
      <c r="B927" s="59" t="str">
        <f>IFERROR(VLOOKUP(Tabla1[[#This Row],[CODIGO]],INVENTARIO!A:B,2,0)," ")</f>
        <v>Risers de Acero 3/4" Bsp x 25 mm</v>
      </c>
      <c r="C927" s="12">
        <v>5</v>
      </c>
      <c r="D927" s="13"/>
      <c r="E927" s="12">
        <v>215</v>
      </c>
      <c r="F927" s="14">
        <v>46063</v>
      </c>
      <c r="G927" s="34"/>
      <c r="H927" s="34" t="s">
        <v>223</v>
      </c>
      <c r="I927" s="34"/>
      <c r="J927" s="9" t="s">
        <v>207</v>
      </c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</row>
    <row r="928" spans="1:28" ht="14.25" customHeight="1" x14ac:dyDescent="0.35">
      <c r="A928" s="12">
        <v>302737</v>
      </c>
      <c r="B928" s="59" t="str">
        <f>IFERROR(VLOOKUP(Tabla1[[#This Row],[CODIGO]],INVENTARIO!A:B,2,0)," ")</f>
        <v>Válvula Bola 3/4" Hi Un Cuerpo Pn5 Arco</v>
      </c>
      <c r="C928" s="12">
        <v>5</v>
      </c>
      <c r="D928" s="13"/>
      <c r="E928" s="12">
        <v>215</v>
      </c>
      <c r="F928" s="14">
        <v>46063</v>
      </c>
      <c r="G928" s="34"/>
      <c r="H928" s="34" t="s">
        <v>223</v>
      </c>
      <c r="I928" s="34"/>
      <c r="J928" s="9" t="s">
        <v>207</v>
      </c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</row>
    <row r="929" spans="1:28" ht="14.25" customHeight="1" x14ac:dyDescent="0.35">
      <c r="A929" s="12">
        <v>302184</v>
      </c>
      <c r="B929" s="59" t="str">
        <f>IFERROR(VLOOKUP(Tabla1[[#This Row],[CODIGO]],INVENTARIO!A:B,2,0)," ")</f>
        <v>Tapa Tornillo Cambio de Codigo por: 2008481</v>
      </c>
      <c r="C929" s="12">
        <v>5</v>
      </c>
      <c r="D929" s="13"/>
      <c r="E929" s="12">
        <v>215</v>
      </c>
      <c r="F929" s="14">
        <v>46063</v>
      </c>
      <c r="G929" s="34"/>
      <c r="H929" s="34" t="s">
        <v>223</v>
      </c>
      <c r="I929" s="34"/>
      <c r="J929" s="9" t="s">
        <v>207</v>
      </c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</row>
    <row r="930" spans="1:28" ht="14.25" customHeight="1" x14ac:dyDescent="0.35">
      <c r="A930" s="12">
        <v>2007948</v>
      </c>
      <c r="B930" s="59" t="str">
        <f>IFERROR(VLOOKUP(Tabla1[[#This Row],[CODIGO]],INVENTARIO!A:B,2,0)," ")</f>
        <v>Tubo PVC Hidraulico 110 mm Pn6 Celeste</v>
      </c>
      <c r="C930" s="12">
        <v>5</v>
      </c>
      <c r="D930" s="13"/>
      <c r="E930" s="12">
        <v>215</v>
      </c>
      <c r="F930" s="14">
        <v>46063</v>
      </c>
      <c r="G930" s="34"/>
      <c r="H930" s="34" t="s">
        <v>223</v>
      </c>
      <c r="I930" s="34"/>
      <c r="J930" s="9" t="s">
        <v>207</v>
      </c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</row>
    <row r="931" spans="1:28" ht="14.25" customHeight="1" x14ac:dyDescent="0.35">
      <c r="A931" s="12">
        <v>2006391</v>
      </c>
      <c r="B931" s="59" t="str">
        <f>IFERROR(VLOOKUP(Tabla1[[#This Row],[CODIGO]],INVENTARIO!A:B,2,0)," ")</f>
        <v>Guardallave Fierro Fundido C/Tapa</v>
      </c>
      <c r="C931" s="12">
        <v>5</v>
      </c>
      <c r="D931" s="13"/>
      <c r="E931" s="12">
        <v>215</v>
      </c>
      <c r="F931" s="14">
        <v>46063</v>
      </c>
      <c r="G931" s="34"/>
      <c r="H931" s="34" t="s">
        <v>223</v>
      </c>
      <c r="I931" s="34"/>
      <c r="J931" s="9" t="s">
        <v>207</v>
      </c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</row>
    <row r="932" spans="1:28" ht="14.25" customHeight="1" x14ac:dyDescent="0.35">
      <c r="A932" s="12">
        <v>1000720</v>
      </c>
      <c r="B932" s="59" t="str">
        <f>IFERROR(VLOOKUP(Tabla1[[#This Row],[CODIGO]],INVENTARIO!A:B,2,0)," ")</f>
        <v>Teflón en Cinta de 3/4" Ancho x 520" a 5</v>
      </c>
      <c r="C932" s="12">
        <v>1</v>
      </c>
      <c r="D932" s="13"/>
      <c r="E932" s="12">
        <v>215</v>
      </c>
      <c r="F932" s="14">
        <v>46063</v>
      </c>
      <c r="G932" s="34"/>
      <c r="H932" s="34" t="s">
        <v>223</v>
      </c>
      <c r="I932" s="34"/>
      <c r="J932" s="9" t="s">
        <v>207</v>
      </c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</row>
    <row r="933" spans="1:28" ht="14.25" customHeight="1" x14ac:dyDescent="0.35">
      <c r="A933" s="12">
        <v>303345</v>
      </c>
      <c r="B933" s="59" t="str">
        <f>IFERROR(VLOOKUP(Tabla1[[#This Row],[CODIGO]],INVENTARIO!A:B,2,0)," ")</f>
        <v>Copla PE100 050mm EF</v>
      </c>
      <c r="C933" s="12">
        <v>4</v>
      </c>
      <c r="D933" s="13"/>
      <c r="E933" s="12">
        <v>950</v>
      </c>
      <c r="F933" s="14">
        <v>46063</v>
      </c>
      <c r="G933" s="34"/>
      <c r="H933" s="34" t="s">
        <v>312</v>
      </c>
      <c r="I933" s="34"/>
      <c r="J933" s="9" t="s">
        <v>207</v>
      </c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</row>
    <row r="934" spans="1:28" ht="14.25" customHeight="1" x14ac:dyDescent="0.35">
      <c r="A934" s="12">
        <v>301327</v>
      </c>
      <c r="B934" s="59" t="str">
        <f>IFERROR(VLOOKUP(Tabla1[[#This Row],[CODIGO]],INVENTARIO!A:B,2,0)," ")</f>
        <v>Tapa PE  050 mm Termo F.</v>
      </c>
      <c r="C934" s="12">
        <v>2</v>
      </c>
      <c r="D934" s="13"/>
      <c r="E934" s="12">
        <v>950</v>
      </c>
      <c r="F934" s="14">
        <v>46063</v>
      </c>
      <c r="G934" s="34"/>
      <c r="H934" s="34" t="s">
        <v>312</v>
      </c>
      <c r="I934" s="34"/>
      <c r="J934" s="9" t="s">
        <v>207</v>
      </c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</row>
    <row r="935" spans="1:28" ht="14.25" customHeight="1" x14ac:dyDescent="0.35">
      <c r="A935" s="12">
        <v>101624</v>
      </c>
      <c r="B935" s="59" t="str">
        <f>IFERROR(VLOOKUP(Tabla1[[#This Row],[CODIGO]],INVENTARIO!A:B,2,0)," ")</f>
        <v>Tapping Tee PE 50-25 mm</v>
      </c>
      <c r="C935" s="12">
        <v>5</v>
      </c>
      <c r="D935" s="13"/>
      <c r="E935" s="12">
        <v>212</v>
      </c>
      <c r="F935" s="14">
        <v>46058</v>
      </c>
      <c r="G935" s="34"/>
      <c r="H935" s="34" t="s">
        <v>223</v>
      </c>
      <c r="I935" s="34"/>
      <c r="J935" s="9" t="s">
        <v>207</v>
      </c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</row>
    <row r="936" spans="1:28" ht="14.25" customHeight="1" x14ac:dyDescent="0.35">
      <c r="A936" s="12">
        <v>2003911</v>
      </c>
      <c r="B936" s="59" t="str">
        <f>IFERROR(VLOOKUP(Tabla1[[#This Row],[CODIGO]],INVENTARIO!A:B,2,0)," ")</f>
        <v>Válvula EFv PE 25 mm Para Tap. Tee</v>
      </c>
      <c r="C936" s="12">
        <v>5</v>
      </c>
      <c r="D936" s="13"/>
      <c r="E936" s="12">
        <v>212</v>
      </c>
      <c r="F936" s="14">
        <v>46058</v>
      </c>
      <c r="G936" s="34"/>
      <c r="H936" s="34" t="s">
        <v>223</v>
      </c>
      <c r="I936" s="34"/>
      <c r="J936" s="9" t="s">
        <v>207</v>
      </c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</row>
    <row r="937" spans="1:28" ht="14.25" customHeight="1" x14ac:dyDescent="0.35">
      <c r="A937" s="12">
        <v>301329</v>
      </c>
      <c r="B937" s="59" t="str">
        <f>IFERROR(VLOOKUP(Tabla1[[#This Row],[CODIGO]],INVENTARIO!A:B,2,0)," ")</f>
        <v>Copla PE100 025mm EF</v>
      </c>
      <c r="C937" s="12">
        <v>15</v>
      </c>
      <c r="D937" s="13"/>
      <c r="E937" s="12">
        <v>212</v>
      </c>
      <c r="F937" s="14">
        <v>46058</v>
      </c>
      <c r="G937" s="34"/>
      <c r="H937" s="34" t="s">
        <v>223</v>
      </c>
      <c r="I937" s="34"/>
      <c r="J937" s="9" t="s">
        <v>207</v>
      </c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</row>
    <row r="938" spans="1:28" ht="14.25" customHeight="1" x14ac:dyDescent="0.35">
      <c r="A938" s="12">
        <v>2000350</v>
      </c>
      <c r="B938" s="59" t="str">
        <f>IFERROR(VLOOKUP(Tabla1[[#This Row],[CODIGO]],INVENTARIO!A:B,2,0)," ")</f>
        <v>Codo PE 90º  25 mm EF.</v>
      </c>
      <c r="C938" s="12">
        <v>5</v>
      </c>
      <c r="D938" s="13"/>
      <c r="E938" s="12">
        <v>212</v>
      </c>
      <c r="F938" s="14">
        <v>46058</v>
      </c>
      <c r="G938" s="34"/>
      <c r="H938" s="34" t="s">
        <v>223</v>
      </c>
      <c r="I938" s="34"/>
      <c r="J938" s="9" t="s">
        <v>207</v>
      </c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</row>
    <row r="939" spans="1:28" ht="14.25" customHeight="1" x14ac:dyDescent="0.35">
      <c r="A939" s="12">
        <v>301099</v>
      </c>
      <c r="B939" s="59" t="str">
        <f>IFERROR(VLOOKUP(Tabla1[[#This Row],[CODIGO]],INVENTARIO!A:B,2,0)," ")</f>
        <v>Válvula PE100 Dn 25mm</v>
      </c>
      <c r="C939" s="12">
        <v>5</v>
      </c>
      <c r="D939" s="13"/>
      <c r="E939" s="12">
        <v>212</v>
      </c>
      <c r="F939" s="14">
        <v>46058</v>
      </c>
      <c r="G939" s="34"/>
      <c r="H939" s="34" t="s">
        <v>223</v>
      </c>
      <c r="I939" s="34"/>
      <c r="J939" s="9" t="s">
        <v>207</v>
      </c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</row>
    <row r="940" spans="1:28" ht="14.25" customHeight="1" x14ac:dyDescent="0.35">
      <c r="A940" s="12">
        <v>302737</v>
      </c>
      <c r="B940" s="59" t="str">
        <f>IFERROR(VLOOKUP(Tabla1[[#This Row],[CODIGO]],INVENTARIO!A:B,2,0)," ")</f>
        <v>Válvula Bola 3/4" Hi Un Cuerpo Pn5 Arco</v>
      </c>
      <c r="C940" s="12">
        <v>5</v>
      </c>
      <c r="D940" s="13"/>
      <c r="E940" s="12">
        <v>212</v>
      </c>
      <c r="F940" s="14">
        <v>46058</v>
      </c>
      <c r="G940" s="34"/>
      <c r="H940" s="34" t="s">
        <v>223</v>
      </c>
      <c r="I940" s="34"/>
      <c r="J940" s="9" t="s">
        <v>207</v>
      </c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</row>
    <row r="941" spans="1:28" ht="14.25" customHeight="1" x14ac:dyDescent="0.35">
      <c r="A941" s="12">
        <v>2008481</v>
      </c>
      <c r="B941" s="59" t="str">
        <f>IFERROR(VLOOKUP(Tabla1[[#This Row],[CODIGO]],INVENTARIO!A:B,2,0)," ")</f>
        <v>Tapa Tornillo Bronce 3/4" HE Bspt.</v>
      </c>
      <c r="C941" s="12">
        <v>5</v>
      </c>
      <c r="D941" s="13"/>
      <c r="E941" s="12">
        <v>212</v>
      </c>
      <c r="F941" s="14">
        <v>46058</v>
      </c>
      <c r="G941" s="34"/>
      <c r="H941" s="34" t="s">
        <v>223</v>
      </c>
      <c r="I941" s="34"/>
      <c r="J941" s="9" t="s">
        <v>207</v>
      </c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</row>
    <row r="942" spans="1:28" ht="14.25" customHeight="1" x14ac:dyDescent="0.35">
      <c r="A942" s="12">
        <v>2007948</v>
      </c>
      <c r="B942" s="59" t="str">
        <f>IFERROR(VLOOKUP(Tabla1[[#This Row],[CODIGO]],INVENTARIO!A:B,2,0)," ")</f>
        <v>Tubo PVC Hidraulico 110 mm Pn6 Celeste</v>
      </c>
      <c r="C942" s="12">
        <v>5</v>
      </c>
      <c r="D942" s="13"/>
      <c r="E942" s="12">
        <v>212</v>
      </c>
      <c r="F942" s="14">
        <v>46058</v>
      </c>
      <c r="G942" s="34"/>
      <c r="H942" s="34" t="s">
        <v>223</v>
      </c>
      <c r="I942" s="34"/>
      <c r="J942" s="9" t="s">
        <v>207</v>
      </c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</row>
    <row r="943" spans="1:28" ht="14.25" customHeight="1" x14ac:dyDescent="0.35">
      <c r="A943" s="12">
        <v>2006391</v>
      </c>
      <c r="B943" s="59" t="str">
        <f>IFERROR(VLOOKUP(Tabla1[[#This Row],[CODIGO]],INVENTARIO!A:B,2,0)," ")</f>
        <v>Guardallave Fierro Fundido C/Tapa</v>
      </c>
      <c r="C943" s="12">
        <v>5</v>
      </c>
      <c r="D943" s="13"/>
      <c r="E943" s="12">
        <v>212</v>
      </c>
      <c r="F943" s="14">
        <v>46058</v>
      </c>
      <c r="G943" s="34"/>
      <c r="H943" s="34" t="s">
        <v>223</v>
      </c>
      <c r="I943" s="34"/>
      <c r="J943" s="9" t="s">
        <v>207</v>
      </c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</row>
    <row r="944" spans="1:28" ht="14.25" customHeight="1" x14ac:dyDescent="0.35">
      <c r="A944" s="12">
        <v>300109</v>
      </c>
      <c r="B944" s="59" t="str">
        <f>IFERROR(VLOOKUP(Tabla1[[#This Row],[CODIGO]],INVENTARIO!A:B,2,0)," ")</f>
        <v>Risers de Acero 3/4" Bsp x 25 mm</v>
      </c>
      <c r="C944" s="12">
        <v>5</v>
      </c>
      <c r="D944" s="13"/>
      <c r="E944" s="12">
        <v>212</v>
      </c>
      <c r="F944" s="14">
        <v>46058</v>
      </c>
      <c r="G944" s="34"/>
      <c r="H944" s="34" t="s">
        <v>223</v>
      </c>
      <c r="I944" s="34"/>
      <c r="J944" s="9" t="s">
        <v>207</v>
      </c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</row>
    <row r="945" spans="1:28" ht="14.25" customHeight="1" x14ac:dyDescent="0.35">
      <c r="A945" s="2">
        <v>1000720</v>
      </c>
      <c r="B945" s="59" t="str">
        <f>IFERROR(VLOOKUP(Tabla1[[#This Row],[CODIGO]],INVENTARIO!A:B,2,0)," ")</f>
        <v>Teflón en Cinta de 3/4" Ancho x 520" a 5</v>
      </c>
      <c r="C945" s="12">
        <v>2</v>
      </c>
      <c r="D945" s="13"/>
      <c r="E945" s="12">
        <v>212</v>
      </c>
      <c r="F945" s="14">
        <v>46058</v>
      </c>
      <c r="G945" s="34"/>
      <c r="H945" s="34" t="s">
        <v>223</v>
      </c>
      <c r="I945" s="34"/>
      <c r="J945" s="9" t="s">
        <v>207</v>
      </c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</row>
    <row r="946" spans="1:28" ht="14.25" customHeight="1" x14ac:dyDescent="0.35">
      <c r="A946" s="12">
        <v>2005135</v>
      </c>
      <c r="B946" s="59" t="str">
        <f>IFERROR(VLOOKUP(Tabla1[[#This Row],[CODIGO]],INVENTARIO!A:B,2,0)," ")</f>
        <v>Tubo PVC 110 mm PN6 CG Amarillo Tira 6 m</v>
      </c>
      <c r="C946" s="12">
        <v>2</v>
      </c>
      <c r="D946" s="13"/>
      <c r="E946" s="12">
        <v>943</v>
      </c>
      <c r="F946" s="14">
        <v>46062</v>
      </c>
      <c r="G946" s="34"/>
      <c r="H946" s="34" t="s">
        <v>225</v>
      </c>
      <c r="I946" s="34"/>
      <c r="J946" s="9" t="s">
        <v>202</v>
      </c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</row>
    <row r="947" spans="1:28" ht="14.25" customHeight="1" x14ac:dyDescent="0.35">
      <c r="A947" s="12">
        <v>2002263</v>
      </c>
      <c r="B947" s="59" t="str">
        <f>IFERROR(VLOOKUP(Tabla1[[#This Row],[CODIGO]],INVENTARIO!A:B,2,0)," ")</f>
        <v>Tubería PE80 063mm Rollo</v>
      </c>
      <c r="C947" s="12">
        <v>50</v>
      </c>
      <c r="D947" s="13"/>
      <c r="E947" s="12">
        <v>944</v>
      </c>
      <c r="F947" s="14">
        <v>46062</v>
      </c>
      <c r="G947" s="34"/>
      <c r="H947" s="34" t="s">
        <v>305</v>
      </c>
      <c r="I947" s="34"/>
      <c r="J947" s="9" t="s">
        <v>202</v>
      </c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</row>
    <row r="948" spans="1:28" ht="14.25" customHeight="1" x14ac:dyDescent="0.35">
      <c r="A948" s="12">
        <v>1002167</v>
      </c>
      <c r="B948" s="59" t="str">
        <f>IFERROR(VLOOKUP(Tabla1[[#This Row],[CODIGO]],INVENTARIO!A:B,2,0)," ")</f>
        <v>Cable Trazador Cu 14 AWG Aisl. THW Roj</v>
      </c>
      <c r="C948" s="12">
        <v>50</v>
      </c>
      <c r="D948" s="13"/>
      <c r="E948" s="12">
        <v>944</v>
      </c>
      <c r="F948" s="14">
        <v>46062</v>
      </c>
      <c r="G948" s="34"/>
      <c r="H948" s="34" t="s">
        <v>305</v>
      </c>
      <c r="I948" s="34"/>
      <c r="J948" s="9" t="s">
        <v>202</v>
      </c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</row>
    <row r="949" spans="1:28" ht="14.25" customHeight="1" x14ac:dyDescent="0.35">
      <c r="A949" s="12">
        <v>303368</v>
      </c>
      <c r="B949" s="59" t="str">
        <f>IFERROR(VLOOKUP(Tabla1[[#This Row],[CODIGO]],INVENTARIO!A:B,2,0)," ")</f>
        <v>Cinta Plástica "Línea GN", 30 x 0.1</v>
      </c>
      <c r="C949" s="12">
        <v>50</v>
      </c>
      <c r="D949" s="13"/>
      <c r="E949" s="12">
        <v>944</v>
      </c>
      <c r="F949" s="14">
        <v>46062</v>
      </c>
      <c r="G949" s="34"/>
      <c r="H949" s="34" t="s">
        <v>305</v>
      </c>
      <c r="I949" s="34"/>
      <c r="J949" s="9" t="s">
        <v>202</v>
      </c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</row>
    <row r="950" spans="1:28" ht="14.25" customHeight="1" x14ac:dyDescent="0.35">
      <c r="A950" s="12">
        <v>2002262</v>
      </c>
      <c r="B950" s="59" t="str">
        <f>IFERROR(VLOOKUP(Tabla1[[#This Row],[CODIGO]],INVENTARIO!A:B,2,0)," ")</f>
        <v>Tubería PE80 050mm Rollo</v>
      </c>
      <c r="C950" s="12">
        <v>100</v>
      </c>
      <c r="D950" s="13"/>
      <c r="E950" s="12">
        <v>214</v>
      </c>
      <c r="F950" s="14">
        <v>46062</v>
      </c>
      <c r="G950" s="34"/>
      <c r="H950" s="34" t="s">
        <v>223</v>
      </c>
      <c r="I950" s="34"/>
      <c r="J950" s="9" t="s">
        <v>207</v>
      </c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</row>
    <row r="951" spans="1:28" ht="14.25" customHeight="1" x14ac:dyDescent="0.35">
      <c r="A951" s="12">
        <v>303368</v>
      </c>
      <c r="B951" s="59" t="str">
        <f>IFERROR(VLOOKUP(Tabla1[[#This Row],[CODIGO]],INVENTARIO!A:B,2,0)," ")</f>
        <v>Cinta Plástica "Línea GN", 30 x 0.1</v>
      </c>
      <c r="C951" s="12">
        <v>100</v>
      </c>
      <c r="D951" s="13"/>
      <c r="E951" s="12">
        <v>214</v>
      </c>
      <c r="F951" s="14">
        <v>46062</v>
      </c>
      <c r="G951" s="34"/>
      <c r="H951" s="34" t="s">
        <v>223</v>
      </c>
      <c r="I951" s="34"/>
      <c r="J951" s="9" t="s">
        <v>207</v>
      </c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</row>
    <row r="952" spans="1:28" ht="14.25" customHeight="1" x14ac:dyDescent="0.35">
      <c r="A952" s="12">
        <v>1002167</v>
      </c>
      <c r="B952" s="59" t="str">
        <f>IFERROR(VLOOKUP(Tabla1[[#This Row],[CODIGO]],INVENTARIO!A:B,2,0)," ")</f>
        <v>Cable Trazador Cu 14 AWG Aisl. THW Roj</v>
      </c>
      <c r="C952" s="12">
        <v>100</v>
      </c>
      <c r="D952" s="13"/>
      <c r="E952" s="12">
        <v>214</v>
      </c>
      <c r="F952" s="14">
        <v>46062</v>
      </c>
      <c r="G952" s="34"/>
      <c r="H952" s="34" t="s">
        <v>223</v>
      </c>
      <c r="I952" s="34"/>
      <c r="J952" s="9" t="s">
        <v>207</v>
      </c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</row>
    <row r="953" spans="1:28" ht="14.25" customHeight="1" x14ac:dyDescent="0.35">
      <c r="A953" s="12">
        <v>303345</v>
      </c>
      <c r="B953" s="59" t="str">
        <f>IFERROR(VLOOKUP(Tabla1[[#This Row],[CODIGO]],INVENTARIO!A:B,2,0)," ")</f>
        <v>Copla PE100 050mm EF</v>
      </c>
      <c r="C953" s="12">
        <v>6</v>
      </c>
      <c r="D953" s="13"/>
      <c r="E953" s="12">
        <v>214</v>
      </c>
      <c r="F953" s="14">
        <v>46062</v>
      </c>
      <c r="G953" s="34"/>
      <c r="H953" s="34" t="s">
        <v>223</v>
      </c>
      <c r="I953" s="34"/>
      <c r="J953" s="9" t="s">
        <v>207</v>
      </c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</row>
    <row r="954" spans="1:28" ht="14.25" customHeight="1" x14ac:dyDescent="0.35">
      <c r="A954" s="12">
        <v>2005135</v>
      </c>
      <c r="B954" s="59" t="str">
        <f>IFERROR(VLOOKUP(Tabla1[[#This Row],[CODIGO]],INVENTARIO!A:B,2,0)," ")</f>
        <v>Tubo PVC 110 mm PN6 CG Amarillo Tira 6 m</v>
      </c>
      <c r="C954" s="12">
        <v>6</v>
      </c>
      <c r="D954" s="13"/>
      <c r="E954" s="12">
        <v>214</v>
      </c>
      <c r="F954" s="14">
        <v>46062</v>
      </c>
      <c r="G954" s="34"/>
      <c r="H954" s="34" t="s">
        <v>223</v>
      </c>
      <c r="I954" s="34"/>
      <c r="J954" s="9" t="s">
        <v>207</v>
      </c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</row>
    <row r="955" spans="1:28" ht="14.25" customHeight="1" x14ac:dyDescent="0.35">
      <c r="A955" s="9" t="s">
        <v>292</v>
      </c>
      <c r="B955" s="59" t="str">
        <f>IFERROR(VLOOKUP(Tabla1[[#This Row],[CODIGO]],INVENTARIO!A:B,2,0)," ")</f>
        <v>Toalla Nova Clasica</v>
      </c>
      <c r="C955" s="12">
        <v>2</v>
      </c>
      <c r="D955" s="13"/>
      <c r="E955" s="12">
        <v>213</v>
      </c>
      <c r="F955" s="14">
        <v>46059</v>
      </c>
      <c r="G955" s="34"/>
      <c r="H955" s="34" t="s">
        <v>223</v>
      </c>
      <c r="I955" s="34"/>
      <c r="J955" s="9" t="s">
        <v>207</v>
      </c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</row>
    <row r="956" spans="1:28" ht="14.25" customHeight="1" x14ac:dyDescent="0.35">
      <c r="A956" s="9" t="s">
        <v>291</v>
      </c>
      <c r="B956" s="59" t="str">
        <f>IFERROR(VLOOKUP(Tabla1[[#This Row],[CODIGO]],INVENTARIO!A:B,2,0)," ")</f>
        <v>Alcohol Isopropilico  500 ml</v>
      </c>
      <c r="C956" s="12">
        <v>1</v>
      </c>
      <c r="D956" s="13"/>
      <c r="E956" s="12">
        <v>213</v>
      </c>
      <c r="F956" s="14">
        <v>46059</v>
      </c>
      <c r="G956" s="34"/>
      <c r="H956" s="34" t="s">
        <v>223</v>
      </c>
      <c r="I956" s="34"/>
      <c r="J956" s="9" t="s">
        <v>207</v>
      </c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</row>
    <row r="957" spans="1:28" ht="14.25" customHeight="1" x14ac:dyDescent="0.35">
      <c r="A957" s="12">
        <v>2005135</v>
      </c>
      <c r="B957" s="59" t="str">
        <f>IFERROR(VLOOKUP(Tabla1[[#This Row],[CODIGO]],INVENTARIO!A:B,2,0)," ")</f>
        <v>Tubo PVC 110 mm PN6 CG Amarillo Tira 6 m</v>
      </c>
      <c r="C957" s="12">
        <v>1</v>
      </c>
      <c r="D957" s="13"/>
      <c r="E957" s="12">
        <v>213</v>
      </c>
      <c r="F957" s="14">
        <v>46059</v>
      </c>
      <c r="G957" s="34"/>
      <c r="H957" s="34" t="s">
        <v>223</v>
      </c>
      <c r="I957" s="34"/>
      <c r="J957" s="9" t="s">
        <v>207</v>
      </c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</row>
    <row r="958" spans="1:28" ht="14.25" customHeight="1" x14ac:dyDescent="0.35">
      <c r="A958" s="12">
        <v>301987</v>
      </c>
      <c r="B958" s="59" t="str">
        <f>IFERROR(VLOOKUP(Tabla1[[#This Row],[CODIGO]],INVENTARIO!A:B,2,0)," ")</f>
        <v>Codo PE100 90° 063mm EF</v>
      </c>
      <c r="C958" s="12">
        <v>2</v>
      </c>
      <c r="D958" s="13"/>
      <c r="E958" s="12">
        <v>937</v>
      </c>
      <c r="F958" s="14">
        <v>46059</v>
      </c>
      <c r="G958" s="34"/>
      <c r="H958" s="34" t="s">
        <v>225</v>
      </c>
      <c r="I958" s="34"/>
      <c r="J958" s="9" t="s">
        <v>202</v>
      </c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</row>
    <row r="959" spans="1:28" ht="14.25" customHeight="1" x14ac:dyDescent="0.35">
      <c r="A959" s="12">
        <v>2005135</v>
      </c>
      <c r="B959" s="59" t="str">
        <f>IFERROR(VLOOKUP(Tabla1[[#This Row],[CODIGO]],INVENTARIO!A:B,2,0)," ")</f>
        <v>Tubo PVC 110 mm PN6 CG Amarillo Tira 6 m</v>
      </c>
      <c r="C959" s="12">
        <v>1</v>
      </c>
      <c r="D959" s="13"/>
      <c r="E959" s="12">
        <v>937</v>
      </c>
      <c r="F959" s="14">
        <v>46059</v>
      </c>
      <c r="G959" s="34"/>
      <c r="H959" s="34" t="s">
        <v>225</v>
      </c>
      <c r="I959" s="34"/>
      <c r="J959" s="9" t="s">
        <v>202</v>
      </c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</row>
    <row r="960" spans="1:28" ht="14.25" customHeight="1" x14ac:dyDescent="0.35">
      <c r="A960" s="12">
        <v>101624</v>
      </c>
      <c r="B960" s="59" t="str">
        <f>IFERROR(VLOOKUP(Tabla1[[#This Row],[CODIGO]],INVENTARIO!A:B,2,0)," ")</f>
        <v>Tapping Tee PE 50-25 mm</v>
      </c>
      <c r="C960" s="12">
        <v>1</v>
      </c>
      <c r="D960" s="13"/>
      <c r="E960" s="12">
        <v>938</v>
      </c>
      <c r="F960" s="14">
        <v>46059</v>
      </c>
      <c r="G960" s="34"/>
      <c r="H960" s="34" t="s">
        <v>309</v>
      </c>
      <c r="I960" s="34"/>
      <c r="J960" s="9" t="s">
        <v>259</v>
      </c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</row>
    <row r="961" spans="1:28" ht="14.25" customHeight="1" x14ac:dyDescent="0.35">
      <c r="A961" s="12">
        <v>301099</v>
      </c>
      <c r="B961" s="59" t="str">
        <f>IFERROR(VLOOKUP(Tabla1[[#This Row],[CODIGO]],INVENTARIO!A:B,2,0)," ")</f>
        <v>Válvula PE100 Dn 25mm</v>
      </c>
      <c r="C961" s="12">
        <v>1</v>
      </c>
      <c r="D961" s="13"/>
      <c r="E961" s="12">
        <v>938</v>
      </c>
      <c r="F961" s="14">
        <v>46059</v>
      </c>
      <c r="G961" s="34"/>
      <c r="H961" s="34" t="s">
        <v>309</v>
      </c>
      <c r="I961" s="34" t="s">
        <v>310</v>
      </c>
      <c r="J961" s="9" t="s">
        <v>259</v>
      </c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</row>
    <row r="962" spans="1:28" ht="14.25" customHeight="1" x14ac:dyDescent="0.35">
      <c r="A962" s="12">
        <v>301329</v>
      </c>
      <c r="B962" s="59" t="str">
        <f>IFERROR(VLOOKUP(Tabla1[[#This Row],[CODIGO]],INVENTARIO!A:B,2,0)," ")</f>
        <v>Copla PE100 025mm EF</v>
      </c>
      <c r="C962" s="12">
        <v>4</v>
      </c>
      <c r="D962" s="13"/>
      <c r="E962" s="12">
        <v>938</v>
      </c>
      <c r="F962" s="14">
        <v>46059</v>
      </c>
      <c r="G962" s="34"/>
      <c r="H962" s="34" t="s">
        <v>309</v>
      </c>
      <c r="I962" s="34"/>
      <c r="J962" s="9" t="s">
        <v>259</v>
      </c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</row>
    <row r="963" spans="1:28" ht="14.25" customHeight="1" x14ac:dyDescent="0.35">
      <c r="A963" s="12">
        <v>300109</v>
      </c>
      <c r="B963" s="59" t="str">
        <f>IFERROR(VLOOKUP(Tabla1[[#This Row],[CODIGO]],INVENTARIO!A:B,2,0)," ")</f>
        <v>Risers de Acero 3/4" Bsp x 25 mm</v>
      </c>
      <c r="C963" s="12">
        <v>1</v>
      </c>
      <c r="D963" s="13"/>
      <c r="E963" s="12">
        <v>938</v>
      </c>
      <c r="F963" s="14">
        <v>46059</v>
      </c>
      <c r="G963" s="34"/>
      <c r="H963" s="34" t="s">
        <v>309</v>
      </c>
      <c r="I963" s="34"/>
      <c r="J963" s="9" t="s">
        <v>259</v>
      </c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</row>
    <row r="964" spans="1:28" ht="14.25" customHeight="1" x14ac:dyDescent="0.35">
      <c r="A964" s="12">
        <v>2003911</v>
      </c>
      <c r="B964" s="59" t="str">
        <f>IFERROR(VLOOKUP(Tabla1[[#This Row],[CODIGO]],INVENTARIO!A:B,2,0)," ")</f>
        <v>Válvula EFv PE 25 mm Para Tap. Tee</v>
      </c>
      <c r="C964" s="12">
        <v>1</v>
      </c>
      <c r="D964" s="13"/>
      <c r="E964" s="12">
        <v>938</v>
      </c>
      <c r="F964" s="14">
        <v>46059</v>
      </c>
      <c r="G964" s="34"/>
      <c r="H964" s="34" t="s">
        <v>309</v>
      </c>
      <c r="I964" s="34"/>
      <c r="J964" s="9" t="s">
        <v>259</v>
      </c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</row>
    <row r="965" spans="1:28" ht="14.25" customHeight="1" x14ac:dyDescent="0.35">
      <c r="A965" s="12">
        <v>301749</v>
      </c>
      <c r="B965" s="59" t="str">
        <f>IFERROR(VLOOKUP(Tabla1[[#This Row],[CODIGO]],INVENTARIO!A:B,2,0)," ")</f>
        <v>Tubería PE80 025mm Rollo</v>
      </c>
      <c r="C965" s="12">
        <v>7</v>
      </c>
      <c r="D965" s="13"/>
      <c r="E965" s="12">
        <v>938</v>
      </c>
      <c r="F965" s="14">
        <v>46059</v>
      </c>
      <c r="G965" s="34"/>
      <c r="H965" s="34" t="s">
        <v>309</v>
      </c>
      <c r="I965" s="34"/>
      <c r="J965" s="9" t="s">
        <v>259</v>
      </c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</row>
    <row r="966" spans="1:28" ht="14.25" customHeight="1" x14ac:dyDescent="0.35">
      <c r="A966" s="12">
        <v>2006391</v>
      </c>
      <c r="B966" s="59" t="str">
        <f>IFERROR(VLOOKUP(Tabla1[[#This Row],[CODIGO]],INVENTARIO!A:B,2,0)," ")</f>
        <v>Guardallave Fierro Fundido C/Tapa</v>
      </c>
      <c r="C966" s="12">
        <v>1</v>
      </c>
      <c r="D966" s="13"/>
      <c r="E966" s="12">
        <v>938</v>
      </c>
      <c r="F966" s="14">
        <v>46059</v>
      </c>
      <c r="G966" s="34"/>
      <c r="H966" s="34" t="s">
        <v>309</v>
      </c>
      <c r="I966" s="34"/>
      <c r="J966" s="9" t="s">
        <v>259</v>
      </c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</row>
    <row r="967" spans="1:28" ht="14.25" customHeight="1" x14ac:dyDescent="0.35">
      <c r="A967" s="12">
        <v>302737</v>
      </c>
      <c r="B967" s="59" t="str">
        <f>IFERROR(VLOOKUP(Tabla1[[#This Row],[CODIGO]],INVENTARIO!A:B,2,0)," ")</f>
        <v>Válvula Bola 3/4" Hi Un Cuerpo Pn5 Arco</v>
      </c>
      <c r="C967" s="12">
        <v>1</v>
      </c>
      <c r="D967" s="13"/>
      <c r="E967" s="12">
        <v>938</v>
      </c>
      <c r="F967" s="14">
        <v>46059</v>
      </c>
      <c r="G967" s="34"/>
      <c r="H967" s="34" t="s">
        <v>309</v>
      </c>
      <c r="I967" s="34"/>
      <c r="J967" s="9" t="s">
        <v>259</v>
      </c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</row>
    <row r="968" spans="1:28" ht="14.25" customHeight="1" x14ac:dyDescent="0.35">
      <c r="A968" s="12">
        <v>302184</v>
      </c>
      <c r="B968" s="59" t="str">
        <f>IFERROR(VLOOKUP(Tabla1[[#This Row],[CODIGO]],INVENTARIO!A:B,2,0)," ")</f>
        <v>Tapa Tornillo Cambio de Codigo por: 2008481</v>
      </c>
      <c r="C968" s="12">
        <v>1</v>
      </c>
      <c r="D968" s="13"/>
      <c r="E968" s="12">
        <v>938</v>
      </c>
      <c r="F968" s="14">
        <v>46059</v>
      </c>
      <c r="G968" s="34"/>
      <c r="H968" s="34" t="s">
        <v>309</v>
      </c>
      <c r="I968" s="34"/>
      <c r="J968" s="9" t="s">
        <v>259</v>
      </c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</row>
    <row r="969" spans="1:28" ht="14.25" customHeight="1" x14ac:dyDescent="0.35">
      <c r="A969" s="12">
        <v>303368</v>
      </c>
      <c r="B969" s="59" t="str">
        <f>IFERROR(VLOOKUP(Tabla1[[#This Row],[CODIGO]],INVENTARIO!A:B,2,0)," ")</f>
        <v>Cinta Plástica "Línea GN", 30 x 0.1</v>
      </c>
      <c r="C969" s="12">
        <v>7</v>
      </c>
      <c r="D969" s="13"/>
      <c r="E969" s="12">
        <v>938</v>
      </c>
      <c r="F969" s="14">
        <v>46059</v>
      </c>
      <c r="G969" s="34"/>
      <c r="H969" s="34" t="s">
        <v>309</v>
      </c>
      <c r="I969" s="34"/>
      <c r="J969" s="9" t="s">
        <v>259</v>
      </c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</row>
    <row r="970" spans="1:28" ht="14.25" customHeight="1" x14ac:dyDescent="0.35">
      <c r="A970" s="12">
        <v>2007948</v>
      </c>
      <c r="B970" s="59" t="str">
        <f>IFERROR(VLOOKUP(Tabla1[[#This Row],[CODIGO]],INVENTARIO!A:B,2,0)," ")</f>
        <v>Tubo PVC Hidraulico 110 mm Pn6 Celeste</v>
      </c>
      <c r="C970" s="12">
        <v>1</v>
      </c>
      <c r="D970" s="13"/>
      <c r="E970" s="12">
        <v>938</v>
      </c>
      <c r="F970" s="14">
        <v>46059</v>
      </c>
      <c r="G970" s="34"/>
      <c r="H970" s="34" t="s">
        <v>309</v>
      </c>
      <c r="I970" s="34"/>
      <c r="J970" s="9" t="s">
        <v>259</v>
      </c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</row>
    <row r="971" spans="1:28" ht="14.25" customHeight="1" x14ac:dyDescent="0.35">
      <c r="A971" s="12">
        <v>101618</v>
      </c>
      <c r="B971" s="59" t="str">
        <f>IFERROR(VLOOKUP(Tabla1[[#This Row],[CODIGO]],INVENTARIO!A:B,2,0)," ")</f>
        <v>Risers Ac,Recto 3/4 "x25 mm</v>
      </c>
      <c r="C971" s="12">
        <v>1</v>
      </c>
      <c r="D971" s="13"/>
      <c r="E971" s="12">
        <v>938</v>
      </c>
      <c r="F971" s="14">
        <v>46059</v>
      </c>
      <c r="G971" s="34"/>
      <c r="H971" s="34" t="s">
        <v>309</v>
      </c>
      <c r="I971" s="34"/>
      <c r="J971" s="9" t="s">
        <v>259</v>
      </c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</row>
    <row r="972" spans="1:28" ht="14.25" customHeight="1" x14ac:dyDescent="0.35">
      <c r="A972" s="12">
        <v>2000350</v>
      </c>
      <c r="B972" s="59" t="str">
        <f>IFERROR(VLOOKUP(Tabla1[[#This Row],[CODIGO]],INVENTARIO!A:B,2,0)," ")</f>
        <v>Codo PE 90º  25 mm EF.</v>
      </c>
      <c r="C972" s="12">
        <v>1</v>
      </c>
      <c r="D972" s="13"/>
      <c r="E972" s="12">
        <v>938</v>
      </c>
      <c r="F972" s="14">
        <v>46059</v>
      </c>
      <c r="G972" s="34"/>
      <c r="H972" s="34" t="s">
        <v>309</v>
      </c>
      <c r="I972" s="34"/>
      <c r="J972" s="9" t="s">
        <v>259</v>
      </c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</row>
    <row r="973" spans="1:28" ht="14.25" customHeight="1" x14ac:dyDescent="0.35">
      <c r="A973" s="12">
        <v>2003911</v>
      </c>
      <c r="B973" s="59" t="str">
        <f>IFERROR(VLOOKUP(Tabla1[[#This Row],[CODIGO]],INVENTARIO!A:B,2,0)," ")</f>
        <v>Válvula EFv PE 25 mm Para Tap. Tee</v>
      </c>
      <c r="C973" s="12">
        <v>13</v>
      </c>
      <c r="D973" s="13"/>
      <c r="E973" s="12">
        <v>939</v>
      </c>
      <c r="F973" s="14">
        <v>46059</v>
      </c>
      <c r="G973" s="34"/>
      <c r="H973" s="34" t="s">
        <v>226</v>
      </c>
      <c r="I973" s="34"/>
      <c r="J973" s="9" t="s">
        <v>194</v>
      </c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</row>
    <row r="974" spans="1:28" ht="14.25" customHeight="1" x14ac:dyDescent="0.35">
      <c r="A974" s="12">
        <v>301749</v>
      </c>
      <c r="B974" s="59" t="str">
        <f>IFERROR(VLOOKUP(Tabla1[[#This Row],[CODIGO]],INVENTARIO!A:B,2,0)," ")</f>
        <v>Tubería PE80 025mm Rollo</v>
      </c>
      <c r="C974" s="12">
        <v>100</v>
      </c>
      <c r="D974" s="13"/>
      <c r="E974" s="12">
        <v>939</v>
      </c>
      <c r="F974" s="14">
        <v>46059</v>
      </c>
      <c r="G974" s="34"/>
      <c r="H974" s="34" t="s">
        <v>226</v>
      </c>
      <c r="I974" s="34"/>
      <c r="J974" s="9" t="s">
        <v>194</v>
      </c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</row>
    <row r="975" spans="1:28" ht="14.25" customHeight="1" x14ac:dyDescent="0.35">
      <c r="A975" s="12">
        <v>302659</v>
      </c>
      <c r="B975" s="59" t="str">
        <f>IFERROR(VLOOKUP(Tabla1[[#This Row],[CODIGO]],INVENTARIO!A:B,2,0)," ")</f>
        <v>Copla PE100 063mm EF</v>
      </c>
      <c r="C975" s="12">
        <v>2</v>
      </c>
      <c r="D975" s="13"/>
      <c r="E975" s="12">
        <v>939</v>
      </c>
      <c r="F975" s="14">
        <v>46059</v>
      </c>
      <c r="G975" s="34"/>
      <c r="H975" s="34" t="s">
        <v>226</v>
      </c>
      <c r="I975" s="34"/>
      <c r="J975" s="9" t="s">
        <v>194</v>
      </c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</row>
    <row r="976" spans="1:28" ht="14.25" customHeight="1" x14ac:dyDescent="0.35">
      <c r="A976" s="12">
        <v>303368</v>
      </c>
      <c r="B976" s="59" t="str">
        <f>IFERROR(VLOOKUP(Tabla1[[#This Row],[CODIGO]],INVENTARIO!A:B,2,0)," ")</f>
        <v>Cinta Plástica "Línea GN", 30 x 0.1</v>
      </c>
      <c r="C976" s="12">
        <v>100</v>
      </c>
      <c r="D976" s="13"/>
      <c r="E976" s="12">
        <v>939</v>
      </c>
      <c r="F976" s="14">
        <v>46059</v>
      </c>
      <c r="G976" s="34"/>
      <c r="H976" s="34" t="s">
        <v>226</v>
      </c>
      <c r="I976" s="34"/>
      <c r="J976" s="9" t="s">
        <v>194</v>
      </c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</row>
    <row r="977" spans="1:28" ht="14.25" customHeight="1" x14ac:dyDescent="0.35">
      <c r="A977" s="12">
        <v>301329</v>
      </c>
      <c r="B977" s="59" t="str">
        <f>IFERROR(VLOOKUP(Tabla1[[#This Row],[CODIGO]],INVENTARIO!A:B,2,0)," ")</f>
        <v>Copla PE100 025mm EF</v>
      </c>
      <c r="C977" s="12">
        <v>26</v>
      </c>
      <c r="D977" s="13"/>
      <c r="E977" s="12">
        <v>939</v>
      </c>
      <c r="F977" s="14">
        <v>46059</v>
      </c>
      <c r="G977" s="34"/>
      <c r="H977" s="34" t="s">
        <v>226</v>
      </c>
      <c r="I977" s="34"/>
      <c r="J977" s="9" t="s">
        <v>194</v>
      </c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</row>
    <row r="978" spans="1:28" ht="14.25" customHeight="1" x14ac:dyDescent="0.35">
      <c r="A978" s="12">
        <v>300108</v>
      </c>
      <c r="B978" s="59" t="str">
        <f>IFERROR(VLOOKUP(Tabla1[[#This Row],[CODIGO]],INVENTARIO!A:B,2,0)," ")</f>
        <v>Tapping Tee PE 63-25 mm</v>
      </c>
      <c r="C978" s="12">
        <v>5</v>
      </c>
      <c r="D978" s="13"/>
      <c r="E978" s="12">
        <v>940</v>
      </c>
      <c r="F978" s="14">
        <v>46059</v>
      </c>
      <c r="G978" s="34"/>
      <c r="H978" s="34" t="s">
        <v>232</v>
      </c>
      <c r="I978" s="34"/>
      <c r="J978" s="9" t="s">
        <v>200</v>
      </c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</row>
    <row r="979" spans="1:28" ht="14.25" customHeight="1" x14ac:dyDescent="0.35">
      <c r="A979" s="12">
        <v>2003911</v>
      </c>
      <c r="B979" s="59" t="str">
        <f>IFERROR(VLOOKUP(Tabla1[[#This Row],[CODIGO]],INVENTARIO!A:B,2,0)," ")</f>
        <v>Válvula EFv PE 25 mm Para Tap. Tee</v>
      </c>
      <c r="C979" s="12">
        <v>5</v>
      </c>
      <c r="D979" s="13"/>
      <c r="E979" s="12">
        <v>940</v>
      </c>
      <c r="F979" s="14">
        <v>46059</v>
      </c>
      <c r="G979" s="34"/>
      <c r="H979" s="34" t="s">
        <v>232</v>
      </c>
      <c r="I979" s="34"/>
      <c r="J979" s="9" t="s">
        <v>200</v>
      </c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</row>
    <row r="980" spans="1:28" ht="14.25" customHeight="1" x14ac:dyDescent="0.35">
      <c r="A980" s="12">
        <v>300109</v>
      </c>
      <c r="B980" s="59" t="str">
        <f>IFERROR(VLOOKUP(Tabla1[[#This Row],[CODIGO]],INVENTARIO!A:B,2,0)," ")</f>
        <v>Risers de Acero 3/4" Bsp x 25 mm</v>
      </c>
      <c r="C980" s="12">
        <v>5</v>
      </c>
      <c r="D980" s="13"/>
      <c r="E980" s="12">
        <v>940</v>
      </c>
      <c r="F980" s="14">
        <v>46059</v>
      </c>
      <c r="G980" s="34"/>
      <c r="H980" s="34" t="s">
        <v>232</v>
      </c>
      <c r="I980" s="34"/>
      <c r="J980" s="9" t="s">
        <v>200</v>
      </c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</row>
    <row r="981" spans="1:28" ht="14.25" customHeight="1" x14ac:dyDescent="0.35">
      <c r="A981" s="12">
        <v>302737</v>
      </c>
      <c r="B981" s="59" t="str">
        <f>IFERROR(VLOOKUP(Tabla1[[#This Row],[CODIGO]],INVENTARIO!A:B,2,0)," ")</f>
        <v>Válvula Bola 3/4" Hi Un Cuerpo Pn5 Arco</v>
      </c>
      <c r="C981" s="12">
        <v>5</v>
      </c>
      <c r="D981" s="13"/>
      <c r="E981" s="12">
        <v>940</v>
      </c>
      <c r="F981" s="14">
        <v>46059</v>
      </c>
      <c r="G981" s="34"/>
      <c r="H981" s="34" t="s">
        <v>232</v>
      </c>
      <c r="I981" s="34"/>
      <c r="J981" s="9" t="s">
        <v>200</v>
      </c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</row>
    <row r="982" spans="1:28" ht="14.25" customHeight="1" x14ac:dyDescent="0.35">
      <c r="A982" s="12">
        <v>2008481</v>
      </c>
      <c r="B982" s="59" t="str">
        <f>IFERROR(VLOOKUP(Tabla1[[#This Row],[CODIGO]],INVENTARIO!A:B,2,0)," ")</f>
        <v>Tapa Tornillo Bronce 3/4" HE Bspt.</v>
      </c>
      <c r="C982" s="12">
        <v>5</v>
      </c>
      <c r="D982" s="13"/>
      <c r="E982" s="12">
        <v>940</v>
      </c>
      <c r="F982" s="14">
        <v>46059</v>
      </c>
      <c r="G982" s="34"/>
      <c r="H982" s="34" t="s">
        <v>232</v>
      </c>
      <c r="I982" s="34"/>
      <c r="J982" s="9" t="s">
        <v>200</v>
      </c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</row>
    <row r="983" spans="1:28" ht="14.25" customHeight="1" x14ac:dyDescent="0.35">
      <c r="A983" s="12">
        <v>1000720</v>
      </c>
      <c r="B983" s="59" t="str">
        <f>IFERROR(VLOOKUP(Tabla1[[#This Row],[CODIGO]],INVENTARIO!A:B,2,0)," ")</f>
        <v>Teflón en Cinta de 3/4" Ancho x 520" a 5</v>
      </c>
      <c r="C983" s="12">
        <v>1</v>
      </c>
      <c r="D983" s="13"/>
      <c r="E983" s="12">
        <v>940</v>
      </c>
      <c r="F983" s="14">
        <v>46059</v>
      </c>
      <c r="G983" s="34"/>
      <c r="H983" s="34" t="s">
        <v>232</v>
      </c>
      <c r="I983" s="34"/>
      <c r="J983" s="9" t="s">
        <v>200</v>
      </c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</row>
    <row r="984" spans="1:28" ht="14.25" customHeight="1" x14ac:dyDescent="0.35">
      <c r="A984" s="12">
        <v>303368</v>
      </c>
      <c r="B984" s="59" t="str">
        <f>IFERROR(VLOOKUP(Tabla1[[#This Row],[CODIGO]],INVENTARIO!A:B,2,0)," ")</f>
        <v>Cinta Plástica "Línea GN", 30 x 0.1</v>
      </c>
      <c r="C984" s="12">
        <v>50</v>
      </c>
      <c r="D984" s="13"/>
      <c r="E984" s="12">
        <v>924</v>
      </c>
      <c r="F984" s="14">
        <v>46057</v>
      </c>
      <c r="G984" s="34"/>
      <c r="H984" s="34" t="s">
        <v>225</v>
      </c>
      <c r="I984" s="34"/>
      <c r="J984" s="9" t="s">
        <v>202</v>
      </c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</row>
    <row r="985" spans="1:28" ht="14.25" customHeight="1" x14ac:dyDescent="0.35">
      <c r="A985" s="12">
        <v>2005135</v>
      </c>
      <c r="B985" s="59" t="str">
        <f>IFERROR(VLOOKUP(Tabla1[[#This Row],[CODIGO]],INVENTARIO!A:B,2,0)," ")</f>
        <v>Tubo PVC 110 mm PN6 CG Amarillo Tira 6 m</v>
      </c>
      <c r="C985" s="12">
        <v>1</v>
      </c>
      <c r="D985" s="13"/>
      <c r="E985" s="12">
        <v>931</v>
      </c>
      <c r="F985" s="14">
        <v>46026</v>
      </c>
      <c r="G985" s="34"/>
      <c r="H985" s="34" t="s">
        <v>271</v>
      </c>
      <c r="I985" s="34"/>
      <c r="J985" s="9" t="s">
        <v>202</v>
      </c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</row>
    <row r="986" spans="1:28" ht="14.25" customHeight="1" x14ac:dyDescent="0.35">
      <c r="A986" s="12">
        <v>301343</v>
      </c>
      <c r="B986" s="59" t="str">
        <f>IFERROR(VLOOKUP(Tabla1[[#This Row],[CODIGO]],INVENTARIO!A:B,2,0)," ")</f>
        <v>Tapping Tee PE 63-63 mm</v>
      </c>
      <c r="C986" s="12">
        <v>1</v>
      </c>
      <c r="D986" s="13"/>
      <c r="E986" s="12">
        <v>932</v>
      </c>
      <c r="F986" s="14">
        <v>46058</v>
      </c>
      <c r="G986" s="34"/>
      <c r="H986" s="34" t="s">
        <v>287</v>
      </c>
      <c r="I986" s="34"/>
      <c r="J986" s="9" t="s">
        <v>260</v>
      </c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</row>
    <row r="987" spans="1:28" ht="14.25" customHeight="1" x14ac:dyDescent="0.35">
      <c r="A987" s="12">
        <v>302678</v>
      </c>
      <c r="B987" s="59" t="str">
        <f>IFERROR(VLOOKUP(Tabla1[[#This Row],[CODIGO]],INVENTARIO!A:B,2,0)," ")</f>
        <v>Reductor PE  63-50 mm Electro F.</v>
      </c>
      <c r="C987" s="12">
        <v>1</v>
      </c>
      <c r="D987" s="13"/>
      <c r="E987" s="12">
        <v>932</v>
      </c>
      <c r="F987" s="14">
        <v>46058</v>
      </c>
      <c r="G987" s="34"/>
      <c r="H987" s="34" t="s">
        <v>287</v>
      </c>
      <c r="I987" s="34"/>
      <c r="J987" s="9" t="s">
        <v>260</v>
      </c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</row>
    <row r="988" spans="1:28" ht="14.25" customHeight="1" x14ac:dyDescent="0.35">
      <c r="A988" s="12">
        <v>303345</v>
      </c>
      <c r="B988" s="59" t="str">
        <f>IFERROR(VLOOKUP(Tabla1[[#This Row],[CODIGO]],INVENTARIO!A:B,2,0)," ")</f>
        <v>Copla PE100 050mm EF</v>
      </c>
      <c r="C988" s="12">
        <v>3</v>
      </c>
      <c r="D988" s="13"/>
      <c r="E988" s="12">
        <v>932</v>
      </c>
      <c r="F988" s="14">
        <v>46058</v>
      </c>
      <c r="G988" s="34"/>
      <c r="H988" s="34" t="s">
        <v>287</v>
      </c>
      <c r="I988" s="34"/>
      <c r="J988" s="9" t="s">
        <v>260</v>
      </c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</row>
    <row r="989" spans="1:28" ht="14.25" customHeight="1" x14ac:dyDescent="0.35">
      <c r="A989" s="12">
        <v>300414</v>
      </c>
      <c r="B989" s="59" t="str">
        <f>IFERROR(VLOOKUP(Tabla1[[#This Row],[CODIGO]],INVENTARIO!A:B,2,0)," ")</f>
        <v>Válvula PE100 Dn 50mm</v>
      </c>
      <c r="C989" s="12">
        <v>1</v>
      </c>
      <c r="D989" s="13"/>
      <c r="E989" s="12">
        <v>932</v>
      </c>
      <c r="F989" s="14">
        <v>46058</v>
      </c>
      <c r="G989" s="34"/>
      <c r="H989" s="34" t="s">
        <v>287</v>
      </c>
      <c r="I989" s="34"/>
      <c r="J989" s="9" t="s">
        <v>260</v>
      </c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</row>
    <row r="990" spans="1:28" ht="14.25" customHeight="1" x14ac:dyDescent="0.35">
      <c r="A990" s="12">
        <v>302992</v>
      </c>
      <c r="B990" s="59" t="str">
        <f>IFERROR(VLOOKUP(Tabla1[[#This Row],[CODIGO]],INVENTARIO!A:B,2,0)," ")</f>
        <v>Codo PE100 90° 050mm EF</v>
      </c>
      <c r="C990" s="12">
        <v>2</v>
      </c>
      <c r="D990" s="13"/>
      <c r="E990" s="12">
        <v>932</v>
      </c>
      <c r="F990" s="14">
        <v>46058</v>
      </c>
      <c r="G990" s="34"/>
      <c r="H990" s="34" t="s">
        <v>287</v>
      </c>
      <c r="I990" s="34"/>
      <c r="J990" s="9" t="s">
        <v>260</v>
      </c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</row>
    <row r="991" spans="1:28" ht="14.25" customHeight="1" x14ac:dyDescent="0.35">
      <c r="A991" s="12">
        <v>301327</v>
      </c>
      <c r="B991" s="59" t="str">
        <f>IFERROR(VLOOKUP(Tabla1[[#This Row],[CODIGO]],INVENTARIO!A:B,2,0)," ")</f>
        <v>Tapa PE  050 mm Termo F.</v>
      </c>
      <c r="C991" s="12">
        <v>1</v>
      </c>
      <c r="D991" s="13"/>
      <c r="E991" s="12">
        <v>932</v>
      </c>
      <c r="F991" s="14">
        <v>46058</v>
      </c>
      <c r="G991" s="34"/>
      <c r="H991" s="34" t="s">
        <v>287</v>
      </c>
      <c r="I991" s="34"/>
      <c r="J991" s="9" t="s">
        <v>260</v>
      </c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</row>
    <row r="992" spans="1:28" ht="14.25" customHeight="1" x14ac:dyDescent="0.35">
      <c r="A992" s="12">
        <v>303362</v>
      </c>
      <c r="B992" s="59" t="str">
        <f>IFERROR(VLOOKUP(Tabla1[[#This Row],[CODIGO]],INVENTARIO!A:B,2,0)," ")</f>
        <v>Reductor PE  50-40 mm Electro F.</v>
      </c>
      <c r="C992" s="12">
        <v>1</v>
      </c>
      <c r="D992" s="13"/>
      <c r="E992" s="12">
        <v>932</v>
      </c>
      <c r="F992" s="14">
        <v>46058</v>
      </c>
      <c r="G992" s="34"/>
      <c r="H992" s="34" t="s">
        <v>287</v>
      </c>
      <c r="I992" s="34"/>
      <c r="J992" s="9" t="s">
        <v>260</v>
      </c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</row>
    <row r="993" spans="1:28" ht="14.25" customHeight="1" x14ac:dyDescent="0.35">
      <c r="A993" s="12">
        <v>2002262</v>
      </c>
      <c r="B993" s="59" t="str">
        <f>IFERROR(VLOOKUP(Tabla1[[#This Row],[CODIGO]],INVENTARIO!A:B,2,0)," ")</f>
        <v>Tubería PE80 050mm Rollo</v>
      </c>
      <c r="C993" s="12">
        <v>3</v>
      </c>
      <c r="D993" s="13"/>
      <c r="E993" s="12">
        <v>932</v>
      </c>
      <c r="F993" s="14">
        <v>46058</v>
      </c>
      <c r="G993" s="34"/>
      <c r="H993" s="34" t="s">
        <v>287</v>
      </c>
      <c r="I993" s="34"/>
      <c r="J993" s="9" t="s">
        <v>260</v>
      </c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</row>
    <row r="994" spans="1:28" ht="14.25" customHeight="1" x14ac:dyDescent="0.35">
      <c r="A994" s="12">
        <v>2006391</v>
      </c>
      <c r="B994" s="59" t="str">
        <f>IFERROR(VLOOKUP(Tabla1[[#This Row],[CODIGO]],INVENTARIO!A:B,2,0)," ")</f>
        <v>Guardallave Fierro Fundido C/Tapa</v>
      </c>
      <c r="C994" s="12">
        <v>1</v>
      </c>
      <c r="D994" s="13"/>
      <c r="E994" s="12">
        <v>932</v>
      </c>
      <c r="F994" s="14">
        <v>46058</v>
      </c>
      <c r="G994" s="34"/>
      <c r="H994" s="34" t="s">
        <v>287</v>
      </c>
      <c r="I994" s="34"/>
      <c r="J994" s="9" t="s">
        <v>260</v>
      </c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</row>
    <row r="995" spans="1:28" ht="14.25" customHeight="1" x14ac:dyDescent="0.35">
      <c r="A995" s="12">
        <v>2007948</v>
      </c>
      <c r="B995" s="59" t="str">
        <f>IFERROR(VLOOKUP(Tabla1[[#This Row],[CODIGO]],INVENTARIO!A:B,2,0)," ")</f>
        <v>Tubo PVC Hidraulico 110 mm Pn6 Celeste</v>
      </c>
      <c r="C995" s="12">
        <v>1</v>
      </c>
      <c r="D995" s="13"/>
      <c r="E995" s="12">
        <v>932</v>
      </c>
      <c r="F995" s="14">
        <v>46058</v>
      </c>
      <c r="G995" s="34"/>
      <c r="H995" s="34" t="s">
        <v>287</v>
      </c>
      <c r="I995" s="34"/>
      <c r="J995" s="9" t="s">
        <v>260</v>
      </c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</row>
    <row r="996" spans="1:28" ht="14.25" customHeight="1" x14ac:dyDescent="0.35">
      <c r="A996" s="12">
        <v>303368</v>
      </c>
      <c r="B996" s="59" t="str">
        <f>IFERROR(VLOOKUP(Tabla1[[#This Row],[CODIGO]],INVENTARIO!A:B,2,0)," ")</f>
        <v>Cinta Plástica "Línea GN", 30 x 0.1</v>
      </c>
      <c r="C996" s="12">
        <v>3</v>
      </c>
      <c r="D996" s="13"/>
      <c r="E996" s="12">
        <v>932</v>
      </c>
      <c r="F996" s="14">
        <v>46058</v>
      </c>
      <c r="G996" s="34"/>
      <c r="H996" s="34" t="s">
        <v>287</v>
      </c>
      <c r="I996" s="34"/>
      <c r="J996" s="9" t="s">
        <v>260</v>
      </c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</row>
    <row r="997" spans="1:28" ht="14.25" customHeight="1" x14ac:dyDescent="0.35">
      <c r="A997" s="12">
        <v>1002167</v>
      </c>
      <c r="B997" s="59" t="str">
        <f>IFERROR(VLOOKUP(Tabla1[[#This Row],[CODIGO]],INVENTARIO!A:B,2,0)," ")</f>
        <v>Cable Trazador Cu 14 AWG Aisl. THW Roj</v>
      </c>
      <c r="C997" s="12">
        <v>3</v>
      </c>
      <c r="D997" s="13"/>
      <c r="E997" s="12">
        <v>932</v>
      </c>
      <c r="F997" s="14">
        <v>46058</v>
      </c>
      <c r="G997" s="34"/>
      <c r="H997" s="34" t="s">
        <v>287</v>
      </c>
      <c r="I997" s="34"/>
      <c r="J997" s="9" t="s">
        <v>260</v>
      </c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</row>
    <row r="998" spans="1:28" ht="14.25" customHeight="1" x14ac:dyDescent="0.35">
      <c r="A998" s="12">
        <v>2004602</v>
      </c>
      <c r="B998" s="59" t="str">
        <f>IFERROR(VLOOKUP(Tabla1[[#This Row],[CODIGO]],INVENTARIO!A:B,2,0)," ")</f>
        <v>MRPC-120-(4/1,2)-(S)-2</v>
      </c>
      <c r="C998" s="12">
        <v>1</v>
      </c>
      <c r="D998" s="13"/>
      <c r="E998" s="12">
        <v>932</v>
      </c>
      <c r="F998" s="14">
        <v>46058</v>
      </c>
      <c r="G998" s="34"/>
      <c r="H998" s="34" t="s">
        <v>287</v>
      </c>
      <c r="I998" s="34"/>
      <c r="J998" s="9" t="s">
        <v>260</v>
      </c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</row>
    <row r="999" spans="1:28" ht="14.25" customHeight="1" x14ac:dyDescent="0.35">
      <c r="A999" s="12">
        <v>301666</v>
      </c>
      <c r="B999" s="59" t="str">
        <f>IFERROR(VLOOKUP(Tabla1[[#This Row],[CODIGO]],INVENTARIO!A:B,2,0)," ")</f>
        <v>Tapping Tee PE 110-25 mm</v>
      </c>
      <c r="C999" s="12">
        <v>10</v>
      </c>
      <c r="D999" s="13"/>
      <c r="E999" s="12">
        <v>893</v>
      </c>
      <c r="F999" s="14">
        <v>46049</v>
      </c>
      <c r="G999" s="34"/>
      <c r="H999" s="34" t="s">
        <v>308</v>
      </c>
      <c r="I999" s="34"/>
      <c r="J999" s="9" t="s">
        <v>201</v>
      </c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</row>
    <row r="1000" spans="1:28" ht="14.25" customHeight="1" x14ac:dyDescent="0.35">
      <c r="A1000" s="12">
        <v>301099</v>
      </c>
      <c r="B1000" s="59" t="str">
        <f>IFERROR(VLOOKUP(Tabla1[[#This Row],[CODIGO]],INVENTARIO!A:B,2,0)," ")</f>
        <v>Válvula PE100 Dn 25mm</v>
      </c>
      <c r="C1000" s="12">
        <v>51</v>
      </c>
      <c r="D1000" s="13"/>
      <c r="E1000" s="12">
        <v>893</v>
      </c>
      <c r="F1000" s="14">
        <v>46049</v>
      </c>
      <c r="G1000" s="34"/>
      <c r="H1000" s="34" t="s">
        <v>308</v>
      </c>
      <c r="I1000" s="34" t="s">
        <v>311</v>
      </c>
      <c r="J1000" s="9" t="s">
        <v>201</v>
      </c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</row>
    <row r="1001" spans="1:28" ht="14.25" customHeight="1" x14ac:dyDescent="0.35">
      <c r="A1001" s="12">
        <v>301329</v>
      </c>
      <c r="B1001" s="59" t="str">
        <f>IFERROR(VLOOKUP(Tabla1[[#This Row],[CODIGO]],INVENTARIO!A:B,2,0)," ")</f>
        <v>Copla PE100 025mm EF</v>
      </c>
      <c r="C1001" s="12">
        <v>224</v>
      </c>
      <c r="D1001" s="13"/>
      <c r="E1001" s="12">
        <v>893</v>
      </c>
      <c r="F1001" s="14">
        <v>46049</v>
      </c>
      <c r="G1001" s="34"/>
      <c r="H1001" s="34" t="s">
        <v>308</v>
      </c>
      <c r="I1001" s="34"/>
      <c r="J1001" s="9" t="s">
        <v>201</v>
      </c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  <c r="AA1001" s="23"/>
      <c r="AB1001" s="23"/>
    </row>
    <row r="1002" spans="1:28" ht="14.25" customHeight="1" x14ac:dyDescent="0.35">
      <c r="A1002" s="12">
        <v>300109</v>
      </c>
      <c r="B1002" s="59" t="str">
        <f>IFERROR(VLOOKUP(Tabla1[[#This Row],[CODIGO]],INVENTARIO!A:B,2,0)," ")</f>
        <v>Risers de Acero 3/4" Bsp x 25 mm</v>
      </c>
      <c r="C1002" s="12">
        <v>57</v>
      </c>
      <c r="D1002" s="13"/>
      <c r="E1002" s="12">
        <v>893</v>
      </c>
      <c r="F1002" s="14">
        <v>46049</v>
      </c>
      <c r="G1002" s="34"/>
      <c r="H1002" s="34" t="s">
        <v>308</v>
      </c>
      <c r="I1002" s="34"/>
      <c r="J1002" s="9" t="s">
        <v>201</v>
      </c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  <c r="AA1002" s="23"/>
      <c r="AB1002" s="23"/>
    </row>
    <row r="1003" spans="1:28" ht="14.25" customHeight="1" x14ac:dyDescent="0.35">
      <c r="A1003" s="12">
        <v>2003911</v>
      </c>
      <c r="B1003" s="59" t="str">
        <f>IFERROR(VLOOKUP(Tabla1[[#This Row],[CODIGO]],INVENTARIO!A:B,2,0)," ")</f>
        <v>Válvula EFv PE 25 mm Para Tap. Tee</v>
      </c>
      <c r="C1003" s="12">
        <v>51</v>
      </c>
      <c r="D1003" s="13"/>
      <c r="E1003" s="12">
        <v>893</v>
      </c>
      <c r="F1003" s="14">
        <v>46049</v>
      </c>
      <c r="G1003" s="34"/>
      <c r="H1003" s="34" t="s">
        <v>308</v>
      </c>
      <c r="I1003" s="34"/>
      <c r="J1003" s="9" t="s">
        <v>201</v>
      </c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  <c r="AA1003" s="23"/>
      <c r="AB1003" s="23"/>
    </row>
    <row r="1004" spans="1:28" ht="14.25" customHeight="1" x14ac:dyDescent="0.35">
      <c r="A1004" s="12">
        <v>300108</v>
      </c>
      <c r="B1004" s="59" t="str">
        <f>IFERROR(VLOOKUP(Tabla1[[#This Row],[CODIGO]],INVENTARIO!A:B,2,0)," ")</f>
        <v>Tapping Tee PE 63-25 mm</v>
      </c>
      <c r="C1004" s="12">
        <v>2</v>
      </c>
      <c r="D1004" s="13"/>
      <c r="E1004" s="12">
        <v>893</v>
      </c>
      <c r="F1004" s="14">
        <v>46049</v>
      </c>
      <c r="G1004" s="34"/>
      <c r="H1004" s="34" t="s">
        <v>308</v>
      </c>
      <c r="I1004" s="34"/>
      <c r="J1004" s="9" t="s">
        <v>201</v>
      </c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  <c r="AA1004" s="23"/>
      <c r="AB1004" s="23"/>
    </row>
    <row r="1005" spans="1:28" ht="14.25" customHeight="1" x14ac:dyDescent="0.35">
      <c r="A1005" s="12">
        <v>101624</v>
      </c>
      <c r="B1005" s="59" t="str">
        <f>IFERROR(VLOOKUP(Tabla1[[#This Row],[CODIGO]],INVENTARIO!A:B,2,0)," ")</f>
        <v>Tapping Tee PE 50-25 mm</v>
      </c>
      <c r="C1005" s="12">
        <v>47</v>
      </c>
      <c r="D1005" s="13"/>
      <c r="E1005" s="12">
        <v>893</v>
      </c>
      <c r="F1005" s="14">
        <v>46049</v>
      </c>
      <c r="G1005" s="34"/>
      <c r="H1005" s="34" t="s">
        <v>308</v>
      </c>
      <c r="I1005" s="34"/>
      <c r="J1005" s="9" t="s">
        <v>201</v>
      </c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  <c r="AA1005" s="23"/>
      <c r="AB1005" s="23"/>
    </row>
    <row r="1006" spans="1:28" ht="14.25" customHeight="1" x14ac:dyDescent="0.35">
      <c r="A1006" s="12">
        <v>300712</v>
      </c>
      <c r="B1006" s="59" t="str">
        <f>IFERROR(VLOOKUP(Tabla1[[#This Row],[CODIGO]],INVENTARIO!A:B,2,0)," ")</f>
        <v>Tapa PE  025 mm Termo F.</v>
      </c>
      <c r="C1006" s="12">
        <v>6</v>
      </c>
      <c r="D1006" s="13"/>
      <c r="E1006" s="12">
        <v>893</v>
      </c>
      <c r="F1006" s="14">
        <v>46049</v>
      </c>
      <c r="G1006" s="34"/>
      <c r="H1006" s="34" t="s">
        <v>308</v>
      </c>
      <c r="I1006" s="34"/>
      <c r="J1006" s="9" t="s">
        <v>201</v>
      </c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  <c r="AA1006" s="23"/>
      <c r="AB1006" s="23"/>
    </row>
    <row r="1007" spans="1:28" ht="14.25" customHeight="1" x14ac:dyDescent="0.35">
      <c r="A1007" s="12">
        <v>303345</v>
      </c>
      <c r="B1007" s="59" t="str">
        <f>IFERROR(VLOOKUP(Tabla1[[#This Row],[CODIGO]],INVENTARIO!A:B,2,0)," ")</f>
        <v>Copla PE100 050mm EF</v>
      </c>
      <c r="C1007" s="12">
        <v>32</v>
      </c>
      <c r="D1007" s="13"/>
      <c r="E1007" s="12">
        <v>893</v>
      </c>
      <c r="F1007" s="14">
        <v>46049</v>
      </c>
      <c r="G1007" s="34"/>
      <c r="H1007" s="34" t="s">
        <v>308</v>
      </c>
      <c r="I1007" s="34"/>
      <c r="J1007" s="9" t="s">
        <v>201</v>
      </c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  <c r="AA1007" s="23"/>
      <c r="AB1007" s="23"/>
    </row>
    <row r="1008" spans="1:28" ht="14.25" customHeight="1" x14ac:dyDescent="0.35">
      <c r="A1008" s="12">
        <v>301327</v>
      </c>
      <c r="B1008" s="59" t="str">
        <f>IFERROR(VLOOKUP(Tabla1[[#This Row],[CODIGO]],INVENTARIO!A:B,2,0)," ")</f>
        <v>Tapa PE  050 mm Termo F.</v>
      </c>
      <c r="C1008" s="12">
        <v>9</v>
      </c>
      <c r="D1008" s="13"/>
      <c r="E1008" s="12">
        <v>893</v>
      </c>
      <c r="F1008" s="14">
        <v>46049</v>
      </c>
      <c r="G1008" s="34"/>
      <c r="H1008" s="34" t="s">
        <v>308</v>
      </c>
      <c r="I1008" s="34"/>
      <c r="J1008" s="9" t="s">
        <v>201</v>
      </c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  <c r="AA1008" s="23"/>
      <c r="AB1008" s="23"/>
    </row>
    <row r="1009" spans="1:28" ht="14.25" customHeight="1" x14ac:dyDescent="0.35">
      <c r="A1009" s="12">
        <v>302992</v>
      </c>
      <c r="B1009" s="59" t="str">
        <f>IFERROR(VLOOKUP(Tabla1[[#This Row],[CODIGO]],INVENTARIO!A:B,2,0)," ")</f>
        <v>Codo PE100 90° 050mm EF</v>
      </c>
      <c r="C1009" s="12">
        <v>2</v>
      </c>
      <c r="D1009" s="13"/>
      <c r="E1009" s="12">
        <v>893</v>
      </c>
      <c r="F1009" s="14">
        <v>46049</v>
      </c>
      <c r="G1009" s="34"/>
      <c r="H1009" s="34" t="s">
        <v>308</v>
      </c>
      <c r="I1009" s="34"/>
      <c r="J1009" s="9" t="s">
        <v>201</v>
      </c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  <c r="AA1009" s="23"/>
      <c r="AB1009" s="23"/>
    </row>
    <row r="1010" spans="1:28" ht="14.25" customHeight="1" x14ac:dyDescent="0.35">
      <c r="A1010" s="12">
        <v>400205</v>
      </c>
      <c r="B1010" s="59" t="str">
        <f>IFERROR(VLOOKUP(Tabla1[[#This Row],[CODIGO]],INVENTARIO!A:B,2,0)," ")</f>
        <v>Tee PE  50 mm Electro F.</v>
      </c>
      <c r="C1010" s="12">
        <v>7</v>
      </c>
      <c r="D1010" s="13"/>
      <c r="E1010" s="12">
        <v>893</v>
      </c>
      <c r="F1010" s="14">
        <v>46049</v>
      </c>
      <c r="G1010" s="34"/>
      <c r="H1010" s="34" t="s">
        <v>308</v>
      </c>
      <c r="I1010" s="34"/>
      <c r="J1010" s="9" t="s">
        <v>201</v>
      </c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  <c r="AA1010" s="23"/>
      <c r="AB1010" s="23"/>
    </row>
    <row r="1011" spans="1:28" ht="14.25" customHeight="1" x14ac:dyDescent="0.35">
      <c r="A1011" s="12">
        <v>302338</v>
      </c>
      <c r="B1011" s="59" t="str">
        <f>IFERROR(VLOOKUP(Tabla1[[#This Row],[CODIGO]],INVENTARIO!A:B,2,0)," ")</f>
        <v>Codo PE100 45° 110mm EF</v>
      </c>
      <c r="C1011" s="12">
        <v>6</v>
      </c>
      <c r="D1011" s="13"/>
      <c r="E1011" s="12">
        <v>893</v>
      </c>
      <c r="F1011" s="14">
        <v>46049</v>
      </c>
      <c r="G1011" s="34"/>
      <c r="H1011" s="34" t="s">
        <v>308</v>
      </c>
      <c r="I1011" s="34"/>
      <c r="J1011" s="9" t="s">
        <v>201</v>
      </c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  <c r="AA1011" s="23"/>
      <c r="AB1011" s="23"/>
    </row>
    <row r="1012" spans="1:28" ht="14.25" customHeight="1" x14ac:dyDescent="0.35">
      <c r="A1012" s="12">
        <v>303015</v>
      </c>
      <c r="B1012" s="59" t="str">
        <f>IFERROR(VLOOKUP(Tabla1[[#This Row],[CODIGO]],INVENTARIO!A:B,2,0)," ")</f>
        <v>Tee PE 110 mm Electro F.</v>
      </c>
      <c r="C1012" s="12">
        <v>4</v>
      </c>
      <c r="D1012" s="13"/>
      <c r="E1012" s="12">
        <v>893</v>
      </c>
      <c r="F1012" s="14">
        <v>46049</v>
      </c>
      <c r="G1012" s="34"/>
      <c r="H1012" s="34" t="s">
        <v>308</v>
      </c>
      <c r="I1012" s="34"/>
      <c r="J1012" s="9" t="s">
        <v>201</v>
      </c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  <c r="AA1012" s="23"/>
      <c r="AB1012" s="23"/>
    </row>
    <row r="1013" spans="1:28" ht="14.25" customHeight="1" x14ac:dyDescent="0.35">
      <c r="A1013" s="12">
        <v>303439</v>
      </c>
      <c r="B1013" s="59" t="str">
        <f>IFERROR(VLOOKUP(Tabla1[[#This Row],[CODIGO]],INVENTARIO!A:B,2,0)," ")</f>
        <v>Reductor PE 110-50 mm Termo F.</v>
      </c>
      <c r="C1013" s="12">
        <v>2</v>
      </c>
      <c r="D1013" s="13"/>
      <c r="E1013" s="12">
        <v>893</v>
      </c>
      <c r="F1013" s="14">
        <v>46049</v>
      </c>
      <c r="G1013" s="34"/>
      <c r="H1013" s="34" t="s">
        <v>308</v>
      </c>
      <c r="I1013" s="34"/>
      <c r="J1013" s="9" t="s">
        <v>201</v>
      </c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  <c r="AA1013" s="23"/>
      <c r="AB1013" s="23"/>
    </row>
    <row r="1014" spans="1:28" ht="14.25" customHeight="1" x14ac:dyDescent="0.35">
      <c r="A1014" s="12">
        <v>301685</v>
      </c>
      <c r="B1014" s="59" t="str">
        <f>IFERROR(VLOOKUP(Tabla1[[#This Row],[CODIGO]],INVENTARIO!A:B,2,0)," ")</f>
        <v>Reductor PE100 110-63 mm TF.</v>
      </c>
      <c r="C1014" s="12">
        <v>1</v>
      </c>
      <c r="D1014" s="13"/>
      <c r="E1014" s="12">
        <v>893</v>
      </c>
      <c r="F1014" s="14">
        <v>46049</v>
      </c>
      <c r="G1014" s="34"/>
      <c r="H1014" s="34" t="s">
        <v>308</v>
      </c>
      <c r="I1014" s="34"/>
      <c r="J1014" s="9" t="s">
        <v>201</v>
      </c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  <c r="AA1014" s="23"/>
      <c r="AB1014" s="23"/>
    </row>
    <row r="1015" spans="1:28" ht="14.25" customHeight="1" x14ac:dyDescent="0.35">
      <c r="A1015" s="12">
        <v>302317</v>
      </c>
      <c r="B1015" s="59" t="str">
        <f>IFERROR(VLOOKUP(Tabla1[[#This Row],[CODIGO]],INVENTARIO!A:B,2,0)," ")</f>
        <v>Tapa PE 110 mm Termo F.</v>
      </c>
      <c r="C1015" s="12">
        <v>2</v>
      </c>
      <c r="D1015" s="13"/>
      <c r="E1015" s="12">
        <v>893</v>
      </c>
      <c r="F1015" s="14">
        <v>46049</v>
      </c>
      <c r="G1015" s="34"/>
      <c r="H1015" s="34" t="s">
        <v>308</v>
      </c>
      <c r="I1015" s="34"/>
      <c r="J1015" s="9" t="s">
        <v>201</v>
      </c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  <c r="AA1015" s="23"/>
      <c r="AB1015" s="23"/>
    </row>
    <row r="1016" spans="1:28" ht="14.25" customHeight="1" x14ac:dyDescent="0.35">
      <c r="A1016" s="12">
        <v>302991</v>
      </c>
      <c r="B1016" s="59" t="str">
        <f>IFERROR(VLOOKUP(Tabla1[[#This Row],[CODIGO]],INVENTARIO!A:B,2,0)," ")</f>
        <v>Copla PE100 110mm EF</v>
      </c>
      <c r="C1016" s="12">
        <v>21</v>
      </c>
      <c r="D1016" s="13"/>
      <c r="E1016" s="12">
        <v>893</v>
      </c>
      <c r="F1016" s="14">
        <v>46049</v>
      </c>
      <c r="G1016" s="34"/>
      <c r="H1016" s="34" t="s">
        <v>308</v>
      </c>
      <c r="I1016" s="34"/>
      <c r="J1016" s="9" t="s">
        <v>201</v>
      </c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  <c r="AA1016" s="23"/>
      <c r="AB1016" s="23"/>
    </row>
    <row r="1017" spans="1:28" ht="14.25" customHeight="1" x14ac:dyDescent="0.35">
      <c r="A1017" s="12">
        <v>2003736</v>
      </c>
      <c r="B1017" s="59" t="str">
        <f>IFERROR(VLOOKUP(Tabla1[[#This Row],[CODIGO]],INVENTARIO!A:B,2,0)," ")</f>
        <v>Válvula PE100 Dn 110mm</v>
      </c>
      <c r="C1017" s="12">
        <v>1</v>
      </c>
      <c r="D1017" s="13"/>
      <c r="E1017" s="12">
        <v>893</v>
      </c>
      <c r="F1017" s="14">
        <v>46049</v>
      </c>
      <c r="G1017" s="34"/>
      <c r="H1017" s="34" t="s">
        <v>308</v>
      </c>
      <c r="I1017" s="34"/>
      <c r="J1017" s="9" t="s">
        <v>201</v>
      </c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  <c r="AA1017" s="23"/>
      <c r="AB1017" s="23"/>
    </row>
    <row r="1018" spans="1:28" ht="14.25" customHeight="1" x14ac:dyDescent="0.35">
      <c r="A1018" s="12">
        <v>2000350</v>
      </c>
      <c r="B1018" s="59" t="str">
        <f>IFERROR(VLOOKUP(Tabla1[[#This Row],[CODIGO]],INVENTARIO!A:B,2,0)," ")</f>
        <v>Codo PE 90º  25 mm EF.</v>
      </c>
      <c r="C1018" s="12">
        <v>2</v>
      </c>
      <c r="D1018" s="13"/>
      <c r="E1018" s="12">
        <v>893</v>
      </c>
      <c r="F1018" s="14">
        <v>46049</v>
      </c>
      <c r="G1018" s="34"/>
      <c r="H1018" s="34" t="s">
        <v>308</v>
      </c>
      <c r="I1018" s="34"/>
      <c r="J1018" s="9" t="s">
        <v>201</v>
      </c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  <c r="AA1018" s="23"/>
      <c r="AB1018" s="23"/>
    </row>
    <row r="1019" spans="1:28" ht="14.25" customHeight="1" x14ac:dyDescent="0.35">
      <c r="A1019" s="12">
        <v>2006393</v>
      </c>
      <c r="B1019" s="59" t="str">
        <f>IFERROR(VLOOKUP(Tabla1[[#This Row],[CODIGO]],INVENTARIO!A:B,2,0)," ")</f>
        <v>Transición Latón 3/4"x25 MM PE100, SDR11</v>
      </c>
      <c r="C1019" s="12">
        <v>2</v>
      </c>
      <c r="D1019" s="13"/>
      <c r="E1019" s="12">
        <v>893</v>
      </c>
      <c r="F1019" s="14">
        <v>46049</v>
      </c>
      <c r="G1019" s="34"/>
      <c r="H1019" s="34" t="s">
        <v>308</v>
      </c>
      <c r="I1019" s="34"/>
      <c r="J1019" s="9" t="s">
        <v>201</v>
      </c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  <c r="AA1019" s="23"/>
      <c r="AB1019" s="23"/>
    </row>
    <row r="1020" spans="1:28" ht="14.25" customHeight="1" x14ac:dyDescent="0.35">
      <c r="A1020" s="12">
        <v>2006392</v>
      </c>
      <c r="B1020" s="59" t="str">
        <f>IFERROR(VLOOKUP(Tabla1[[#This Row],[CODIGO]],INVENTARIO!A:B,2,0)," ")</f>
        <v>Limitador Flujo P/Tapping Tee 25 MM</v>
      </c>
      <c r="C1020" s="12">
        <v>2</v>
      </c>
      <c r="D1020" s="13"/>
      <c r="E1020" s="12">
        <v>893</v>
      </c>
      <c r="F1020" s="14">
        <v>46049</v>
      </c>
      <c r="G1020" s="34"/>
      <c r="H1020" s="34" t="s">
        <v>308</v>
      </c>
      <c r="I1020" s="34"/>
      <c r="J1020" s="9" t="s">
        <v>201</v>
      </c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  <c r="AA1020" s="23"/>
      <c r="AB1020" s="23"/>
    </row>
    <row r="1021" spans="1:28" ht="14.25" customHeight="1" x14ac:dyDescent="0.35">
      <c r="A1021" s="12">
        <v>2008302</v>
      </c>
      <c r="B1021" s="59" t="str">
        <f>IFERROR(VLOOKUP(Tabla1[[#This Row],[CODIGO]],INVENTARIO!A:B,2,0)," ")</f>
        <v>Tapa PE 063 mm Electro F.</v>
      </c>
      <c r="C1021" s="12">
        <v>1</v>
      </c>
      <c r="D1021" s="13"/>
      <c r="E1021" s="12">
        <v>893</v>
      </c>
      <c r="F1021" s="14">
        <v>46049</v>
      </c>
      <c r="G1021" s="34"/>
      <c r="H1021" s="34" t="s">
        <v>308</v>
      </c>
      <c r="I1021" s="34"/>
      <c r="J1021" s="9" t="s">
        <v>201</v>
      </c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  <c r="AA1021" s="23"/>
      <c r="AB1021" s="23"/>
    </row>
    <row r="1022" spans="1:28" ht="14.25" customHeight="1" x14ac:dyDescent="0.35">
      <c r="A1022" s="12">
        <v>302659</v>
      </c>
      <c r="B1022" s="59" t="str">
        <f>IFERROR(VLOOKUP(Tabla1[[#This Row],[CODIGO]],INVENTARIO!A:B,2,0)," ")</f>
        <v>Copla PE100 063mm EF</v>
      </c>
      <c r="C1022" s="12">
        <v>4</v>
      </c>
      <c r="D1022" s="13"/>
      <c r="E1022" s="12">
        <v>893</v>
      </c>
      <c r="F1022" s="14">
        <v>46049</v>
      </c>
      <c r="G1022" s="34"/>
      <c r="H1022" s="34" t="s">
        <v>308</v>
      </c>
      <c r="I1022" s="34"/>
      <c r="J1022" s="9" t="s">
        <v>201</v>
      </c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  <c r="AA1022" s="23"/>
      <c r="AB1022" s="23"/>
    </row>
    <row r="1023" spans="1:28" ht="14.25" customHeight="1" x14ac:dyDescent="0.35">
      <c r="A1023" s="12">
        <v>302737</v>
      </c>
      <c r="B1023" s="59" t="str">
        <f>IFERROR(VLOOKUP(Tabla1[[#This Row],[CODIGO]],INVENTARIO!A:B,2,0)," ")</f>
        <v>Válvula Bola 3/4" Hi Un Cuerpo Pn5 Arco</v>
      </c>
      <c r="C1023" s="12">
        <v>59</v>
      </c>
      <c r="D1023" s="13"/>
      <c r="E1023" s="12">
        <v>893</v>
      </c>
      <c r="F1023" s="14">
        <v>46049</v>
      </c>
      <c r="G1023" s="34"/>
      <c r="H1023" s="34" t="s">
        <v>308</v>
      </c>
      <c r="I1023" s="34"/>
      <c r="J1023" s="9" t="s">
        <v>201</v>
      </c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  <c r="AA1023" s="23"/>
      <c r="AB1023" s="23"/>
    </row>
    <row r="1024" spans="1:28" ht="14.25" customHeight="1" x14ac:dyDescent="0.35">
      <c r="A1024" s="12">
        <v>2008481</v>
      </c>
      <c r="B1024" s="59" t="str">
        <f>IFERROR(VLOOKUP(Tabla1[[#This Row],[CODIGO]],INVENTARIO!A:B,2,0)," ")</f>
        <v>Tapa Tornillo Bronce 3/4" HE Bspt.</v>
      </c>
      <c r="C1024" s="12">
        <v>59</v>
      </c>
      <c r="D1024" s="13"/>
      <c r="E1024" s="12">
        <v>893</v>
      </c>
      <c r="F1024" s="14">
        <v>46049</v>
      </c>
      <c r="G1024" s="34"/>
      <c r="H1024" s="34" t="s">
        <v>308</v>
      </c>
      <c r="I1024" s="34"/>
      <c r="J1024" s="9" t="s">
        <v>201</v>
      </c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  <c r="AA1024" s="23"/>
      <c r="AB1024" s="23"/>
    </row>
    <row r="1025" spans="1:28" ht="14.25" customHeight="1" x14ac:dyDescent="0.35">
      <c r="A1025" s="12">
        <v>2006391</v>
      </c>
      <c r="B1025" s="59" t="str">
        <f>IFERROR(VLOOKUP(Tabla1[[#This Row],[CODIGO]],INVENTARIO!A:B,2,0)," ")</f>
        <v>Guardallave Fierro Fundido C/Tapa</v>
      </c>
      <c r="C1025" s="12">
        <v>54</v>
      </c>
      <c r="D1025" s="13"/>
      <c r="E1025" s="12">
        <v>909</v>
      </c>
      <c r="F1025" s="14">
        <v>46051</v>
      </c>
      <c r="G1025" s="34"/>
      <c r="H1025" s="34" t="s">
        <v>308</v>
      </c>
      <c r="I1025" s="34"/>
      <c r="J1025" s="9" t="s">
        <v>201</v>
      </c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  <c r="AA1025" s="23"/>
      <c r="AB1025" s="23"/>
    </row>
    <row r="1026" spans="1:28" ht="14.25" customHeight="1" x14ac:dyDescent="0.35">
      <c r="A1026" s="12">
        <v>303510</v>
      </c>
      <c r="B1026" s="59" t="str">
        <f>IFERROR(VLOOKUP(Tabla1[[#This Row],[CODIGO]],INVENTARIO!A:B,2,0)," ")</f>
        <v>Guardallave Hormigón 125 mm con Tapa</v>
      </c>
      <c r="C1026" s="12">
        <v>35</v>
      </c>
      <c r="D1026" s="13"/>
      <c r="E1026" s="12">
        <v>909</v>
      </c>
      <c r="F1026" s="14">
        <v>46051</v>
      </c>
      <c r="G1026" s="34"/>
      <c r="H1026" s="34" t="s">
        <v>308</v>
      </c>
      <c r="I1026" s="34"/>
      <c r="J1026" s="9" t="s">
        <v>201</v>
      </c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  <c r="AA1026" s="23"/>
      <c r="AB1026" s="23"/>
    </row>
    <row r="1027" spans="1:28" ht="14.25" customHeight="1" x14ac:dyDescent="0.35">
      <c r="A1027" s="12">
        <v>2005135</v>
      </c>
      <c r="B1027" s="59" t="str">
        <f>IFERROR(VLOOKUP(Tabla1[[#This Row],[CODIGO]],INVENTARIO!A:B,2,0)," ")</f>
        <v>Tubo PVC 110 mm PN6 CG Amarillo Tira 6 m</v>
      </c>
      <c r="C1027" s="12">
        <v>2</v>
      </c>
      <c r="D1027" s="13"/>
      <c r="E1027" s="12">
        <v>909</v>
      </c>
      <c r="F1027" s="14">
        <v>46051</v>
      </c>
      <c r="G1027" s="34"/>
      <c r="H1027" s="34" t="s">
        <v>308</v>
      </c>
      <c r="I1027" s="34"/>
      <c r="J1027" s="9" t="s">
        <v>201</v>
      </c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  <c r="AA1027" s="23"/>
      <c r="AB1027" s="23"/>
    </row>
    <row r="1028" spans="1:28" ht="14.25" customHeight="1" x14ac:dyDescent="0.35">
      <c r="A1028" s="12">
        <v>2005136</v>
      </c>
      <c r="B1028" s="59" t="str">
        <f>IFERROR(VLOOKUP(Tabla1[[#This Row],[CODIGO]],INVENTARIO!A:B,2,0)," ")</f>
        <v>Tubo PVC 160 mm PN6 CG Amarillo</v>
      </c>
      <c r="C1028" s="12">
        <v>1</v>
      </c>
      <c r="D1028" s="13"/>
      <c r="E1028" s="12">
        <v>909</v>
      </c>
      <c r="F1028" s="14">
        <v>46051</v>
      </c>
      <c r="G1028" s="34"/>
      <c r="H1028" s="34" t="s">
        <v>308</v>
      </c>
      <c r="I1028" s="34"/>
      <c r="J1028" s="9" t="s">
        <v>201</v>
      </c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  <c r="AA1028" s="23"/>
      <c r="AB1028" s="23"/>
    </row>
    <row r="1029" spans="1:28" ht="14.25" customHeight="1" x14ac:dyDescent="0.35">
      <c r="A1029" s="12">
        <v>303368</v>
      </c>
      <c r="B1029" s="59" t="str">
        <f>IFERROR(VLOOKUP(Tabla1[[#This Row],[CODIGO]],INVENTARIO!A:B,2,0)," ")</f>
        <v>Cinta Plástica "Línea GN", 30 x 0.1</v>
      </c>
      <c r="C1029" s="12">
        <v>1825</v>
      </c>
      <c r="D1029" s="13"/>
      <c r="E1029" s="12">
        <v>895</v>
      </c>
      <c r="F1029" s="14">
        <v>46049</v>
      </c>
      <c r="G1029" s="34"/>
      <c r="H1029" s="34" t="s">
        <v>307</v>
      </c>
      <c r="I1029" s="34"/>
      <c r="J1029" s="9" t="s">
        <v>201</v>
      </c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  <c r="AA1029" s="23"/>
      <c r="AB1029" s="23"/>
    </row>
    <row r="1030" spans="1:28" ht="14.25" customHeight="1" x14ac:dyDescent="0.35">
      <c r="A1030" s="12">
        <v>1002167</v>
      </c>
      <c r="B1030" s="59" t="str">
        <f>IFERROR(VLOOKUP(Tabla1[[#This Row],[CODIGO]],INVENTARIO!A:B,2,0)," ")</f>
        <v>Cable Trazador Cu 14 AWG Aisl. THW Roj</v>
      </c>
      <c r="C1030" s="12">
        <v>1825</v>
      </c>
      <c r="D1030" s="13"/>
      <c r="E1030" s="12">
        <v>895</v>
      </c>
      <c r="F1030" s="14">
        <v>46049</v>
      </c>
      <c r="G1030" s="34"/>
      <c r="H1030" s="34" t="s">
        <v>307</v>
      </c>
      <c r="I1030" s="34"/>
      <c r="J1030" s="9" t="s">
        <v>201</v>
      </c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  <c r="AA1030" s="23"/>
      <c r="AB1030" s="23"/>
    </row>
    <row r="1031" spans="1:28" ht="14.25" customHeight="1" x14ac:dyDescent="0.35">
      <c r="A1031" s="12">
        <v>302065</v>
      </c>
      <c r="B1031" s="59" t="str">
        <f>IFERROR(VLOOKUP(Tabla1[[#This Row],[CODIGO]],INVENTARIO!A:B,2,0)," ")</f>
        <v>Tubería PE80 110mm Tira</v>
      </c>
      <c r="C1031" s="12">
        <v>396</v>
      </c>
      <c r="D1031" s="13"/>
      <c r="E1031" s="12">
        <v>934</v>
      </c>
      <c r="F1031" s="14">
        <v>46036</v>
      </c>
      <c r="G1031" s="34"/>
      <c r="H1031" s="34" t="s">
        <v>306</v>
      </c>
      <c r="I1031" s="34"/>
      <c r="J1031" s="9" t="s">
        <v>201</v>
      </c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  <c r="AA1031" s="23"/>
      <c r="AB1031" s="23"/>
    </row>
    <row r="1032" spans="1:28" ht="14.25" customHeight="1" x14ac:dyDescent="0.35">
      <c r="A1032" s="49" t="s">
        <v>292</v>
      </c>
      <c r="B1032" s="59" t="str">
        <f>IFERROR(VLOOKUP(Tabla1[[#This Row],[CODIGO]],INVENTARIO!A:B,2,0)," ")</f>
        <v>Toalla Nova Clasica</v>
      </c>
      <c r="C1032" s="12">
        <v>1</v>
      </c>
      <c r="D1032" s="13"/>
      <c r="E1032" s="12">
        <v>927</v>
      </c>
      <c r="F1032" s="14">
        <v>46057</v>
      </c>
      <c r="G1032" s="34"/>
      <c r="H1032" s="34" t="s">
        <v>232</v>
      </c>
      <c r="I1032" s="34"/>
      <c r="J1032" s="9" t="s">
        <v>200</v>
      </c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  <c r="AA1032" s="23"/>
      <c r="AB1032" s="23"/>
    </row>
    <row r="1033" spans="1:28" ht="14.25" customHeight="1" x14ac:dyDescent="0.35">
      <c r="A1033" s="49" t="s">
        <v>291</v>
      </c>
      <c r="B1033" s="59" t="str">
        <f>IFERROR(VLOOKUP(Tabla1[[#This Row],[CODIGO]],INVENTARIO!A:B,2,0)," ")</f>
        <v>Alcohol Isopropilico  500 ml</v>
      </c>
      <c r="C1033" s="12">
        <v>1</v>
      </c>
      <c r="D1033" s="13"/>
      <c r="E1033" s="12">
        <v>927</v>
      </c>
      <c r="F1033" s="14">
        <v>46057</v>
      </c>
      <c r="G1033" s="34"/>
      <c r="H1033" s="34" t="s">
        <v>232</v>
      </c>
      <c r="I1033" s="34"/>
      <c r="J1033" s="9" t="s">
        <v>200</v>
      </c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  <c r="AA1033" s="23"/>
      <c r="AB1033" s="23"/>
    </row>
    <row r="1034" spans="1:28" ht="14.25" customHeight="1" x14ac:dyDescent="0.35">
      <c r="A1034" s="12">
        <v>1002167</v>
      </c>
      <c r="B1034" s="59" t="str">
        <f>IFERROR(VLOOKUP(Tabla1[[#This Row],[CODIGO]],INVENTARIO!A:B,2,0)," ")</f>
        <v>Cable Trazador Cu 14 AWG Aisl. THW Roj</v>
      </c>
      <c r="C1034" s="12">
        <v>100</v>
      </c>
      <c r="D1034" s="13"/>
      <c r="E1034" s="12">
        <v>926</v>
      </c>
      <c r="F1034" s="14">
        <v>46057</v>
      </c>
      <c r="G1034" s="34"/>
      <c r="H1034" s="34" t="s">
        <v>288</v>
      </c>
      <c r="I1034" s="34"/>
      <c r="J1034" s="9" t="s">
        <v>201</v>
      </c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  <c r="AA1034" s="23"/>
      <c r="AB1034" s="23"/>
    </row>
    <row r="1035" spans="1:28" ht="14.25" customHeight="1" x14ac:dyDescent="0.35">
      <c r="A1035" s="12">
        <v>2002262</v>
      </c>
      <c r="B1035" s="59" t="str">
        <f>IFERROR(VLOOKUP(Tabla1[[#This Row],[CODIGO]],INVENTARIO!A:B,2,0)," ")</f>
        <v>Tubería PE80 050mm Rollo</v>
      </c>
      <c r="C1035" s="12">
        <v>100</v>
      </c>
      <c r="D1035" s="13"/>
      <c r="E1035" s="12">
        <v>211</v>
      </c>
      <c r="F1035" s="14">
        <v>46057</v>
      </c>
      <c r="G1035" s="34"/>
      <c r="H1035" s="34" t="s">
        <v>223</v>
      </c>
      <c r="I1035" s="34"/>
      <c r="J1035" s="9" t="s">
        <v>207</v>
      </c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  <c r="AA1035" s="23"/>
      <c r="AB1035" s="23"/>
    </row>
    <row r="1036" spans="1:28" ht="14.25" customHeight="1" x14ac:dyDescent="0.35">
      <c r="A1036" s="12">
        <v>303368</v>
      </c>
      <c r="B1036" s="59" t="str">
        <f>IFERROR(VLOOKUP(Tabla1[[#This Row],[CODIGO]],INVENTARIO!A:B,2,0)," ")</f>
        <v>Cinta Plástica "Línea GN", 30 x 0.1</v>
      </c>
      <c r="C1036" s="12">
        <v>100</v>
      </c>
      <c r="D1036" s="13"/>
      <c r="E1036" s="12">
        <v>211</v>
      </c>
      <c r="F1036" s="14">
        <v>46057</v>
      </c>
      <c r="G1036" s="34"/>
      <c r="H1036" s="34" t="s">
        <v>223</v>
      </c>
      <c r="I1036" s="34"/>
      <c r="J1036" s="9" t="s">
        <v>207</v>
      </c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  <c r="AA1036" s="23"/>
      <c r="AB1036" s="23"/>
    </row>
    <row r="1037" spans="1:28" ht="14.25" customHeight="1" x14ac:dyDescent="0.35">
      <c r="A1037" s="12">
        <v>1002167</v>
      </c>
      <c r="B1037" s="59" t="str">
        <f>IFERROR(VLOOKUP(Tabla1[[#This Row],[CODIGO]],INVENTARIO!A:B,2,0)," ")</f>
        <v>Cable Trazador Cu 14 AWG Aisl. THW Roj</v>
      </c>
      <c r="C1037" s="12">
        <v>100</v>
      </c>
      <c r="D1037" s="13"/>
      <c r="E1037" s="12">
        <v>211</v>
      </c>
      <c r="F1037" s="14">
        <v>46057</v>
      </c>
      <c r="G1037" s="34"/>
      <c r="H1037" s="34" t="s">
        <v>223</v>
      </c>
      <c r="I1037" s="34"/>
      <c r="J1037" s="9" t="s">
        <v>207</v>
      </c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  <c r="AA1037" s="23"/>
      <c r="AB1037" s="23"/>
    </row>
    <row r="1038" spans="1:28" ht="14.25" customHeight="1" x14ac:dyDescent="0.35">
      <c r="A1038" s="12">
        <v>302992</v>
      </c>
      <c r="B1038" s="59" t="str">
        <f>IFERROR(VLOOKUP(Tabla1[[#This Row],[CODIGO]],INVENTARIO!A:B,2,0)," ")</f>
        <v>Codo PE100 90° 050mm EF</v>
      </c>
      <c r="C1038" s="12">
        <v>1</v>
      </c>
      <c r="D1038" s="13"/>
      <c r="E1038" s="12">
        <v>211</v>
      </c>
      <c r="F1038" s="14">
        <v>46057</v>
      </c>
      <c r="G1038" s="34"/>
      <c r="H1038" s="34" t="s">
        <v>223</v>
      </c>
      <c r="I1038" s="34"/>
      <c r="J1038" s="9" t="s">
        <v>207</v>
      </c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  <c r="AA1038" s="23"/>
      <c r="AB1038" s="23"/>
    </row>
    <row r="1039" spans="1:28" ht="14.25" customHeight="1" x14ac:dyDescent="0.35">
      <c r="A1039" s="12">
        <v>400205</v>
      </c>
      <c r="B1039" s="59" t="str">
        <f>IFERROR(VLOOKUP(Tabla1[[#This Row],[CODIGO]],INVENTARIO!A:B,2,0)," ")</f>
        <v>Tee PE  50 mm Electro F.</v>
      </c>
      <c r="C1039" s="12">
        <v>1</v>
      </c>
      <c r="D1039" s="13"/>
      <c r="E1039" s="12">
        <v>211</v>
      </c>
      <c r="F1039" s="14">
        <v>46057</v>
      </c>
      <c r="G1039" s="34"/>
      <c r="H1039" s="34" t="s">
        <v>223</v>
      </c>
      <c r="I1039" s="34"/>
      <c r="J1039" s="9" t="s">
        <v>207</v>
      </c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  <c r="AA1039" s="23"/>
      <c r="AB1039" s="23"/>
    </row>
    <row r="1040" spans="1:28" ht="14.25" customHeight="1" x14ac:dyDescent="0.35">
      <c r="A1040" s="12">
        <v>303345</v>
      </c>
      <c r="B1040" s="59" t="str">
        <f>IFERROR(VLOOKUP(Tabla1[[#This Row],[CODIGO]],INVENTARIO!A:B,2,0)," ")</f>
        <v>Copla PE100 050mm EF</v>
      </c>
      <c r="C1040" s="12">
        <v>3</v>
      </c>
      <c r="D1040" s="13"/>
      <c r="E1040" s="12">
        <v>211</v>
      </c>
      <c r="F1040" s="14">
        <v>46057</v>
      </c>
      <c r="G1040" s="34"/>
      <c r="H1040" s="34" t="s">
        <v>223</v>
      </c>
      <c r="I1040" s="34"/>
      <c r="J1040" s="9" t="s">
        <v>207</v>
      </c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  <c r="AA1040" s="23"/>
      <c r="AB1040" s="23"/>
    </row>
    <row r="1041" spans="1:28" ht="14.25" customHeight="1" x14ac:dyDescent="0.35">
      <c r="A1041" s="12">
        <v>301329</v>
      </c>
      <c r="B1041" s="59" t="str">
        <f>IFERROR(VLOOKUP(Tabla1[[#This Row],[CODIGO]],INVENTARIO!A:B,2,0)," ")</f>
        <v>Copla PE100 025mm EF</v>
      </c>
      <c r="C1041" s="12">
        <v>14</v>
      </c>
      <c r="D1041" s="13"/>
      <c r="E1041" s="12">
        <v>881</v>
      </c>
      <c r="F1041" s="14">
        <v>46057</v>
      </c>
      <c r="G1041" s="34"/>
      <c r="H1041" s="34" t="s">
        <v>226</v>
      </c>
      <c r="I1041" s="34"/>
      <c r="J1041" s="9" t="s">
        <v>243</v>
      </c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  <c r="AA1041" s="23"/>
      <c r="AB1041" s="23"/>
    </row>
    <row r="1042" spans="1:28" ht="14.25" customHeight="1" x14ac:dyDescent="0.35">
      <c r="A1042" s="12">
        <v>300712</v>
      </c>
      <c r="B1042" s="59" t="str">
        <f>IFERROR(VLOOKUP(Tabla1[[#This Row],[CODIGO]],INVENTARIO!A:B,2,0)," ")</f>
        <v>Tapa PE  025 mm Termo F.</v>
      </c>
      <c r="C1042" s="12"/>
      <c r="D1042" s="13"/>
      <c r="E1042" s="12">
        <v>881</v>
      </c>
      <c r="F1042" s="14">
        <v>46057</v>
      </c>
      <c r="G1042" s="34"/>
      <c r="H1042" s="34" t="s">
        <v>226</v>
      </c>
      <c r="I1042" s="34"/>
      <c r="J1042" s="9" t="s">
        <v>243</v>
      </c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  <c r="AA1042" s="23"/>
      <c r="AB1042" s="23"/>
    </row>
    <row r="1043" spans="1:28" ht="14.25" customHeight="1" x14ac:dyDescent="0.35">
      <c r="A1043" s="12">
        <v>101624</v>
      </c>
      <c r="B1043" s="59" t="str">
        <f>IFERROR(VLOOKUP(Tabla1[[#This Row],[CODIGO]],INVENTARIO!A:B,2,0)," ")</f>
        <v>Tapping Tee PE 50-25 mm</v>
      </c>
      <c r="C1043" s="12">
        <v>1</v>
      </c>
      <c r="D1043" s="13"/>
      <c r="E1043" s="12">
        <v>881</v>
      </c>
      <c r="F1043" s="14">
        <v>46057</v>
      </c>
      <c r="G1043" s="34"/>
      <c r="H1043" s="34" t="s">
        <v>226</v>
      </c>
      <c r="I1043" s="34"/>
      <c r="J1043" s="9" t="s">
        <v>243</v>
      </c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  <c r="AA1043" s="23"/>
      <c r="AB1043" s="23"/>
    </row>
    <row r="1044" spans="1:28" ht="14.25" customHeight="1" x14ac:dyDescent="0.35">
      <c r="A1044" s="12">
        <v>2000350</v>
      </c>
      <c r="B1044" s="59" t="str">
        <f>IFERROR(VLOOKUP(Tabla1[[#This Row],[CODIGO]],INVENTARIO!A:B,2,0)," ")</f>
        <v>Codo PE 90º  25 mm EF.</v>
      </c>
      <c r="C1044" s="12">
        <v>1</v>
      </c>
      <c r="D1044" s="13"/>
      <c r="E1044" s="12">
        <v>881</v>
      </c>
      <c r="F1044" s="14">
        <v>46057</v>
      </c>
      <c r="G1044" s="34"/>
      <c r="H1044" s="34" t="s">
        <v>226</v>
      </c>
      <c r="I1044" s="34"/>
      <c r="J1044" s="9" t="s">
        <v>243</v>
      </c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  <c r="AA1044" s="23"/>
      <c r="AB1044" s="23"/>
    </row>
    <row r="1045" spans="1:28" ht="14.25" customHeight="1" x14ac:dyDescent="0.35">
      <c r="A1045" s="12">
        <v>302737</v>
      </c>
      <c r="B1045" s="59" t="str">
        <f>IFERROR(VLOOKUP(Tabla1[[#This Row],[CODIGO]],INVENTARIO!A:B,2,0)," ")</f>
        <v>Válvula Bola 3/4" Hi Un Cuerpo Pn5 Arco</v>
      </c>
      <c r="C1045" s="12">
        <v>1</v>
      </c>
      <c r="D1045" s="13"/>
      <c r="E1045" s="12">
        <v>881</v>
      </c>
      <c r="F1045" s="14">
        <v>46057</v>
      </c>
      <c r="G1045" s="34"/>
      <c r="H1045" s="34" t="s">
        <v>226</v>
      </c>
      <c r="I1045" s="34"/>
      <c r="J1045" s="9" t="s">
        <v>243</v>
      </c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  <c r="AA1045" s="23"/>
      <c r="AB1045" s="23"/>
    </row>
    <row r="1046" spans="1:28" ht="14.25" customHeight="1" x14ac:dyDescent="0.35">
      <c r="A1046" s="12">
        <v>2008481</v>
      </c>
      <c r="B1046" s="59" t="str">
        <f>IFERROR(VLOOKUP(Tabla1[[#This Row],[CODIGO]],INVENTARIO!A:B,2,0)," ")</f>
        <v>Tapa Tornillo Bronce 3/4" HE Bspt.</v>
      </c>
      <c r="C1046" s="12">
        <v>1</v>
      </c>
      <c r="D1046" s="13"/>
      <c r="E1046" s="12">
        <v>881</v>
      </c>
      <c r="F1046" s="14">
        <v>46057</v>
      </c>
      <c r="G1046" s="34"/>
      <c r="H1046" s="34" t="s">
        <v>226</v>
      </c>
      <c r="I1046" s="34"/>
      <c r="J1046" s="9" t="s">
        <v>243</v>
      </c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  <c r="AA1046" s="23"/>
      <c r="AB1046" s="23"/>
    </row>
    <row r="1047" spans="1:28" ht="14.25" customHeight="1" x14ac:dyDescent="0.35">
      <c r="A1047" s="12">
        <v>300109</v>
      </c>
      <c r="B1047" s="59" t="str">
        <f>IFERROR(VLOOKUP(Tabla1[[#This Row],[CODIGO]],INVENTARIO!A:B,2,0)," ")</f>
        <v>Risers de Acero 3/4" Bsp x 25 mm</v>
      </c>
      <c r="C1047" s="12">
        <v>1</v>
      </c>
      <c r="D1047" s="13"/>
      <c r="E1047" s="12">
        <v>881</v>
      </c>
      <c r="F1047" s="14">
        <v>46057</v>
      </c>
      <c r="G1047" s="34"/>
      <c r="H1047" s="34" t="s">
        <v>226</v>
      </c>
      <c r="I1047" s="34"/>
      <c r="J1047" s="9" t="s">
        <v>243</v>
      </c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  <c r="AA1047" s="23"/>
      <c r="AB1047" s="23"/>
    </row>
    <row r="1048" spans="1:28" ht="14.25" customHeight="1" x14ac:dyDescent="0.35">
      <c r="A1048" s="12">
        <v>2002263</v>
      </c>
      <c r="B1048" s="59" t="str">
        <f>IFERROR(VLOOKUP(Tabla1[[#This Row],[CODIGO]],INVENTARIO!A:B,2,0)," ")</f>
        <v>Tubería PE80 063mm Rollo</v>
      </c>
      <c r="C1048" s="12">
        <v>50</v>
      </c>
      <c r="D1048" s="13"/>
      <c r="E1048" s="12">
        <v>928</v>
      </c>
      <c r="F1048" s="14">
        <v>46057</v>
      </c>
      <c r="G1048" s="34"/>
      <c r="H1048" s="34" t="s">
        <v>305</v>
      </c>
      <c r="I1048" s="34"/>
      <c r="J1048" s="34">
        <v>46057</v>
      </c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  <c r="AA1048" s="23"/>
      <c r="AB1048" s="23"/>
    </row>
    <row r="1049" spans="1:28" ht="14.25" customHeight="1" x14ac:dyDescent="0.35">
      <c r="A1049" s="12">
        <v>303368</v>
      </c>
      <c r="B1049" s="59" t="str">
        <f>IFERROR(VLOOKUP(Tabla1[[#This Row],[CODIGO]],INVENTARIO!A:B,2,0)," ")</f>
        <v>Cinta Plástica "Línea GN", 30 x 0.1</v>
      </c>
      <c r="C1049" s="12">
        <v>100</v>
      </c>
      <c r="D1049" s="13"/>
      <c r="E1049" s="12">
        <v>928</v>
      </c>
      <c r="F1049" s="14">
        <v>46057</v>
      </c>
      <c r="G1049" s="34"/>
      <c r="H1049" s="34" t="s">
        <v>305</v>
      </c>
      <c r="I1049" s="34"/>
      <c r="J1049" s="34">
        <v>46057</v>
      </c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  <c r="AA1049" s="23"/>
      <c r="AB1049" s="23"/>
    </row>
    <row r="1050" spans="1:28" ht="14.25" customHeight="1" x14ac:dyDescent="0.35">
      <c r="A1050" s="12">
        <v>1002167</v>
      </c>
      <c r="B1050" s="59" t="str">
        <f>IFERROR(VLOOKUP(Tabla1[[#This Row],[CODIGO]],INVENTARIO!A:B,2,0)," ")</f>
        <v>Cable Trazador Cu 14 AWG Aisl. THW Roj</v>
      </c>
      <c r="C1050" s="12">
        <v>100</v>
      </c>
      <c r="D1050" s="13"/>
      <c r="E1050" s="12">
        <v>928</v>
      </c>
      <c r="F1050" s="14">
        <v>46057</v>
      </c>
      <c r="G1050" s="34"/>
      <c r="H1050" s="34" t="s">
        <v>305</v>
      </c>
      <c r="I1050" s="34"/>
      <c r="J1050" s="34">
        <v>46057</v>
      </c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  <c r="AA1050" s="23"/>
      <c r="AB1050" s="23"/>
    </row>
    <row r="1051" spans="1:28" ht="14.25" customHeight="1" x14ac:dyDescent="0.35">
      <c r="A1051" s="12">
        <v>2005135</v>
      </c>
      <c r="B1051" s="59" t="str">
        <f>IFERROR(VLOOKUP(Tabla1[[#This Row],[CODIGO]],INVENTARIO!A:B,2,0)," ")</f>
        <v>Tubo PVC 110 mm PN6 CG Amarillo Tira 6 m</v>
      </c>
      <c r="C1051" s="12">
        <v>1</v>
      </c>
      <c r="D1051" s="13"/>
      <c r="E1051" s="12">
        <v>929</v>
      </c>
      <c r="F1051" s="14">
        <v>46057</v>
      </c>
      <c r="G1051" s="34"/>
      <c r="H1051" s="34" t="s">
        <v>225</v>
      </c>
      <c r="I1051" s="34"/>
      <c r="J1051" s="9" t="s">
        <v>202</v>
      </c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  <c r="AA1051" s="23"/>
      <c r="AB1051" s="23"/>
    </row>
    <row r="1052" spans="1:28" ht="14.25" customHeight="1" x14ac:dyDescent="0.35">
      <c r="A1052" s="12">
        <v>303510</v>
      </c>
      <c r="B1052" s="59" t="str">
        <f>IFERROR(VLOOKUP(Tabla1[[#This Row],[CODIGO]],INVENTARIO!A:B,2,0)," ")</f>
        <v>Guardallave Hormigón 125 mm con Tapa</v>
      </c>
      <c r="C1052" s="12">
        <v>20</v>
      </c>
      <c r="D1052" s="13"/>
      <c r="E1052" s="12">
        <v>930</v>
      </c>
      <c r="F1052" s="14">
        <v>46057</v>
      </c>
      <c r="G1052" s="34"/>
      <c r="H1052" s="34" t="s">
        <v>304</v>
      </c>
      <c r="I1052" s="34"/>
      <c r="J1052" s="9" t="s">
        <v>207</v>
      </c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  <c r="AA1052" s="23"/>
      <c r="AB1052" s="23"/>
    </row>
    <row r="1053" spans="1:28" ht="14.25" customHeight="1" x14ac:dyDescent="0.35">
      <c r="A1053" s="12">
        <v>301749</v>
      </c>
      <c r="B1053" s="59" t="str">
        <f>IFERROR(VLOOKUP(Tabla1[[#This Row],[CODIGO]],INVENTARIO!A:B,2,0)," ")</f>
        <v>Tubería PE80 025mm Rollo</v>
      </c>
      <c r="C1053" s="12">
        <v>50</v>
      </c>
      <c r="D1053" s="13"/>
      <c r="E1053" s="12">
        <v>210</v>
      </c>
      <c r="F1053" s="14">
        <v>46056</v>
      </c>
      <c r="G1053" s="34"/>
      <c r="H1053" s="34" t="s">
        <v>223</v>
      </c>
      <c r="I1053" s="34"/>
      <c r="J1053" s="9" t="s">
        <v>207</v>
      </c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  <c r="AA1053" s="23"/>
      <c r="AB1053" s="23"/>
    </row>
    <row r="1054" spans="1:28" ht="14.25" customHeight="1" x14ac:dyDescent="0.35">
      <c r="A1054" s="12">
        <v>303368</v>
      </c>
      <c r="B1054" s="59" t="str">
        <f>IFERROR(VLOOKUP(Tabla1[[#This Row],[CODIGO]],INVENTARIO!A:B,2,0)," ")</f>
        <v>Cinta Plástica "Línea GN", 30 x 0.1</v>
      </c>
      <c r="C1054" s="12">
        <v>50</v>
      </c>
      <c r="D1054" s="13"/>
      <c r="E1054" s="12">
        <v>210</v>
      </c>
      <c r="F1054" s="14">
        <v>46056</v>
      </c>
      <c r="G1054" s="34"/>
      <c r="H1054" s="34" t="s">
        <v>223</v>
      </c>
      <c r="I1054" s="34"/>
      <c r="J1054" s="9" t="s">
        <v>207</v>
      </c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  <c r="AA1054" s="23"/>
      <c r="AB1054" s="23"/>
    </row>
    <row r="1055" spans="1:28" ht="14.25" customHeight="1" x14ac:dyDescent="0.35">
      <c r="A1055" s="12">
        <v>303345</v>
      </c>
      <c r="B1055" s="59" t="str">
        <f>IFERROR(VLOOKUP(Tabla1[[#This Row],[CODIGO]],INVENTARIO!A:B,2,0)," ")</f>
        <v>Copla PE100 050mm EF</v>
      </c>
      <c r="C1055" s="12">
        <v>4</v>
      </c>
      <c r="D1055" s="13"/>
      <c r="E1055" s="12">
        <v>210</v>
      </c>
      <c r="F1055" s="14">
        <v>46056</v>
      </c>
      <c r="G1055" s="34"/>
      <c r="H1055" s="34" t="s">
        <v>223</v>
      </c>
      <c r="I1055" s="34"/>
      <c r="J1055" s="9" t="s">
        <v>207</v>
      </c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  <c r="AA1055" s="23"/>
      <c r="AB1055" s="23"/>
    </row>
    <row r="1056" spans="1:28" ht="14.25" customHeight="1" x14ac:dyDescent="0.35">
      <c r="A1056" s="12">
        <v>301327</v>
      </c>
      <c r="B1056" s="59" t="str">
        <f>IFERROR(VLOOKUP(Tabla1[[#This Row],[CODIGO]],INVENTARIO!A:B,2,0)," ")</f>
        <v>Tapa PE  050 mm Termo F.</v>
      </c>
      <c r="C1056" s="12">
        <v>2</v>
      </c>
      <c r="D1056" s="13"/>
      <c r="E1056" s="12">
        <v>210</v>
      </c>
      <c r="F1056" s="14">
        <v>46056</v>
      </c>
      <c r="G1056" s="34"/>
      <c r="H1056" s="34" t="s">
        <v>223</v>
      </c>
      <c r="I1056" s="34"/>
      <c r="J1056" s="9" t="s">
        <v>207</v>
      </c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  <c r="AA1056" s="23"/>
      <c r="AB1056" s="23"/>
    </row>
    <row r="1057" spans="1:28" ht="14.25" customHeight="1" x14ac:dyDescent="0.35">
      <c r="A1057" s="12">
        <v>2008302</v>
      </c>
      <c r="B1057" s="59" t="str">
        <f>IFERROR(VLOOKUP(Tabla1[[#This Row],[CODIGO]],INVENTARIO!A:B,2,0)," ")</f>
        <v>Tapa PE 063 mm Electro F.</v>
      </c>
      <c r="C1057" s="12">
        <v>1</v>
      </c>
      <c r="D1057" s="13"/>
      <c r="E1057" s="12">
        <v>822</v>
      </c>
      <c r="F1057" s="14">
        <v>46056</v>
      </c>
      <c r="G1057" s="34"/>
      <c r="H1057" s="34" t="s">
        <v>226</v>
      </c>
      <c r="I1057" s="34"/>
      <c r="J1057" s="9" t="s">
        <v>194</v>
      </c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  <c r="AA1057" s="23"/>
      <c r="AB1057" s="23"/>
    </row>
    <row r="1058" spans="1:28" ht="14.25" customHeight="1" x14ac:dyDescent="0.35">
      <c r="A1058" s="12">
        <v>303362</v>
      </c>
      <c r="B1058" s="59" t="str">
        <f>IFERROR(VLOOKUP(Tabla1[[#This Row],[CODIGO]],INVENTARIO!A:B,2,0)," ")</f>
        <v>Reductor PE  50-40 mm Electro F.</v>
      </c>
      <c r="C1058" s="12">
        <v>1</v>
      </c>
      <c r="D1058" s="13"/>
      <c r="E1058" s="12">
        <v>913</v>
      </c>
      <c r="F1058" s="14">
        <v>46052</v>
      </c>
      <c r="G1058" s="34"/>
      <c r="H1058" s="34" t="s">
        <v>287</v>
      </c>
      <c r="I1058" s="34"/>
      <c r="J1058" s="9" t="s">
        <v>255</v>
      </c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  <c r="AA1058" s="23"/>
      <c r="AB1058" s="23"/>
    </row>
    <row r="1059" spans="1:28" ht="14.25" customHeight="1" x14ac:dyDescent="0.35">
      <c r="A1059" s="12">
        <v>302992</v>
      </c>
      <c r="B1059" s="59" t="str">
        <f>IFERROR(VLOOKUP(Tabla1[[#This Row],[CODIGO]],INVENTARIO!A:B,2,0)," ")</f>
        <v>Codo PE100 90° 050mm EF</v>
      </c>
      <c r="C1059" s="12">
        <v>1</v>
      </c>
      <c r="D1059" s="13"/>
      <c r="E1059" s="12">
        <v>913</v>
      </c>
      <c r="F1059" s="14">
        <v>46052</v>
      </c>
      <c r="G1059" s="34"/>
      <c r="H1059" s="34" t="s">
        <v>287</v>
      </c>
      <c r="I1059" s="34"/>
      <c r="J1059" s="9" t="s">
        <v>255</v>
      </c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  <c r="AA1059" s="23"/>
      <c r="AB1059" s="23"/>
    </row>
    <row r="1060" spans="1:28" ht="14.25" customHeight="1" x14ac:dyDescent="0.35">
      <c r="A1060" s="12">
        <v>303345</v>
      </c>
      <c r="B1060" s="59" t="str">
        <f>IFERROR(VLOOKUP(Tabla1[[#This Row],[CODIGO]],INVENTARIO!A:B,2,0)," ")</f>
        <v>Copla PE100 050mm EF</v>
      </c>
      <c r="C1060" s="12">
        <v>10</v>
      </c>
      <c r="D1060" s="13"/>
      <c r="E1060" s="12">
        <v>913</v>
      </c>
      <c r="F1060" s="14">
        <v>46052</v>
      </c>
      <c r="G1060" s="34"/>
      <c r="H1060" s="34" t="s">
        <v>287</v>
      </c>
      <c r="I1060" s="34"/>
      <c r="J1060" s="9" t="s">
        <v>255</v>
      </c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  <c r="AA1060" s="23"/>
      <c r="AB1060" s="23"/>
    </row>
    <row r="1061" spans="1:28" ht="14.25" customHeight="1" x14ac:dyDescent="0.35">
      <c r="A1061" s="12">
        <v>400205</v>
      </c>
      <c r="B1061" s="59" t="str">
        <f>IFERROR(VLOOKUP(Tabla1[[#This Row],[CODIGO]],INVENTARIO!A:B,2,0)," ")</f>
        <v>Tee PE  50 mm Electro F.</v>
      </c>
      <c r="C1061" s="12">
        <v>2</v>
      </c>
      <c r="D1061" s="13"/>
      <c r="E1061" s="12">
        <v>913</v>
      </c>
      <c r="F1061" s="14">
        <v>46052</v>
      </c>
      <c r="G1061" s="34"/>
      <c r="H1061" s="34" t="s">
        <v>287</v>
      </c>
      <c r="I1061" s="34"/>
      <c r="J1061" s="9" t="s">
        <v>255</v>
      </c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  <c r="AA1061" s="23"/>
      <c r="AB1061" s="23"/>
    </row>
    <row r="1062" spans="1:28" ht="14.25" customHeight="1" x14ac:dyDescent="0.35">
      <c r="A1062" s="12">
        <v>300414</v>
      </c>
      <c r="B1062" s="59" t="str">
        <f>IFERROR(VLOOKUP(Tabla1[[#This Row],[CODIGO]],INVENTARIO!A:B,2,0)," ")</f>
        <v>Válvula PE100 Dn 50mm</v>
      </c>
      <c r="C1062" s="12">
        <v>2</v>
      </c>
      <c r="D1062" s="13"/>
      <c r="E1062" s="12">
        <v>913</v>
      </c>
      <c r="F1062" s="14">
        <v>46052</v>
      </c>
      <c r="G1062" s="34"/>
      <c r="H1062" s="34" t="s">
        <v>287</v>
      </c>
      <c r="I1062" s="34"/>
      <c r="J1062" s="9" t="s">
        <v>255</v>
      </c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  <c r="AA1062" s="23"/>
      <c r="AB1062" s="23"/>
    </row>
    <row r="1063" spans="1:28" ht="14.25" customHeight="1" x14ac:dyDescent="0.35">
      <c r="A1063" s="12">
        <v>101624</v>
      </c>
      <c r="B1063" s="59" t="str">
        <f>IFERROR(VLOOKUP(Tabla1[[#This Row],[CODIGO]],INVENTARIO!A:B,2,0)," ")</f>
        <v>Tapping Tee PE 50-25 mm</v>
      </c>
      <c r="C1063" s="12">
        <v>2</v>
      </c>
      <c r="D1063" s="13"/>
      <c r="E1063" s="12">
        <v>913</v>
      </c>
      <c r="F1063" s="14">
        <v>46052</v>
      </c>
      <c r="G1063" s="34"/>
      <c r="H1063" s="34" t="s">
        <v>287</v>
      </c>
      <c r="I1063" s="34"/>
      <c r="J1063" s="9" t="s">
        <v>255</v>
      </c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  <c r="AA1063" s="23"/>
      <c r="AB1063" s="23"/>
    </row>
    <row r="1064" spans="1:28" ht="14.25" customHeight="1" x14ac:dyDescent="0.35">
      <c r="A1064" s="12">
        <v>300109</v>
      </c>
      <c r="B1064" s="59" t="str">
        <f>IFERROR(VLOOKUP(Tabla1[[#This Row],[CODIGO]],INVENTARIO!A:B,2,0)," ")</f>
        <v>Risers de Acero 3/4" Bsp x 25 mm</v>
      </c>
      <c r="C1064" s="12">
        <v>1</v>
      </c>
      <c r="D1064" s="13"/>
      <c r="E1064" s="12">
        <v>913</v>
      </c>
      <c r="F1064" s="14">
        <v>46052</v>
      </c>
      <c r="G1064" s="34"/>
      <c r="H1064" s="34" t="s">
        <v>287</v>
      </c>
      <c r="I1064" s="34"/>
      <c r="J1064" s="9" t="s">
        <v>255</v>
      </c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  <c r="AA1064" s="23"/>
      <c r="AB1064" s="23"/>
    </row>
    <row r="1065" spans="1:28" ht="14.25" customHeight="1" x14ac:dyDescent="0.35">
      <c r="A1065" s="12">
        <v>2007948</v>
      </c>
      <c r="B1065" s="59" t="str">
        <f>IFERROR(VLOOKUP(Tabla1[[#This Row],[CODIGO]],INVENTARIO!A:B,2,0)," ")</f>
        <v>Tubo PVC Hidraulico 110 mm Pn6 Celeste</v>
      </c>
      <c r="C1065" s="12">
        <v>2</v>
      </c>
      <c r="D1065" s="13"/>
      <c r="E1065" s="12">
        <v>913</v>
      </c>
      <c r="F1065" s="14">
        <v>46052</v>
      </c>
      <c r="G1065" s="34"/>
      <c r="H1065" s="34" t="s">
        <v>287</v>
      </c>
      <c r="I1065" s="34"/>
      <c r="J1065" s="9" t="s">
        <v>255</v>
      </c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  <c r="AA1065" s="23"/>
      <c r="AB1065" s="23"/>
    </row>
    <row r="1066" spans="1:28" ht="14.25" customHeight="1" x14ac:dyDescent="0.35">
      <c r="A1066" s="12">
        <v>302678</v>
      </c>
      <c r="B1066" s="59" t="str">
        <f>IFERROR(VLOOKUP(Tabla1[[#This Row],[CODIGO]],INVENTARIO!A:B,2,0)," ")</f>
        <v>Reductor PE  63-50 mm Electro F.</v>
      </c>
      <c r="C1066" s="12">
        <v>1</v>
      </c>
      <c r="D1066" s="13"/>
      <c r="E1066" s="12">
        <v>913</v>
      </c>
      <c r="F1066" s="14">
        <v>46052</v>
      </c>
      <c r="G1066" s="34"/>
      <c r="H1066" s="34" t="s">
        <v>287</v>
      </c>
      <c r="I1066" s="34"/>
      <c r="J1066" s="9" t="s">
        <v>255</v>
      </c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  <c r="AA1066" s="23"/>
      <c r="AB1066" s="23"/>
    </row>
    <row r="1067" spans="1:28" ht="14.25" customHeight="1" x14ac:dyDescent="0.35">
      <c r="A1067" s="12">
        <v>301343</v>
      </c>
      <c r="B1067" s="59" t="str">
        <f>IFERROR(VLOOKUP(Tabla1[[#This Row],[CODIGO]],INVENTARIO!A:B,2,0)," ")</f>
        <v>Tapping Tee PE 63-63 mm</v>
      </c>
      <c r="C1067" s="12">
        <v>1</v>
      </c>
      <c r="D1067" s="13"/>
      <c r="E1067" s="12">
        <v>913</v>
      </c>
      <c r="F1067" s="14">
        <v>46052</v>
      </c>
      <c r="G1067" s="34"/>
      <c r="H1067" s="34" t="s">
        <v>287</v>
      </c>
      <c r="I1067" s="34"/>
      <c r="J1067" s="9" t="s">
        <v>255</v>
      </c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  <c r="AA1067" s="23"/>
      <c r="AB1067" s="23"/>
    </row>
    <row r="1068" spans="1:28" ht="14.25" customHeight="1" x14ac:dyDescent="0.35">
      <c r="A1068" s="12">
        <v>2006391</v>
      </c>
      <c r="B1068" s="59" t="str">
        <f>IFERROR(VLOOKUP(Tabla1[[#This Row],[CODIGO]],INVENTARIO!A:B,2,0)," ")</f>
        <v>Guardallave Fierro Fundido C/Tapa</v>
      </c>
      <c r="C1068" s="12">
        <v>1</v>
      </c>
      <c r="D1068" s="13"/>
      <c r="E1068" s="12">
        <v>913</v>
      </c>
      <c r="F1068" s="14">
        <v>46052</v>
      </c>
      <c r="G1068" s="34"/>
      <c r="H1068" s="34" t="s">
        <v>287</v>
      </c>
      <c r="I1068" s="34"/>
      <c r="J1068" s="9" t="s">
        <v>255</v>
      </c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  <c r="AA1068" s="23"/>
      <c r="AB1068" s="23"/>
    </row>
    <row r="1069" spans="1:28" ht="14.25" customHeight="1" x14ac:dyDescent="0.35">
      <c r="A1069" s="12">
        <v>301327</v>
      </c>
      <c r="B1069" s="59" t="str">
        <f>IFERROR(VLOOKUP(Tabla1[[#This Row],[CODIGO]],INVENTARIO!A:B,2,0)," ")</f>
        <v>Tapa PE  050 mm Termo F.</v>
      </c>
      <c r="C1069" s="12">
        <v>1</v>
      </c>
      <c r="D1069" s="13"/>
      <c r="E1069" s="12">
        <v>913</v>
      </c>
      <c r="F1069" s="14">
        <v>46052</v>
      </c>
      <c r="G1069" s="34"/>
      <c r="H1069" s="34" t="s">
        <v>287</v>
      </c>
      <c r="I1069" s="34"/>
      <c r="J1069" s="9" t="s">
        <v>255</v>
      </c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  <c r="AA1069" s="23"/>
      <c r="AB1069" s="23"/>
    </row>
    <row r="1070" spans="1:28" ht="14.25" customHeight="1" x14ac:dyDescent="0.35">
      <c r="A1070" s="12">
        <v>2002262</v>
      </c>
      <c r="B1070" s="59" t="str">
        <f>IFERROR(VLOOKUP(Tabla1[[#This Row],[CODIGO]],INVENTARIO!A:B,2,0)," ")</f>
        <v>Tubería PE80 050mm Rollo</v>
      </c>
      <c r="C1070" s="12">
        <v>1</v>
      </c>
      <c r="D1070" s="13"/>
      <c r="E1070" s="12">
        <v>208</v>
      </c>
      <c r="F1070" s="14">
        <v>46055</v>
      </c>
      <c r="G1070" s="34"/>
      <c r="H1070" s="34" t="s">
        <v>223</v>
      </c>
      <c r="I1070" s="34"/>
      <c r="J1070" s="9" t="s">
        <v>207</v>
      </c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  <c r="AA1070" s="23"/>
      <c r="AB1070" s="23"/>
    </row>
    <row r="1071" spans="1:28" ht="14.25" customHeight="1" x14ac:dyDescent="0.35">
      <c r="A1071" s="12">
        <v>303368</v>
      </c>
      <c r="B1071" s="59" t="str">
        <f>IFERROR(VLOOKUP(Tabla1[[#This Row],[CODIGO]],INVENTARIO!A:B,2,0)," ")</f>
        <v>Cinta Plástica "Línea GN", 30 x 0.1</v>
      </c>
      <c r="C1071" s="12">
        <v>1</v>
      </c>
      <c r="D1071" s="13"/>
      <c r="E1071" s="12">
        <v>208</v>
      </c>
      <c r="F1071" s="14">
        <v>46055</v>
      </c>
      <c r="G1071" s="34"/>
      <c r="H1071" s="34" t="s">
        <v>223</v>
      </c>
      <c r="I1071" s="34"/>
      <c r="J1071" s="9" t="s">
        <v>207</v>
      </c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  <c r="AA1071" s="23"/>
      <c r="AB1071" s="23"/>
    </row>
    <row r="1072" spans="1:28" ht="14.25" customHeight="1" x14ac:dyDescent="0.35">
      <c r="A1072" s="12">
        <v>1002167</v>
      </c>
      <c r="B1072" s="59" t="str">
        <f>IFERROR(VLOOKUP(Tabla1[[#This Row],[CODIGO]],INVENTARIO!A:B,2,0)," ")</f>
        <v>Cable Trazador Cu 14 AWG Aisl. THW Roj</v>
      </c>
      <c r="C1072" s="12">
        <v>100</v>
      </c>
      <c r="D1072" s="13"/>
      <c r="E1072" s="12">
        <v>208</v>
      </c>
      <c r="F1072" s="14">
        <v>46055</v>
      </c>
      <c r="G1072" s="34"/>
      <c r="H1072" s="34" t="s">
        <v>223</v>
      </c>
      <c r="I1072" s="34"/>
      <c r="J1072" s="9" t="s">
        <v>207</v>
      </c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  <c r="AA1072" s="23"/>
      <c r="AB1072" s="23"/>
    </row>
    <row r="1073" spans="1:28" ht="14.25" customHeight="1" x14ac:dyDescent="0.35">
      <c r="A1073" s="12">
        <v>301749</v>
      </c>
      <c r="B1073" s="59" t="str">
        <f>IFERROR(VLOOKUP(Tabla1[[#This Row],[CODIGO]],INVENTARIO!A:B,2,0)," ")</f>
        <v>Tubería PE80 025mm Rollo</v>
      </c>
      <c r="C1073" s="12">
        <v>50</v>
      </c>
      <c r="D1073" s="13"/>
      <c r="E1073" s="12">
        <v>889</v>
      </c>
      <c r="F1073" s="14">
        <v>46055</v>
      </c>
      <c r="G1073" s="34"/>
      <c r="H1073" s="34" t="s">
        <v>232</v>
      </c>
      <c r="I1073" s="34"/>
      <c r="J1073" s="9" t="s">
        <v>200</v>
      </c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  <c r="AA1073" s="23"/>
      <c r="AB1073" s="23"/>
    </row>
    <row r="1074" spans="1:28" ht="14.25" customHeight="1" x14ac:dyDescent="0.35">
      <c r="A1074" s="12">
        <v>303368</v>
      </c>
      <c r="B1074" s="59" t="str">
        <f>IFERROR(VLOOKUP(Tabla1[[#This Row],[CODIGO]],INVENTARIO!A:B,2,0)," ")</f>
        <v>Cinta Plástica "Línea GN", 30 x 0.1</v>
      </c>
      <c r="C1074" s="12">
        <v>50</v>
      </c>
      <c r="D1074" s="13"/>
      <c r="E1074" s="12">
        <v>889</v>
      </c>
      <c r="F1074" s="14">
        <v>46055</v>
      </c>
      <c r="G1074" s="34"/>
      <c r="H1074" s="34" t="s">
        <v>232</v>
      </c>
      <c r="I1074" s="34"/>
      <c r="J1074" s="9" t="s">
        <v>200</v>
      </c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  <c r="AA1074" s="23"/>
      <c r="AB1074" s="23"/>
    </row>
    <row r="1075" spans="1:28" ht="14.25" customHeight="1" x14ac:dyDescent="0.35">
      <c r="A1075" s="12">
        <v>2008302</v>
      </c>
      <c r="B1075" s="59" t="str">
        <f>IFERROR(VLOOKUP(Tabla1[[#This Row],[CODIGO]],INVENTARIO!A:B,2,0)," ")</f>
        <v>Tapa PE 063 mm Electro F.</v>
      </c>
      <c r="C1075" s="12">
        <v>2</v>
      </c>
      <c r="D1075" s="13"/>
      <c r="E1075" s="12">
        <v>889</v>
      </c>
      <c r="F1075" s="14">
        <v>46055</v>
      </c>
      <c r="G1075" s="34"/>
      <c r="H1075" s="34" t="s">
        <v>232</v>
      </c>
      <c r="I1075" s="34"/>
      <c r="J1075" s="9" t="s">
        <v>200</v>
      </c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  <c r="AA1075" s="23"/>
      <c r="AB1075" s="23"/>
    </row>
    <row r="1076" spans="1:28" ht="14.25" customHeight="1" x14ac:dyDescent="0.35">
      <c r="A1076" s="12">
        <v>2000350</v>
      </c>
      <c r="B1076" s="59" t="str">
        <f>IFERROR(VLOOKUP(Tabla1[[#This Row],[CODIGO]],INVENTARIO!A:B,2,0)," ")</f>
        <v>Codo PE 90º  25 mm EF.</v>
      </c>
      <c r="C1076" s="12">
        <v>40</v>
      </c>
      <c r="D1076" s="13"/>
      <c r="E1076" s="12">
        <v>889</v>
      </c>
      <c r="F1076" s="14">
        <v>46055</v>
      </c>
      <c r="G1076" s="34"/>
      <c r="H1076" s="34" t="s">
        <v>232</v>
      </c>
      <c r="I1076" s="34"/>
      <c r="J1076" s="9" t="s">
        <v>200</v>
      </c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  <c r="AA1076" s="23"/>
      <c r="AB1076" s="23"/>
    </row>
    <row r="1077" spans="1:28" ht="14.25" customHeight="1" x14ac:dyDescent="0.35">
      <c r="A1077" s="12">
        <v>302659</v>
      </c>
      <c r="B1077" s="59" t="str">
        <f>IFERROR(VLOOKUP(Tabla1[[#This Row],[CODIGO]],INVENTARIO!A:B,2,0)," ")</f>
        <v>Copla PE100 063mm EF</v>
      </c>
      <c r="C1077" s="12">
        <v>3</v>
      </c>
      <c r="D1077" s="13"/>
      <c r="E1077" s="12">
        <v>914</v>
      </c>
      <c r="F1077" s="14">
        <v>46055</v>
      </c>
      <c r="G1077" s="34"/>
      <c r="H1077" s="34" t="s">
        <v>226</v>
      </c>
      <c r="I1077" s="34"/>
      <c r="J1077" s="9" t="s">
        <v>194</v>
      </c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  <c r="AA1077" s="23"/>
      <c r="AB1077" s="23"/>
    </row>
    <row r="1078" spans="1:28" ht="14.25" customHeight="1" x14ac:dyDescent="0.35">
      <c r="A1078" s="12">
        <v>2008302</v>
      </c>
      <c r="B1078" s="59" t="str">
        <f>IFERROR(VLOOKUP(Tabla1[[#This Row],[CODIGO]],INVENTARIO!A:B,2,0)," ")</f>
        <v>Tapa PE 063 mm Electro F.</v>
      </c>
      <c r="C1078" s="12">
        <v>1</v>
      </c>
      <c r="D1078" s="13"/>
      <c r="E1078" s="12">
        <v>914</v>
      </c>
      <c r="F1078" s="14">
        <v>46055</v>
      </c>
      <c r="G1078" s="34"/>
      <c r="H1078" s="34" t="s">
        <v>226</v>
      </c>
      <c r="I1078" s="34"/>
      <c r="J1078" s="9" t="s">
        <v>194</v>
      </c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  <c r="AA1078" s="23"/>
      <c r="AB1078" s="23"/>
    </row>
    <row r="1079" spans="1:28" ht="14.25" customHeight="1" x14ac:dyDescent="0.35">
      <c r="A1079" s="12">
        <v>300109</v>
      </c>
      <c r="B1079" s="59" t="str">
        <f>IFERROR(VLOOKUP(Tabla1[[#This Row],[CODIGO]],INVENTARIO!A:B,2,0)," ")</f>
        <v>Risers de Acero 3/4" Bsp x 25 mm</v>
      </c>
      <c r="C1079" s="12">
        <v>1</v>
      </c>
      <c r="D1079" s="13"/>
      <c r="E1079" s="12">
        <v>914</v>
      </c>
      <c r="F1079" s="14">
        <v>46055</v>
      </c>
      <c r="G1079" s="34"/>
      <c r="H1079" s="34" t="s">
        <v>226</v>
      </c>
      <c r="I1079" s="34"/>
      <c r="J1079" s="9" t="s">
        <v>194</v>
      </c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  <c r="AA1079" s="23"/>
      <c r="AB1079" s="23"/>
    </row>
    <row r="1080" spans="1:28" ht="14.25" customHeight="1" x14ac:dyDescent="0.35">
      <c r="A1080" s="12">
        <v>302737</v>
      </c>
      <c r="B1080" s="59" t="str">
        <f>IFERROR(VLOOKUP(Tabla1[[#This Row],[CODIGO]],INVENTARIO!A:B,2,0)," ")</f>
        <v>Válvula Bola 3/4" Hi Un Cuerpo Pn5 Arco</v>
      </c>
      <c r="C1080" s="12">
        <v>1</v>
      </c>
      <c r="D1080" s="13"/>
      <c r="E1080" s="12">
        <v>914</v>
      </c>
      <c r="F1080" s="14">
        <v>46055</v>
      </c>
      <c r="G1080" s="34"/>
      <c r="H1080" s="34" t="s">
        <v>226</v>
      </c>
      <c r="I1080" s="34"/>
      <c r="J1080" s="9" t="s">
        <v>194</v>
      </c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  <c r="AA1080" s="23"/>
      <c r="AB1080" s="23"/>
    </row>
    <row r="1081" spans="1:28" ht="14.25" customHeight="1" x14ac:dyDescent="0.35">
      <c r="A1081" s="12">
        <v>302184</v>
      </c>
      <c r="B1081" s="59" t="str">
        <f>IFERROR(VLOOKUP(Tabla1[[#This Row],[CODIGO]],INVENTARIO!A:B,2,0)," ")</f>
        <v>Tapa Tornillo Cambio de Codigo por: 2008481</v>
      </c>
      <c r="C1081" s="12">
        <v>1</v>
      </c>
      <c r="D1081" s="13"/>
      <c r="E1081" s="12">
        <v>914</v>
      </c>
      <c r="F1081" s="14">
        <v>46055</v>
      </c>
      <c r="G1081" s="34"/>
      <c r="H1081" s="34" t="s">
        <v>226</v>
      </c>
      <c r="I1081" s="34"/>
      <c r="J1081" s="9" t="s">
        <v>194</v>
      </c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  <c r="AA1081" s="23"/>
      <c r="AB1081" s="23"/>
    </row>
    <row r="1082" spans="1:28" ht="14.25" customHeight="1" x14ac:dyDescent="0.35">
      <c r="A1082" s="12">
        <v>1000720</v>
      </c>
      <c r="B1082" s="59" t="str">
        <f>IFERROR(VLOOKUP(Tabla1[[#This Row],[CODIGO]],INVENTARIO!A:B,2,0)," ")</f>
        <v>Teflón en Cinta de 3/4" Ancho x 520" a 5</v>
      </c>
      <c r="C1082" s="12">
        <v>1</v>
      </c>
      <c r="D1082" s="13"/>
      <c r="E1082" s="12">
        <v>914</v>
      </c>
      <c r="F1082" s="14">
        <v>46055</v>
      </c>
      <c r="G1082" s="34"/>
      <c r="H1082" s="34" t="s">
        <v>226</v>
      </c>
      <c r="I1082" s="34"/>
      <c r="J1082" s="9" t="s">
        <v>194</v>
      </c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  <c r="AA1082" s="23"/>
      <c r="AB1082" s="23"/>
    </row>
    <row r="1083" spans="1:28" ht="14.25" customHeight="1" x14ac:dyDescent="0.35">
      <c r="A1083" s="12">
        <v>300108</v>
      </c>
      <c r="B1083" s="59" t="str">
        <f>IFERROR(VLOOKUP(Tabla1[[#This Row],[CODIGO]],INVENTARIO!A:B,2,0)," ")</f>
        <v>Tapping Tee PE 63-25 mm</v>
      </c>
      <c r="C1083" s="12">
        <v>1</v>
      </c>
      <c r="D1083" s="13"/>
      <c r="E1083" s="12">
        <v>914</v>
      </c>
      <c r="F1083" s="14">
        <v>46055</v>
      </c>
      <c r="G1083" s="34"/>
      <c r="H1083" s="34" t="s">
        <v>226</v>
      </c>
      <c r="I1083" s="34"/>
      <c r="J1083" s="9" t="s">
        <v>194</v>
      </c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  <c r="AA1083" s="23"/>
      <c r="AB1083" s="23"/>
    </row>
    <row r="1084" spans="1:28" ht="14.25" customHeight="1" x14ac:dyDescent="0.35">
      <c r="A1084" s="12">
        <v>300431</v>
      </c>
      <c r="B1084" s="59" t="str">
        <f>IFERROR(VLOOKUP(Tabla1[[#This Row],[CODIGO]],INVENTARIO!A:B,2,0)," ")</f>
        <v>Tapping Tee PE 200-63 mm</v>
      </c>
      <c r="C1084" s="12">
        <v>1</v>
      </c>
      <c r="D1084" s="13"/>
      <c r="E1084" s="12">
        <v>914</v>
      </c>
      <c r="F1084" s="14">
        <v>46055</v>
      </c>
      <c r="G1084" s="34"/>
      <c r="H1084" s="34" t="s">
        <v>226</v>
      </c>
      <c r="I1084" s="34"/>
      <c r="J1084" s="9" t="s">
        <v>194</v>
      </c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  <c r="AA1084" s="23"/>
      <c r="AB1084" s="23"/>
    </row>
    <row r="1085" spans="1:28" ht="14.25" customHeight="1" x14ac:dyDescent="0.35">
      <c r="A1085" s="12">
        <v>2000350</v>
      </c>
      <c r="B1085" s="59" t="str">
        <f>IFERROR(VLOOKUP(Tabla1[[#This Row],[CODIGO]],INVENTARIO!A:B,2,0)," ")</f>
        <v>Codo PE 90º  25 mm EF.</v>
      </c>
      <c r="C1085" s="12">
        <v>1</v>
      </c>
      <c r="D1085" s="13"/>
      <c r="E1085" s="12">
        <v>914</v>
      </c>
      <c r="F1085" s="14">
        <v>46055</v>
      </c>
      <c r="G1085" s="34"/>
      <c r="H1085" s="34" t="s">
        <v>226</v>
      </c>
      <c r="I1085" s="34"/>
      <c r="J1085" s="9" t="s">
        <v>194</v>
      </c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  <c r="AA1085" s="23"/>
      <c r="AB1085" s="23"/>
    </row>
    <row r="1086" spans="1:28" ht="14.25" customHeight="1" x14ac:dyDescent="0.35">
      <c r="A1086" s="12">
        <v>302737</v>
      </c>
      <c r="B1086" s="59" t="str">
        <f>IFERROR(VLOOKUP(Tabla1[[#This Row],[CODIGO]],INVENTARIO!A:B,2,0)," ")</f>
        <v>Válvula Bola 3/4" Hi Un Cuerpo Pn5 Arco</v>
      </c>
      <c r="C1086" s="12">
        <v>2</v>
      </c>
      <c r="D1086" s="13"/>
      <c r="E1086" s="12">
        <v>915</v>
      </c>
      <c r="F1086" s="14">
        <v>46055</v>
      </c>
      <c r="G1086" s="34"/>
      <c r="H1086" s="34" t="s">
        <v>269</v>
      </c>
      <c r="I1086" s="34"/>
      <c r="J1086" s="9" t="s">
        <v>289</v>
      </c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  <c r="AA1086" s="23"/>
      <c r="AB1086" s="23"/>
    </row>
    <row r="1087" spans="1:28" ht="14.25" customHeight="1" x14ac:dyDescent="0.35">
      <c r="A1087" s="12">
        <v>2005136</v>
      </c>
      <c r="B1087" s="59" t="str">
        <f>IFERROR(VLOOKUP(Tabla1[[#This Row],[CODIGO]],INVENTARIO!A:B,2,0)," ")</f>
        <v>Tubo PVC 160 mm PN6 CG Amarillo</v>
      </c>
      <c r="C1087" s="12">
        <v>1</v>
      </c>
      <c r="D1087" s="13"/>
      <c r="E1087" s="12">
        <v>917</v>
      </c>
      <c r="F1087" s="14">
        <v>46055</v>
      </c>
      <c r="G1087" s="34"/>
      <c r="H1087" s="34" t="s">
        <v>288</v>
      </c>
      <c r="I1087" s="34"/>
      <c r="J1087" s="9" t="s">
        <v>201</v>
      </c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  <c r="AA1087" s="23"/>
      <c r="AB1087" s="23"/>
    </row>
    <row r="1088" spans="1:28" ht="14.25" customHeight="1" x14ac:dyDescent="0.35">
      <c r="A1088" s="12">
        <v>301987</v>
      </c>
      <c r="B1088" s="59" t="str">
        <f>IFERROR(VLOOKUP(Tabla1[[#This Row],[CODIGO]],INVENTARIO!A:B,2,0)," ")</f>
        <v>Codo PE100 90° 063mm EF</v>
      </c>
      <c r="C1088" s="12">
        <v>1</v>
      </c>
      <c r="D1088" s="13"/>
      <c r="E1088" s="12">
        <v>890</v>
      </c>
      <c r="F1088" s="14">
        <v>46052</v>
      </c>
      <c r="G1088" s="34"/>
      <c r="H1088" s="34" t="s">
        <v>232</v>
      </c>
      <c r="I1088" s="34"/>
      <c r="J1088" s="9" t="s">
        <v>200</v>
      </c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  <c r="AA1088" s="23"/>
      <c r="AB1088" s="23"/>
    </row>
    <row r="1089" spans="1:28" ht="14.25" customHeight="1" x14ac:dyDescent="0.35">
      <c r="A1089" s="12">
        <v>302659</v>
      </c>
      <c r="B1089" s="59" t="str">
        <f>IFERROR(VLOOKUP(Tabla1[[#This Row],[CODIGO]],INVENTARIO!A:B,2,0)," ")</f>
        <v>Copla PE100 063mm EF</v>
      </c>
      <c r="C1089" s="12">
        <v>3</v>
      </c>
      <c r="D1089" s="13"/>
      <c r="E1089" s="12">
        <v>890</v>
      </c>
      <c r="F1089" s="14">
        <v>46052</v>
      </c>
      <c r="G1089" s="34"/>
      <c r="H1089" s="34" t="s">
        <v>232</v>
      </c>
      <c r="I1089" s="34"/>
      <c r="J1089" s="9" t="s">
        <v>200</v>
      </c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  <c r="AA1089" s="23"/>
      <c r="AB1089" s="23"/>
    </row>
    <row r="1090" spans="1:28" ht="14.25" customHeight="1" x14ac:dyDescent="0.35">
      <c r="A1090" s="12">
        <v>2002263</v>
      </c>
      <c r="B1090" s="59" t="str">
        <f>IFERROR(VLOOKUP(Tabla1[[#This Row],[CODIGO]],INVENTARIO!A:B,2,0)," ")</f>
        <v>Tubería PE80 063mm Rollo</v>
      </c>
      <c r="C1090" s="12">
        <v>67</v>
      </c>
      <c r="D1090" s="13"/>
      <c r="E1090" s="12">
        <v>890</v>
      </c>
      <c r="F1090" s="14">
        <v>46052</v>
      </c>
      <c r="G1090" s="34"/>
      <c r="H1090" s="34" t="s">
        <v>232</v>
      </c>
      <c r="I1090" s="34"/>
      <c r="J1090" s="9" t="s">
        <v>200</v>
      </c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  <c r="AA1090" s="23"/>
      <c r="AB1090" s="23"/>
    </row>
    <row r="1091" spans="1:28" ht="14.25" customHeight="1" x14ac:dyDescent="0.35">
      <c r="A1091" s="12">
        <v>303368</v>
      </c>
      <c r="B1091" s="59" t="str">
        <f>IFERROR(VLOOKUP(Tabla1[[#This Row],[CODIGO]],INVENTARIO!A:B,2,0)," ")</f>
        <v>Cinta Plástica "Línea GN", 30 x 0.1</v>
      </c>
      <c r="C1091" s="12">
        <v>67</v>
      </c>
      <c r="D1091" s="13"/>
      <c r="E1091" s="12">
        <v>890</v>
      </c>
      <c r="F1091" s="14">
        <v>46052</v>
      </c>
      <c r="G1091" s="34"/>
      <c r="H1091" s="34" t="s">
        <v>232</v>
      </c>
      <c r="I1091" s="34"/>
      <c r="J1091" s="9" t="s">
        <v>200</v>
      </c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  <c r="AA1091" s="23"/>
      <c r="AB1091" s="23"/>
    </row>
    <row r="1092" spans="1:28" ht="14.25" customHeight="1" x14ac:dyDescent="0.35">
      <c r="A1092" s="12">
        <v>1002167</v>
      </c>
      <c r="B1092" s="59" t="str">
        <f>IFERROR(VLOOKUP(Tabla1[[#This Row],[CODIGO]],INVENTARIO!A:B,2,0)," ")</f>
        <v>Cable Trazador Cu 14 AWG Aisl. THW Roj</v>
      </c>
      <c r="C1092" s="12">
        <v>67</v>
      </c>
      <c r="D1092" s="13"/>
      <c r="E1092" s="12">
        <v>890</v>
      </c>
      <c r="F1092" s="14">
        <v>46052</v>
      </c>
      <c r="G1092" s="34"/>
      <c r="H1092" s="34" t="s">
        <v>232</v>
      </c>
      <c r="I1092" s="34"/>
      <c r="J1092" s="9" t="s">
        <v>200</v>
      </c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  <c r="AA1092" s="23"/>
      <c r="AB1092" s="23"/>
    </row>
    <row r="1093" spans="1:28" ht="14.25" customHeight="1" x14ac:dyDescent="0.35">
      <c r="A1093" s="12">
        <v>300108</v>
      </c>
      <c r="B1093" s="59" t="str">
        <f>IFERROR(VLOOKUP(Tabla1[[#This Row],[CODIGO]],INVENTARIO!A:B,2,0)," ")</f>
        <v>Tapping Tee PE 63-25 mm</v>
      </c>
      <c r="C1093" s="12">
        <v>10</v>
      </c>
      <c r="D1093" s="13"/>
      <c r="E1093" s="12">
        <v>890</v>
      </c>
      <c r="F1093" s="14">
        <v>46052</v>
      </c>
      <c r="G1093" s="34"/>
      <c r="H1093" s="34" t="s">
        <v>232</v>
      </c>
      <c r="I1093" s="34"/>
      <c r="J1093" s="9" t="s">
        <v>200</v>
      </c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  <c r="AA1093" s="23"/>
      <c r="AB1093" s="23"/>
    </row>
    <row r="1094" spans="1:28" ht="14.25" customHeight="1" x14ac:dyDescent="0.35">
      <c r="A1094" s="12">
        <v>2003911</v>
      </c>
      <c r="B1094" s="59" t="str">
        <f>IFERROR(VLOOKUP(Tabla1[[#This Row],[CODIGO]],INVENTARIO!A:B,2,0)," ")</f>
        <v>Válvula EFv PE 25 mm Para Tap. Tee</v>
      </c>
      <c r="C1094" s="12">
        <v>10</v>
      </c>
      <c r="D1094" s="13"/>
      <c r="E1094" s="12">
        <v>890</v>
      </c>
      <c r="F1094" s="14">
        <v>46052</v>
      </c>
      <c r="G1094" s="34"/>
      <c r="H1094" s="34" t="s">
        <v>232</v>
      </c>
      <c r="I1094" s="34"/>
      <c r="J1094" s="9" t="s">
        <v>200</v>
      </c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  <c r="AA1094" s="23"/>
      <c r="AB1094" s="23"/>
    </row>
    <row r="1095" spans="1:28" ht="14.25" customHeight="1" x14ac:dyDescent="0.35">
      <c r="A1095" s="12">
        <v>301329</v>
      </c>
      <c r="B1095" s="59" t="str">
        <f>IFERROR(VLOOKUP(Tabla1[[#This Row],[CODIGO]],INVENTARIO!A:B,2,0)," ")</f>
        <v>Copla PE100 025mm EF</v>
      </c>
      <c r="C1095" s="12">
        <v>20</v>
      </c>
      <c r="D1095" s="13"/>
      <c r="E1095" s="12">
        <v>890</v>
      </c>
      <c r="F1095" s="14">
        <v>46052</v>
      </c>
      <c r="G1095" s="34"/>
      <c r="H1095" s="34" t="s">
        <v>232</v>
      </c>
      <c r="I1095" s="34"/>
      <c r="J1095" s="9" t="s">
        <v>200</v>
      </c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  <c r="AA1095" s="23"/>
      <c r="AB1095" s="23"/>
    </row>
    <row r="1096" spans="1:28" ht="14.25" customHeight="1" x14ac:dyDescent="0.35">
      <c r="A1096" s="12">
        <v>300109</v>
      </c>
      <c r="B1096" s="59" t="str">
        <f>IFERROR(VLOOKUP(Tabla1[[#This Row],[CODIGO]],INVENTARIO!A:B,2,0)," ")</f>
        <v>Risers de Acero 3/4" Bsp x 25 mm</v>
      </c>
      <c r="C1096" s="12">
        <v>10</v>
      </c>
      <c r="D1096" s="13"/>
      <c r="E1096" s="12">
        <v>890</v>
      </c>
      <c r="F1096" s="14">
        <v>46052</v>
      </c>
      <c r="G1096" s="34"/>
      <c r="H1096" s="34" t="s">
        <v>232</v>
      </c>
      <c r="I1096" s="34"/>
      <c r="J1096" s="9" t="s">
        <v>200</v>
      </c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  <c r="AA1096" s="23"/>
      <c r="AB1096" s="23"/>
    </row>
    <row r="1097" spans="1:28" ht="14.25" customHeight="1" x14ac:dyDescent="0.35">
      <c r="A1097" s="12">
        <v>302737</v>
      </c>
      <c r="B1097" s="59" t="str">
        <f>IFERROR(VLOOKUP(Tabla1[[#This Row],[CODIGO]],INVENTARIO!A:B,2,0)," ")</f>
        <v>Válvula Bola 3/4" Hi Un Cuerpo Pn5 Arco</v>
      </c>
      <c r="C1097" s="12">
        <v>10</v>
      </c>
      <c r="D1097" s="13"/>
      <c r="E1097" s="12">
        <v>890</v>
      </c>
      <c r="F1097" s="14">
        <v>46052</v>
      </c>
      <c r="G1097" s="34"/>
      <c r="H1097" s="34" t="s">
        <v>232</v>
      </c>
      <c r="I1097" s="34"/>
      <c r="J1097" s="9" t="s">
        <v>200</v>
      </c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  <c r="AA1097" s="23"/>
      <c r="AB1097" s="23"/>
    </row>
    <row r="1098" spans="1:28" ht="14.25" customHeight="1" x14ac:dyDescent="0.35">
      <c r="A1098" s="12">
        <v>1000720</v>
      </c>
      <c r="B1098" s="59" t="str">
        <f>IFERROR(VLOOKUP(Tabla1[[#This Row],[CODIGO]],INVENTARIO!A:B,2,0)," ")</f>
        <v>Teflón en Cinta de 3/4" Ancho x 520" a 5</v>
      </c>
      <c r="C1098" s="12">
        <v>2</v>
      </c>
      <c r="D1098" s="13"/>
      <c r="E1098" s="12">
        <v>890</v>
      </c>
      <c r="F1098" s="14">
        <v>46052</v>
      </c>
      <c r="G1098" s="34"/>
      <c r="H1098" s="34" t="s">
        <v>232</v>
      </c>
      <c r="I1098" s="34"/>
      <c r="J1098" s="9" t="s">
        <v>200</v>
      </c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  <c r="AA1098" s="23"/>
      <c r="AB1098" s="23"/>
    </row>
    <row r="1099" spans="1:28" ht="14.25" customHeight="1" x14ac:dyDescent="0.35">
      <c r="A1099" s="12">
        <v>302184</v>
      </c>
      <c r="B1099" s="59" t="str">
        <f>IFERROR(VLOOKUP(Tabla1[[#This Row],[CODIGO]],INVENTARIO!A:B,2,0)," ")</f>
        <v>Tapa Tornillo Cambio de Codigo por: 2008481</v>
      </c>
      <c r="C1099" s="12">
        <v>10</v>
      </c>
      <c r="D1099" s="13"/>
      <c r="E1099" s="12">
        <v>890</v>
      </c>
      <c r="F1099" s="14">
        <v>46052</v>
      </c>
      <c r="G1099" s="34"/>
      <c r="H1099" s="34" t="s">
        <v>232</v>
      </c>
      <c r="I1099" s="34"/>
      <c r="J1099" s="9" t="s">
        <v>200</v>
      </c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  <c r="AA1099" s="23"/>
      <c r="AB1099" s="23"/>
    </row>
    <row r="1100" spans="1:28" ht="14.25" customHeight="1" x14ac:dyDescent="0.35">
      <c r="A1100" s="12">
        <v>300108</v>
      </c>
      <c r="B1100" s="59" t="str">
        <f>IFERROR(VLOOKUP(Tabla1[[#This Row],[CODIGO]],INVENTARIO!A:B,2,0)," ")</f>
        <v>Tapping Tee PE 63-25 mm</v>
      </c>
      <c r="C1100" s="12">
        <v>1</v>
      </c>
      <c r="D1100" s="13"/>
      <c r="E1100" s="12">
        <v>910</v>
      </c>
      <c r="F1100" s="14">
        <v>46052</v>
      </c>
      <c r="G1100" s="34"/>
      <c r="H1100" s="34" t="s">
        <v>271</v>
      </c>
      <c r="I1100" s="34"/>
      <c r="J1100" s="9" t="s">
        <v>202</v>
      </c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  <c r="AA1100" s="23"/>
      <c r="AB1100" s="23"/>
    </row>
    <row r="1101" spans="1:28" ht="14.25" customHeight="1" x14ac:dyDescent="0.35">
      <c r="A1101" s="12">
        <v>302737</v>
      </c>
      <c r="B1101" s="59" t="str">
        <f>IFERROR(VLOOKUP(Tabla1[[#This Row],[CODIGO]],INVENTARIO!A:B,2,0)," ")</f>
        <v>Válvula Bola 3/4" Hi Un Cuerpo Pn5 Arco</v>
      </c>
      <c r="C1101" s="12">
        <v>1</v>
      </c>
      <c r="D1101" s="13"/>
      <c r="E1101" s="12">
        <v>910</v>
      </c>
      <c r="F1101" s="14">
        <v>46052</v>
      </c>
      <c r="G1101" s="34"/>
      <c r="H1101" s="34" t="s">
        <v>271</v>
      </c>
      <c r="I1101" s="34"/>
      <c r="J1101" s="9" t="s">
        <v>202</v>
      </c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  <c r="AA1101" s="23"/>
      <c r="AB1101" s="23"/>
    </row>
    <row r="1102" spans="1:28" ht="14.25" customHeight="1" x14ac:dyDescent="0.35">
      <c r="A1102" s="12">
        <v>2008481</v>
      </c>
      <c r="B1102" s="59" t="str">
        <f>IFERROR(VLOOKUP(Tabla1[[#This Row],[CODIGO]],INVENTARIO!A:B,2,0)," ")</f>
        <v>Tapa Tornillo Bronce 3/4" HE Bspt.</v>
      </c>
      <c r="C1102" s="12">
        <v>1</v>
      </c>
      <c r="D1102" s="13"/>
      <c r="E1102" s="12">
        <v>910</v>
      </c>
      <c r="F1102" s="14">
        <v>46052</v>
      </c>
      <c r="G1102" s="34"/>
      <c r="H1102" s="34" t="s">
        <v>271</v>
      </c>
      <c r="I1102" s="34"/>
      <c r="J1102" s="9" t="s">
        <v>202</v>
      </c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  <c r="AA1102" s="23"/>
      <c r="AB1102" s="23"/>
    </row>
    <row r="1103" spans="1:28" ht="14.25" customHeight="1" x14ac:dyDescent="0.35">
      <c r="A1103" s="12">
        <v>301329</v>
      </c>
      <c r="B1103" s="59" t="str">
        <f>IFERROR(VLOOKUP(Tabla1[[#This Row],[CODIGO]],INVENTARIO!A:B,2,0)," ")</f>
        <v>Copla PE100 025mm EF</v>
      </c>
      <c r="C1103" s="12">
        <v>1</v>
      </c>
      <c r="D1103" s="13"/>
      <c r="E1103" s="12">
        <v>910</v>
      </c>
      <c r="F1103" s="14">
        <v>46052</v>
      </c>
      <c r="G1103" s="34"/>
      <c r="H1103" s="34" t="s">
        <v>271</v>
      </c>
      <c r="I1103" s="34"/>
      <c r="J1103" s="9" t="s">
        <v>202</v>
      </c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  <c r="AA1103" s="23"/>
      <c r="AB1103" s="23"/>
    </row>
    <row r="1104" spans="1:28" ht="14.25" customHeight="1" x14ac:dyDescent="0.35">
      <c r="A1104" s="12">
        <v>2008302</v>
      </c>
      <c r="B1104" s="59" t="str">
        <f>IFERROR(VLOOKUP(Tabla1[[#This Row],[CODIGO]],INVENTARIO!A:B,2,0)," ")</f>
        <v>Tapa PE 063 mm Electro F.</v>
      </c>
      <c r="C1104" s="12">
        <v>2</v>
      </c>
      <c r="D1104" s="13"/>
      <c r="E1104" s="12">
        <v>910</v>
      </c>
      <c r="F1104" s="14">
        <v>46052</v>
      </c>
      <c r="G1104" s="34"/>
      <c r="H1104" s="34" t="s">
        <v>271</v>
      </c>
      <c r="I1104" s="34"/>
      <c r="J1104" s="9" t="s">
        <v>202</v>
      </c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  <c r="AA1104" s="23"/>
      <c r="AB1104" s="23"/>
    </row>
    <row r="1105" spans="1:28" ht="14.25" customHeight="1" x14ac:dyDescent="0.35">
      <c r="A1105" s="12">
        <v>300109</v>
      </c>
      <c r="B1105" s="59" t="str">
        <f>IFERROR(VLOOKUP(Tabla1[[#This Row],[CODIGO]],INVENTARIO!A:B,2,0)," ")</f>
        <v>Risers de Acero 3/4" Bsp x 25 mm</v>
      </c>
      <c r="C1105" s="12">
        <v>1</v>
      </c>
      <c r="D1105" s="13"/>
      <c r="E1105" s="12">
        <v>910</v>
      </c>
      <c r="F1105" s="14">
        <v>46052</v>
      </c>
      <c r="G1105" s="34"/>
      <c r="H1105" s="34" t="s">
        <v>271</v>
      </c>
      <c r="I1105" s="34"/>
      <c r="J1105" s="9" t="s">
        <v>202</v>
      </c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  <c r="AA1105" s="23"/>
      <c r="AB1105" s="23"/>
    </row>
    <row r="1106" spans="1:28" ht="14.25" customHeight="1" x14ac:dyDescent="0.35">
      <c r="A1106" s="12">
        <v>2004602</v>
      </c>
      <c r="B1106" s="59" t="str">
        <f>IFERROR(VLOOKUP(Tabla1[[#This Row],[CODIGO]],INVENTARIO!A:B,2,0)," ")</f>
        <v>MRPC-120-(4/1,2)-(S)-2</v>
      </c>
      <c r="C1106" s="12">
        <v>1</v>
      </c>
      <c r="D1106" s="13"/>
      <c r="E1106" s="12">
        <v>911</v>
      </c>
      <c r="F1106" s="14">
        <v>46052</v>
      </c>
      <c r="G1106" s="34"/>
      <c r="H1106" s="34" t="s">
        <v>271</v>
      </c>
      <c r="I1106" s="34"/>
      <c r="J1106" s="9" t="s">
        <v>255</v>
      </c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  <c r="AA1106" s="23"/>
      <c r="AB1106" s="23"/>
    </row>
    <row r="1107" spans="1:28" ht="14.25" customHeight="1" x14ac:dyDescent="0.35">
      <c r="A1107" s="12">
        <v>303368</v>
      </c>
      <c r="B1107" s="59" t="str">
        <f>IFERROR(VLOOKUP(Tabla1[[#This Row],[CODIGO]],INVENTARIO!A:B,2,0)," ")</f>
        <v>Cinta Plástica "Línea GN", 30 x 0.1</v>
      </c>
      <c r="C1107" s="12">
        <v>100</v>
      </c>
      <c r="D1107" s="13"/>
      <c r="E1107" s="12">
        <v>912</v>
      </c>
      <c r="F1107" s="14">
        <v>46052</v>
      </c>
      <c r="G1107" s="34"/>
      <c r="H1107" s="34" t="s">
        <v>288</v>
      </c>
      <c r="I1107" s="34"/>
      <c r="J1107" s="9" t="s">
        <v>201</v>
      </c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  <c r="AA1107" s="23"/>
      <c r="AB1107" s="23"/>
    </row>
    <row r="1108" spans="1:28" ht="14.25" customHeight="1" x14ac:dyDescent="0.35">
      <c r="A1108" s="12">
        <v>1002167</v>
      </c>
      <c r="B1108" s="59" t="str">
        <f>IFERROR(VLOOKUP(Tabla1[[#This Row],[CODIGO]],INVENTARIO!A:B,2,0)," ")</f>
        <v>Cable Trazador Cu 14 AWG Aisl. THW Roj</v>
      </c>
      <c r="C1108" s="12">
        <v>100</v>
      </c>
      <c r="D1108" s="13"/>
      <c r="E1108" s="12">
        <v>912</v>
      </c>
      <c r="F1108" s="14">
        <v>46052</v>
      </c>
      <c r="G1108" s="34"/>
      <c r="H1108" s="34" t="s">
        <v>288</v>
      </c>
      <c r="I1108" s="34"/>
      <c r="J1108" s="9" t="s">
        <v>201</v>
      </c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  <c r="AA1108" s="23"/>
      <c r="AB1108" s="23"/>
    </row>
    <row r="1109" spans="1:28" ht="14.25" customHeight="1" x14ac:dyDescent="0.35">
      <c r="A1109" s="12">
        <v>2002263</v>
      </c>
      <c r="B1109" s="59" t="str">
        <f>IFERROR(VLOOKUP(Tabla1[[#This Row],[CODIGO]],INVENTARIO!A:B,2,0)," ")</f>
        <v>Tubería PE80 063mm Rollo</v>
      </c>
      <c r="C1109" s="12">
        <v>50</v>
      </c>
      <c r="D1109" s="13"/>
      <c r="E1109" s="12">
        <v>904</v>
      </c>
      <c r="F1109" s="14">
        <v>46051</v>
      </c>
      <c r="G1109" s="34"/>
      <c r="H1109" s="34" t="s">
        <v>225</v>
      </c>
      <c r="I1109" s="34"/>
      <c r="J1109" s="9" t="s">
        <v>202</v>
      </c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  <c r="AA1109" s="23"/>
      <c r="AB1109" s="23"/>
    </row>
    <row r="1110" spans="1:28" ht="14.25" customHeight="1" x14ac:dyDescent="0.35">
      <c r="A1110" s="12">
        <v>1002167</v>
      </c>
      <c r="B1110" s="59" t="str">
        <f>IFERROR(VLOOKUP(Tabla1[[#This Row],[CODIGO]],INVENTARIO!A:B,2,0)," ")</f>
        <v>Cable Trazador Cu 14 AWG Aisl. THW Roj</v>
      </c>
      <c r="C1110" s="12">
        <v>50</v>
      </c>
      <c r="D1110" s="13"/>
      <c r="E1110" s="12">
        <v>904</v>
      </c>
      <c r="F1110" s="14">
        <v>46051</v>
      </c>
      <c r="G1110" s="34"/>
      <c r="H1110" s="34" t="s">
        <v>225</v>
      </c>
      <c r="I1110" s="34"/>
      <c r="J1110" s="9" t="s">
        <v>202</v>
      </c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  <c r="AA1110" s="23"/>
      <c r="AB1110" s="23"/>
    </row>
    <row r="1111" spans="1:28" ht="14.25" customHeight="1" x14ac:dyDescent="0.35">
      <c r="A1111" s="12">
        <v>303368</v>
      </c>
      <c r="B1111" s="59" t="str">
        <f>IFERROR(VLOOKUP(Tabla1[[#This Row],[CODIGO]],INVENTARIO!A:B,2,0)," ")</f>
        <v>Cinta Plástica "Línea GN", 30 x 0.1</v>
      </c>
      <c r="C1111" s="12">
        <v>50</v>
      </c>
      <c r="D1111" s="13"/>
      <c r="E1111" s="12">
        <v>904</v>
      </c>
      <c r="F1111" s="14">
        <v>46051</v>
      </c>
      <c r="G1111" s="34"/>
      <c r="H1111" s="34" t="s">
        <v>225</v>
      </c>
      <c r="I1111" s="34"/>
      <c r="J1111" s="9" t="s">
        <v>202</v>
      </c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  <c r="AA1111" s="23"/>
      <c r="AB1111" s="23"/>
    </row>
    <row r="1112" spans="1:28" ht="14.25" customHeight="1" x14ac:dyDescent="0.35">
      <c r="A1112" s="12">
        <v>300109</v>
      </c>
      <c r="B1112" s="59" t="str">
        <f>IFERROR(VLOOKUP(Tabla1[[#This Row],[CODIGO]],INVENTARIO!A:B,2,0)," ")</f>
        <v>Risers de Acero 3/4" Bsp x 25 mm</v>
      </c>
      <c r="C1112" s="12">
        <v>13</v>
      </c>
      <c r="D1112" s="13"/>
      <c r="E1112" s="12">
        <v>905</v>
      </c>
      <c r="F1112" s="14">
        <v>46051</v>
      </c>
      <c r="G1112" s="34"/>
      <c r="H1112" s="34" t="s">
        <v>226</v>
      </c>
      <c r="I1112" s="34"/>
      <c r="J1112" s="9" t="s">
        <v>243</v>
      </c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  <c r="AA1112" s="23"/>
      <c r="AB1112" s="23"/>
    </row>
    <row r="1113" spans="1:28" ht="14.25" customHeight="1" x14ac:dyDescent="0.35">
      <c r="A1113" s="12">
        <v>302184</v>
      </c>
      <c r="B1113" s="59" t="str">
        <f>IFERROR(VLOOKUP(Tabla1[[#This Row],[CODIGO]],INVENTARIO!A:B,2,0)," ")</f>
        <v>Tapa Tornillo Cambio de Codigo por: 2008481</v>
      </c>
      <c r="C1113" s="12">
        <v>13</v>
      </c>
      <c r="D1113" s="13"/>
      <c r="E1113" s="12">
        <v>905</v>
      </c>
      <c r="F1113" s="14">
        <v>46051</v>
      </c>
      <c r="G1113" s="34"/>
      <c r="H1113" s="34" t="s">
        <v>226</v>
      </c>
      <c r="I1113" s="34"/>
      <c r="J1113" s="9" t="s">
        <v>243</v>
      </c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  <c r="AA1113" s="23"/>
      <c r="AB1113" s="23"/>
    </row>
    <row r="1114" spans="1:28" ht="14.25" customHeight="1" x14ac:dyDescent="0.35">
      <c r="A1114" s="12">
        <v>1000720</v>
      </c>
      <c r="B1114" s="59" t="str">
        <f>IFERROR(VLOOKUP(Tabla1[[#This Row],[CODIGO]],INVENTARIO!A:B,2,0)," ")</f>
        <v>Teflón en Cinta de 3/4" Ancho x 520" a 5</v>
      </c>
      <c r="C1114" s="12">
        <v>1</v>
      </c>
      <c r="D1114" s="13"/>
      <c r="E1114" s="12">
        <v>905</v>
      </c>
      <c r="F1114" s="14">
        <v>46051</v>
      </c>
      <c r="G1114" s="34"/>
      <c r="H1114" s="34" t="s">
        <v>226</v>
      </c>
      <c r="I1114" s="34"/>
      <c r="J1114" s="9" t="s">
        <v>243</v>
      </c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  <c r="AA1114" s="23"/>
      <c r="AB1114" s="23"/>
    </row>
    <row r="1115" spans="1:28" ht="14.25" customHeight="1" x14ac:dyDescent="0.35">
      <c r="A1115" s="12">
        <v>301329</v>
      </c>
      <c r="B1115" s="59" t="str">
        <f>IFERROR(VLOOKUP(Tabla1[[#This Row],[CODIGO]],INVENTARIO!A:B,2,0)," ")</f>
        <v>Copla PE100 025mm EF</v>
      </c>
      <c r="C1115" s="12">
        <v>13</v>
      </c>
      <c r="D1115" s="13"/>
      <c r="E1115" s="12">
        <v>905</v>
      </c>
      <c r="F1115" s="14">
        <v>46051</v>
      </c>
      <c r="G1115" s="34"/>
      <c r="H1115" s="34" t="s">
        <v>226</v>
      </c>
      <c r="I1115" s="34"/>
      <c r="J1115" s="9" t="s">
        <v>243</v>
      </c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  <c r="AA1115" s="23"/>
      <c r="AB1115" s="23"/>
    </row>
    <row r="1116" spans="1:28" ht="14.25" customHeight="1" x14ac:dyDescent="0.35">
      <c r="A1116" s="12">
        <v>302737</v>
      </c>
      <c r="B1116" s="59" t="str">
        <f>IFERROR(VLOOKUP(Tabla1[[#This Row],[CODIGO]],INVENTARIO!A:B,2,0)," ")</f>
        <v>Válvula Bola 3/4" Hi Un Cuerpo Pn5 Arco</v>
      </c>
      <c r="C1116" s="12">
        <v>13</v>
      </c>
      <c r="D1116" s="13"/>
      <c r="E1116" s="12">
        <v>905</v>
      </c>
      <c r="F1116" s="14">
        <v>46051</v>
      </c>
      <c r="G1116" s="34"/>
      <c r="H1116" s="34" t="s">
        <v>226</v>
      </c>
      <c r="I1116" s="34"/>
      <c r="J1116" s="9" t="s">
        <v>243</v>
      </c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  <c r="AA1116" s="23"/>
      <c r="AB1116" s="23"/>
    </row>
    <row r="1117" spans="1:28" ht="14.25" customHeight="1" x14ac:dyDescent="0.35">
      <c r="A1117" s="12">
        <v>303368</v>
      </c>
      <c r="B1117" s="59" t="str">
        <f>IFERROR(VLOOKUP(Tabla1[[#This Row],[CODIGO]],INVENTARIO!A:B,2,0)," ")</f>
        <v>Cinta Plástica "Línea GN", 30 x 0.1</v>
      </c>
      <c r="C1117" s="12">
        <v>50</v>
      </c>
      <c r="D1117" s="13"/>
      <c r="E1117" s="12">
        <v>906</v>
      </c>
      <c r="F1117" s="14">
        <v>46051</v>
      </c>
      <c r="G1117" s="34"/>
      <c r="H1117" s="34" t="s">
        <v>287</v>
      </c>
      <c r="I1117" s="34"/>
      <c r="J1117" s="9" t="s">
        <v>255</v>
      </c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  <c r="AA1117" s="23"/>
      <c r="AB1117" s="23"/>
    </row>
    <row r="1118" spans="1:28" ht="14.25" customHeight="1" x14ac:dyDescent="0.35">
      <c r="A1118" s="12">
        <v>1002167</v>
      </c>
      <c r="B1118" s="59" t="str">
        <f>IFERROR(VLOOKUP(Tabla1[[#This Row],[CODIGO]],INVENTARIO!A:B,2,0)," ")</f>
        <v>Cable Trazador Cu 14 AWG Aisl. THW Roj</v>
      </c>
      <c r="C1118" s="12">
        <v>50</v>
      </c>
      <c r="D1118" s="13"/>
      <c r="E1118" s="12">
        <v>906</v>
      </c>
      <c r="F1118" s="14">
        <v>46051</v>
      </c>
      <c r="G1118" s="34"/>
      <c r="H1118" s="34" t="s">
        <v>287</v>
      </c>
      <c r="I1118" s="34"/>
      <c r="J1118" s="9" t="s">
        <v>255</v>
      </c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  <c r="AA1118" s="23"/>
      <c r="AB1118" s="23"/>
    </row>
    <row r="1119" spans="1:28" ht="14.25" customHeight="1" x14ac:dyDescent="0.35">
      <c r="A1119" s="12">
        <v>2002262</v>
      </c>
      <c r="B1119" s="59" t="str">
        <f>IFERROR(VLOOKUP(Tabla1[[#This Row],[CODIGO]],INVENTARIO!A:B,2,0)," ")</f>
        <v>Tubería PE80 050mm Rollo</v>
      </c>
      <c r="C1119" s="12">
        <v>50</v>
      </c>
      <c r="D1119" s="13"/>
      <c r="E1119" s="12">
        <v>906</v>
      </c>
      <c r="F1119" s="14">
        <v>46051</v>
      </c>
      <c r="G1119" s="34"/>
      <c r="H1119" s="34" t="s">
        <v>287</v>
      </c>
      <c r="I1119" s="34"/>
      <c r="J1119" s="9" t="s">
        <v>255</v>
      </c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  <c r="AA1119" s="23"/>
      <c r="AB1119" s="23"/>
    </row>
    <row r="1120" spans="1:28" ht="14.25" customHeight="1" x14ac:dyDescent="0.35">
      <c r="A1120" s="12">
        <v>2005135</v>
      </c>
      <c r="B1120" s="59" t="str">
        <f>IFERROR(VLOOKUP(Tabla1[[#This Row],[CODIGO]],INVENTARIO!A:B,2,0)," ")</f>
        <v>Tubo PVC 110 mm PN6 CG Amarillo Tira 6 m</v>
      </c>
      <c r="C1120" s="12">
        <v>1</v>
      </c>
      <c r="D1120" s="13"/>
      <c r="E1120" s="12">
        <v>906</v>
      </c>
      <c r="F1120" s="14">
        <v>46051</v>
      </c>
      <c r="G1120" s="34"/>
      <c r="H1120" s="34" t="s">
        <v>287</v>
      </c>
      <c r="I1120" s="34"/>
      <c r="J1120" s="9" t="s">
        <v>255</v>
      </c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  <c r="AA1120" s="23"/>
      <c r="AB1120" s="23"/>
    </row>
    <row r="1121" spans="1:28" ht="14.25" customHeight="1" x14ac:dyDescent="0.35">
      <c r="A1121" s="12">
        <v>302659</v>
      </c>
      <c r="B1121" s="59" t="str">
        <f>IFERROR(VLOOKUP(Tabla1[[#This Row],[CODIGO]],INVENTARIO!A:B,2,0)," ")</f>
        <v>Copla PE100 063mm EF</v>
      </c>
      <c r="C1121" s="12">
        <v>2</v>
      </c>
      <c r="D1121" s="13"/>
      <c r="E1121" s="12">
        <v>907</v>
      </c>
      <c r="F1121" s="14">
        <v>46051</v>
      </c>
      <c r="G1121" s="34"/>
      <c r="H1121" s="34" t="s">
        <v>232</v>
      </c>
      <c r="I1121" s="34"/>
      <c r="J1121" s="9" t="s">
        <v>286</v>
      </c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  <c r="AA1121" s="23"/>
      <c r="AB1121" s="23"/>
    </row>
    <row r="1122" spans="1:28" ht="14.25" customHeight="1" x14ac:dyDescent="0.35">
      <c r="A1122" s="12">
        <v>2002263</v>
      </c>
      <c r="B1122" s="59" t="str">
        <f>IFERROR(VLOOKUP(Tabla1[[#This Row],[CODIGO]],INVENTARIO!A:B,2,0)," ")</f>
        <v>Tubería PE80 063mm Rollo</v>
      </c>
      <c r="C1122" s="12">
        <v>4.5</v>
      </c>
      <c r="D1122" s="13"/>
      <c r="E1122" s="12">
        <v>907</v>
      </c>
      <c r="F1122" s="14">
        <v>46051</v>
      </c>
      <c r="G1122" s="34"/>
      <c r="H1122" s="34" t="s">
        <v>232</v>
      </c>
      <c r="I1122" s="34"/>
      <c r="J1122" s="9" t="s">
        <v>286</v>
      </c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  <c r="AA1122" s="23"/>
      <c r="AB1122" s="23"/>
    </row>
    <row r="1123" spans="1:28" ht="14.25" customHeight="1" x14ac:dyDescent="0.35">
      <c r="A1123" s="12">
        <v>2005135</v>
      </c>
      <c r="B1123" s="59" t="str">
        <f>IFERROR(VLOOKUP(Tabla1[[#This Row],[CODIGO]],INVENTARIO!A:B,2,0)," ")</f>
        <v>Tubo PVC 110 mm PN6 CG Amarillo Tira 6 m</v>
      </c>
      <c r="C1123" s="12">
        <v>2</v>
      </c>
      <c r="D1123" s="13"/>
      <c r="E1123" s="12">
        <v>908</v>
      </c>
      <c r="F1123" s="14">
        <v>46051</v>
      </c>
      <c r="G1123" s="34"/>
      <c r="H1123" s="34" t="s">
        <v>285</v>
      </c>
      <c r="I1123" s="34"/>
      <c r="J1123" s="9" t="s">
        <v>202</v>
      </c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  <c r="AA1123" s="23"/>
      <c r="AB1123" s="23"/>
    </row>
    <row r="1124" spans="1:28" ht="14.25" customHeight="1" x14ac:dyDescent="0.35">
      <c r="A1124" s="12">
        <v>2002263</v>
      </c>
      <c r="B1124" s="59" t="str">
        <f>IFERROR(VLOOKUP(Tabla1[[#This Row],[CODIGO]],INVENTARIO!A:B,2,0)," ")</f>
        <v>Tubería PE80 063mm Rollo</v>
      </c>
      <c r="C1124" s="12">
        <v>50</v>
      </c>
      <c r="D1124" s="13"/>
      <c r="E1124" s="12">
        <v>206</v>
      </c>
      <c r="F1124" s="14">
        <v>46051</v>
      </c>
      <c r="G1124" s="34"/>
      <c r="H1124" s="34" t="s">
        <v>223</v>
      </c>
      <c r="I1124" s="34"/>
      <c r="J1124" s="9" t="s">
        <v>207</v>
      </c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  <c r="AA1124" s="23"/>
      <c r="AB1124" s="23"/>
    </row>
    <row r="1125" spans="1:28" ht="14.25" customHeight="1" x14ac:dyDescent="0.35">
      <c r="A1125" s="12">
        <v>301987</v>
      </c>
      <c r="B1125" s="59" t="str">
        <f>IFERROR(VLOOKUP(Tabla1[[#This Row],[CODIGO]],INVENTARIO!A:B,2,0)," ")</f>
        <v>Codo PE100 90° 063mm EF</v>
      </c>
      <c r="C1125" s="12">
        <v>1</v>
      </c>
      <c r="D1125" s="13"/>
      <c r="E1125" s="12">
        <v>206</v>
      </c>
      <c r="F1125" s="14">
        <v>46051</v>
      </c>
      <c r="G1125" s="34"/>
      <c r="H1125" s="34" t="s">
        <v>223</v>
      </c>
      <c r="I1125" s="34"/>
      <c r="J1125" s="9" t="s">
        <v>207</v>
      </c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  <c r="AA1125" s="23"/>
      <c r="AB1125" s="23"/>
    </row>
    <row r="1126" spans="1:28" ht="14.25" customHeight="1" x14ac:dyDescent="0.35">
      <c r="A1126" s="12">
        <v>2005135</v>
      </c>
      <c r="B1126" s="59" t="str">
        <f>IFERROR(VLOOKUP(Tabla1[[#This Row],[CODIGO]],INVENTARIO!A:B,2,0)," ")</f>
        <v>Tubo PVC 110 mm PN6 CG Amarillo Tira 6 m</v>
      </c>
      <c r="C1126" s="12">
        <v>1</v>
      </c>
      <c r="D1126" s="13"/>
      <c r="E1126" s="12">
        <v>206</v>
      </c>
      <c r="F1126" s="14">
        <v>46051</v>
      </c>
      <c r="G1126" s="34"/>
      <c r="H1126" s="34" t="s">
        <v>223</v>
      </c>
      <c r="I1126" s="34"/>
      <c r="J1126" s="9" t="s">
        <v>207</v>
      </c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  <c r="AA1126" s="23"/>
      <c r="AB1126" s="23"/>
    </row>
    <row r="1127" spans="1:28" ht="14.25" customHeight="1" x14ac:dyDescent="0.35">
      <c r="A1127" s="12">
        <v>301749</v>
      </c>
      <c r="B1127" s="59" t="str">
        <f>IFERROR(VLOOKUP(Tabla1[[#This Row],[CODIGO]],INVENTARIO!A:B,2,0)," ")</f>
        <v>Tubería PE80 025mm Rollo</v>
      </c>
      <c r="C1127" s="12">
        <v>10</v>
      </c>
      <c r="D1127" s="13"/>
      <c r="E1127" s="12">
        <v>866</v>
      </c>
      <c r="F1127" s="14">
        <v>46044</v>
      </c>
      <c r="G1127" s="34"/>
      <c r="H1127" s="34" t="s">
        <v>267</v>
      </c>
      <c r="I1127" s="34" t="s">
        <v>247</v>
      </c>
      <c r="J1127" s="9" t="s">
        <v>197</v>
      </c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  <c r="AA1127" s="23"/>
      <c r="AB1127" s="23"/>
    </row>
    <row r="1128" spans="1:28" ht="14.25" customHeight="1" x14ac:dyDescent="0.35">
      <c r="A1128" s="12">
        <v>301329</v>
      </c>
      <c r="B1128" s="59" t="str">
        <f>IFERROR(VLOOKUP(Tabla1[[#This Row],[CODIGO]],INVENTARIO!A:B,2,0)," ")</f>
        <v>Copla PE100 025mm EF</v>
      </c>
      <c r="C1128" s="12">
        <v>20</v>
      </c>
      <c r="D1128" s="13"/>
      <c r="E1128" s="12">
        <v>866</v>
      </c>
      <c r="F1128" s="14">
        <v>46044</v>
      </c>
      <c r="G1128" s="34"/>
      <c r="H1128" s="34" t="s">
        <v>267</v>
      </c>
      <c r="I1128" s="34" t="s">
        <v>247</v>
      </c>
      <c r="J1128" s="9" t="s">
        <v>197</v>
      </c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  <c r="AA1128" s="23"/>
      <c r="AB1128" s="23"/>
    </row>
    <row r="1129" spans="1:28" ht="14.25" customHeight="1" x14ac:dyDescent="0.35">
      <c r="A1129" s="12">
        <v>301666</v>
      </c>
      <c r="B1129" s="59" t="str">
        <f>IFERROR(VLOOKUP(Tabla1[[#This Row],[CODIGO]],INVENTARIO!A:B,2,0)," ")</f>
        <v>Tapping Tee PE 110-25 mm</v>
      </c>
      <c r="C1129" s="12">
        <v>10</v>
      </c>
      <c r="D1129" s="13"/>
      <c r="E1129" s="12">
        <v>866</v>
      </c>
      <c r="F1129" s="14">
        <v>46044</v>
      </c>
      <c r="G1129" s="34"/>
      <c r="H1129" s="34" t="s">
        <v>267</v>
      </c>
      <c r="I1129" s="34" t="s">
        <v>247</v>
      </c>
      <c r="J1129" s="9" t="s">
        <v>197</v>
      </c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  <c r="AA1129" s="23"/>
      <c r="AB1129" s="23"/>
    </row>
    <row r="1130" spans="1:28" ht="14.25" customHeight="1" x14ac:dyDescent="0.35">
      <c r="A1130" s="12">
        <v>2006392</v>
      </c>
      <c r="B1130" s="59" t="str">
        <f>IFERROR(VLOOKUP(Tabla1[[#This Row],[CODIGO]],INVENTARIO!A:B,2,0)," ")</f>
        <v>Limitador Flujo P/Tapping Tee 25 MM</v>
      </c>
      <c r="C1130" s="12">
        <v>10</v>
      </c>
      <c r="D1130" s="13"/>
      <c r="E1130" s="12">
        <v>866</v>
      </c>
      <c r="F1130" s="14">
        <v>46044</v>
      </c>
      <c r="G1130" s="34"/>
      <c r="H1130" s="34" t="s">
        <v>267</v>
      </c>
      <c r="I1130" s="34" t="s">
        <v>247</v>
      </c>
      <c r="J1130" s="9" t="s">
        <v>197</v>
      </c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  <c r="AA1130" s="23"/>
      <c r="AB1130" s="23"/>
    </row>
    <row r="1131" spans="1:28" ht="14.25" customHeight="1" x14ac:dyDescent="0.35">
      <c r="A1131" s="12">
        <v>300109</v>
      </c>
      <c r="B1131" s="59" t="str">
        <f>IFERROR(VLOOKUP(Tabla1[[#This Row],[CODIGO]],INVENTARIO!A:B,2,0)," ")</f>
        <v>Risers de Acero 3/4" Bsp x 25 mm</v>
      </c>
      <c r="C1131" s="12">
        <v>10</v>
      </c>
      <c r="D1131" s="13"/>
      <c r="E1131" s="12">
        <v>866</v>
      </c>
      <c r="F1131" s="14">
        <v>46044</v>
      </c>
      <c r="G1131" s="34"/>
      <c r="H1131" s="34" t="s">
        <v>267</v>
      </c>
      <c r="I1131" s="34" t="s">
        <v>247</v>
      </c>
      <c r="J1131" s="9" t="s">
        <v>197</v>
      </c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  <c r="AA1131" s="23"/>
      <c r="AB1131" s="23"/>
    </row>
    <row r="1132" spans="1:28" ht="14.25" customHeight="1" x14ac:dyDescent="0.35">
      <c r="A1132" s="12">
        <v>302737</v>
      </c>
      <c r="B1132" s="59" t="str">
        <f>IFERROR(VLOOKUP(Tabla1[[#This Row],[CODIGO]],INVENTARIO!A:B,2,0)," ")</f>
        <v>Válvula Bola 3/4" Hi Un Cuerpo Pn5 Arco</v>
      </c>
      <c r="C1132" s="12">
        <v>10</v>
      </c>
      <c r="D1132" s="13"/>
      <c r="E1132" s="12">
        <v>866</v>
      </c>
      <c r="F1132" s="14">
        <v>46044</v>
      </c>
      <c r="G1132" s="34"/>
      <c r="H1132" s="34" t="s">
        <v>267</v>
      </c>
      <c r="I1132" s="34" t="s">
        <v>247</v>
      </c>
      <c r="J1132" s="9" t="s">
        <v>197</v>
      </c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  <c r="AA1132" s="23"/>
      <c r="AB1132" s="23"/>
    </row>
    <row r="1133" spans="1:28" ht="14.25" customHeight="1" x14ac:dyDescent="0.35">
      <c r="A1133" s="12">
        <v>2008481</v>
      </c>
      <c r="B1133" s="59" t="str">
        <f>IFERROR(VLOOKUP(Tabla1[[#This Row],[CODIGO]],INVENTARIO!A:B,2,0)," ")</f>
        <v>Tapa Tornillo Bronce 3/4" HE Bspt.</v>
      </c>
      <c r="C1133" s="12">
        <v>10</v>
      </c>
      <c r="D1133" s="13"/>
      <c r="E1133" s="12">
        <v>866</v>
      </c>
      <c r="F1133" s="14">
        <v>46044</v>
      </c>
      <c r="G1133" s="34"/>
      <c r="H1133" s="34" t="s">
        <v>267</v>
      </c>
      <c r="I1133" s="34" t="s">
        <v>247</v>
      </c>
      <c r="J1133" s="9" t="s">
        <v>197</v>
      </c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  <c r="AA1133" s="23"/>
      <c r="AB1133" s="23"/>
    </row>
    <row r="1134" spans="1:28" ht="14.25" customHeight="1" x14ac:dyDescent="0.35">
      <c r="A1134" s="12">
        <v>1000720</v>
      </c>
      <c r="B1134" s="59" t="str">
        <f>IFERROR(VLOOKUP(Tabla1[[#This Row],[CODIGO]],INVENTARIO!A:B,2,0)," ")</f>
        <v>Teflón en Cinta de 3/4" Ancho x 520" a 5</v>
      </c>
      <c r="C1134" s="12">
        <v>1</v>
      </c>
      <c r="D1134" s="13"/>
      <c r="E1134" s="12">
        <v>866</v>
      </c>
      <c r="F1134" s="14">
        <v>46044</v>
      </c>
      <c r="G1134" s="34"/>
      <c r="H1134" s="34" t="s">
        <v>267</v>
      </c>
      <c r="I1134" s="34" t="s">
        <v>247</v>
      </c>
      <c r="J1134" s="9" t="s">
        <v>197</v>
      </c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  <c r="AA1134" s="23"/>
      <c r="AB1134" s="23"/>
    </row>
    <row r="1135" spans="1:28" ht="14.25" customHeight="1" x14ac:dyDescent="0.35">
      <c r="A1135" s="12">
        <v>2003911</v>
      </c>
      <c r="B1135" s="59" t="str">
        <f>IFERROR(VLOOKUP(Tabla1[[#This Row],[CODIGO]],INVENTARIO!A:B,2,0)," ")</f>
        <v>Válvula EFv PE 25 mm Para Tap. Tee</v>
      </c>
      <c r="C1135" s="12">
        <v>10</v>
      </c>
      <c r="D1135" s="13"/>
      <c r="E1135" s="12">
        <v>866</v>
      </c>
      <c r="F1135" s="14">
        <v>46044</v>
      </c>
      <c r="G1135" s="34"/>
      <c r="H1135" s="34" t="s">
        <v>267</v>
      </c>
      <c r="I1135" s="34" t="s">
        <v>247</v>
      </c>
      <c r="J1135" s="9" t="s">
        <v>197</v>
      </c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  <c r="AA1135" s="23"/>
      <c r="AB1135" s="23"/>
    </row>
    <row r="1136" spans="1:28" ht="14.25" customHeight="1" x14ac:dyDescent="0.35">
      <c r="A1136" s="12">
        <v>2006391</v>
      </c>
      <c r="B1136" s="59" t="str">
        <f>IFERROR(VLOOKUP(Tabla1[[#This Row],[CODIGO]],INVENTARIO!A:B,2,0)," ")</f>
        <v>Guardallave Fierro Fundido C/Tapa</v>
      </c>
      <c r="C1136" s="12">
        <v>10</v>
      </c>
      <c r="D1136" s="13"/>
      <c r="E1136" s="12">
        <v>866</v>
      </c>
      <c r="F1136" s="14">
        <v>46044</v>
      </c>
      <c r="G1136" s="34"/>
      <c r="H1136" s="34" t="s">
        <v>267</v>
      </c>
      <c r="I1136" s="34" t="s">
        <v>247</v>
      </c>
      <c r="J1136" s="9" t="s">
        <v>197</v>
      </c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  <c r="AA1136" s="23"/>
      <c r="AB1136" s="23"/>
    </row>
    <row r="1137" spans="1:28" ht="14.25" customHeight="1" x14ac:dyDescent="0.35">
      <c r="A1137" s="12">
        <v>2007948</v>
      </c>
      <c r="B1137" s="59" t="str">
        <f>IFERROR(VLOOKUP(Tabla1[[#This Row],[CODIGO]],INVENTARIO!A:B,2,0)," ")</f>
        <v>Tubo PVC Hidraulico 110 mm Pn6 Celeste</v>
      </c>
      <c r="C1137" s="12">
        <v>10</v>
      </c>
      <c r="D1137" s="13"/>
      <c r="E1137" s="12">
        <v>866</v>
      </c>
      <c r="F1137" s="14">
        <v>46044</v>
      </c>
      <c r="G1137" s="34"/>
      <c r="H1137" s="34" t="s">
        <v>267</v>
      </c>
      <c r="I1137" s="34" t="s">
        <v>247</v>
      </c>
      <c r="J1137" s="9" t="s">
        <v>197</v>
      </c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  <c r="AA1137" s="23"/>
      <c r="AB1137" s="23"/>
    </row>
    <row r="1138" spans="1:28" ht="14.25" customHeight="1" x14ac:dyDescent="0.35">
      <c r="A1138" s="12">
        <v>302315</v>
      </c>
      <c r="B1138" s="59" t="str">
        <f>IFERROR(VLOOKUP(Tabla1[[#This Row],[CODIGO]],INVENTARIO!A:B,2,0)," ")</f>
        <v>Tee PE 110 mm Termo F.</v>
      </c>
      <c r="C1138" s="12">
        <v>2</v>
      </c>
      <c r="D1138" s="13"/>
      <c r="E1138" s="12">
        <v>876</v>
      </c>
      <c r="F1138" s="14">
        <v>46044</v>
      </c>
      <c r="G1138" s="34"/>
      <c r="H1138" s="34" t="s">
        <v>267</v>
      </c>
      <c r="I1138" s="34"/>
      <c r="J1138" s="9" t="s">
        <v>197</v>
      </c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  <c r="AA1138" s="23"/>
      <c r="AB1138" s="23"/>
    </row>
    <row r="1139" spans="1:28" ht="14.25" customHeight="1" x14ac:dyDescent="0.35">
      <c r="A1139" s="12">
        <v>302338</v>
      </c>
      <c r="B1139" s="59" t="str">
        <f>IFERROR(VLOOKUP(Tabla1[[#This Row],[CODIGO]],INVENTARIO!A:B,2,0)," ")</f>
        <v>Codo PE100 45° 110mm EF</v>
      </c>
      <c r="C1139" s="12">
        <v>10</v>
      </c>
      <c r="D1139" s="13"/>
      <c r="E1139" s="12">
        <v>876</v>
      </c>
      <c r="F1139" s="14">
        <v>46044</v>
      </c>
      <c r="G1139" s="34"/>
      <c r="H1139" s="34" t="s">
        <v>267</v>
      </c>
      <c r="I1139" s="34"/>
      <c r="J1139" s="9" t="s">
        <v>197</v>
      </c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  <c r="AA1139" s="23"/>
      <c r="AB1139" s="23"/>
    </row>
    <row r="1140" spans="1:28" ht="14.25" customHeight="1" x14ac:dyDescent="0.35">
      <c r="A1140" s="12">
        <v>303017</v>
      </c>
      <c r="B1140" s="59" t="str">
        <f>IFERROR(VLOOKUP(Tabla1[[#This Row],[CODIGO]],INVENTARIO!A:B,2,0)," ")</f>
        <v>Codo PE100 90° 110mm EF</v>
      </c>
      <c r="C1140" s="12">
        <v>10</v>
      </c>
      <c r="D1140" s="13"/>
      <c r="E1140" s="12">
        <v>876</v>
      </c>
      <c r="F1140" s="14">
        <v>46044</v>
      </c>
      <c r="G1140" s="34"/>
      <c r="H1140" s="34" t="s">
        <v>267</v>
      </c>
      <c r="I1140" s="34"/>
      <c r="J1140" s="9" t="s">
        <v>197</v>
      </c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  <c r="AA1140" s="23"/>
      <c r="AB1140" s="23"/>
    </row>
    <row r="1141" spans="1:28" ht="14.25" customHeight="1" x14ac:dyDescent="0.35">
      <c r="A1141" s="12">
        <v>302991</v>
      </c>
      <c r="B1141" s="59" t="str">
        <f>IFERROR(VLOOKUP(Tabla1[[#This Row],[CODIGO]],INVENTARIO!A:B,2,0)," ")</f>
        <v>Copla PE100 110mm EF</v>
      </c>
      <c r="C1141" s="12">
        <v>44</v>
      </c>
      <c r="D1141" s="13"/>
      <c r="E1141" s="12">
        <v>876</v>
      </c>
      <c r="F1141" s="14">
        <v>46044</v>
      </c>
      <c r="G1141" s="34"/>
      <c r="H1141" s="34" t="s">
        <v>267</v>
      </c>
      <c r="I1141" s="34"/>
      <c r="J1141" s="9" t="s">
        <v>197</v>
      </c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  <c r="AA1141" s="23"/>
      <c r="AB1141" s="23"/>
    </row>
    <row r="1142" spans="1:28" ht="14.25" customHeight="1" x14ac:dyDescent="0.35">
      <c r="A1142" s="12">
        <v>302317</v>
      </c>
      <c r="B1142" s="59" t="str">
        <f>IFERROR(VLOOKUP(Tabla1[[#This Row],[CODIGO]],INVENTARIO!A:B,2,0)," ")</f>
        <v>Tapa PE 110 mm Termo F.</v>
      </c>
      <c r="C1142" s="12">
        <v>3</v>
      </c>
      <c r="D1142" s="13"/>
      <c r="E1142" s="12">
        <v>876</v>
      </c>
      <c r="F1142" s="14">
        <v>46044</v>
      </c>
      <c r="G1142" s="34"/>
      <c r="H1142" s="34" t="s">
        <v>267</v>
      </c>
      <c r="I1142" s="34"/>
      <c r="J1142" s="9" t="s">
        <v>197</v>
      </c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  <c r="AA1142" s="23"/>
      <c r="AB1142" s="23"/>
    </row>
    <row r="1143" spans="1:28" ht="14.25" customHeight="1" x14ac:dyDescent="0.35">
      <c r="A1143" s="12">
        <v>303510</v>
      </c>
      <c r="B1143" s="59" t="str">
        <f>IFERROR(VLOOKUP(Tabla1[[#This Row],[CODIGO]],INVENTARIO!A:B,2,0)," ")</f>
        <v>Guardallave Hormigón 125 mm con Tapa</v>
      </c>
      <c r="C1143" s="12">
        <v>13</v>
      </c>
      <c r="D1143" s="13"/>
      <c r="E1143" s="12">
        <v>876</v>
      </c>
      <c r="F1143" s="14">
        <v>46044</v>
      </c>
      <c r="G1143" s="34"/>
      <c r="H1143" s="34" t="s">
        <v>267</v>
      </c>
      <c r="I1143" s="34"/>
      <c r="J1143" s="9" t="s">
        <v>197</v>
      </c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  <c r="AA1143" s="23"/>
      <c r="AB1143" s="23"/>
    </row>
    <row r="1144" spans="1:28" ht="14.25" customHeight="1" x14ac:dyDescent="0.35">
      <c r="A1144" s="12">
        <v>303368</v>
      </c>
      <c r="B1144" s="59" t="str">
        <f>IFERROR(VLOOKUP(Tabla1[[#This Row],[CODIGO]],INVENTARIO!A:B,2,0)," ")</f>
        <v>Cinta Plástica "Línea GN", 30 x 0.1</v>
      </c>
      <c r="C1144" s="12">
        <v>1169</v>
      </c>
      <c r="D1144" s="13"/>
      <c r="E1144" s="12">
        <v>876</v>
      </c>
      <c r="F1144" s="14">
        <v>46044</v>
      </c>
      <c r="G1144" s="34"/>
      <c r="H1144" s="34" t="s">
        <v>267</v>
      </c>
      <c r="I1144" s="34"/>
      <c r="J1144" s="9" t="s">
        <v>197</v>
      </c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  <c r="AA1144" s="23"/>
      <c r="AB1144" s="23"/>
    </row>
    <row r="1145" spans="1:28" ht="14.25" customHeight="1" x14ac:dyDescent="0.35">
      <c r="A1145" s="12">
        <v>1002167</v>
      </c>
      <c r="B1145" s="59" t="str">
        <f>IFERROR(VLOOKUP(Tabla1[[#This Row],[CODIGO]],INVENTARIO!A:B,2,0)," ")</f>
        <v>Cable Trazador Cu 14 AWG Aisl. THW Roj</v>
      </c>
      <c r="C1145" s="12">
        <v>1169</v>
      </c>
      <c r="D1145" s="13"/>
      <c r="E1145" s="12">
        <v>876</v>
      </c>
      <c r="F1145" s="14">
        <v>46044</v>
      </c>
      <c r="G1145" s="34"/>
      <c r="H1145" s="34" t="s">
        <v>267</v>
      </c>
      <c r="I1145" s="34"/>
      <c r="J1145" s="9" t="s">
        <v>197</v>
      </c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  <c r="AA1145" s="23"/>
      <c r="AB1145" s="23"/>
    </row>
    <row r="1146" spans="1:28" ht="14.25" customHeight="1" x14ac:dyDescent="0.35">
      <c r="A1146" s="12">
        <v>301666</v>
      </c>
      <c r="B1146" s="59" t="str">
        <f>IFERROR(VLOOKUP(Tabla1[[#This Row],[CODIGO]],INVENTARIO!A:B,2,0)," ")</f>
        <v>Tapping Tee PE 110-25 mm</v>
      </c>
      <c r="C1146" s="12">
        <v>10</v>
      </c>
      <c r="D1146" s="13"/>
      <c r="E1146" s="12">
        <v>876</v>
      </c>
      <c r="F1146" s="14">
        <v>46044</v>
      </c>
      <c r="G1146" s="34"/>
      <c r="H1146" s="34" t="s">
        <v>267</v>
      </c>
      <c r="I1146" s="34"/>
      <c r="J1146" s="9" t="s">
        <v>197</v>
      </c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  <c r="AA1146" s="23"/>
      <c r="AB1146" s="23"/>
    </row>
    <row r="1147" spans="1:28" ht="14.25" customHeight="1" x14ac:dyDescent="0.35">
      <c r="A1147" s="12">
        <v>300109</v>
      </c>
      <c r="B1147" s="59" t="str">
        <f>IFERROR(VLOOKUP(Tabla1[[#This Row],[CODIGO]],INVENTARIO!A:B,2,0)," ")</f>
        <v>Risers de Acero 3/4" Bsp x 25 mm</v>
      </c>
      <c r="C1147" s="12">
        <v>4</v>
      </c>
      <c r="D1147" s="13"/>
      <c r="E1147" s="12">
        <v>876</v>
      </c>
      <c r="F1147" s="14">
        <v>46044</v>
      </c>
      <c r="G1147" s="34"/>
      <c r="H1147" s="34" t="s">
        <v>267</v>
      </c>
      <c r="I1147" s="34"/>
      <c r="J1147" s="9" t="s">
        <v>197</v>
      </c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  <c r="AA1147" s="23"/>
      <c r="AB1147" s="23"/>
    </row>
    <row r="1148" spans="1:28" ht="14.25" customHeight="1" x14ac:dyDescent="0.35">
      <c r="A1148" s="12">
        <v>2008481</v>
      </c>
      <c r="B1148" s="59" t="str">
        <f>IFERROR(VLOOKUP(Tabla1[[#This Row],[CODIGO]],INVENTARIO!A:B,2,0)," ")</f>
        <v>Tapa Tornillo Bronce 3/4" HE Bspt.</v>
      </c>
      <c r="C1148" s="12">
        <v>10</v>
      </c>
      <c r="D1148" s="13"/>
      <c r="E1148" s="12">
        <v>876</v>
      </c>
      <c r="F1148" s="14">
        <v>46044</v>
      </c>
      <c r="G1148" s="34"/>
      <c r="H1148" s="34" t="s">
        <v>267</v>
      </c>
      <c r="I1148" s="34"/>
      <c r="J1148" s="9" t="s">
        <v>197</v>
      </c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  <c r="AA1148" s="23"/>
      <c r="AB1148" s="23"/>
    </row>
    <row r="1149" spans="1:28" ht="14.25" customHeight="1" x14ac:dyDescent="0.35">
      <c r="A1149" s="12">
        <v>302737</v>
      </c>
      <c r="B1149" s="59" t="str">
        <f>IFERROR(VLOOKUP(Tabla1[[#This Row],[CODIGO]],INVENTARIO!A:B,2,0)," ")</f>
        <v>Válvula Bola 3/4" Hi Un Cuerpo Pn5 Arco</v>
      </c>
      <c r="C1149" s="12">
        <v>10</v>
      </c>
      <c r="D1149" s="13"/>
      <c r="E1149" s="12">
        <v>876</v>
      </c>
      <c r="F1149" s="14">
        <v>46044</v>
      </c>
      <c r="G1149" s="34"/>
      <c r="H1149" s="34" t="s">
        <v>267</v>
      </c>
      <c r="I1149" s="34"/>
      <c r="J1149" s="9" t="s">
        <v>197</v>
      </c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  <c r="AA1149" s="23"/>
      <c r="AB1149" s="23"/>
    </row>
    <row r="1150" spans="1:28" ht="14.25" customHeight="1" x14ac:dyDescent="0.35">
      <c r="A1150" s="12">
        <v>301329</v>
      </c>
      <c r="B1150" s="59" t="str">
        <f>IFERROR(VLOOKUP(Tabla1[[#This Row],[CODIGO]],INVENTARIO!A:B,2,0)," ")</f>
        <v>Copla PE100 025mm EF</v>
      </c>
      <c r="C1150" s="12">
        <v>18</v>
      </c>
      <c r="D1150" s="13"/>
      <c r="E1150" s="12">
        <v>876</v>
      </c>
      <c r="F1150" s="14">
        <v>46044</v>
      </c>
      <c r="G1150" s="34"/>
      <c r="H1150" s="34" t="s">
        <v>267</v>
      </c>
      <c r="I1150" s="34"/>
      <c r="J1150" s="9" t="s">
        <v>197</v>
      </c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  <c r="AA1150" s="23"/>
      <c r="AB1150" s="23"/>
    </row>
    <row r="1151" spans="1:28" ht="14.25" customHeight="1" x14ac:dyDescent="0.35">
      <c r="A1151" s="12">
        <v>300712</v>
      </c>
      <c r="B1151" s="59" t="str">
        <f>IFERROR(VLOOKUP(Tabla1[[#This Row],[CODIGO]],INVENTARIO!A:B,2,0)," ")</f>
        <v>Tapa PE  025 mm Termo F.</v>
      </c>
      <c r="C1151" s="12">
        <v>4</v>
      </c>
      <c r="D1151" s="13"/>
      <c r="E1151" s="12">
        <v>876</v>
      </c>
      <c r="F1151" s="14">
        <v>46044</v>
      </c>
      <c r="G1151" s="34"/>
      <c r="H1151" s="34" t="s">
        <v>267</v>
      </c>
      <c r="I1151" s="34"/>
      <c r="J1151" s="9" t="s">
        <v>197</v>
      </c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  <c r="AA1151" s="23"/>
      <c r="AB1151" s="23"/>
    </row>
    <row r="1152" spans="1:28" ht="14.25" customHeight="1" x14ac:dyDescent="0.35">
      <c r="A1152" s="12">
        <v>2003736</v>
      </c>
      <c r="B1152" s="59" t="str">
        <f>IFERROR(VLOOKUP(Tabla1[[#This Row],[CODIGO]],INVENTARIO!A:B,2,0)," ")</f>
        <v>Válvula PE100 Dn 110mm</v>
      </c>
      <c r="C1152" s="12">
        <v>3</v>
      </c>
      <c r="D1152" s="13"/>
      <c r="E1152" s="12">
        <v>876</v>
      </c>
      <c r="F1152" s="14">
        <v>46044</v>
      </c>
      <c r="G1152" s="34"/>
      <c r="H1152" s="34" t="s">
        <v>267</v>
      </c>
      <c r="I1152" s="34"/>
      <c r="J1152" s="9" t="s">
        <v>197</v>
      </c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  <c r="AA1152" s="23"/>
      <c r="AB1152" s="23"/>
    </row>
    <row r="1153" spans="1:28" ht="14.25" customHeight="1" x14ac:dyDescent="0.35">
      <c r="A1153" s="12">
        <v>2000350</v>
      </c>
      <c r="B1153" s="59" t="str">
        <f>IFERROR(VLOOKUP(Tabla1[[#This Row],[CODIGO]],INVENTARIO!A:B,2,0)," ")</f>
        <v>Codo PE 90º  25 mm EF.</v>
      </c>
      <c r="C1153" s="12">
        <v>6</v>
      </c>
      <c r="D1153" s="13"/>
      <c r="E1153" s="12">
        <v>876</v>
      </c>
      <c r="F1153" s="14">
        <v>46044</v>
      </c>
      <c r="G1153" s="34"/>
      <c r="H1153" s="34" t="s">
        <v>267</v>
      </c>
      <c r="I1153" s="34"/>
      <c r="J1153" s="9" t="s">
        <v>197</v>
      </c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  <c r="AA1153" s="23"/>
      <c r="AB1153" s="23"/>
    </row>
    <row r="1154" spans="1:28" ht="14.25" customHeight="1" x14ac:dyDescent="0.35">
      <c r="A1154" s="12">
        <v>301749</v>
      </c>
      <c r="B1154" s="59" t="str">
        <f>IFERROR(VLOOKUP(Tabla1[[#This Row],[CODIGO]],INVENTARIO!A:B,2,0)," ")</f>
        <v>Tubería PE80 025mm Rollo</v>
      </c>
      <c r="C1154" s="12">
        <v>12</v>
      </c>
      <c r="D1154" s="13"/>
      <c r="E1154" s="12">
        <v>876</v>
      </c>
      <c r="F1154" s="14">
        <v>46044</v>
      </c>
      <c r="G1154" s="34"/>
      <c r="H1154" s="34" t="s">
        <v>267</v>
      </c>
      <c r="I1154" s="34"/>
      <c r="J1154" s="9" t="s">
        <v>197</v>
      </c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  <c r="AA1154" s="23"/>
      <c r="AB1154" s="23"/>
    </row>
    <row r="1155" spans="1:28" ht="14.25" customHeight="1" x14ac:dyDescent="0.35">
      <c r="A1155" s="12">
        <v>2007948</v>
      </c>
      <c r="B1155" s="59" t="str">
        <f>IFERROR(VLOOKUP(Tabla1[[#This Row],[CODIGO]],INVENTARIO!A:B,2,0)," ")</f>
        <v>Tubo PVC Hidraulico 110 mm Pn6 Celeste</v>
      </c>
      <c r="C1155" s="12">
        <v>16</v>
      </c>
      <c r="D1155" s="13"/>
      <c r="E1155" s="12">
        <v>876</v>
      </c>
      <c r="F1155" s="14">
        <v>46044</v>
      </c>
      <c r="G1155" s="34"/>
      <c r="H1155" s="34" t="s">
        <v>267</v>
      </c>
      <c r="I1155" s="34"/>
      <c r="J1155" s="9" t="s">
        <v>197</v>
      </c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  <c r="AA1155" s="23"/>
      <c r="AB1155" s="23"/>
    </row>
    <row r="1156" spans="1:28" ht="14.25" customHeight="1" x14ac:dyDescent="0.35">
      <c r="A1156" s="12">
        <v>2006391</v>
      </c>
      <c r="B1156" s="59" t="str">
        <f>IFERROR(VLOOKUP(Tabla1[[#This Row],[CODIGO]],INVENTARIO!A:B,2,0)," ")</f>
        <v>Guardallave Fierro Fundido C/Tapa</v>
      </c>
      <c r="C1156" s="12">
        <v>10</v>
      </c>
      <c r="D1156" s="13"/>
      <c r="E1156" s="12">
        <v>876</v>
      </c>
      <c r="F1156" s="14">
        <v>46044</v>
      </c>
      <c r="G1156" s="34"/>
      <c r="H1156" s="34" t="s">
        <v>267</v>
      </c>
      <c r="I1156" s="34"/>
      <c r="J1156" s="9" t="s">
        <v>197</v>
      </c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  <c r="AA1156" s="23"/>
      <c r="AB1156" s="23"/>
    </row>
    <row r="1157" spans="1:28" ht="14.25" customHeight="1" x14ac:dyDescent="0.35">
      <c r="A1157" s="12">
        <v>2006393</v>
      </c>
      <c r="B1157" s="59" t="str">
        <f>IFERROR(VLOOKUP(Tabla1[[#This Row],[CODIGO]],INVENTARIO!A:B,2,0)," ")</f>
        <v>Transición Latón 3/4"x25 MM PE100, SDR11</v>
      </c>
      <c r="C1157" s="12">
        <v>6</v>
      </c>
      <c r="D1157" s="13"/>
      <c r="E1157" s="12">
        <v>876</v>
      </c>
      <c r="F1157" s="14">
        <v>46044</v>
      </c>
      <c r="G1157" s="34"/>
      <c r="H1157" s="34" t="s">
        <v>267</v>
      </c>
      <c r="I1157" s="34"/>
      <c r="J1157" s="9" t="s">
        <v>197</v>
      </c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  <c r="AA1157" s="23"/>
      <c r="AB1157" s="23"/>
    </row>
    <row r="1158" spans="1:28" ht="14.25" customHeight="1" x14ac:dyDescent="0.35">
      <c r="A1158" s="12">
        <v>2006392</v>
      </c>
      <c r="B1158" s="59" t="str">
        <f>IFERROR(VLOOKUP(Tabla1[[#This Row],[CODIGO]],INVENTARIO!A:B,2,0)," ")</f>
        <v>Limitador Flujo P/Tapping Tee 25 MM</v>
      </c>
      <c r="C1158" s="12">
        <v>6</v>
      </c>
      <c r="D1158" s="13"/>
      <c r="E1158" s="12">
        <v>876</v>
      </c>
      <c r="F1158" s="14">
        <v>46044</v>
      </c>
      <c r="G1158" s="34"/>
      <c r="H1158" s="34" t="s">
        <v>267</v>
      </c>
      <c r="I1158" s="34"/>
      <c r="J1158" s="9" t="s">
        <v>197</v>
      </c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  <c r="AA1158" s="23"/>
      <c r="AB1158" s="23"/>
    </row>
    <row r="1159" spans="1:28" ht="14.25" customHeight="1" x14ac:dyDescent="0.35">
      <c r="A1159" s="12">
        <v>303511</v>
      </c>
      <c r="B1159" s="59" t="str">
        <f>IFERROR(VLOOKUP(Tabla1[[#This Row],[CODIGO]],INVENTARIO!A:B,2,0)," ")</f>
        <v>Lata de Espuma Poliuretano Adimus / 500 ML</v>
      </c>
      <c r="C1159" s="12">
        <v>1</v>
      </c>
      <c r="D1159" s="13"/>
      <c r="E1159" s="12">
        <v>876</v>
      </c>
      <c r="F1159" s="14">
        <v>46044</v>
      </c>
      <c r="G1159" s="34"/>
      <c r="H1159" s="34" t="s">
        <v>267</v>
      </c>
      <c r="I1159" s="34"/>
      <c r="J1159" s="9" t="s">
        <v>197</v>
      </c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  <c r="AA1159" s="23"/>
      <c r="AB1159" s="23"/>
    </row>
    <row r="1160" spans="1:28" ht="14.25" customHeight="1" x14ac:dyDescent="0.35">
      <c r="A1160" s="12">
        <v>301675</v>
      </c>
      <c r="B1160" s="59" t="str">
        <f>IFERROR(VLOOKUP(Tabla1[[#This Row],[CODIGO]],INVENTARIO!A:B,2,0)," ")</f>
        <v>Tee PE Reducción 110-63 mm TF</v>
      </c>
      <c r="C1160" s="12">
        <v>1</v>
      </c>
      <c r="D1160" s="13"/>
      <c r="E1160" s="12">
        <v>876</v>
      </c>
      <c r="F1160" s="14">
        <v>46044</v>
      </c>
      <c r="G1160" s="34"/>
      <c r="H1160" s="34" t="s">
        <v>267</v>
      </c>
      <c r="I1160" s="34"/>
      <c r="J1160" s="9" t="s">
        <v>197</v>
      </c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  <c r="AA1160" s="23"/>
      <c r="AB1160" s="23"/>
    </row>
    <row r="1161" spans="1:28" ht="14.25" customHeight="1" x14ac:dyDescent="0.35">
      <c r="A1161" s="12">
        <v>302678</v>
      </c>
      <c r="B1161" s="59" t="str">
        <f>IFERROR(VLOOKUP(Tabla1[[#This Row],[CODIGO]],INVENTARIO!A:B,2,0)," ")</f>
        <v>Reductor PE  63-50 mm Electro F.</v>
      </c>
      <c r="C1161" s="12">
        <v>1</v>
      </c>
      <c r="D1161" s="13"/>
      <c r="E1161" s="12">
        <v>876</v>
      </c>
      <c r="F1161" s="14">
        <v>46044</v>
      </c>
      <c r="G1161" s="34"/>
      <c r="H1161" s="34" t="s">
        <v>267</v>
      </c>
      <c r="I1161" s="34"/>
      <c r="J1161" s="9" t="s">
        <v>197</v>
      </c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  <c r="AA1161" s="23"/>
      <c r="AB1161" s="23"/>
    </row>
    <row r="1162" spans="1:28" ht="14.25" customHeight="1" x14ac:dyDescent="0.35">
      <c r="A1162" s="12">
        <v>2002262</v>
      </c>
      <c r="B1162" s="59" t="str">
        <f>IFERROR(VLOOKUP(Tabla1[[#This Row],[CODIGO]],INVENTARIO!A:B,2,0)," ")</f>
        <v>Tubería PE80 050mm Rollo</v>
      </c>
      <c r="C1162" s="12">
        <v>3</v>
      </c>
      <c r="D1162" s="13"/>
      <c r="E1162" s="12">
        <v>876</v>
      </c>
      <c r="F1162" s="14">
        <v>46044</v>
      </c>
      <c r="G1162" s="34"/>
      <c r="H1162" s="34" t="s">
        <v>267</v>
      </c>
      <c r="I1162" s="34"/>
      <c r="J1162" s="9" t="s">
        <v>197</v>
      </c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  <c r="AA1162" s="23"/>
      <c r="AB1162" s="23"/>
    </row>
    <row r="1163" spans="1:28" ht="14.25" customHeight="1" x14ac:dyDescent="0.35">
      <c r="A1163" s="12">
        <v>303345</v>
      </c>
      <c r="B1163" s="59" t="str">
        <f>IFERROR(VLOOKUP(Tabla1[[#This Row],[CODIGO]],INVENTARIO!A:B,2,0)," ")</f>
        <v>Copla PE100 050mm EF</v>
      </c>
      <c r="C1163" s="12">
        <v>4</v>
      </c>
      <c r="D1163" s="13"/>
      <c r="E1163" s="12">
        <v>875</v>
      </c>
      <c r="F1163" s="14">
        <v>46044</v>
      </c>
      <c r="G1163" s="34"/>
      <c r="H1163" s="34" t="s">
        <v>267</v>
      </c>
      <c r="I1163" s="34"/>
      <c r="J1163" s="9" t="s">
        <v>197</v>
      </c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  <c r="AA1163" s="23"/>
      <c r="AB1163" s="23"/>
    </row>
    <row r="1164" spans="1:28" ht="14.25" customHeight="1" x14ac:dyDescent="0.35">
      <c r="A1164" s="12">
        <v>300414</v>
      </c>
      <c r="B1164" s="59" t="str">
        <f>IFERROR(VLOOKUP(Tabla1[[#This Row],[CODIGO]],INVENTARIO!A:B,2,0)," ")</f>
        <v>Válvula PE100 Dn 50mm</v>
      </c>
      <c r="C1164" s="12">
        <v>1</v>
      </c>
      <c r="D1164" s="13"/>
      <c r="E1164" s="12">
        <v>875</v>
      </c>
      <c r="F1164" s="14">
        <v>46044</v>
      </c>
      <c r="G1164" s="34"/>
      <c r="H1164" s="34" t="s">
        <v>267</v>
      </c>
      <c r="I1164" s="34"/>
      <c r="J1164" s="9" t="s">
        <v>197</v>
      </c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  <c r="AA1164" s="23"/>
      <c r="AB1164" s="23"/>
    </row>
    <row r="1165" spans="1:28" ht="14.25" customHeight="1" x14ac:dyDescent="0.35">
      <c r="A1165" s="12">
        <v>302992</v>
      </c>
      <c r="B1165" s="59" t="str">
        <f>IFERROR(VLOOKUP(Tabla1[[#This Row],[CODIGO]],INVENTARIO!A:B,2,0)," ")</f>
        <v>Codo PE100 90° 050mm EF</v>
      </c>
      <c r="C1165" s="12">
        <v>1</v>
      </c>
      <c r="D1165" s="13"/>
      <c r="E1165" s="12">
        <v>875</v>
      </c>
      <c r="F1165" s="14">
        <v>46044</v>
      </c>
      <c r="G1165" s="34"/>
      <c r="H1165" s="34" t="s">
        <v>267</v>
      </c>
      <c r="I1165" s="34"/>
      <c r="J1165" s="9" t="s">
        <v>197</v>
      </c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  <c r="AA1165" s="23"/>
      <c r="AB1165" s="23"/>
    </row>
    <row r="1166" spans="1:28" ht="14.25" customHeight="1" x14ac:dyDescent="0.35">
      <c r="A1166" s="12">
        <v>301327</v>
      </c>
      <c r="B1166" s="59" t="str">
        <f>IFERROR(VLOOKUP(Tabla1[[#This Row],[CODIGO]],INVENTARIO!A:B,2,0)," ")</f>
        <v>Tapa PE  050 mm Termo F.</v>
      </c>
      <c r="C1166" s="12">
        <v>1</v>
      </c>
      <c r="D1166" s="13"/>
      <c r="E1166" s="12">
        <v>875</v>
      </c>
      <c r="F1166" s="14">
        <v>46044</v>
      </c>
      <c r="G1166" s="34"/>
      <c r="H1166" s="34" t="s">
        <v>267</v>
      </c>
      <c r="I1166" s="34"/>
      <c r="J1166" s="9" t="s">
        <v>197</v>
      </c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  <c r="AA1166" s="23"/>
      <c r="AB1166" s="23"/>
    </row>
    <row r="1167" spans="1:28" ht="14.25" customHeight="1" x14ac:dyDescent="0.35">
      <c r="A1167" s="12">
        <v>303362</v>
      </c>
      <c r="B1167" s="59" t="str">
        <f>IFERROR(VLOOKUP(Tabla1[[#This Row],[CODIGO]],INVENTARIO!A:B,2,0)," ")</f>
        <v>Reductor PE  50-40 mm Electro F.</v>
      </c>
      <c r="C1167" s="12">
        <v>1</v>
      </c>
      <c r="D1167" s="13"/>
      <c r="E1167" s="12">
        <v>875</v>
      </c>
      <c r="F1167" s="14">
        <v>46044</v>
      </c>
      <c r="G1167" s="34"/>
      <c r="H1167" s="34" t="s">
        <v>267</v>
      </c>
      <c r="I1167" s="34"/>
      <c r="J1167" s="9" t="s">
        <v>197</v>
      </c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  <c r="AA1167" s="23"/>
      <c r="AB1167" s="23"/>
    </row>
    <row r="1168" spans="1:28" ht="14.25" customHeight="1" x14ac:dyDescent="0.35">
      <c r="A1168" s="12">
        <v>2002454</v>
      </c>
      <c r="B1168" s="59" t="str">
        <f>IFERROR(VLOOKUP(Tabla1[[#This Row],[CODIGO]],INVENTARIO!A:B,2,0)," ")</f>
        <v>MRP-400-(4/1,2)-(S)-2</v>
      </c>
      <c r="C1168" s="12">
        <v>1</v>
      </c>
      <c r="D1168" s="13"/>
      <c r="E1168" s="12">
        <v>875</v>
      </c>
      <c r="F1168" s="14">
        <v>46044</v>
      </c>
      <c r="G1168" s="34"/>
      <c r="H1168" s="34" t="s">
        <v>267</v>
      </c>
      <c r="I1168" s="34"/>
      <c r="J1168" s="9" t="s">
        <v>197</v>
      </c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  <c r="AA1168" s="23"/>
      <c r="AB1168" s="23"/>
    </row>
    <row r="1169" spans="1:28" ht="14.25" customHeight="1" x14ac:dyDescent="0.35">
      <c r="A1169" s="12">
        <v>301749</v>
      </c>
      <c r="B1169" s="59" t="str">
        <f>IFERROR(VLOOKUP(Tabla1[[#This Row],[CODIGO]],INVENTARIO!A:B,2,0)," ")</f>
        <v>Tubería PE80 025mm Rollo</v>
      </c>
      <c r="C1169" s="12">
        <v>8</v>
      </c>
      <c r="D1169" s="13"/>
      <c r="E1169" s="12">
        <v>878</v>
      </c>
      <c r="F1169" s="14">
        <v>46044</v>
      </c>
      <c r="G1169" s="34"/>
      <c r="H1169" s="34" t="s">
        <v>267</v>
      </c>
      <c r="I1169" s="34"/>
      <c r="J1169" s="9" t="s">
        <v>193</v>
      </c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  <c r="AA1169" s="23"/>
      <c r="AB1169" s="23"/>
    </row>
    <row r="1170" spans="1:28" ht="14.25" customHeight="1" x14ac:dyDescent="0.35">
      <c r="A1170" s="12">
        <v>301749</v>
      </c>
      <c r="B1170" s="59" t="str">
        <f>IFERROR(VLOOKUP(Tabla1[[#This Row],[CODIGO]],INVENTARIO!A:B,2,0)," ")</f>
        <v>Tubería PE80 025mm Rollo</v>
      </c>
      <c r="C1170" s="12">
        <v>5</v>
      </c>
      <c r="D1170" s="13"/>
      <c r="E1170" s="12">
        <v>879</v>
      </c>
      <c r="F1170" s="14">
        <v>46044</v>
      </c>
      <c r="G1170" s="34"/>
      <c r="H1170" s="34" t="s">
        <v>267</v>
      </c>
      <c r="I1170" s="34" t="s">
        <v>247</v>
      </c>
      <c r="J1170" s="9" t="s">
        <v>193</v>
      </c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  <c r="AA1170" s="23"/>
      <c r="AB1170" s="23"/>
    </row>
    <row r="1171" spans="1:28" ht="14.25" customHeight="1" x14ac:dyDescent="0.35">
      <c r="A1171" s="12">
        <v>301987</v>
      </c>
      <c r="B1171" s="59" t="str">
        <f>IFERROR(VLOOKUP(Tabla1[[#This Row],[CODIGO]],INVENTARIO!A:B,2,0)," ")</f>
        <v>Codo PE100 90° 063mm EF</v>
      </c>
      <c r="C1171" s="12">
        <v>8</v>
      </c>
      <c r="D1171" s="13"/>
      <c r="E1171" s="12">
        <v>891</v>
      </c>
      <c r="F1171" s="14">
        <v>46049</v>
      </c>
      <c r="G1171" s="34"/>
      <c r="H1171" s="34" t="s">
        <v>232</v>
      </c>
      <c r="I1171" s="34"/>
      <c r="J1171" s="9" t="s">
        <v>200</v>
      </c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  <c r="AA1171" s="23"/>
      <c r="AB1171" s="23"/>
    </row>
    <row r="1172" spans="1:28" ht="14.25" customHeight="1" x14ac:dyDescent="0.35">
      <c r="A1172" s="12">
        <v>302659</v>
      </c>
      <c r="B1172" s="59" t="str">
        <f>IFERROR(VLOOKUP(Tabla1[[#This Row],[CODIGO]],INVENTARIO!A:B,2,0)," ")</f>
        <v>Copla PE100 063mm EF</v>
      </c>
      <c r="C1172" s="12">
        <v>1</v>
      </c>
      <c r="D1172" s="13"/>
      <c r="E1172" s="12">
        <v>891</v>
      </c>
      <c r="F1172" s="14">
        <v>46049</v>
      </c>
      <c r="G1172" s="34"/>
      <c r="H1172" s="34" t="s">
        <v>232</v>
      </c>
      <c r="I1172" s="34"/>
      <c r="J1172" s="9" t="s">
        <v>200</v>
      </c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  <c r="AA1172" s="23"/>
      <c r="AB1172" s="23"/>
    </row>
    <row r="1173" spans="1:28" ht="14.25" customHeight="1" x14ac:dyDescent="0.35">
      <c r="A1173" s="12">
        <v>300527</v>
      </c>
      <c r="B1173" s="59" t="str">
        <f>IFERROR(VLOOKUP(Tabla1[[#This Row],[CODIGO]],INVENTARIO!A:B,2,0)," ")</f>
        <v>Tapping Tee PE 160-25 mm</v>
      </c>
      <c r="C1173" s="12">
        <v>1</v>
      </c>
      <c r="D1173" s="13"/>
      <c r="E1173" s="12">
        <v>896</v>
      </c>
      <c r="F1173" s="14">
        <v>46050</v>
      </c>
      <c r="G1173" s="34"/>
      <c r="H1173" s="34" t="s">
        <v>267</v>
      </c>
      <c r="I1173" s="34"/>
      <c r="J1173" s="9">
        <v>901816195</v>
      </c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  <c r="AA1173" s="23"/>
      <c r="AB1173" s="23"/>
    </row>
    <row r="1174" spans="1:28" ht="14.25" customHeight="1" x14ac:dyDescent="0.35">
      <c r="A1174" s="12">
        <v>301749</v>
      </c>
      <c r="B1174" s="59" t="str">
        <f>IFERROR(VLOOKUP(Tabla1[[#This Row],[CODIGO]],INVENTARIO!A:B,2,0)," ")</f>
        <v>Tubería PE80 025mm Rollo</v>
      </c>
      <c r="C1174" s="12">
        <v>2</v>
      </c>
      <c r="D1174" s="13"/>
      <c r="E1174" s="12">
        <v>896</v>
      </c>
      <c r="F1174" s="14">
        <v>46050</v>
      </c>
      <c r="G1174" s="34"/>
      <c r="H1174" s="34" t="s">
        <v>267</v>
      </c>
      <c r="I1174" s="34"/>
      <c r="J1174" s="9">
        <v>901816195</v>
      </c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  <c r="AA1174" s="23"/>
      <c r="AB1174" s="23"/>
    </row>
    <row r="1175" spans="1:28" ht="14.25" customHeight="1" x14ac:dyDescent="0.35">
      <c r="A1175" s="12">
        <v>301099</v>
      </c>
      <c r="B1175" s="59" t="str">
        <f>IFERROR(VLOOKUP(Tabla1[[#This Row],[CODIGO]],INVENTARIO!A:B,2,0)," ")</f>
        <v>Válvula PE100 Dn 25mm</v>
      </c>
      <c r="C1175" s="12">
        <v>1</v>
      </c>
      <c r="D1175" s="13"/>
      <c r="E1175" s="12">
        <v>896</v>
      </c>
      <c r="F1175" s="14">
        <v>46050</v>
      </c>
      <c r="G1175" s="34"/>
      <c r="H1175" s="34" t="s">
        <v>267</v>
      </c>
      <c r="I1175" s="34" t="s">
        <v>311</v>
      </c>
      <c r="J1175" s="9">
        <v>901816195</v>
      </c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  <c r="AA1175" s="23"/>
      <c r="AB1175" s="23"/>
    </row>
    <row r="1176" spans="1:28" ht="14.25" customHeight="1" x14ac:dyDescent="0.35">
      <c r="A1176" s="12">
        <v>2006391</v>
      </c>
      <c r="B1176" s="59" t="str">
        <f>IFERROR(VLOOKUP(Tabla1[[#This Row],[CODIGO]],INVENTARIO!A:B,2,0)," ")</f>
        <v>Guardallave Fierro Fundido C/Tapa</v>
      </c>
      <c r="C1176" s="12">
        <v>1</v>
      </c>
      <c r="D1176" s="13"/>
      <c r="E1176" s="12">
        <v>896</v>
      </c>
      <c r="F1176" s="14">
        <v>46050</v>
      </c>
      <c r="G1176" s="34"/>
      <c r="H1176" s="34" t="s">
        <v>267</v>
      </c>
      <c r="I1176" s="34"/>
      <c r="J1176" s="9">
        <v>901816195</v>
      </c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  <c r="AA1176" s="23"/>
      <c r="AB1176" s="23"/>
    </row>
    <row r="1177" spans="1:28" ht="14.25" customHeight="1" x14ac:dyDescent="0.35">
      <c r="A1177" s="12">
        <v>301329</v>
      </c>
      <c r="B1177" s="59" t="str">
        <f>IFERROR(VLOOKUP(Tabla1[[#This Row],[CODIGO]],INVENTARIO!A:B,2,0)," ")</f>
        <v>Copla PE100 025mm EF</v>
      </c>
      <c r="C1177" s="12">
        <v>4</v>
      </c>
      <c r="D1177" s="13"/>
      <c r="E1177" s="12">
        <v>896</v>
      </c>
      <c r="F1177" s="14">
        <v>46050</v>
      </c>
      <c r="G1177" s="34"/>
      <c r="H1177" s="34" t="s">
        <v>267</v>
      </c>
      <c r="I1177" s="34"/>
      <c r="J1177" s="9">
        <v>901816195</v>
      </c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  <c r="AA1177" s="23"/>
      <c r="AB1177" s="23"/>
    </row>
    <row r="1178" spans="1:28" ht="14.25" customHeight="1" x14ac:dyDescent="0.35">
      <c r="A1178" s="12">
        <v>302737</v>
      </c>
      <c r="B1178" s="59" t="str">
        <f>IFERROR(VLOOKUP(Tabla1[[#This Row],[CODIGO]],INVENTARIO!A:B,2,0)," ")</f>
        <v>Válvula Bola 3/4" Hi Un Cuerpo Pn5 Arco</v>
      </c>
      <c r="C1178" s="12">
        <v>1</v>
      </c>
      <c r="D1178" s="13"/>
      <c r="E1178" s="12">
        <v>896</v>
      </c>
      <c r="F1178" s="14">
        <v>46050</v>
      </c>
      <c r="G1178" s="34"/>
      <c r="H1178" s="34" t="s">
        <v>267</v>
      </c>
      <c r="I1178" s="34"/>
      <c r="J1178" s="9">
        <v>901816195</v>
      </c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  <c r="AA1178" s="23"/>
      <c r="AB1178" s="23"/>
    </row>
    <row r="1179" spans="1:28" ht="14.25" customHeight="1" x14ac:dyDescent="0.35">
      <c r="A1179" s="12">
        <v>300109</v>
      </c>
      <c r="B1179" s="59" t="str">
        <f>IFERROR(VLOOKUP(Tabla1[[#This Row],[CODIGO]],INVENTARIO!A:B,2,0)," ")</f>
        <v>Risers de Acero 3/4" Bsp x 25 mm</v>
      </c>
      <c r="C1179" s="12">
        <v>1</v>
      </c>
      <c r="D1179" s="13"/>
      <c r="E1179" s="12">
        <v>896</v>
      </c>
      <c r="F1179" s="14">
        <v>46050</v>
      </c>
      <c r="G1179" s="34"/>
      <c r="H1179" s="34" t="s">
        <v>267</v>
      </c>
      <c r="I1179" s="34"/>
      <c r="J1179" s="9">
        <v>901816195</v>
      </c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  <c r="AA1179" s="23"/>
      <c r="AB1179" s="23"/>
    </row>
    <row r="1180" spans="1:28" ht="14.25" customHeight="1" x14ac:dyDescent="0.35">
      <c r="A1180" s="12">
        <v>2003911</v>
      </c>
      <c r="B1180" s="59" t="str">
        <f>IFERROR(VLOOKUP(Tabla1[[#This Row],[CODIGO]],INVENTARIO!A:B,2,0)," ")</f>
        <v>Válvula EFv PE 25 mm Para Tap. Tee</v>
      </c>
      <c r="C1180" s="12">
        <v>1</v>
      </c>
      <c r="D1180" s="13"/>
      <c r="E1180" s="12">
        <v>896</v>
      </c>
      <c r="F1180" s="14">
        <v>46050</v>
      </c>
      <c r="G1180" s="34"/>
      <c r="H1180" s="34" t="s">
        <v>267</v>
      </c>
      <c r="I1180" s="34"/>
      <c r="J1180" s="9">
        <v>901816195</v>
      </c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  <c r="AA1180" s="23"/>
      <c r="AB1180" s="23"/>
    </row>
    <row r="1181" spans="1:28" ht="14.25" customHeight="1" x14ac:dyDescent="0.35">
      <c r="A1181" s="12">
        <v>2008481</v>
      </c>
      <c r="B1181" s="59" t="str">
        <f>IFERROR(VLOOKUP(Tabla1[[#This Row],[CODIGO]],INVENTARIO!A:B,2,0)," ")</f>
        <v>Tapa Tornillo Bronce 3/4" HE Bspt.</v>
      </c>
      <c r="C1181" s="12">
        <v>1</v>
      </c>
      <c r="D1181" s="13"/>
      <c r="E1181" s="12">
        <v>896</v>
      </c>
      <c r="F1181" s="14">
        <v>46050</v>
      </c>
      <c r="G1181" s="34"/>
      <c r="H1181" s="34" t="s">
        <v>267</v>
      </c>
      <c r="I1181" s="34"/>
      <c r="J1181" s="9">
        <v>901816195</v>
      </c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  <c r="AA1181" s="23"/>
      <c r="AB1181" s="23"/>
    </row>
    <row r="1182" spans="1:28" ht="14.25" customHeight="1" x14ac:dyDescent="0.35">
      <c r="A1182" s="12">
        <v>303368</v>
      </c>
      <c r="B1182" s="59" t="str">
        <f>IFERROR(VLOOKUP(Tabla1[[#This Row],[CODIGO]],INVENTARIO!A:B,2,0)," ")</f>
        <v>Cinta Plástica "Línea GN", 30 x 0.1</v>
      </c>
      <c r="C1182" s="12">
        <v>2</v>
      </c>
      <c r="D1182" s="13"/>
      <c r="E1182" s="12">
        <v>896</v>
      </c>
      <c r="F1182" s="14">
        <v>46050</v>
      </c>
      <c r="G1182" s="34"/>
      <c r="H1182" s="34" t="s">
        <v>267</v>
      </c>
      <c r="I1182" s="34"/>
      <c r="J1182" s="9">
        <v>901816195</v>
      </c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  <c r="AA1182" s="23"/>
      <c r="AB1182" s="23"/>
    </row>
    <row r="1183" spans="1:28" ht="14.25" customHeight="1" x14ac:dyDescent="0.35">
      <c r="A1183" s="12">
        <v>1002167</v>
      </c>
      <c r="B1183" s="59" t="str">
        <f>IFERROR(VLOOKUP(Tabla1[[#This Row],[CODIGO]],INVENTARIO!A:B,2,0)," ")</f>
        <v>Cable Trazador Cu 14 AWG Aisl. THW Roj</v>
      </c>
      <c r="C1183" s="12">
        <v>2</v>
      </c>
      <c r="D1183" s="13"/>
      <c r="E1183" s="12">
        <v>896</v>
      </c>
      <c r="F1183" s="14">
        <v>46050</v>
      </c>
      <c r="G1183" s="34"/>
      <c r="H1183" s="34" t="s">
        <v>267</v>
      </c>
      <c r="I1183" s="34"/>
      <c r="J1183" s="9">
        <v>901816195</v>
      </c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  <c r="AA1183" s="23"/>
      <c r="AB1183" s="23"/>
    </row>
    <row r="1184" spans="1:28" ht="14.25" customHeight="1" x14ac:dyDescent="0.35">
      <c r="A1184" s="12">
        <v>2007948</v>
      </c>
      <c r="B1184" s="59" t="str">
        <f>IFERROR(VLOOKUP(Tabla1[[#This Row],[CODIGO]],INVENTARIO!A:B,2,0)," ")</f>
        <v>Tubo PVC Hidraulico 110 mm Pn6 Celeste</v>
      </c>
      <c r="C1184" s="12">
        <v>1</v>
      </c>
      <c r="D1184" s="13"/>
      <c r="E1184" s="12">
        <v>896</v>
      </c>
      <c r="F1184" s="14">
        <v>46050</v>
      </c>
      <c r="G1184" s="34"/>
      <c r="H1184" s="34" t="s">
        <v>267</v>
      </c>
      <c r="I1184" s="34"/>
      <c r="J1184" s="9">
        <v>901816195</v>
      </c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  <c r="AA1184" s="23"/>
      <c r="AB1184" s="23"/>
    </row>
    <row r="1185" spans="1:28" ht="14.25" customHeight="1" x14ac:dyDescent="0.35">
      <c r="A1185" s="12">
        <v>101624</v>
      </c>
      <c r="B1185" s="59" t="str">
        <f>IFERROR(VLOOKUP(Tabla1[[#This Row],[CODIGO]],INVENTARIO!A:B,2,0)," ")</f>
        <v>Tapping Tee PE 50-25 mm</v>
      </c>
      <c r="C1185" s="12">
        <v>1</v>
      </c>
      <c r="D1185" s="13"/>
      <c r="E1185" s="12">
        <v>897</v>
      </c>
      <c r="F1185" s="14">
        <v>46050</v>
      </c>
      <c r="G1185" s="34"/>
      <c r="H1185" s="34" t="s">
        <v>267</v>
      </c>
      <c r="I1185" s="34"/>
      <c r="J1185" s="9">
        <v>500054633</v>
      </c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  <c r="AA1185" s="23"/>
      <c r="AB1185" s="23"/>
    </row>
    <row r="1186" spans="1:28" ht="14.25" customHeight="1" x14ac:dyDescent="0.35">
      <c r="A1186" s="12">
        <v>301749</v>
      </c>
      <c r="B1186" s="59" t="str">
        <f>IFERROR(VLOOKUP(Tabla1[[#This Row],[CODIGO]],INVENTARIO!A:B,2,0)," ")</f>
        <v>Tubería PE80 025mm Rollo</v>
      </c>
      <c r="C1186" s="12">
        <v>3</v>
      </c>
      <c r="D1186" s="13"/>
      <c r="E1186" s="12">
        <v>897</v>
      </c>
      <c r="F1186" s="14">
        <v>46050</v>
      </c>
      <c r="G1186" s="34"/>
      <c r="H1186" s="34" t="s">
        <v>267</v>
      </c>
      <c r="I1186" s="34"/>
      <c r="J1186" s="9">
        <v>500054633</v>
      </c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  <c r="AA1186" s="23"/>
      <c r="AB1186" s="23"/>
    </row>
    <row r="1187" spans="1:28" ht="14.25" customHeight="1" x14ac:dyDescent="0.35">
      <c r="A1187" s="12">
        <v>301099</v>
      </c>
      <c r="B1187" s="59" t="str">
        <f>IFERROR(VLOOKUP(Tabla1[[#This Row],[CODIGO]],INVENTARIO!A:B,2,0)," ")</f>
        <v>Válvula PE100 Dn 25mm</v>
      </c>
      <c r="C1187" s="12">
        <v>1</v>
      </c>
      <c r="D1187" s="13"/>
      <c r="E1187" s="12">
        <v>897</v>
      </c>
      <c r="F1187" s="14">
        <v>46050</v>
      </c>
      <c r="G1187" s="34"/>
      <c r="H1187" s="34" t="s">
        <v>267</v>
      </c>
      <c r="I1187" s="34" t="s">
        <v>311</v>
      </c>
      <c r="J1187" s="9">
        <v>500054633</v>
      </c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  <c r="AA1187" s="23"/>
      <c r="AB1187" s="23"/>
    </row>
    <row r="1188" spans="1:28" ht="14.25" customHeight="1" x14ac:dyDescent="0.35">
      <c r="A1188" s="12">
        <v>2006391</v>
      </c>
      <c r="B1188" s="59" t="str">
        <f>IFERROR(VLOOKUP(Tabla1[[#This Row],[CODIGO]],INVENTARIO!A:B,2,0)," ")</f>
        <v>Guardallave Fierro Fundido C/Tapa</v>
      </c>
      <c r="C1188" s="12">
        <v>1</v>
      </c>
      <c r="D1188" s="13"/>
      <c r="E1188" s="12">
        <v>897</v>
      </c>
      <c r="F1188" s="14">
        <v>46050</v>
      </c>
      <c r="G1188" s="34"/>
      <c r="H1188" s="34" t="s">
        <v>267</v>
      </c>
      <c r="I1188" s="34"/>
      <c r="J1188" s="9">
        <v>500054633</v>
      </c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  <c r="AA1188" s="23"/>
      <c r="AB1188" s="23"/>
    </row>
    <row r="1189" spans="1:28" ht="14.25" customHeight="1" x14ac:dyDescent="0.35">
      <c r="A1189" s="12">
        <v>301329</v>
      </c>
      <c r="B1189" s="59" t="str">
        <f>IFERROR(VLOOKUP(Tabla1[[#This Row],[CODIGO]],INVENTARIO!A:B,2,0)," ")</f>
        <v>Copla PE100 025mm EF</v>
      </c>
      <c r="C1189" s="12">
        <v>4</v>
      </c>
      <c r="D1189" s="13"/>
      <c r="E1189" s="12">
        <v>897</v>
      </c>
      <c r="F1189" s="14">
        <v>46050</v>
      </c>
      <c r="G1189" s="34"/>
      <c r="H1189" s="34" t="s">
        <v>267</v>
      </c>
      <c r="I1189" s="34"/>
      <c r="J1189" s="9">
        <v>500054633</v>
      </c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  <c r="AA1189" s="23"/>
      <c r="AB1189" s="23"/>
    </row>
    <row r="1190" spans="1:28" ht="14.25" customHeight="1" x14ac:dyDescent="0.35">
      <c r="A1190" s="12">
        <v>302737</v>
      </c>
      <c r="B1190" s="59" t="str">
        <f>IFERROR(VLOOKUP(Tabla1[[#This Row],[CODIGO]],INVENTARIO!A:B,2,0)," ")</f>
        <v>Válvula Bola 3/4" Hi Un Cuerpo Pn5 Arco</v>
      </c>
      <c r="C1190" s="12">
        <v>1</v>
      </c>
      <c r="D1190" s="13"/>
      <c r="E1190" s="12">
        <v>897</v>
      </c>
      <c r="F1190" s="14">
        <v>46050</v>
      </c>
      <c r="G1190" s="34"/>
      <c r="H1190" s="34" t="s">
        <v>267</v>
      </c>
      <c r="I1190" s="34"/>
      <c r="J1190" s="9">
        <v>500054633</v>
      </c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  <c r="AA1190" s="23"/>
      <c r="AB1190" s="23"/>
    </row>
    <row r="1191" spans="1:28" ht="14.25" customHeight="1" x14ac:dyDescent="0.35">
      <c r="A1191" s="12">
        <v>300109</v>
      </c>
      <c r="B1191" s="59" t="str">
        <f>IFERROR(VLOOKUP(Tabla1[[#This Row],[CODIGO]],INVENTARIO!A:B,2,0)," ")</f>
        <v>Risers de Acero 3/4" Bsp x 25 mm</v>
      </c>
      <c r="C1191" s="12">
        <v>1</v>
      </c>
      <c r="D1191" s="13"/>
      <c r="E1191" s="12">
        <v>897</v>
      </c>
      <c r="F1191" s="14">
        <v>46050</v>
      </c>
      <c r="G1191" s="34"/>
      <c r="H1191" s="34" t="s">
        <v>267</v>
      </c>
      <c r="I1191" s="34"/>
      <c r="J1191" s="9">
        <v>500054633</v>
      </c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  <c r="AA1191" s="23"/>
      <c r="AB1191" s="23"/>
    </row>
    <row r="1192" spans="1:28" ht="14.25" customHeight="1" x14ac:dyDescent="0.35">
      <c r="A1192" s="12">
        <v>2003911</v>
      </c>
      <c r="B1192" s="59" t="str">
        <f>IFERROR(VLOOKUP(Tabla1[[#This Row],[CODIGO]],INVENTARIO!A:B,2,0)," ")</f>
        <v>Válvula EFv PE 25 mm Para Tap. Tee</v>
      </c>
      <c r="C1192" s="12">
        <v>1</v>
      </c>
      <c r="D1192" s="13"/>
      <c r="E1192" s="12">
        <v>897</v>
      </c>
      <c r="F1192" s="14">
        <v>46050</v>
      </c>
      <c r="G1192" s="34"/>
      <c r="H1192" s="34" t="s">
        <v>267</v>
      </c>
      <c r="I1192" s="34"/>
      <c r="J1192" s="9">
        <v>500054633</v>
      </c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  <c r="AA1192" s="23"/>
      <c r="AB1192" s="23"/>
    </row>
    <row r="1193" spans="1:28" ht="14.25" customHeight="1" x14ac:dyDescent="0.35">
      <c r="A1193" s="12">
        <v>2008481</v>
      </c>
      <c r="B1193" s="59" t="str">
        <f>IFERROR(VLOOKUP(Tabla1[[#This Row],[CODIGO]],INVENTARIO!A:B,2,0)," ")</f>
        <v>Tapa Tornillo Bronce 3/4" HE Bspt.</v>
      </c>
      <c r="C1193" s="12">
        <v>1</v>
      </c>
      <c r="D1193" s="13"/>
      <c r="E1193" s="12">
        <v>897</v>
      </c>
      <c r="F1193" s="14">
        <v>46050</v>
      </c>
      <c r="G1193" s="34"/>
      <c r="H1193" s="34" t="s">
        <v>267</v>
      </c>
      <c r="I1193" s="34"/>
      <c r="J1193" s="9">
        <v>500054633</v>
      </c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  <c r="AA1193" s="23"/>
      <c r="AB1193" s="23"/>
    </row>
    <row r="1194" spans="1:28" ht="14.25" customHeight="1" x14ac:dyDescent="0.35">
      <c r="A1194" s="12">
        <v>303368</v>
      </c>
      <c r="B1194" s="59" t="str">
        <f>IFERROR(VLOOKUP(Tabla1[[#This Row],[CODIGO]],INVENTARIO!A:B,2,0)," ")</f>
        <v>Cinta Plástica "Línea GN", 30 x 0.1</v>
      </c>
      <c r="C1194" s="12">
        <v>3</v>
      </c>
      <c r="D1194" s="13"/>
      <c r="E1194" s="12">
        <v>897</v>
      </c>
      <c r="F1194" s="14">
        <v>46050</v>
      </c>
      <c r="G1194" s="34"/>
      <c r="H1194" s="34" t="s">
        <v>267</v>
      </c>
      <c r="I1194" s="34"/>
      <c r="J1194" s="9">
        <v>500054633</v>
      </c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  <c r="AA1194" s="23"/>
      <c r="AB1194" s="23"/>
    </row>
    <row r="1195" spans="1:28" ht="14.25" customHeight="1" x14ac:dyDescent="0.35">
      <c r="A1195" s="12">
        <v>1002167</v>
      </c>
      <c r="B1195" s="59" t="str">
        <f>IFERROR(VLOOKUP(Tabla1[[#This Row],[CODIGO]],INVENTARIO!A:B,2,0)," ")</f>
        <v>Cable Trazador Cu 14 AWG Aisl. THW Roj</v>
      </c>
      <c r="C1195" s="12">
        <v>3</v>
      </c>
      <c r="D1195" s="13"/>
      <c r="E1195" s="12">
        <v>897</v>
      </c>
      <c r="F1195" s="14">
        <v>46050</v>
      </c>
      <c r="G1195" s="34"/>
      <c r="H1195" s="34" t="s">
        <v>267</v>
      </c>
      <c r="I1195" s="34"/>
      <c r="J1195" s="9">
        <v>500054633</v>
      </c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  <c r="AA1195" s="23"/>
      <c r="AB1195" s="23"/>
    </row>
    <row r="1196" spans="1:28" ht="14.25" customHeight="1" x14ac:dyDescent="0.35">
      <c r="A1196" s="12">
        <v>2007948</v>
      </c>
      <c r="B1196" s="59" t="str">
        <f>IFERROR(VLOOKUP(Tabla1[[#This Row],[CODIGO]],INVENTARIO!A:B,2,0)," ")</f>
        <v>Tubo PVC Hidraulico 110 mm Pn6 Celeste</v>
      </c>
      <c r="C1196" s="12">
        <v>1</v>
      </c>
      <c r="D1196" s="13"/>
      <c r="E1196" s="12">
        <v>897</v>
      </c>
      <c r="F1196" s="14">
        <v>46050</v>
      </c>
      <c r="G1196" s="34"/>
      <c r="H1196" s="34" t="s">
        <v>267</v>
      </c>
      <c r="I1196" s="34"/>
      <c r="J1196" s="9">
        <v>500054633</v>
      </c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  <c r="AA1196" s="23"/>
      <c r="AB1196" s="23"/>
    </row>
    <row r="1197" spans="1:28" ht="14.25" customHeight="1" x14ac:dyDescent="0.35">
      <c r="A1197" s="12">
        <v>101624</v>
      </c>
      <c r="B1197" s="59" t="str">
        <f>IFERROR(VLOOKUP(Tabla1[[#This Row],[CODIGO]],INVENTARIO!A:B,2,0)," ")</f>
        <v>Tapping Tee PE 50-25 mm</v>
      </c>
      <c r="C1197" s="12">
        <v>1</v>
      </c>
      <c r="D1197" s="13"/>
      <c r="E1197" s="9">
        <v>898</v>
      </c>
      <c r="F1197" s="14">
        <v>46050</v>
      </c>
      <c r="G1197" s="34"/>
      <c r="H1197" s="34" t="s">
        <v>267</v>
      </c>
      <c r="I1197" s="34"/>
      <c r="J1197" s="9">
        <v>500055461</v>
      </c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  <c r="AA1197" s="23"/>
      <c r="AB1197" s="23"/>
    </row>
    <row r="1198" spans="1:28" ht="14.25" customHeight="1" x14ac:dyDescent="0.35">
      <c r="A1198" s="12">
        <v>301749</v>
      </c>
      <c r="B1198" s="59" t="str">
        <f>IFERROR(VLOOKUP(Tabla1[[#This Row],[CODIGO]],INVENTARIO!A:B,2,0)," ")</f>
        <v>Tubería PE80 025mm Rollo</v>
      </c>
      <c r="C1198" s="12">
        <v>2</v>
      </c>
      <c r="D1198" s="13"/>
      <c r="E1198" s="9">
        <v>898</v>
      </c>
      <c r="F1198" s="14">
        <v>46050</v>
      </c>
      <c r="G1198" s="34"/>
      <c r="H1198" s="34" t="s">
        <v>267</v>
      </c>
      <c r="I1198" s="34"/>
      <c r="J1198" s="9">
        <v>500055461</v>
      </c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  <c r="AA1198" s="23"/>
      <c r="AB1198" s="23"/>
    </row>
    <row r="1199" spans="1:28" ht="14.25" customHeight="1" x14ac:dyDescent="0.35">
      <c r="A1199" s="12">
        <v>301099</v>
      </c>
      <c r="B1199" s="59" t="str">
        <f>IFERROR(VLOOKUP(Tabla1[[#This Row],[CODIGO]],INVENTARIO!A:B,2,0)," ")</f>
        <v>Válvula PE100 Dn 25mm</v>
      </c>
      <c r="C1199" s="12">
        <v>1</v>
      </c>
      <c r="D1199" s="13"/>
      <c r="E1199" s="9">
        <v>898</v>
      </c>
      <c r="F1199" s="14">
        <v>46050</v>
      </c>
      <c r="G1199" s="34"/>
      <c r="H1199" s="34" t="s">
        <v>267</v>
      </c>
      <c r="I1199" s="34" t="s">
        <v>311</v>
      </c>
      <c r="J1199" s="9">
        <v>500055461</v>
      </c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  <c r="AA1199" s="23"/>
      <c r="AB1199" s="23"/>
    </row>
    <row r="1200" spans="1:28" ht="14.25" customHeight="1" x14ac:dyDescent="0.35">
      <c r="A1200" s="12">
        <v>2006391</v>
      </c>
      <c r="B1200" s="59" t="str">
        <f>IFERROR(VLOOKUP(Tabla1[[#This Row],[CODIGO]],INVENTARIO!A:B,2,0)," ")</f>
        <v>Guardallave Fierro Fundido C/Tapa</v>
      </c>
      <c r="C1200" s="12">
        <v>1</v>
      </c>
      <c r="D1200" s="13"/>
      <c r="E1200" s="9">
        <v>898</v>
      </c>
      <c r="F1200" s="14">
        <v>46050</v>
      </c>
      <c r="G1200" s="34"/>
      <c r="H1200" s="34" t="s">
        <v>267</v>
      </c>
      <c r="I1200" s="34"/>
      <c r="J1200" s="9">
        <v>500055461</v>
      </c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  <c r="AA1200" s="23"/>
      <c r="AB1200" s="23"/>
    </row>
    <row r="1201" spans="1:28" ht="14.25" customHeight="1" x14ac:dyDescent="0.35">
      <c r="A1201" s="12">
        <v>301329</v>
      </c>
      <c r="B1201" s="59" t="str">
        <f>IFERROR(VLOOKUP(Tabla1[[#This Row],[CODIGO]],INVENTARIO!A:B,2,0)," ")</f>
        <v>Copla PE100 025mm EF</v>
      </c>
      <c r="C1201" s="12">
        <v>4</v>
      </c>
      <c r="D1201" s="13"/>
      <c r="E1201" s="9">
        <v>898</v>
      </c>
      <c r="F1201" s="14">
        <v>46050</v>
      </c>
      <c r="G1201" s="34"/>
      <c r="H1201" s="34" t="s">
        <v>267</v>
      </c>
      <c r="I1201" s="34"/>
      <c r="J1201" s="9">
        <v>500055461</v>
      </c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  <c r="AA1201" s="23"/>
      <c r="AB1201" s="23"/>
    </row>
    <row r="1202" spans="1:28" ht="14.25" customHeight="1" x14ac:dyDescent="0.35">
      <c r="A1202" s="12">
        <v>302737</v>
      </c>
      <c r="B1202" s="59" t="str">
        <f>IFERROR(VLOOKUP(Tabla1[[#This Row],[CODIGO]],INVENTARIO!A:B,2,0)," ")</f>
        <v>Válvula Bola 3/4" Hi Un Cuerpo Pn5 Arco</v>
      </c>
      <c r="C1202" s="12">
        <v>1</v>
      </c>
      <c r="D1202" s="13"/>
      <c r="E1202" s="9">
        <v>898</v>
      </c>
      <c r="F1202" s="14">
        <v>46050</v>
      </c>
      <c r="G1202" s="34"/>
      <c r="H1202" s="34" t="s">
        <v>267</v>
      </c>
      <c r="I1202" s="34"/>
      <c r="J1202" s="9">
        <v>500055461</v>
      </c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  <c r="AA1202" s="23"/>
      <c r="AB1202" s="23"/>
    </row>
    <row r="1203" spans="1:28" ht="14.25" customHeight="1" x14ac:dyDescent="0.35">
      <c r="A1203" s="12">
        <v>300109</v>
      </c>
      <c r="B1203" s="59" t="str">
        <f>IFERROR(VLOOKUP(Tabla1[[#This Row],[CODIGO]],INVENTARIO!A:B,2,0)," ")</f>
        <v>Risers de Acero 3/4" Bsp x 25 mm</v>
      </c>
      <c r="C1203" s="12">
        <v>1</v>
      </c>
      <c r="D1203" s="13"/>
      <c r="E1203" s="9">
        <v>898</v>
      </c>
      <c r="F1203" s="14">
        <v>46050</v>
      </c>
      <c r="G1203" s="34"/>
      <c r="H1203" s="34" t="s">
        <v>267</v>
      </c>
      <c r="I1203" s="34"/>
      <c r="J1203" s="9">
        <v>500055461</v>
      </c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  <c r="AA1203" s="23"/>
      <c r="AB1203" s="23"/>
    </row>
    <row r="1204" spans="1:28" ht="14.25" customHeight="1" x14ac:dyDescent="0.35">
      <c r="A1204" s="12">
        <v>2003911</v>
      </c>
      <c r="B1204" s="59" t="str">
        <f>IFERROR(VLOOKUP(Tabla1[[#This Row],[CODIGO]],INVENTARIO!A:B,2,0)," ")</f>
        <v>Válvula EFv PE 25 mm Para Tap. Tee</v>
      </c>
      <c r="C1204" s="12">
        <v>1</v>
      </c>
      <c r="D1204" s="13"/>
      <c r="E1204" s="9">
        <v>898</v>
      </c>
      <c r="F1204" s="14">
        <v>46050</v>
      </c>
      <c r="G1204" s="34"/>
      <c r="H1204" s="34" t="s">
        <v>267</v>
      </c>
      <c r="I1204" s="34"/>
      <c r="J1204" s="9">
        <v>500055461</v>
      </c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  <c r="AA1204" s="23"/>
      <c r="AB1204" s="23"/>
    </row>
    <row r="1205" spans="1:28" ht="14.25" customHeight="1" x14ac:dyDescent="0.35">
      <c r="A1205" s="12">
        <v>2008481</v>
      </c>
      <c r="B1205" s="59" t="str">
        <f>IFERROR(VLOOKUP(Tabla1[[#This Row],[CODIGO]],INVENTARIO!A:B,2,0)," ")</f>
        <v>Tapa Tornillo Bronce 3/4" HE Bspt.</v>
      </c>
      <c r="C1205" s="12">
        <v>1</v>
      </c>
      <c r="D1205" s="13"/>
      <c r="E1205" s="9">
        <v>898</v>
      </c>
      <c r="F1205" s="14">
        <v>46050</v>
      </c>
      <c r="G1205" s="34"/>
      <c r="H1205" s="34" t="s">
        <v>267</v>
      </c>
      <c r="I1205" s="34"/>
      <c r="J1205" s="9">
        <v>500055461</v>
      </c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  <c r="AA1205" s="23"/>
      <c r="AB1205" s="23"/>
    </row>
    <row r="1206" spans="1:28" ht="14.25" customHeight="1" x14ac:dyDescent="0.35">
      <c r="A1206" s="12">
        <v>303368</v>
      </c>
      <c r="B1206" s="59" t="str">
        <f>IFERROR(VLOOKUP(Tabla1[[#This Row],[CODIGO]],INVENTARIO!A:B,2,0)," ")</f>
        <v>Cinta Plástica "Línea GN", 30 x 0.1</v>
      </c>
      <c r="C1206" s="12">
        <v>2</v>
      </c>
      <c r="D1206" s="13"/>
      <c r="E1206" s="9">
        <v>898</v>
      </c>
      <c r="F1206" s="14">
        <v>46050</v>
      </c>
      <c r="G1206" s="34"/>
      <c r="H1206" s="34" t="s">
        <v>267</v>
      </c>
      <c r="I1206" s="34"/>
      <c r="J1206" s="9">
        <v>500055461</v>
      </c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  <c r="AA1206" s="23"/>
      <c r="AB1206" s="23"/>
    </row>
    <row r="1207" spans="1:28" ht="14.25" customHeight="1" x14ac:dyDescent="0.35">
      <c r="A1207" s="12">
        <v>1002167</v>
      </c>
      <c r="B1207" s="59" t="str">
        <f>IFERROR(VLOOKUP(Tabla1[[#This Row],[CODIGO]],INVENTARIO!A:B,2,0)," ")</f>
        <v>Cable Trazador Cu 14 AWG Aisl. THW Roj</v>
      </c>
      <c r="C1207" s="12">
        <v>2</v>
      </c>
      <c r="D1207" s="13"/>
      <c r="E1207" s="9">
        <v>898</v>
      </c>
      <c r="F1207" s="14">
        <v>46050</v>
      </c>
      <c r="G1207" s="34"/>
      <c r="H1207" s="34" t="s">
        <v>267</v>
      </c>
      <c r="I1207" s="34"/>
      <c r="J1207" s="9">
        <v>500055461</v>
      </c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  <c r="AA1207" s="23"/>
      <c r="AB1207" s="23"/>
    </row>
    <row r="1208" spans="1:28" ht="14.25" customHeight="1" x14ac:dyDescent="0.35">
      <c r="A1208" s="12">
        <v>2007948</v>
      </c>
      <c r="B1208" s="59" t="str">
        <f>IFERROR(VLOOKUP(Tabla1[[#This Row],[CODIGO]],INVENTARIO!A:B,2,0)," ")</f>
        <v>Tubo PVC Hidraulico 110 mm Pn6 Celeste</v>
      </c>
      <c r="C1208" s="12">
        <v>1</v>
      </c>
      <c r="D1208" s="13"/>
      <c r="E1208" s="9">
        <v>898</v>
      </c>
      <c r="F1208" s="14">
        <v>46050</v>
      </c>
      <c r="G1208" s="34"/>
      <c r="H1208" s="34" t="s">
        <v>267</v>
      </c>
      <c r="I1208" s="34"/>
      <c r="J1208" s="9">
        <v>500055461</v>
      </c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  <c r="AA1208" s="23"/>
      <c r="AB1208" s="23"/>
    </row>
    <row r="1209" spans="1:28" ht="14.25" customHeight="1" x14ac:dyDescent="0.35">
      <c r="A1209" s="12">
        <v>302659</v>
      </c>
      <c r="B1209" s="59" t="str">
        <f>IFERROR(VLOOKUP(Tabla1[[#This Row],[CODIGO]],INVENTARIO!A:B,2,0)," ")</f>
        <v>Copla PE100 063mm EF</v>
      </c>
      <c r="C1209" s="12">
        <v>4</v>
      </c>
      <c r="D1209" s="13"/>
      <c r="E1209" s="12">
        <v>845</v>
      </c>
      <c r="F1209" s="14">
        <v>46048</v>
      </c>
      <c r="G1209" s="34"/>
      <c r="H1209" s="34" t="s">
        <v>223</v>
      </c>
      <c r="I1209" s="34"/>
      <c r="J1209" s="9" t="s">
        <v>207</v>
      </c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  <c r="AA1209" s="23"/>
      <c r="AB1209" s="23"/>
    </row>
    <row r="1210" spans="1:28" ht="14.25" customHeight="1" x14ac:dyDescent="0.35">
      <c r="A1210" s="12">
        <v>303368</v>
      </c>
      <c r="B1210" s="59" t="str">
        <f>IFERROR(VLOOKUP(Tabla1[[#This Row],[CODIGO]],INVENTARIO!A:B,2,0)," ")</f>
        <v>Cinta Plástica "Línea GN", 30 x 0.1</v>
      </c>
      <c r="C1210" s="12">
        <v>100</v>
      </c>
      <c r="D1210" s="13"/>
      <c r="E1210" s="12">
        <v>894</v>
      </c>
      <c r="F1210" s="14">
        <v>46049</v>
      </c>
      <c r="G1210" s="34"/>
      <c r="H1210" s="34" t="s">
        <v>223</v>
      </c>
      <c r="I1210" s="34"/>
      <c r="J1210" s="9" t="s">
        <v>207</v>
      </c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  <c r="AA1210" s="23"/>
      <c r="AB1210" s="23"/>
    </row>
    <row r="1211" spans="1:28" ht="14.25" customHeight="1" x14ac:dyDescent="0.35">
      <c r="A1211" s="12">
        <v>1002167</v>
      </c>
      <c r="B1211" s="59" t="str">
        <f>IFERROR(VLOOKUP(Tabla1[[#This Row],[CODIGO]],INVENTARIO!A:B,2,0)," ")</f>
        <v>Cable Trazador Cu 14 AWG Aisl. THW Roj</v>
      </c>
      <c r="C1211" s="12">
        <v>100</v>
      </c>
      <c r="D1211" s="13"/>
      <c r="E1211" s="12">
        <v>894</v>
      </c>
      <c r="F1211" s="14">
        <v>46049</v>
      </c>
      <c r="G1211" s="34"/>
      <c r="H1211" s="34" t="s">
        <v>223</v>
      </c>
      <c r="I1211" s="34"/>
      <c r="J1211" s="9" t="s">
        <v>207</v>
      </c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  <c r="AA1211" s="23"/>
      <c r="AB1211" s="23"/>
    </row>
    <row r="1212" spans="1:28" ht="14.25" customHeight="1" x14ac:dyDescent="0.35">
      <c r="A1212" s="12">
        <v>2002262</v>
      </c>
      <c r="B1212" s="59" t="str">
        <f>IFERROR(VLOOKUP(Tabla1[[#This Row],[CODIGO]],INVENTARIO!A:B,2,0)," ")</f>
        <v>Tubería PE80 050mm Rollo</v>
      </c>
      <c r="C1212" s="12">
        <v>50</v>
      </c>
      <c r="D1212" s="13"/>
      <c r="E1212" s="12">
        <v>894</v>
      </c>
      <c r="F1212" s="14">
        <v>46049</v>
      </c>
      <c r="G1212" s="34"/>
      <c r="H1212" s="34" t="s">
        <v>223</v>
      </c>
      <c r="I1212" s="34"/>
      <c r="J1212" s="9" t="s">
        <v>207</v>
      </c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  <c r="AA1212" s="23"/>
      <c r="AB1212" s="23"/>
    </row>
    <row r="1213" spans="1:28" ht="14.25" customHeight="1" x14ac:dyDescent="0.35">
      <c r="A1213" s="12">
        <v>2002262</v>
      </c>
      <c r="B1213" s="59" t="str">
        <f>IFERROR(VLOOKUP(Tabla1[[#This Row],[CODIGO]],INVENTARIO!A:B,2,0)," ")</f>
        <v>Tubería PE80 050mm Rollo</v>
      </c>
      <c r="C1213" s="12">
        <v>50</v>
      </c>
      <c r="D1213" s="13"/>
      <c r="E1213" s="12">
        <v>203</v>
      </c>
      <c r="F1213" s="14">
        <v>46050</v>
      </c>
      <c r="G1213" s="34"/>
      <c r="H1213" s="34" t="s">
        <v>223</v>
      </c>
      <c r="I1213" s="34"/>
      <c r="J1213" s="9" t="s">
        <v>207</v>
      </c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  <c r="AA1213" s="23"/>
      <c r="AB1213" s="23"/>
    </row>
    <row r="1214" spans="1:28" ht="14.25" customHeight="1" x14ac:dyDescent="0.35">
      <c r="A1214" s="12">
        <v>101624</v>
      </c>
      <c r="B1214" s="59" t="str">
        <f>IFERROR(VLOOKUP(Tabla1[[#This Row],[CODIGO]],INVENTARIO!A:B,2,0)," ")</f>
        <v>Tapping Tee PE 50-25 mm</v>
      </c>
      <c r="C1214" s="12">
        <v>5</v>
      </c>
      <c r="D1214" s="13"/>
      <c r="E1214" s="12">
        <v>203</v>
      </c>
      <c r="F1214" s="14">
        <v>46050</v>
      </c>
      <c r="G1214" s="34"/>
      <c r="H1214" s="34" t="s">
        <v>223</v>
      </c>
      <c r="I1214" s="34"/>
      <c r="J1214" s="9" t="s">
        <v>207</v>
      </c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  <c r="AA1214" s="23"/>
      <c r="AB1214" s="23"/>
    </row>
    <row r="1215" spans="1:28" ht="14.25" customHeight="1" x14ac:dyDescent="0.35">
      <c r="A1215" s="12">
        <v>301099</v>
      </c>
      <c r="B1215" s="59" t="str">
        <f>IFERROR(VLOOKUP(Tabla1[[#This Row],[CODIGO]],INVENTARIO!A:B,2,0)," ")</f>
        <v>Válvula PE100 Dn 25mm</v>
      </c>
      <c r="C1215" s="12">
        <v>5</v>
      </c>
      <c r="D1215" s="13"/>
      <c r="E1215" s="12">
        <v>203</v>
      </c>
      <c r="F1215" s="14">
        <v>46050</v>
      </c>
      <c r="G1215" s="34"/>
      <c r="H1215" s="34" t="s">
        <v>223</v>
      </c>
      <c r="I1215" s="34" t="s">
        <v>311</v>
      </c>
      <c r="J1215" s="9" t="s">
        <v>207</v>
      </c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  <c r="AA1215" s="23"/>
      <c r="AB1215" s="23"/>
    </row>
    <row r="1216" spans="1:28" ht="14.25" customHeight="1" x14ac:dyDescent="0.35">
      <c r="A1216" s="12">
        <v>2003911</v>
      </c>
      <c r="B1216" s="59" t="str">
        <f>IFERROR(VLOOKUP(Tabla1[[#This Row],[CODIGO]],INVENTARIO!A:B,2,0)," ")</f>
        <v>Válvula EFv PE 25 mm Para Tap. Tee</v>
      </c>
      <c r="C1216" s="12">
        <v>5</v>
      </c>
      <c r="D1216" s="13"/>
      <c r="E1216" s="12">
        <v>203</v>
      </c>
      <c r="F1216" s="14">
        <v>46050</v>
      </c>
      <c r="G1216" s="34"/>
      <c r="H1216" s="34" t="s">
        <v>223</v>
      </c>
      <c r="I1216" s="34"/>
      <c r="J1216" s="9" t="s">
        <v>207</v>
      </c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  <c r="AA1216" s="23"/>
      <c r="AB1216" s="23"/>
    </row>
    <row r="1217" spans="1:28" ht="14.25" customHeight="1" x14ac:dyDescent="0.35">
      <c r="A1217" s="12">
        <v>301329</v>
      </c>
      <c r="B1217" s="59" t="str">
        <f>IFERROR(VLOOKUP(Tabla1[[#This Row],[CODIGO]],INVENTARIO!A:B,2,0)," ")</f>
        <v>Copla PE100 025mm EF</v>
      </c>
      <c r="C1217" s="12">
        <v>15</v>
      </c>
      <c r="D1217" s="13"/>
      <c r="E1217" s="12">
        <v>203</v>
      </c>
      <c r="F1217" s="14">
        <v>46050</v>
      </c>
      <c r="G1217" s="34"/>
      <c r="H1217" s="34" t="s">
        <v>223</v>
      </c>
      <c r="I1217" s="34"/>
      <c r="J1217" s="9" t="s">
        <v>207</v>
      </c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  <c r="AA1217" s="23"/>
      <c r="AB1217" s="23"/>
    </row>
    <row r="1218" spans="1:28" ht="14.25" customHeight="1" x14ac:dyDescent="0.35">
      <c r="A1218" s="12">
        <v>300109</v>
      </c>
      <c r="B1218" s="59" t="str">
        <f>IFERROR(VLOOKUP(Tabla1[[#This Row],[CODIGO]],INVENTARIO!A:B,2,0)," ")</f>
        <v>Risers de Acero 3/4" Bsp x 25 mm</v>
      </c>
      <c r="C1218" s="12">
        <v>5</v>
      </c>
      <c r="D1218" s="13"/>
      <c r="E1218" s="12">
        <v>203</v>
      </c>
      <c r="F1218" s="14">
        <v>46050</v>
      </c>
      <c r="G1218" s="34"/>
      <c r="H1218" s="34" t="s">
        <v>223</v>
      </c>
      <c r="I1218" s="34"/>
      <c r="J1218" s="9" t="s">
        <v>207</v>
      </c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  <c r="AA1218" s="23"/>
      <c r="AB1218" s="23"/>
    </row>
    <row r="1219" spans="1:28" ht="14.25" customHeight="1" x14ac:dyDescent="0.35">
      <c r="A1219" s="12">
        <v>302737</v>
      </c>
      <c r="B1219" s="59" t="str">
        <f>IFERROR(VLOOKUP(Tabla1[[#This Row],[CODIGO]],INVENTARIO!A:B,2,0)," ")</f>
        <v>Válvula Bola 3/4" Hi Un Cuerpo Pn5 Arco</v>
      </c>
      <c r="C1219" s="12">
        <v>5</v>
      </c>
      <c r="D1219" s="13"/>
      <c r="E1219" s="12">
        <v>203</v>
      </c>
      <c r="F1219" s="14">
        <v>46050</v>
      </c>
      <c r="G1219" s="34"/>
      <c r="H1219" s="34" t="s">
        <v>223</v>
      </c>
      <c r="I1219" s="34"/>
      <c r="J1219" s="9" t="s">
        <v>207</v>
      </c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  <c r="AA1219" s="23"/>
      <c r="AB1219" s="23"/>
    </row>
    <row r="1220" spans="1:28" ht="14.25" customHeight="1" x14ac:dyDescent="0.35">
      <c r="A1220" s="12">
        <v>302184</v>
      </c>
      <c r="B1220" s="59" t="str">
        <f>IFERROR(VLOOKUP(Tabla1[[#This Row],[CODIGO]],INVENTARIO!A:B,2,0)," ")</f>
        <v>Tapa Tornillo Cambio de Codigo por: 2008481</v>
      </c>
      <c r="C1220" s="12">
        <v>5</v>
      </c>
      <c r="D1220" s="13"/>
      <c r="E1220" s="12">
        <v>203</v>
      </c>
      <c r="F1220" s="14">
        <v>46050</v>
      </c>
      <c r="G1220" s="34"/>
      <c r="H1220" s="34" t="s">
        <v>223</v>
      </c>
      <c r="I1220" s="34"/>
      <c r="J1220" s="9" t="s">
        <v>207</v>
      </c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  <c r="AA1220" s="23"/>
      <c r="AB1220" s="23"/>
    </row>
    <row r="1221" spans="1:28" ht="14.25" customHeight="1" x14ac:dyDescent="0.35">
      <c r="A1221" s="12">
        <v>2007948</v>
      </c>
      <c r="B1221" s="59" t="str">
        <f>IFERROR(VLOOKUP(Tabla1[[#This Row],[CODIGO]],INVENTARIO!A:B,2,0)," ")</f>
        <v>Tubo PVC Hidraulico 110 mm Pn6 Celeste</v>
      </c>
      <c r="C1221" s="12">
        <v>5</v>
      </c>
      <c r="D1221" s="13"/>
      <c r="E1221" s="12">
        <v>203</v>
      </c>
      <c r="F1221" s="14">
        <v>46050</v>
      </c>
      <c r="G1221" s="34"/>
      <c r="H1221" s="34" t="s">
        <v>223</v>
      </c>
      <c r="I1221" s="34"/>
      <c r="J1221" s="9" t="s">
        <v>207</v>
      </c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  <c r="AA1221" s="23"/>
      <c r="AB1221" s="23"/>
    </row>
    <row r="1222" spans="1:28" ht="14.25" customHeight="1" x14ac:dyDescent="0.35">
      <c r="A1222" s="12">
        <v>2006391</v>
      </c>
      <c r="B1222" s="59" t="str">
        <f>IFERROR(VLOOKUP(Tabla1[[#This Row],[CODIGO]],INVENTARIO!A:B,2,0)," ")</f>
        <v>Guardallave Fierro Fundido C/Tapa</v>
      </c>
      <c r="C1222" s="12">
        <v>5</v>
      </c>
      <c r="D1222" s="13"/>
      <c r="E1222" s="12">
        <v>203</v>
      </c>
      <c r="F1222" s="14">
        <v>46050</v>
      </c>
      <c r="G1222" s="34"/>
      <c r="H1222" s="34" t="s">
        <v>223</v>
      </c>
      <c r="I1222" s="34"/>
      <c r="J1222" s="9" t="s">
        <v>207</v>
      </c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  <c r="AA1222" s="23"/>
      <c r="AB1222" s="23"/>
    </row>
    <row r="1223" spans="1:28" ht="14.25" customHeight="1" x14ac:dyDescent="0.35">
      <c r="A1223" s="12">
        <v>303510</v>
      </c>
      <c r="B1223" s="59" t="str">
        <f>IFERROR(VLOOKUP(Tabla1[[#This Row],[CODIGO]],INVENTARIO!A:B,2,0)," ")</f>
        <v>Guardallave Hormigón 125 mm con Tapa</v>
      </c>
      <c r="C1223" s="12">
        <v>4</v>
      </c>
      <c r="D1223" s="13"/>
      <c r="E1223" s="12">
        <v>203</v>
      </c>
      <c r="F1223" s="14">
        <v>46050</v>
      </c>
      <c r="G1223" s="34"/>
      <c r="H1223" s="34" t="s">
        <v>223</v>
      </c>
      <c r="I1223" s="34"/>
      <c r="J1223" s="9" t="s">
        <v>207</v>
      </c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  <c r="AA1223" s="23"/>
      <c r="AB1223" s="23"/>
    </row>
    <row r="1224" spans="1:28" ht="14.25" customHeight="1" x14ac:dyDescent="0.35">
      <c r="A1224" s="12">
        <v>301666</v>
      </c>
      <c r="B1224" s="59" t="str">
        <f>IFERROR(VLOOKUP(Tabla1[[#This Row],[CODIGO]],INVENTARIO!A:B,2,0)," ")</f>
        <v>Tapping Tee PE 110-25 mm</v>
      </c>
      <c r="C1224" s="12">
        <v>1</v>
      </c>
      <c r="D1224" s="13"/>
      <c r="E1224" s="12">
        <v>899</v>
      </c>
      <c r="F1224" s="14">
        <v>46050</v>
      </c>
      <c r="G1224" s="34"/>
      <c r="H1224" s="34" t="s">
        <v>267</v>
      </c>
      <c r="I1224" s="34"/>
      <c r="J1224" s="9">
        <v>901856429</v>
      </c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  <c r="AA1224" s="23"/>
      <c r="AB1224" s="23"/>
    </row>
    <row r="1225" spans="1:28" ht="14.25" customHeight="1" x14ac:dyDescent="0.35">
      <c r="A1225" s="12">
        <v>301749</v>
      </c>
      <c r="B1225" s="59" t="str">
        <f>IFERROR(VLOOKUP(Tabla1[[#This Row],[CODIGO]],INVENTARIO!A:B,2,0)," ")</f>
        <v>Tubería PE80 025mm Rollo</v>
      </c>
      <c r="C1225" s="12">
        <v>3</v>
      </c>
      <c r="D1225" s="13"/>
      <c r="E1225" s="12">
        <v>899</v>
      </c>
      <c r="F1225" s="14">
        <v>46050</v>
      </c>
      <c r="G1225" s="34"/>
      <c r="H1225" s="34" t="s">
        <v>267</v>
      </c>
      <c r="I1225" s="34"/>
      <c r="J1225" s="9">
        <v>901856429</v>
      </c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  <c r="AA1225" s="23"/>
      <c r="AB1225" s="23"/>
    </row>
    <row r="1226" spans="1:28" ht="14.25" customHeight="1" x14ac:dyDescent="0.35">
      <c r="A1226" s="12">
        <v>301099</v>
      </c>
      <c r="B1226" s="59" t="str">
        <f>IFERROR(VLOOKUP(Tabla1[[#This Row],[CODIGO]],INVENTARIO!A:B,2,0)," ")</f>
        <v>Válvula PE100 Dn 25mm</v>
      </c>
      <c r="C1226" s="12">
        <v>1</v>
      </c>
      <c r="D1226" s="13"/>
      <c r="E1226" s="12">
        <v>899</v>
      </c>
      <c r="F1226" s="14">
        <v>46050</v>
      </c>
      <c r="G1226" s="34"/>
      <c r="H1226" s="34" t="s">
        <v>267</v>
      </c>
      <c r="I1226" s="34" t="s">
        <v>311</v>
      </c>
      <c r="J1226" s="9">
        <v>901856429</v>
      </c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  <c r="AA1226" s="23"/>
      <c r="AB1226" s="23"/>
    </row>
    <row r="1227" spans="1:28" ht="14.25" customHeight="1" x14ac:dyDescent="0.35">
      <c r="A1227" s="12">
        <v>2006391</v>
      </c>
      <c r="B1227" s="59" t="str">
        <f>IFERROR(VLOOKUP(Tabla1[[#This Row],[CODIGO]],INVENTARIO!A:B,2,0)," ")</f>
        <v>Guardallave Fierro Fundido C/Tapa</v>
      </c>
      <c r="C1227" s="12">
        <v>1</v>
      </c>
      <c r="D1227" s="13"/>
      <c r="E1227" s="12">
        <v>899</v>
      </c>
      <c r="F1227" s="14">
        <v>46050</v>
      </c>
      <c r="G1227" s="34"/>
      <c r="H1227" s="34" t="s">
        <v>267</v>
      </c>
      <c r="I1227" s="34"/>
      <c r="J1227" s="9">
        <v>901856429</v>
      </c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  <c r="AA1227" s="23"/>
      <c r="AB1227" s="23"/>
    </row>
    <row r="1228" spans="1:28" ht="14.25" customHeight="1" x14ac:dyDescent="0.35">
      <c r="A1228" s="12">
        <v>301329</v>
      </c>
      <c r="B1228" s="59" t="str">
        <f>IFERROR(VLOOKUP(Tabla1[[#This Row],[CODIGO]],INVENTARIO!A:B,2,0)," ")</f>
        <v>Copla PE100 025mm EF</v>
      </c>
      <c r="C1228" s="12">
        <v>4</v>
      </c>
      <c r="D1228" s="13"/>
      <c r="E1228" s="12">
        <v>899</v>
      </c>
      <c r="F1228" s="14">
        <v>46050</v>
      </c>
      <c r="G1228" s="34"/>
      <c r="H1228" s="34" t="s">
        <v>267</v>
      </c>
      <c r="I1228" s="34"/>
      <c r="J1228" s="9">
        <v>901856429</v>
      </c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  <c r="AA1228" s="23"/>
      <c r="AB1228" s="23"/>
    </row>
    <row r="1229" spans="1:28" ht="14.25" customHeight="1" x14ac:dyDescent="0.35">
      <c r="A1229" s="12">
        <v>302737</v>
      </c>
      <c r="B1229" s="59" t="str">
        <f>IFERROR(VLOOKUP(Tabla1[[#This Row],[CODIGO]],INVENTARIO!A:B,2,0)," ")</f>
        <v>Válvula Bola 3/4" Hi Un Cuerpo Pn5 Arco</v>
      </c>
      <c r="C1229" s="12">
        <v>1</v>
      </c>
      <c r="D1229" s="13"/>
      <c r="E1229" s="12">
        <v>899</v>
      </c>
      <c r="F1229" s="14">
        <v>46050</v>
      </c>
      <c r="G1229" s="34"/>
      <c r="H1229" s="34" t="s">
        <v>267</v>
      </c>
      <c r="I1229" s="34"/>
      <c r="J1229" s="9">
        <v>901856429</v>
      </c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  <c r="AA1229" s="23"/>
      <c r="AB1229" s="23"/>
    </row>
    <row r="1230" spans="1:28" ht="14.25" customHeight="1" x14ac:dyDescent="0.35">
      <c r="A1230" s="12">
        <v>300109</v>
      </c>
      <c r="B1230" s="59" t="str">
        <f>IFERROR(VLOOKUP(Tabla1[[#This Row],[CODIGO]],INVENTARIO!A:B,2,0)," ")</f>
        <v>Risers de Acero 3/4" Bsp x 25 mm</v>
      </c>
      <c r="C1230" s="12">
        <v>1</v>
      </c>
      <c r="D1230" s="13"/>
      <c r="E1230" s="12">
        <v>899</v>
      </c>
      <c r="F1230" s="14">
        <v>46050</v>
      </c>
      <c r="G1230" s="34"/>
      <c r="H1230" s="34" t="s">
        <v>267</v>
      </c>
      <c r="I1230" s="34"/>
      <c r="J1230" s="9">
        <v>901856429</v>
      </c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  <c r="AA1230" s="23"/>
      <c r="AB1230" s="23"/>
    </row>
    <row r="1231" spans="1:28" ht="14.25" customHeight="1" x14ac:dyDescent="0.35">
      <c r="A1231" s="12">
        <v>2003911</v>
      </c>
      <c r="B1231" s="59" t="str">
        <f>IFERROR(VLOOKUP(Tabla1[[#This Row],[CODIGO]],INVENTARIO!A:B,2,0)," ")</f>
        <v>Válvula EFv PE 25 mm Para Tap. Tee</v>
      </c>
      <c r="C1231" s="12">
        <v>1</v>
      </c>
      <c r="D1231" s="13"/>
      <c r="E1231" s="12">
        <v>899</v>
      </c>
      <c r="F1231" s="14">
        <v>46050</v>
      </c>
      <c r="G1231" s="34"/>
      <c r="H1231" s="34" t="s">
        <v>267</v>
      </c>
      <c r="I1231" s="34"/>
      <c r="J1231" s="9">
        <v>901856429</v>
      </c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  <c r="AA1231" s="23"/>
      <c r="AB1231" s="23"/>
    </row>
    <row r="1232" spans="1:28" ht="14.25" customHeight="1" x14ac:dyDescent="0.35">
      <c r="A1232" s="12">
        <v>302184</v>
      </c>
      <c r="B1232" s="59" t="str">
        <f>IFERROR(VLOOKUP(Tabla1[[#This Row],[CODIGO]],INVENTARIO!A:B,2,0)," ")</f>
        <v>Tapa Tornillo Cambio de Codigo por: 2008481</v>
      </c>
      <c r="C1232" s="12">
        <v>1</v>
      </c>
      <c r="D1232" s="13"/>
      <c r="E1232" s="12">
        <v>899</v>
      </c>
      <c r="F1232" s="14">
        <v>46050</v>
      </c>
      <c r="G1232" s="34"/>
      <c r="H1232" s="34" t="s">
        <v>267</v>
      </c>
      <c r="I1232" s="34"/>
      <c r="J1232" s="9">
        <v>901856429</v>
      </c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  <c r="AA1232" s="23"/>
      <c r="AB1232" s="23"/>
    </row>
    <row r="1233" spans="1:28" ht="14.25" customHeight="1" x14ac:dyDescent="0.35">
      <c r="A1233" s="12">
        <v>303368</v>
      </c>
      <c r="B1233" s="59" t="str">
        <f>IFERROR(VLOOKUP(Tabla1[[#This Row],[CODIGO]],INVENTARIO!A:B,2,0)," ")</f>
        <v>Cinta Plástica "Línea GN", 30 x 0.1</v>
      </c>
      <c r="C1233" s="12">
        <v>3</v>
      </c>
      <c r="D1233" s="13"/>
      <c r="E1233" s="12">
        <v>899</v>
      </c>
      <c r="F1233" s="14">
        <v>46050</v>
      </c>
      <c r="G1233" s="34"/>
      <c r="H1233" s="34" t="s">
        <v>267</v>
      </c>
      <c r="I1233" s="34"/>
      <c r="J1233" s="9">
        <v>901856429</v>
      </c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  <c r="AA1233" s="23"/>
      <c r="AB1233" s="23"/>
    </row>
    <row r="1234" spans="1:28" ht="14.25" customHeight="1" x14ac:dyDescent="0.35">
      <c r="A1234" s="12">
        <v>1002167</v>
      </c>
      <c r="B1234" s="59" t="str">
        <f>IFERROR(VLOOKUP(Tabla1[[#This Row],[CODIGO]],INVENTARIO!A:B,2,0)," ")</f>
        <v>Cable Trazador Cu 14 AWG Aisl. THW Roj</v>
      </c>
      <c r="C1234" s="12">
        <v>3</v>
      </c>
      <c r="D1234" s="13"/>
      <c r="E1234" s="12">
        <v>899</v>
      </c>
      <c r="F1234" s="14">
        <v>46050</v>
      </c>
      <c r="G1234" s="34"/>
      <c r="H1234" s="34" t="s">
        <v>267</v>
      </c>
      <c r="I1234" s="34"/>
      <c r="J1234" s="9">
        <v>901856429</v>
      </c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  <c r="AA1234" s="23"/>
      <c r="AB1234" s="23"/>
    </row>
    <row r="1235" spans="1:28" ht="14.25" customHeight="1" x14ac:dyDescent="0.35">
      <c r="A1235" s="12">
        <v>2007948</v>
      </c>
      <c r="B1235" s="59" t="str">
        <f>IFERROR(VLOOKUP(Tabla1[[#This Row],[CODIGO]],INVENTARIO!A:B,2,0)," ")</f>
        <v>Tubo PVC Hidraulico 110 mm Pn6 Celeste</v>
      </c>
      <c r="C1235" s="12">
        <v>1</v>
      </c>
      <c r="D1235" s="13"/>
      <c r="E1235" s="12">
        <v>899</v>
      </c>
      <c r="F1235" s="14">
        <v>46050</v>
      </c>
      <c r="G1235" s="34"/>
      <c r="H1235" s="34" t="s">
        <v>267</v>
      </c>
      <c r="I1235" s="34"/>
      <c r="J1235" s="9">
        <v>901856429</v>
      </c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  <c r="AA1235" s="23"/>
      <c r="AB1235" s="23"/>
    </row>
    <row r="1236" spans="1:28" ht="14.25" customHeight="1" x14ac:dyDescent="0.35">
      <c r="A1236" s="12">
        <v>2000350</v>
      </c>
      <c r="B1236" s="59" t="str">
        <f>IFERROR(VLOOKUP(Tabla1[[#This Row],[CODIGO]],INVENTARIO!A:B,2,0)," ")</f>
        <v>Codo PE 90º  25 mm EF.</v>
      </c>
      <c r="C1236" s="12">
        <v>1</v>
      </c>
      <c r="D1236" s="13"/>
      <c r="E1236" s="12">
        <v>899</v>
      </c>
      <c r="F1236" s="14">
        <v>46050</v>
      </c>
      <c r="G1236" s="34"/>
      <c r="H1236" s="34" t="s">
        <v>267</v>
      </c>
      <c r="I1236" s="34"/>
      <c r="J1236" s="9">
        <v>901856429</v>
      </c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  <c r="AA1236" s="23"/>
      <c r="AB1236" s="23"/>
    </row>
    <row r="1237" spans="1:28" ht="14.25" customHeight="1" x14ac:dyDescent="0.35">
      <c r="A1237" s="12">
        <v>2000350</v>
      </c>
      <c r="B1237" s="59" t="str">
        <f>IFERROR(VLOOKUP(Tabla1[[#This Row],[CODIGO]],INVENTARIO!A:B,2,0)," ")</f>
        <v>Codo PE 90º  25 mm EF.</v>
      </c>
      <c r="C1237" s="12">
        <v>10</v>
      </c>
      <c r="D1237" s="13"/>
      <c r="E1237" s="12">
        <v>900</v>
      </c>
      <c r="F1237" s="14">
        <v>46050</v>
      </c>
      <c r="G1237" s="34"/>
      <c r="H1237" s="34" t="s">
        <v>267</v>
      </c>
      <c r="I1237" s="34"/>
      <c r="J1237" s="9" t="s">
        <v>272</v>
      </c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  <c r="AA1237" s="23"/>
      <c r="AB1237" s="23"/>
    </row>
    <row r="1238" spans="1:28" ht="14.25" customHeight="1" x14ac:dyDescent="0.35">
      <c r="A1238" s="12">
        <v>101618</v>
      </c>
      <c r="B1238" s="59" t="str">
        <f>IFERROR(VLOOKUP(Tabla1[[#This Row],[CODIGO]],INVENTARIO!A:B,2,0)," ")</f>
        <v>Risers Ac,Recto 3/4 "x25 mm</v>
      </c>
      <c r="C1238" s="12">
        <v>10</v>
      </c>
      <c r="D1238" s="13"/>
      <c r="E1238" s="12">
        <v>900</v>
      </c>
      <c r="F1238" s="14">
        <v>46050</v>
      </c>
      <c r="G1238" s="34"/>
      <c r="H1238" s="34" t="s">
        <v>267</v>
      </c>
      <c r="I1238" s="34"/>
      <c r="J1238" s="9" t="s">
        <v>272</v>
      </c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  <c r="AA1238" s="23"/>
      <c r="AB1238" s="23"/>
    </row>
    <row r="1239" spans="1:28" ht="14.25" customHeight="1" x14ac:dyDescent="0.35">
      <c r="A1239" s="12">
        <v>2006392</v>
      </c>
      <c r="B1239" s="59" t="str">
        <f>IFERROR(VLOOKUP(Tabla1[[#This Row],[CODIGO]],INVENTARIO!A:B,2,0)," ")</f>
        <v>Limitador Flujo P/Tapping Tee 25 MM</v>
      </c>
      <c r="C1239" s="12">
        <v>2</v>
      </c>
      <c r="D1239" s="13"/>
      <c r="E1239" s="12">
        <v>901</v>
      </c>
      <c r="F1239" s="14">
        <v>46050</v>
      </c>
      <c r="G1239" s="34"/>
      <c r="H1239" s="34" t="s">
        <v>225</v>
      </c>
      <c r="I1239" s="34"/>
      <c r="J1239" s="9" t="s">
        <v>202</v>
      </c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  <c r="AA1239" s="23"/>
      <c r="AB1239" s="23"/>
    </row>
    <row r="1240" spans="1:28" ht="14.25" customHeight="1" x14ac:dyDescent="0.35">
      <c r="A1240" s="12">
        <v>2006393</v>
      </c>
      <c r="B1240" s="59" t="str">
        <f>IFERROR(VLOOKUP(Tabla1[[#This Row],[CODIGO]],INVENTARIO!A:B,2,0)," ")</f>
        <v>Transición Latón 3/4"x25 MM PE100, SDR11</v>
      </c>
      <c r="C1240" s="12">
        <v>2</v>
      </c>
      <c r="D1240" s="13"/>
      <c r="E1240" s="12">
        <v>901</v>
      </c>
      <c r="F1240" s="14">
        <v>46050</v>
      </c>
      <c r="G1240" s="34"/>
      <c r="H1240" s="34" t="s">
        <v>225</v>
      </c>
      <c r="I1240" s="34"/>
      <c r="J1240" s="9" t="s">
        <v>202</v>
      </c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  <c r="AA1240" s="23"/>
      <c r="AB1240" s="23"/>
    </row>
    <row r="1241" spans="1:28" ht="14.25" customHeight="1" x14ac:dyDescent="0.35">
      <c r="A1241" s="12">
        <v>2000350</v>
      </c>
      <c r="B1241" s="59" t="str">
        <f>IFERROR(VLOOKUP(Tabla1[[#This Row],[CODIGO]],INVENTARIO!A:B,2,0)," ")</f>
        <v>Codo PE 90º  25 mm EF.</v>
      </c>
      <c r="C1241" s="12">
        <v>2</v>
      </c>
      <c r="D1241" s="13"/>
      <c r="E1241" s="12">
        <v>901</v>
      </c>
      <c r="F1241" s="14">
        <v>46050</v>
      </c>
      <c r="G1241" s="34"/>
      <c r="H1241" s="34" t="s">
        <v>225</v>
      </c>
      <c r="I1241" s="34"/>
      <c r="J1241" s="9" t="s">
        <v>202</v>
      </c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  <c r="AA1241" s="23"/>
      <c r="AB1241" s="23"/>
    </row>
    <row r="1242" spans="1:28" ht="14.25" customHeight="1" x14ac:dyDescent="0.35">
      <c r="A1242" s="12">
        <v>301329</v>
      </c>
      <c r="B1242" s="59" t="str">
        <f>IFERROR(VLOOKUP(Tabla1[[#This Row],[CODIGO]],INVENTARIO!A:B,2,0)," ")</f>
        <v>Copla PE100 025mm EF</v>
      </c>
      <c r="C1242" s="12">
        <v>2</v>
      </c>
      <c r="D1242" s="13"/>
      <c r="E1242" s="12">
        <v>901</v>
      </c>
      <c r="F1242" s="14">
        <v>46050</v>
      </c>
      <c r="G1242" s="34"/>
      <c r="H1242" s="34" t="s">
        <v>225</v>
      </c>
      <c r="I1242" s="34"/>
      <c r="J1242" s="9" t="s">
        <v>202</v>
      </c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  <c r="AA1242" s="23"/>
      <c r="AB1242" s="23"/>
    </row>
    <row r="1243" spans="1:28" ht="14.25" customHeight="1" x14ac:dyDescent="0.35">
      <c r="A1243" s="12">
        <v>300108</v>
      </c>
      <c r="B1243" s="59" t="str">
        <f>IFERROR(VLOOKUP(Tabla1[[#This Row],[CODIGO]],INVENTARIO!A:B,2,0)," ")</f>
        <v>Tapping Tee PE 63-25 mm</v>
      </c>
      <c r="C1243" s="12">
        <v>2</v>
      </c>
      <c r="D1243" s="13"/>
      <c r="E1243" s="12">
        <v>901</v>
      </c>
      <c r="F1243" s="14">
        <v>46050</v>
      </c>
      <c r="G1243" s="34"/>
      <c r="H1243" s="34" t="s">
        <v>225</v>
      </c>
      <c r="I1243" s="34"/>
      <c r="J1243" s="9" t="s">
        <v>202</v>
      </c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  <c r="AA1243" s="23"/>
      <c r="AB1243" s="23"/>
    </row>
    <row r="1244" spans="1:28" ht="14.25" customHeight="1" x14ac:dyDescent="0.35">
      <c r="A1244" s="12">
        <v>2003965</v>
      </c>
      <c r="B1244" s="59" t="str">
        <f>IFERROR(VLOOKUP(Tabla1[[#This Row],[CODIGO]],INVENTARIO!A:B,2,0)," ")</f>
        <v>Válvula PE100 Dn 63mm</v>
      </c>
      <c r="C1244" s="12">
        <v>1</v>
      </c>
      <c r="D1244" s="13"/>
      <c r="E1244" s="12">
        <v>901</v>
      </c>
      <c r="F1244" s="14">
        <v>46050</v>
      </c>
      <c r="G1244" s="34"/>
      <c r="H1244" s="34" t="s">
        <v>225</v>
      </c>
      <c r="I1244" s="34"/>
      <c r="J1244" s="9" t="s">
        <v>202</v>
      </c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  <c r="AA1244" s="23"/>
      <c r="AB1244" s="23"/>
    </row>
    <row r="1245" spans="1:28" ht="14.25" customHeight="1" x14ac:dyDescent="0.35">
      <c r="A1245" s="12">
        <v>2008302</v>
      </c>
      <c r="B1245" s="59" t="str">
        <f>IFERROR(VLOOKUP(Tabla1[[#This Row],[CODIGO]],INVENTARIO!A:B,2,0)," ")</f>
        <v>Tapa PE 063 mm Electro F.</v>
      </c>
      <c r="C1245" s="12">
        <v>2</v>
      </c>
      <c r="D1245" s="13"/>
      <c r="E1245" s="12">
        <v>901</v>
      </c>
      <c r="F1245" s="14">
        <v>46050</v>
      </c>
      <c r="G1245" s="34"/>
      <c r="H1245" s="34" t="s">
        <v>225</v>
      </c>
      <c r="I1245" s="34"/>
      <c r="J1245" s="9" t="s">
        <v>202</v>
      </c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  <c r="AA1245" s="23"/>
      <c r="AB1245" s="23"/>
    </row>
    <row r="1246" spans="1:28" ht="14.25" customHeight="1" x14ac:dyDescent="0.35">
      <c r="A1246" s="12">
        <v>302659</v>
      </c>
      <c r="B1246" s="59" t="str">
        <f>IFERROR(VLOOKUP(Tabla1[[#This Row],[CODIGO]],INVENTARIO!A:B,2,0)," ")</f>
        <v>Copla PE100 063mm EF</v>
      </c>
      <c r="C1246" s="12">
        <v>6</v>
      </c>
      <c r="D1246" s="13"/>
      <c r="E1246" s="12">
        <v>901</v>
      </c>
      <c r="F1246" s="14">
        <v>46050</v>
      </c>
      <c r="G1246" s="34"/>
      <c r="H1246" s="34" t="s">
        <v>225</v>
      </c>
      <c r="I1246" s="34"/>
      <c r="J1246" s="9" t="s">
        <v>202</v>
      </c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  <c r="AA1246" s="23"/>
      <c r="AB1246" s="23"/>
    </row>
    <row r="1247" spans="1:28" ht="14.25" customHeight="1" x14ac:dyDescent="0.35">
      <c r="A1247" s="12">
        <v>301987</v>
      </c>
      <c r="B1247" s="59" t="str">
        <f>IFERROR(VLOOKUP(Tabla1[[#This Row],[CODIGO]],INVENTARIO!A:B,2,0)," ")</f>
        <v>Codo PE100 90° 063mm EF</v>
      </c>
      <c r="C1247" s="12">
        <v>5</v>
      </c>
      <c r="D1247" s="13"/>
      <c r="E1247" s="12">
        <v>901</v>
      </c>
      <c r="F1247" s="14">
        <v>46050</v>
      </c>
      <c r="G1247" s="34"/>
      <c r="H1247" s="34" t="s">
        <v>225</v>
      </c>
      <c r="I1247" s="34"/>
      <c r="J1247" s="9" t="s">
        <v>202</v>
      </c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  <c r="AA1247" s="23"/>
      <c r="AB1247" s="23"/>
    </row>
    <row r="1248" spans="1:28" ht="14.25" customHeight="1" x14ac:dyDescent="0.35">
      <c r="A1248" s="12">
        <v>301749</v>
      </c>
      <c r="B1248" s="59" t="str">
        <f>IFERROR(VLOOKUP(Tabla1[[#This Row],[CODIGO]],INVENTARIO!A:B,2,0)," ")</f>
        <v>Tubería PE80 025mm Rollo</v>
      </c>
      <c r="C1248" s="12">
        <v>4</v>
      </c>
      <c r="D1248" s="13"/>
      <c r="E1248" s="12">
        <v>901</v>
      </c>
      <c r="F1248" s="14">
        <v>46050</v>
      </c>
      <c r="G1248" s="34"/>
      <c r="H1248" s="34" t="s">
        <v>225</v>
      </c>
      <c r="I1248" s="34"/>
      <c r="J1248" s="9" t="s">
        <v>202</v>
      </c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  <c r="AA1248" s="23"/>
      <c r="AB1248" s="23"/>
    </row>
    <row r="1249" spans="1:28" ht="14.25" customHeight="1" x14ac:dyDescent="0.35">
      <c r="A1249" s="12">
        <v>2007948</v>
      </c>
      <c r="B1249" s="59" t="str">
        <f>IFERROR(VLOOKUP(Tabla1[[#This Row],[CODIGO]],INVENTARIO!A:B,2,0)," ")</f>
        <v>Tubo PVC Hidraulico 110 mm Pn6 Celeste</v>
      </c>
      <c r="C1249" s="12">
        <v>3</v>
      </c>
      <c r="D1249" s="13"/>
      <c r="E1249" s="12">
        <v>901</v>
      </c>
      <c r="F1249" s="14">
        <v>46050</v>
      </c>
      <c r="G1249" s="34"/>
      <c r="H1249" s="34" t="s">
        <v>225</v>
      </c>
      <c r="I1249" s="34"/>
      <c r="J1249" s="9" t="s">
        <v>202</v>
      </c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  <c r="AA1249" s="23"/>
      <c r="AB1249" s="23"/>
    </row>
    <row r="1250" spans="1:28" ht="14.25" customHeight="1" x14ac:dyDescent="0.35">
      <c r="A1250" s="12">
        <v>2006391</v>
      </c>
      <c r="B1250" s="59" t="str">
        <f>IFERROR(VLOOKUP(Tabla1[[#This Row],[CODIGO]],INVENTARIO!A:B,2,0)," ")</f>
        <v>Guardallave Fierro Fundido C/Tapa</v>
      </c>
      <c r="C1250" s="12">
        <v>3</v>
      </c>
      <c r="D1250" s="13"/>
      <c r="E1250" s="12">
        <v>901</v>
      </c>
      <c r="F1250" s="14">
        <v>46050</v>
      </c>
      <c r="G1250" s="34"/>
      <c r="H1250" s="34" t="s">
        <v>225</v>
      </c>
      <c r="I1250" s="34"/>
      <c r="J1250" s="9" t="s">
        <v>202</v>
      </c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  <c r="AA1250" s="23"/>
      <c r="AB1250" s="23"/>
    </row>
    <row r="1251" spans="1:28" ht="14.25" customHeight="1" x14ac:dyDescent="0.35">
      <c r="A1251" s="12">
        <v>302737</v>
      </c>
      <c r="B1251" s="59" t="str">
        <f>IFERROR(VLOOKUP(Tabla1[[#This Row],[CODIGO]],INVENTARIO!A:B,2,0)," ")</f>
        <v>Válvula Bola 3/4" Hi Un Cuerpo Pn5 Arco</v>
      </c>
      <c r="C1251" s="12">
        <v>2</v>
      </c>
      <c r="D1251" s="13"/>
      <c r="E1251" s="12">
        <v>901</v>
      </c>
      <c r="F1251" s="14">
        <v>46050</v>
      </c>
      <c r="G1251" s="34"/>
      <c r="H1251" s="34" t="s">
        <v>225</v>
      </c>
      <c r="I1251" s="34"/>
      <c r="J1251" s="9" t="s">
        <v>202</v>
      </c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  <c r="AA1251" s="23"/>
      <c r="AB1251" s="23"/>
    </row>
    <row r="1252" spans="1:28" ht="14.25" customHeight="1" x14ac:dyDescent="0.35">
      <c r="A1252" s="12">
        <v>302184</v>
      </c>
      <c r="B1252" s="59" t="str">
        <f>IFERROR(VLOOKUP(Tabla1[[#This Row],[CODIGO]],INVENTARIO!A:B,2,0)," ")</f>
        <v>Tapa Tornillo Cambio de Codigo por: 2008481</v>
      </c>
      <c r="C1252" s="12">
        <v>2</v>
      </c>
      <c r="D1252" s="13"/>
      <c r="E1252" s="12">
        <v>901</v>
      </c>
      <c r="F1252" s="14">
        <v>46050</v>
      </c>
      <c r="G1252" s="34"/>
      <c r="H1252" s="34" t="s">
        <v>225</v>
      </c>
      <c r="I1252" s="34"/>
      <c r="J1252" s="9" t="s">
        <v>202</v>
      </c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  <c r="AA1252" s="23"/>
      <c r="AB1252" s="23"/>
    </row>
    <row r="1253" spans="1:28" ht="15" customHeight="1" x14ac:dyDescent="0.35">
      <c r="A1253" s="12">
        <v>2002263</v>
      </c>
      <c r="B1253" s="59" t="str">
        <f>IFERROR(VLOOKUP(Tabla1[[#This Row],[CODIGO]],INVENTARIO!A:B,2,0)," ")</f>
        <v>Tubería PE80 063mm Rollo</v>
      </c>
      <c r="C1253" s="12">
        <v>100</v>
      </c>
      <c r="D1253" s="13"/>
      <c r="E1253" s="12">
        <v>887</v>
      </c>
      <c r="F1253" s="14">
        <v>46048</v>
      </c>
      <c r="G1253" s="34"/>
      <c r="H1253" s="34" t="s">
        <v>271</v>
      </c>
      <c r="I1253" s="34"/>
      <c r="J1253" s="9" t="s">
        <v>202</v>
      </c>
    </row>
    <row r="1254" spans="1:28" ht="15" customHeight="1" x14ac:dyDescent="0.35">
      <c r="A1254" s="12">
        <v>303368</v>
      </c>
      <c r="B1254" s="59" t="str">
        <f>IFERROR(VLOOKUP(Tabla1[[#This Row],[CODIGO]],INVENTARIO!A:B,2,0)," ")</f>
        <v>Cinta Plástica "Línea GN", 30 x 0.1</v>
      </c>
      <c r="C1254" s="12">
        <v>100</v>
      </c>
      <c r="D1254" s="13"/>
      <c r="E1254" s="12">
        <v>887</v>
      </c>
      <c r="F1254" s="14">
        <v>46048</v>
      </c>
      <c r="G1254" s="34"/>
      <c r="H1254" s="34" t="s">
        <v>271</v>
      </c>
      <c r="I1254" s="34"/>
      <c r="J1254" s="9" t="s">
        <v>202</v>
      </c>
    </row>
    <row r="1255" spans="1:28" ht="15" customHeight="1" x14ac:dyDescent="0.35">
      <c r="A1255" s="12">
        <v>1002167</v>
      </c>
      <c r="B1255" s="59" t="str">
        <f>IFERROR(VLOOKUP(Tabla1[[#This Row],[CODIGO]],INVENTARIO!A:B,2,0)," ")</f>
        <v>Cable Trazador Cu 14 AWG Aisl. THW Roj</v>
      </c>
      <c r="C1255" s="12">
        <v>100</v>
      </c>
      <c r="D1255" s="13"/>
      <c r="E1255" s="12">
        <v>887</v>
      </c>
      <c r="F1255" s="14">
        <v>46048</v>
      </c>
      <c r="G1255" s="34"/>
      <c r="H1255" s="34" t="s">
        <v>271</v>
      </c>
      <c r="I1255" s="34"/>
      <c r="J1255" s="9" t="s">
        <v>202</v>
      </c>
    </row>
    <row r="1256" spans="1:28" ht="15" customHeight="1" x14ac:dyDescent="0.35">
      <c r="A1256" s="12">
        <v>2005135</v>
      </c>
      <c r="B1256" s="59" t="str">
        <f>IFERROR(VLOOKUP(Tabla1[[#This Row],[CODIGO]],INVENTARIO!A:B,2,0)," ")</f>
        <v>Tubo PVC 110 mm PN6 CG Amarillo Tira 6 m</v>
      </c>
      <c r="C1256" s="12">
        <v>1</v>
      </c>
      <c r="D1256" s="13"/>
      <c r="E1256" s="12">
        <v>888</v>
      </c>
      <c r="F1256" s="14">
        <v>46048</v>
      </c>
      <c r="G1256" s="34"/>
      <c r="H1256" s="34" t="s">
        <v>270</v>
      </c>
      <c r="I1256" s="34"/>
      <c r="J1256" s="9" t="s">
        <v>255</v>
      </c>
    </row>
    <row r="1257" spans="1:28" ht="15" customHeight="1" x14ac:dyDescent="0.35">
      <c r="A1257" s="12">
        <v>2002263</v>
      </c>
      <c r="B1257" s="59" t="str">
        <f>IFERROR(VLOOKUP(Tabla1[[#This Row],[CODIGO]],INVENTARIO!A:B,2,0)," ")</f>
        <v>Tubería PE80 063mm Rollo</v>
      </c>
      <c r="C1257" s="12">
        <v>50</v>
      </c>
      <c r="D1257" s="13"/>
      <c r="E1257" s="12">
        <v>202</v>
      </c>
      <c r="F1257" s="14">
        <v>46048</v>
      </c>
      <c r="G1257" s="34"/>
      <c r="H1257" s="34" t="s">
        <v>223</v>
      </c>
      <c r="I1257" s="34"/>
      <c r="J1257" s="9" t="s">
        <v>207</v>
      </c>
    </row>
    <row r="1258" spans="1:28" ht="15" customHeight="1" x14ac:dyDescent="0.35">
      <c r="A1258" s="12">
        <v>303368</v>
      </c>
      <c r="B1258" s="59" t="str">
        <f>IFERROR(VLOOKUP(Tabla1[[#This Row],[CODIGO]],INVENTARIO!A:B,2,0)," ")</f>
        <v>Cinta Plástica "Línea GN", 30 x 0.1</v>
      </c>
      <c r="C1258" s="12">
        <v>10</v>
      </c>
      <c r="D1258" s="13"/>
      <c r="E1258" s="12">
        <v>202</v>
      </c>
      <c r="F1258" s="14">
        <v>46048</v>
      </c>
      <c r="G1258" s="34"/>
      <c r="H1258" s="34" t="s">
        <v>223</v>
      </c>
      <c r="I1258" s="34"/>
      <c r="J1258" s="9" t="s">
        <v>207</v>
      </c>
    </row>
    <row r="1259" spans="1:28" ht="15" customHeight="1" x14ac:dyDescent="0.35">
      <c r="A1259" s="12">
        <v>1002167</v>
      </c>
      <c r="B1259" s="59" t="str">
        <f>IFERROR(VLOOKUP(Tabla1[[#This Row],[CODIGO]],INVENTARIO!A:B,2,0)," ")</f>
        <v>Cable Trazador Cu 14 AWG Aisl. THW Roj</v>
      </c>
      <c r="C1259" s="12">
        <v>10</v>
      </c>
      <c r="D1259" s="13"/>
      <c r="E1259" s="12">
        <v>202</v>
      </c>
      <c r="F1259" s="14">
        <v>46048</v>
      </c>
      <c r="G1259" s="34"/>
      <c r="H1259" s="34" t="s">
        <v>223</v>
      </c>
      <c r="I1259" s="34"/>
      <c r="J1259" s="9" t="s">
        <v>207</v>
      </c>
    </row>
    <row r="1260" spans="1:28" ht="15" customHeight="1" x14ac:dyDescent="0.35">
      <c r="A1260" s="12">
        <v>300130</v>
      </c>
      <c r="B1260" s="59" t="str">
        <f>IFERROR(VLOOKUP(Tabla1[[#This Row],[CODIGO]],INVENTARIO!A:B,2,0)," ")</f>
        <v>Tee PE  63 mm Electro F.</v>
      </c>
      <c r="C1260" s="12">
        <v>1</v>
      </c>
      <c r="D1260" s="13"/>
      <c r="E1260" s="12">
        <v>202</v>
      </c>
      <c r="F1260" s="14">
        <v>46048</v>
      </c>
      <c r="G1260" s="34"/>
      <c r="H1260" s="34" t="s">
        <v>223</v>
      </c>
      <c r="I1260" s="34"/>
      <c r="J1260" s="9" t="s">
        <v>207</v>
      </c>
    </row>
    <row r="1261" spans="1:28" ht="15" customHeight="1" x14ac:dyDescent="0.35">
      <c r="A1261" s="12">
        <v>302678</v>
      </c>
      <c r="B1261" s="59" t="str">
        <f>IFERROR(VLOOKUP(Tabla1[[#This Row],[CODIGO]],INVENTARIO!A:B,2,0)," ")</f>
        <v>Reductor PE  63-50 mm Electro F.</v>
      </c>
      <c r="C1261" s="12">
        <v>1</v>
      </c>
      <c r="D1261" s="13"/>
      <c r="E1261" s="12">
        <v>202</v>
      </c>
      <c r="F1261" s="14">
        <v>46048</v>
      </c>
      <c r="G1261" s="34"/>
      <c r="H1261" s="34" t="s">
        <v>223</v>
      </c>
      <c r="I1261" s="34"/>
      <c r="J1261" s="9" t="s">
        <v>207</v>
      </c>
    </row>
    <row r="1262" spans="1:28" ht="15" customHeight="1" x14ac:dyDescent="0.35">
      <c r="A1262" s="12">
        <v>2002262</v>
      </c>
      <c r="B1262" s="59" t="str">
        <f>IFERROR(VLOOKUP(Tabla1[[#This Row],[CODIGO]],INVENTARIO!A:B,2,0)," ")</f>
        <v>Tubería PE80 050mm Rollo</v>
      </c>
      <c r="C1262" s="12">
        <v>50</v>
      </c>
      <c r="D1262" s="13"/>
      <c r="E1262" s="12">
        <v>202</v>
      </c>
      <c r="F1262" s="14">
        <v>46048</v>
      </c>
      <c r="G1262" s="34"/>
      <c r="H1262" s="34" t="s">
        <v>223</v>
      </c>
      <c r="I1262" s="34"/>
      <c r="J1262" s="9" t="s">
        <v>207</v>
      </c>
    </row>
    <row r="1263" spans="1:28" ht="15" customHeight="1" x14ac:dyDescent="0.35">
      <c r="A1263" s="12">
        <v>303345</v>
      </c>
      <c r="B1263" s="59" t="str">
        <f>IFERROR(VLOOKUP(Tabla1[[#This Row],[CODIGO]],INVENTARIO!A:B,2,0)," ")</f>
        <v>Copla PE100 050mm EF</v>
      </c>
      <c r="C1263" s="12">
        <v>8</v>
      </c>
      <c r="D1263" s="13"/>
      <c r="E1263" s="12">
        <v>202</v>
      </c>
      <c r="F1263" s="14">
        <v>46048</v>
      </c>
      <c r="G1263" s="34"/>
      <c r="H1263" s="34" t="s">
        <v>223</v>
      </c>
      <c r="I1263" s="34"/>
      <c r="J1263" s="9" t="s">
        <v>207</v>
      </c>
    </row>
    <row r="1264" spans="1:28" ht="15" customHeight="1" x14ac:dyDescent="0.35">
      <c r="A1264" s="12">
        <v>301327</v>
      </c>
      <c r="B1264" s="59" t="str">
        <f>IFERROR(VLOOKUP(Tabla1[[#This Row],[CODIGO]],INVENTARIO!A:B,2,0)," ")</f>
        <v>Tapa PE  050 mm Termo F.</v>
      </c>
      <c r="C1264" s="12">
        <v>4</v>
      </c>
      <c r="D1264" s="13"/>
      <c r="E1264" s="12">
        <v>202</v>
      </c>
      <c r="F1264" s="14">
        <v>46048</v>
      </c>
      <c r="G1264" s="34"/>
      <c r="H1264" s="34" t="s">
        <v>223</v>
      </c>
      <c r="I1264" s="34"/>
      <c r="J1264" s="9" t="s">
        <v>207</v>
      </c>
    </row>
    <row r="1265" spans="1:10" ht="15" customHeight="1" x14ac:dyDescent="0.35">
      <c r="A1265" s="12">
        <v>2005135</v>
      </c>
      <c r="B1265" s="59" t="str">
        <f>IFERROR(VLOOKUP(Tabla1[[#This Row],[CODIGO]],INVENTARIO!A:B,2,0)," ")</f>
        <v>Tubo PVC 110 mm PN6 CG Amarillo Tira 6 m</v>
      </c>
      <c r="C1265" s="12">
        <v>1</v>
      </c>
      <c r="D1265" s="13"/>
      <c r="E1265" s="12">
        <v>202</v>
      </c>
      <c r="F1265" s="14">
        <v>46048</v>
      </c>
      <c r="G1265" s="34"/>
      <c r="H1265" s="34" t="s">
        <v>223</v>
      </c>
      <c r="I1265" s="34"/>
      <c r="J1265" s="9" t="s">
        <v>207</v>
      </c>
    </row>
    <row r="1266" spans="1:10" ht="15" customHeight="1" x14ac:dyDescent="0.35">
      <c r="A1266" s="12">
        <v>300109</v>
      </c>
      <c r="B1266" s="59" t="str">
        <f>IFERROR(VLOOKUP(Tabla1[[#This Row],[CODIGO]],INVENTARIO!A:B,2,0)," ")</f>
        <v>Risers de Acero 3/4" Bsp x 25 mm</v>
      </c>
      <c r="C1266" s="12">
        <v>2</v>
      </c>
      <c r="D1266" s="13"/>
      <c r="E1266" s="12">
        <v>18</v>
      </c>
      <c r="F1266" s="14">
        <v>46044</v>
      </c>
      <c r="G1266" s="34"/>
      <c r="H1266" s="34" t="s">
        <v>223</v>
      </c>
      <c r="I1266" s="34"/>
      <c r="J1266" s="9" t="s">
        <v>207</v>
      </c>
    </row>
    <row r="1267" spans="1:10" ht="15" customHeight="1" x14ac:dyDescent="0.35">
      <c r="A1267" s="12">
        <v>301329</v>
      </c>
      <c r="B1267" s="59" t="str">
        <f>IFERROR(VLOOKUP(Tabla1[[#This Row],[CODIGO]],INVENTARIO!A:B,2,0)," ")</f>
        <v>Copla PE100 025mm EF</v>
      </c>
      <c r="C1267" s="12">
        <v>2</v>
      </c>
      <c r="D1267" s="13"/>
      <c r="E1267" s="12">
        <v>18</v>
      </c>
      <c r="F1267" s="14">
        <v>46044</v>
      </c>
      <c r="G1267" s="34"/>
      <c r="H1267" s="34" t="s">
        <v>223</v>
      </c>
      <c r="I1267" s="34"/>
      <c r="J1267" s="9" t="s">
        <v>207</v>
      </c>
    </row>
    <row r="1268" spans="1:10" ht="15" customHeight="1" x14ac:dyDescent="0.35">
      <c r="A1268" s="12">
        <v>2000350</v>
      </c>
      <c r="B1268" s="59" t="str">
        <f>IFERROR(VLOOKUP(Tabla1[[#This Row],[CODIGO]],INVENTARIO!A:B,2,0)," ")</f>
        <v>Codo PE 90º  25 mm EF.</v>
      </c>
      <c r="C1268" s="12">
        <v>2</v>
      </c>
      <c r="D1268" s="13"/>
      <c r="E1268" s="12">
        <v>18</v>
      </c>
      <c r="F1268" s="14">
        <v>46044</v>
      </c>
      <c r="G1268" s="34"/>
      <c r="H1268" s="34" t="s">
        <v>223</v>
      </c>
      <c r="I1268" s="34"/>
      <c r="J1268" s="9" t="s">
        <v>207</v>
      </c>
    </row>
    <row r="1269" spans="1:10" ht="15" customHeight="1" x14ac:dyDescent="0.35">
      <c r="A1269" s="12">
        <v>300108</v>
      </c>
      <c r="B1269" s="59" t="str">
        <f>IFERROR(VLOOKUP(Tabla1[[#This Row],[CODIGO]],INVENTARIO!A:B,2,0)," ")</f>
        <v>Tapping Tee PE 63-25 mm</v>
      </c>
      <c r="C1269" s="12">
        <v>2</v>
      </c>
      <c r="D1269" s="13"/>
      <c r="E1269" s="12">
        <v>18</v>
      </c>
      <c r="F1269" s="14">
        <v>46044</v>
      </c>
      <c r="G1269" s="34"/>
      <c r="H1269" s="34" t="s">
        <v>223</v>
      </c>
      <c r="I1269" s="34"/>
      <c r="J1269" s="9" t="s">
        <v>207</v>
      </c>
    </row>
    <row r="1270" spans="1:10" ht="15" customHeight="1" x14ac:dyDescent="0.35">
      <c r="A1270" s="12">
        <v>301749</v>
      </c>
      <c r="B1270" s="59" t="str">
        <f>IFERROR(VLOOKUP(Tabla1[[#This Row],[CODIGO]],INVENTARIO!A:B,2,0)," ")</f>
        <v>Tubería PE80 025mm Rollo</v>
      </c>
      <c r="C1270" s="12">
        <v>2</v>
      </c>
      <c r="D1270" s="13"/>
      <c r="E1270" s="12">
        <v>18</v>
      </c>
      <c r="F1270" s="14">
        <v>46044</v>
      </c>
      <c r="G1270" s="34"/>
      <c r="H1270" s="34" t="s">
        <v>223</v>
      </c>
      <c r="I1270" s="34"/>
      <c r="J1270" s="9" t="s">
        <v>207</v>
      </c>
    </row>
    <row r="1271" spans="1:10" ht="15" customHeight="1" x14ac:dyDescent="0.35">
      <c r="A1271" s="12">
        <v>302737</v>
      </c>
      <c r="B1271" s="59" t="str">
        <f>IFERROR(VLOOKUP(Tabla1[[#This Row],[CODIGO]],INVENTARIO!A:B,2,0)," ")</f>
        <v>Válvula Bola 3/4" Hi Un Cuerpo Pn5 Arco</v>
      </c>
      <c r="C1271" s="12">
        <v>2</v>
      </c>
      <c r="D1271" s="13"/>
      <c r="E1271" s="12">
        <v>18</v>
      </c>
      <c r="F1271" s="14">
        <v>46044</v>
      </c>
      <c r="G1271" s="34"/>
      <c r="H1271" s="34" t="s">
        <v>223</v>
      </c>
      <c r="I1271" s="34"/>
      <c r="J1271" s="9" t="s">
        <v>207</v>
      </c>
    </row>
    <row r="1272" spans="1:10" ht="15" customHeight="1" x14ac:dyDescent="0.35">
      <c r="A1272" s="12">
        <v>1000720</v>
      </c>
      <c r="B1272" s="59" t="str">
        <f>IFERROR(VLOOKUP(Tabla1[[#This Row],[CODIGO]],INVENTARIO!A:B,2,0)," ")</f>
        <v>Teflón en Cinta de 3/4" Ancho x 520" a 5</v>
      </c>
      <c r="C1272" s="12">
        <v>1</v>
      </c>
      <c r="D1272" s="13"/>
      <c r="E1272" s="12">
        <v>18</v>
      </c>
      <c r="F1272" s="14">
        <v>46044</v>
      </c>
      <c r="G1272" s="34"/>
      <c r="H1272" s="34" t="s">
        <v>223</v>
      </c>
      <c r="I1272" s="34"/>
      <c r="J1272" s="9" t="s">
        <v>207</v>
      </c>
    </row>
    <row r="1273" spans="1:10" ht="15" customHeight="1" x14ac:dyDescent="0.35">
      <c r="A1273" s="12">
        <v>302737</v>
      </c>
      <c r="B1273" s="59" t="str">
        <f>IFERROR(VLOOKUP(Tabla1[[#This Row],[CODIGO]],INVENTARIO!A:B,2,0)," ")</f>
        <v>Válvula Bola 3/4" Hi Un Cuerpo Pn5 Arco</v>
      </c>
      <c r="C1273" s="12">
        <v>1</v>
      </c>
      <c r="D1273" s="13"/>
      <c r="E1273" s="12">
        <v>19</v>
      </c>
      <c r="F1273" s="14">
        <v>46045</v>
      </c>
      <c r="G1273" s="34"/>
      <c r="H1273" s="34" t="s">
        <v>223</v>
      </c>
      <c r="I1273" s="34"/>
      <c r="J1273" s="9" t="s">
        <v>207</v>
      </c>
    </row>
    <row r="1274" spans="1:10" ht="15" customHeight="1" x14ac:dyDescent="0.35">
      <c r="A1274" s="12">
        <v>303510</v>
      </c>
      <c r="B1274" s="59" t="str">
        <f>IFERROR(VLOOKUP(Tabla1[[#This Row],[CODIGO]],INVENTARIO!A:B,2,0)," ")</f>
        <v>Guardallave Hormigón 125 mm con Tapa</v>
      </c>
      <c r="C1274" s="12">
        <v>2</v>
      </c>
      <c r="D1274" s="13"/>
      <c r="E1274" s="12">
        <v>19</v>
      </c>
      <c r="F1274" s="14">
        <v>46045</v>
      </c>
      <c r="G1274" s="34"/>
      <c r="H1274" s="34" t="s">
        <v>223</v>
      </c>
      <c r="I1274" s="34"/>
      <c r="J1274" s="9" t="s">
        <v>207</v>
      </c>
    </row>
    <row r="1275" spans="1:10" ht="15" customHeight="1" x14ac:dyDescent="0.35">
      <c r="A1275" s="12">
        <v>300422</v>
      </c>
      <c r="B1275" s="59" t="str">
        <f>IFERROR(VLOOKUP(Tabla1[[#This Row],[CODIGO]],INVENTARIO!A:B,2,0)," ")</f>
        <v>Tapa PE 160 mm Termo F.</v>
      </c>
      <c r="C1275" s="12">
        <v>6</v>
      </c>
      <c r="D1275" s="13"/>
      <c r="E1275" s="12">
        <v>867</v>
      </c>
      <c r="F1275" s="14">
        <v>46044</v>
      </c>
      <c r="G1275" s="34"/>
      <c r="H1275" s="34" t="s">
        <v>267</v>
      </c>
      <c r="I1275" s="34"/>
      <c r="J1275" s="9" t="s">
        <v>193</v>
      </c>
    </row>
    <row r="1276" spans="1:10" ht="15" customHeight="1" x14ac:dyDescent="0.35">
      <c r="A1276" s="12">
        <v>300117</v>
      </c>
      <c r="B1276" s="59" t="str">
        <f>IFERROR(VLOOKUP(Tabla1[[#This Row],[CODIGO]],INVENTARIO!A:B,2,0)," ")</f>
        <v>Copla PE100 160mm EF</v>
      </c>
      <c r="C1276" s="12">
        <v>12</v>
      </c>
      <c r="D1276" s="13"/>
      <c r="E1276" s="12">
        <v>867</v>
      </c>
      <c r="F1276" s="14">
        <v>46044</v>
      </c>
      <c r="G1276" s="34"/>
      <c r="H1276" s="34" t="s">
        <v>267</v>
      </c>
      <c r="I1276" s="34"/>
      <c r="J1276" s="9" t="s">
        <v>193</v>
      </c>
    </row>
    <row r="1277" spans="1:10" ht="15" customHeight="1" x14ac:dyDescent="0.35">
      <c r="A1277" s="12">
        <v>301099</v>
      </c>
      <c r="B1277" s="59" t="str">
        <f>IFERROR(VLOOKUP(Tabla1[[#This Row],[CODIGO]],INVENTARIO!A:B,2,0)," ")</f>
        <v>Válvula PE100 Dn 25mm</v>
      </c>
      <c r="C1277" s="12">
        <v>3</v>
      </c>
      <c r="D1277" s="13"/>
      <c r="E1277" s="12">
        <v>867</v>
      </c>
      <c r="F1277" s="14">
        <v>46044</v>
      </c>
      <c r="G1277" s="34"/>
      <c r="H1277" s="34" t="s">
        <v>267</v>
      </c>
      <c r="I1277" s="34"/>
      <c r="J1277" s="9" t="s">
        <v>193</v>
      </c>
    </row>
    <row r="1278" spans="1:10" ht="15" customHeight="1" x14ac:dyDescent="0.35">
      <c r="A1278" s="12">
        <v>301329</v>
      </c>
      <c r="B1278" s="59" t="str">
        <f>IFERROR(VLOOKUP(Tabla1[[#This Row],[CODIGO]],INVENTARIO!A:B,2,0)," ")</f>
        <v>Copla PE100 025mm EF</v>
      </c>
      <c r="C1278" s="12">
        <v>6</v>
      </c>
      <c r="D1278" s="13"/>
      <c r="E1278" s="12">
        <v>867</v>
      </c>
      <c r="F1278" s="14">
        <v>46044</v>
      </c>
      <c r="G1278" s="34"/>
      <c r="H1278" s="34" t="s">
        <v>267</v>
      </c>
      <c r="I1278" s="34"/>
      <c r="J1278" s="9" t="s">
        <v>193</v>
      </c>
    </row>
    <row r="1279" spans="1:10" ht="15" customHeight="1" x14ac:dyDescent="0.35">
      <c r="A1279" s="12">
        <v>2000350</v>
      </c>
      <c r="B1279" s="59" t="str">
        <f>IFERROR(VLOOKUP(Tabla1[[#This Row],[CODIGO]],INVENTARIO!A:B,2,0)," ")</f>
        <v>Codo PE 90º  25 mm EF.</v>
      </c>
      <c r="C1279" s="12">
        <v>3</v>
      </c>
      <c r="D1279" s="13"/>
      <c r="E1279" s="12">
        <v>867</v>
      </c>
      <c r="F1279" s="14">
        <v>46044</v>
      </c>
      <c r="G1279" s="34"/>
      <c r="H1279" s="34" t="s">
        <v>267</v>
      </c>
      <c r="I1279" s="34"/>
      <c r="J1279" s="9" t="s">
        <v>193</v>
      </c>
    </row>
    <row r="1280" spans="1:10" ht="15" customHeight="1" x14ac:dyDescent="0.35">
      <c r="A1280" s="12">
        <v>300109</v>
      </c>
      <c r="B1280" s="59" t="str">
        <f>IFERROR(VLOOKUP(Tabla1[[#This Row],[CODIGO]],INVENTARIO!A:B,2,0)," ")</f>
        <v>Risers de Acero 3/4" Bsp x 25 mm</v>
      </c>
      <c r="C1280" s="12">
        <v>3</v>
      </c>
      <c r="D1280" s="13"/>
      <c r="E1280" s="12">
        <v>867</v>
      </c>
      <c r="F1280" s="14">
        <v>46044</v>
      </c>
      <c r="G1280" s="34"/>
      <c r="H1280" s="34" t="s">
        <v>267</v>
      </c>
      <c r="I1280" s="34"/>
      <c r="J1280" s="9" t="s">
        <v>193</v>
      </c>
    </row>
    <row r="1281" spans="1:10" ht="15" customHeight="1" x14ac:dyDescent="0.35">
      <c r="A1281" s="12">
        <v>300527</v>
      </c>
      <c r="B1281" s="59" t="str">
        <f>IFERROR(VLOOKUP(Tabla1[[#This Row],[CODIGO]],INVENTARIO!A:B,2,0)," ")</f>
        <v>Tapping Tee PE 160-25 mm</v>
      </c>
      <c r="C1281" s="12">
        <v>3</v>
      </c>
      <c r="D1281" s="13"/>
      <c r="E1281" s="12">
        <v>867</v>
      </c>
      <c r="F1281" s="14">
        <v>46044</v>
      </c>
      <c r="G1281" s="34"/>
      <c r="H1281" s="34" t="s">
        <v>267</v>
      </c>
      <c r="I1281" s="34"/>
      <c r="J1281" s="9" t="s">
        <v>193</v>
      </c>
    </row>
    <row r="1282" spans="1:10" ht="15" customHeight="1" x14ac:dyDescent="0.35">
      <c r="A1282" s="12">
        <v>302737</v>
      </c>
      <c r="B1282" s="59" t="str">
        <f>IFERROR(VLOOKUP(Tabla1[[#This Row],[CODIGO]],INVENTARIO!A:B,2,0)," ")</f>
        <v>Válvula Bola 3/4" Hi Un Cuerpo Pn5 Arco</v>
      </c>
      <c r="C1282" s="12">
        <v>3</v>
      </c>
      <c r="D1282" s="13"/>
      <c r="E1282" s="12">
        <v>867</v>
      </c>
      <c r="F1282" s="14">
        <v>46044</v>
      </c>
      <c r="G1282" s="34"/>
      <c r="H1282" s="34" t="s">
        <v>267</v>
      </c>
      <c r="I1282" s="34"/>
      <c r="J1282" s="9" t="s">
        <v>193</v>
      </c>
    </row>
    <row r="1283" spans="1:10" ht="15" customHeight="1" x14ac:dyDescent="0.35">
      <c r="A1283" s="12">
        <v>2008481</v>
      </c>
      <c r="B1283" s="59" t="str">
        <f>IFERROR(VLOOKUP(Tabla1[[#This Row],[CODIGO]],INVENTARIO!A:B,2,0)," ")</f>
        <v>Tapa Tornillo Bronce 3/4" HE Bspt.</v>
      </c>
      <c r="C1283" s="12">
        <v>3</v>
      </c>
      <c r="D1283" s="13"/>
      <c r="E1283" s="12">
        <v>867</v>
      </c>
      <c r="F1283" s="14">
        <v>46044</v>
      </c>
      <c r="G1283" s="34"/>
      <c r="H1283" s="34" t="s">
        <v>267</v>
      </c>
      <c r="I1283" s="34"/>
      <c r="J1283" s="9" t="s">
        <v>193</v>
      </c>
    </row>
    <row r="1284" spans="1:10" ht="15" customHeight="1" x14ac:dyDescent="0.35">
      <c r="A1284" s="12">
        <v>2007387</v>
      </c>
      <c r="B1284" s="59" t="str">
        <f>IFERROR(VLOOKUP(Tabla1[[#This Row],[CODIGO]],INVENTARIO!A:B,2,0)," ")</f>
        <v>Codo PE100 90° 160mm EF</v>
      </c>
      <c r="C1284" s="12">
        <v>7</v>
      </c>
      <c r="D1284" s="13"/>
      <c r="E1284" s="12">
        <v>867</v>
      </c>
      <c r="F1284" s="14">
        <v>46044</v>
      </c>
      <c r="G1284" s="34"/>
      <c r="H1284" s="34" t="s">
        <v>267</v>
      </c>
      <c r="I1284" s="34"/>
      <c r="J1284" s="9" t="s">
        <v>193</v>
      </c>
    </row>
    <row r="1285" spans="1:10" ht="15" customHeight="1" x14ac:dyDescent="0.35">
      <c r="A1285" s="12">
        <v>301334</v>
      </c>
      <c r="B1285" s="59" t="str">
        <f>IFERROR(VLOOKUP(Tabla1[[#This Row],[CODIGO]],INVENTARIO!A:B,2,0)," ")</f>
        <v>Codo PE100 90° 160mm TF</v>
      </c>
      <c r="C1285" s="12">
        <v>3</v>
      </c>
      <c r="D1285" s="13"/>
      <c r="E1285" s="12">
        <v>867</v>
      </c>
      <c r="F1285" s="14">
        <v>46044</v>
      </c>
      <c r="G1285" s="34"/>
      <c r="H1285" s="34" t="s">
        <v>267</v>
      </c>
      <c r="I1285" s="34"/>
      <c r="J1285" s="9" t="s">
        <v>193</v>
      </c>
    </row>
    <row r="1286" spans="1:10" ht="15" customHeight="1" x14ac:dyDescent="0.35">
      <c r="A1286" s="12">
        <v>2003911</v>
      </c>
      <c r="B1286" s="59" t="str">
        <f>IFERROR(VLOOKUP(Tabla1[[#This Row],[CODIGO]],INVENTARIO!A:B,2,0)," ")</f>
        <v>Válvula EFv PE 25 mm Para Tap. Tee</v>
      </c>
      <c r="C1286" s="12">
        <v>3</v>
      </c>
      <c r="D1286" s="13"/>
      <c r="E1286" s="12">
        <v>867</v>
      </c>
      <c r="F1286" s="14">
        <v>46044</v>
      </c>
      <c r="G1286" s="34"/>
      <c r="H1286" s="34" t="s">
        <v>267</v>
      </c>
      <c r="I1286" s="34"/>
      <c r="J1286" s="9" t="s">
        <v>193</v>
      </c>
    </row>
    <row r="1287" spans="1:10" ht="15" customHeight="1" x14ac:dyDescent="0.35">
      <c r="A1287" s="12">
        <v>2007948</v>
      </c>
      <c r="B1287" s="59" t="str">
        <f>IFERROR(VLOOKUP(Tabla1[[#This Row],[CODIGO]],INVENTARIO!A:B,2,0)," ")</f>
        <v>Tubo PVC Hidraulico 110 mm Pn6 Celeste</v>
      </c>
      <c r="C1287" s="12">
        <v>4</v>
      </c>
      <c r="D1287" s="13"/>
      <c r="E1287" s="12">
        <v>869</v>
      </c>
      <c r="F1287" s="14">
        <v>46044</v>
      </c>
      <c r="G1287" s="34"/>
      <c r="H1287" s="34" t="s">
        <v>225</v>
      </c>
      <c r="I1287" s="34"/>
      <c r="J1287" s="9" t="s">
        <v>203</v>
      </c>
    </row>
    <row r="1288" spans="1:10" ht="15" customHeight="1" x14ac:dyDescent="0.35">
      <c r="A1288" s="12">
        <v>2004602</v>
      </c>
      <c r="B1288" s="59" t="str">
        <f>IFERROR(VLOOKUP(Tabla1[[#This Row],[CODIGO]],INVENTARIO!A:B,2,0)," ")</f>
        <v>MRPC-120-(4/1,2)-(S)-2</v>
      </c>
      <c r="C1288" s="12">
        <v>2</v>
      </c>
      <c r="D1288" s="13"/>
      <c r="E1288" s="12">
        <v>869</v>
      </c>
      <c r="F1288" s="14">
        <v>46044</v>
      </c>
      <c r="G1288" s="34"/>
      <c r="H1288" s="34" t="s">
        <v>225</v>
      </c>
      <c r="I1288" s="34"/>
      <c r="J1288" s="9" t="s">
        <v>203</v>
      </c>
    </row>
    <row r="1289" spans="1:10" ht="15" customHeight="1" x14ac:dyDescent="0.35">
      <c r="A1289" s="12">
        <v>303362</v>
      </c>
      <c r="B1289" s="59" t="str">
        <f>IFERROR(VLOOKUP(Tabla1[[#This Row],[CODIGO]],INVENTARIO!A:B,2,0)," ")</f>
        <v>Reductor PE  50-40 mm Electro F.</v>
      </c>
      <c r="C1289" s="12">
        <v>2</v>
      </c>
      <c r="D1289" s="13"/>
      <c r="E1289" s="12">
        <v>869</v>
      </c>
      <c r="F1289" s="14">
        <v>46044</v>
      </c>
      <c r="G1289" s="34"/>
      <c r="H1289" s="34" t="s">
        <v>225</v>
      </c>
      <c r="I1289" s="34"/>
      <c r="J1289" s="9" t="s">
        <v>203</v>
      </c>
    </row>
    <row r="1290" spans="1:10" ht="15" customHeight="1" x14ac:dyDescent="0.35">
      <c r="A1290" s="12">
        <v>301327</v>
      </c>
      <c r="B1290" s="59" t="str">
        <f>IFERROR(VLOOKUP(Tabla1[[#This Row],[CODIGO]],INVENTARIO!A:B,2,0)," ")</f>
        <v>Tapa PE  050 mm Termo F.</v>
      </c>
      <c r="C1290" s="12">
        <v>3</v>
      </c>
      <c r="D1290" s="13"/>
      <c r="E1290" s="12">
        <v>869</v>
      </c>
      <c r="F1290" s="14">
        <v>46044</v>
      </c>
      <c r="G1290" s="34"/>
      <c r="H1290" s="34" t="s">
        <v>225</v>
      </c>
      <c r="I1290" s="34"/>
      <c r="J1290" s="9" t="s">
        <v>203</v>
      </c>
    </row>
    <row r="1291" spans="1:10" ht="15" customHeight="1" x14ac:dyDescent="0.35">
      <c r="A1291" s="12">
        <v>302992</v>
      </c>
      <c r="B1291" s="59" t="str">
        <f>IFERROR(VLOOKUP(Tabla1[[#This Row],[CODIGO]],INVENTARIO!A:B,2,0)," ")</f>
        <v>Codo PE100 90° 050mm EF</v>
      </c>
      <c r="C1291" s="12">
        <v>4</v>
      </c>
      <c r="D1291" s="13"/>
      <c r="E1291" s="12">
        <v>869</v>
      </c>
      <c r="F1291" s="14">
        <v>46044</v>
      </c>
      <c r="G1291" s="34"/>
      <c r="H1291" s="34" t="s">
        <v>225</v>
      </c>
      <c r="I1291" s="34"/>
      <c r="J1291" s="9" t="s">
        <v>203</v>
      </c>
    </row>
    <row r="1292" spans="1:10" ht="15" customHeight="1" x14ac:dyDescent="0.35">
      <c r="A1292" s="12">
        <v>300414</v>
      </c>
      <c r="B1292" s="59" t="str">
        <f>IFERROR(VLOOKUP(Tabla1[[#This Row],[CODIGO]],INVENTARIO!A:B,2,0)," ")</f>
        <v>Válvula PE100 Dn 50mm</v>
      </c>
      <c r="C1292" s="12">
        <v>2</v>
      </c>
      <c r="D1292" s="13"/>
      <c r="E1292" s="12">
        <v>869</v>
      </c>
      <c r="F1292" s="14">
        <v>46044</v>
      </c>
      <c r="G1292" s="34"/>
      <c r="H1292" s="34" t="s">
        <v>225</v>
      </c>
      <c r="I1292" s="34"/>
      <c r="J1292" s="9" t="s">
        <v>203</v>
      </c>
    </row>
    <row r="1293" spans="1:10" ht="15" customHeight="1" x14ac:dyDescent="0.35">
      <c r="A1293" s="12">
        <v>303345</v>
      </c>
      <c r="B1293" s="59" t="str">
        <f>IFERROR(VLOOKUP(Tabla1[[#This Row],[CODIGO]],INVENTARIO!A:B,2,0)," ")</f>
        <v>Copla PE100 050mm EF</v>
      </c>
      <c r="C1293" s="12">
        <v>9</v>
      </c>
      <c r="D1293" s="13"/>
      <c r="E1293" s="12">
        <v>869</v>
      </c>
      <c r="F1293" s="14">
        <v>46044</v>
      </c>
      <c r="G1293" s="34"/>
      <c r="H1293" s="34" t="s">
        <v>225</v>
      </c>
      <c r="I1293" s="34"/>
      <c r="J1293" s="9" t="s">
        <v>203</v>
      </c>
    </row>
    <row r="1294" spans="1:10" ht="15" customHeight="1" x14ac:dyDescent="0.35">
      <c r="A1294" s="12">
        <v>400205</v>
      </c>
      <c r="B1294" s="59" t="str">
        <f>IFERROR(VLOOKUP(Tabla1[[#This Row],[CODIGO]],INVENTARIO!A:B,2,0)," ")</f>
        <v>Tee PE  50 mm Electro F.</v>
      </c>
      <c r="C1294" s="12">
        <v>1</v>
      </c>
      <c r="D1294" s="13"/>
      <c r="E1294" s="12">
        <v>869</v>
      </c>
      <c r="F1294" s="14">
        <v>46044</v>
      </c>
      <c r="G1294" s="34"/>
      <c r="H1294" s="34" t="s">
        <v>225</v>
      </c>
      <c r="I1294" s="34"/>
      <c r="J1294" s="9" t="s">
        <v>203</v>
      </c>
    </row>
    <row r="1295" spans="1:10" ht="15" customHeight="1" x14ac:dyDescent="0.35">
      <c r="A1295" s="12">
        <v>300712</v>
      </c>
      <c r="B1295" s="59" t="str">
        <f>IFERROR(VLOOKUP(Tabla1[[#This Row],[CODIGO]],INVENTARIO!A:B,2,0)," ")</f>
        <v>Tapa PE  025 mm Termo F.</v>
      </c>
      <c r="C1295" s="12">
        <v>2</v>
      </c>
      <c r="D1295" s="13"/>
      <c r="E1295" s="12">
        <v>869</v>
      </c>
      <c r="F1295" s="14">
        <v>46044</v>
      </c>
      <c r="G1295" s="34"/>
      <c r="H1295" s="34" t="s">
        <v>225</v>
      </c>
      <c r="I1295" s="34"/>
      <c r="J1295" s="9" t="s">
        <v>203</v>
      </c>
    </row>
    <row r="1296" spans="1:10" ht="15" customHeight="1" x14ac:dyDescent="0.35">
      <c r="A1296" s="12">
        <v>301329</v>
      </c>
      <c r="B1296" s="59" t="str">
        <f>IFERROR(VLOOKUP(Tabla1[[#This Row],[CODIGO]],INVENTARIO!A:B,2,0)," ")</f>
        <v>Copla PE100 025mm EF</v>
      </c>
      <c r="C1296" s="12">
        <v>6</v>
      </c>
      <c r="D1296" s="13"/>
      <c r="E1296" s="12">
        <v>869</v>
      </c>
      <c r="F1296" s="14">
        <v>46044</v>
      </c>
      <c r="G1296" s="34"/>
      <c r="H1296" s="34" t="s">
        <v>225</v>
      </c>
      <c r="I1296" s="34"/>
      <c r="J1296" s="9" t="s">
        <v>203</v>
      </c>
    </row>
    <row r="1297" spans="1:10" ht="15" customHeight="1" x14ac:dyDescent="0.35">
      <c r="A1297" s="12">
        <v>300109</v>
      </c>
      <c r="B1297" s="59" t="str">
        <f>IFERROR(VLOOKUP(Tabla1[[#This Row],[CODIGO]],INVENTARIO!A:B,2,0)," ")</f>
        <v>Risers de Acero 3/4" Bsp x 25 mm</v>
      </c>
      <c r="C1297" s="12">
        <v>2</v>
      </c>
      <c r="D1297" s="13"/>
      <c r="E1297" s="12">
        <v>869</v>
      </c>
      <c r="F1297" s="14">
        <v>46044</v>
      </c>
      <c r="G1297" s="34"/>
      <c r="H1297" s="34" t="s">
        <v>225</v>
      </c>
      <c r="I1297" s="34"/>
      <c r="J1297" s="9" t="s">
        <v>203</v>
      </c>
    </row>
    <row r="1298" spans="1:10" ht="15" customHeight="1" x14ac:dyDescent="0.35">
      <c r="A1298" s="12">
        <v>101624</v>
      </c>
      <c r="B1298" s="59" t="str">
        <f>IFERROR(VLOOKUP(Tabla1[[#This Row],[CODIGO]],INVENTARIO!A:B,2,0)," ")</f>
        <v>Tapping Tee PE 50-25 mm</v>
      </c>
      <c r="C1298" s="12">
        <v>2</v>
      </c>
      <c r="D1298" s="13"/>
      <c r="E1298" s="12">
        <v>869</v>
      </c>
      <c r="F1298" s="14">
        <v>46044</v>
      </c>
      <c r="G1298" s="34"/>
      <c r="H1298" s="34" t="s">
        <v>225</v>
      </c>
      <c r="I1298" s="34"/>
      <c r="J1298" s="9" t="s">
        <v>203</v>
      </c>
    </row>
    <row r="1299" spans="1:10" ht="15" customHeight="1" x14ac:dyDescent="0.35">
      <c r="A1299" s="12">
        <v>1002167</v>
      </c>
      <c r="B1299" s="59" t="str">
        <f>IFERROR(VLOOKUP(Tabla1[[#This Row],[CODIGO]],INVENTARIO!A:B,2,0)," ")</f>
        <v>Cable Trazador Cu 14 AWG Aisl. THW Roj</v>
      </c>
      <c r="C1299" s="12">
        <v>12</v>
      </c>
      <c r="D1299" s="13"/>
      <c r="E1299" s="12">
        <v>869</v>
      </c>
      <c r="F1299" s="14">
        <v>46044</v>
      </c>
      <c r="G1299" s="34"/>
      <c r="H1299" s="34" t="s">
        <v>225</v>
      </c>
      <c r="I1299" s="34"/>
      <c r="J1299" s="9" t="s">
        <v>203</v>
      </c>
    </row>
    <row r="1300" spans="1:10" ht="15" customHeight="1" x14ac:dyDescent="0.35">
      <c r="A1300" s="12">
        <v>2002262</v>
      </c>
      <c r="B1300" s="59" t="str">
        <f>IFERROR(VLOOKUP(Tabla1[[#This Row],[CODIGO]],INVENTARIO!A:B,2,0)," ")</f>
        <v>Tubería PE80 050mm Rollo</v>
      </c>
      <c r="C1300" s="12">
        <v>6</v>
      </c>
      <c r="D1300" s="13"/>
      <c r="E1300" s="12">
        <v>869</v>
      </c>
      <c r="F1300" s="14">
        <v>46044</v>
      </c>
      <c r="G1300" s="34"/>
      <c r="H1300" s="34" t="s">
        <v>225</v>
      </c>
      <c r="I1300" s="34"/>
      <c r="J1300" s="9" t="s">
        <v>203</v>
      </c>
    </row>
    <row r="1301" spans="1:10" ht="15" customHeight="1" x14ac:dyDescent="0.35">
      <c r="A1301" s="12">
        <v>2006391</v>
      </c>
      <c r="B1301" s="59" t="str">
        <f>IFERROR(VLOOKUP(Tabla1[[#This Row],[CODIGO]],INVENTARIO!A:B,2,0)," ")</f>
        <v>Guardallave Fierro Fundido C/Tapa</v>
      </c>
      <c r="C1301" s="12">
        <v>2</v>
      </c>
      <c r="D1301" s="13"/>
      <c r="E1301" s="12">
        <v>869</v>
      </c>
      <c r="F1301" s="14">
        <v>46044</v>
      </c>
      <c r="G1301" s="34"/>
      <c r="H1301" s="34" t="s">
        <v>225</v>
      </c>
      <c r="I1301" s="34"/>
      <c r="J1301" s="9" t="s">
        <v>203</v>
      </c>
    </row>
    <row r="1302" spans="1:10" ht="15" customHeight="1" x14ac:dyDescent="0.35">
      <c r="A1302" s="12">
        <v>303368</v>
      </c>
      <c r="B1302" s="59" t="str">
        <f>IFERROR(VLOOKUP(Tabla1[[#This Row],[CODIGO]],INVENTARIO!A:B,2,0)," ")</f>
        <v>Cinta Plástica "Línea GN", 30 x 0.1</v>
      </c>
      <c r="C1302" s="12">
        <v>12</v>
      </c>
      <c r="D1302" s="13"/>
      <c r="E1302" s="12">
        <v>869</v>
      </c>
      <c r="F1302" s="14">
        <v>46044</v>
      </c>
      <c r="G1302" s="34"/>
      <c r="H1302" s="34" t="s">
        <v>225</v>
      </c>
      <c r="I1302" s="34"/>
      <c r="J1302" s="9" t="s">
        <v>203</v>
      </c>
    </row>
    <row r="1303" spans="1:10" ht="15" customHeight="1" x14ac:dyDescent="0.35">
      <c r="A1303" s="12">
        <v>300342</v>
      </c>
      <c r="B1303" s="59" t="str">
        <f>IFERROR(VLOOKUP(Tabla1[[#This Row],[CODIGO]],INVENTARIO!A:B,2,0)," ")</f>
        <v>Codo So/So 1 1/2 IN Bronce</v>
      </c>
      <c r="C1303" s="12">
        <v>6</v>
      </c>
      <c r="D1303" s="13"/>
      <c r="E1303" s="12">
        <v>869</v>
      </c>
      <c r="F1303" s="14">
        <v>46044</v>
      </c>
      <c r="G1303" s="34"/>
      <c r="H1303" s="34" t="s">
        <v>225</v>
      </c>
      <c r="I1303" s="34"/>
      <c r="J1303" s="9" t="s">
        <v>203</v>
      </c>
    </row>
    <row r="1304" spans="1:10" ht="15" customHeight="1" x14ac:dyDescent="0.35">
      <c r="A1304" s="12">
        <v>2002262</v>
      </c>
      <c r="B1304" s="59" t="str">
        <f>IFERROR(VLOOKUP(Tabla1[[#This Row],[CODIGO]],INVENTARIO!A:B,2,0)," ")</f>
        <v>Tubería PE80 050mm Rollo</v>
      </c>
      <c r="C1304" s="12">
        <v>6</v>
      </c>
      <c r="D1304" s="13"/>
      <c r="E1304" s="12">
        <v>869</v>
      </c>
      <c r="F1304" s="14">
        <v>46044</v>
      </c>
      <c r="G1304" s="34"/>
      <c r="H1304" s="34" t="s">
        <v>225</v>
      </c>
      <c r="I1304" s="34"/>
      <c r="J1304" s="9" t="s">
        <v>203</v>
      </c>
    </row>
    <row r="1305" spans="1:10" ht="15" customHeight="1" x14ac:dyDescent="0.35">
      <c r="A1305" s="12">
        <v>303510</v>
      </c>
      <c r="B1305" s="59" t="str">
        <f>IFERROR(VLOOKUP(Tabla1[[#This Row],[CODIGO]],INVENTARIO!A:B,2,0)," ")</f>
        <v>Guardallave Hormigón 125 mm con Tapa</v>
      </c>
      <c r="C1305" s="12">
        <v>2</v>
      </c>
      <c r="D1305" s="13"/>
      <c r="E1305" s="12">
        <v>869</v>
      </c>
      <c r="F1305" s="14">
        <v>46044</v>
      </c>
      <c r="G1305" s="34"/>
      <c r="H1305" s="34" t="s">
        <v>225</v>
      </c>
      <c r="I1305" s="34"/>
      <c r="J1305" s="9" t="s">
        <v>203</v>
      </c>
    </row>
    <row r="1306" spans="1:10" ht="15" customHeight="1" x14ac:dyDescent="0.35">
      <c r="A1306" s="12">
        <v>302184</v>
      </c>
      <c r="B1306" s="59" t="str">
        <f>IFERROR(VLOOKUP(Tabla1[[#This Row],[CODIGO]],INVENTARIO!A:B,2,0)," ")</f>
        <v>Tapa Tornillo Cambio de Codigo por: 2008481</v>
      </c>
      <c r="C1306" s="12">
        <v>2</v>
      </c>
      <c r="D1306" s="13"/>
      <c r="E1306" s="12">
        <v>869</v>
      </c>
      <c r="F1306" s="14">
        <v>46044</v>
      </c>
      <c r="G1306" s="34"/>
      <c r="H1306" s="34" t="s">
        <v>225</v>
      </c>
      <c r="I1306" s="34"/>
      <c r="J1306" s="9" t="s">
        <v>203</v>
      </c>
    </row>
    <row r="1307" spans="1:10" ht="15" customHeight="1" x14ac:dyDescent="0.35">
      <c r="A1307" s="12">
        <v>302737</v>
      </c>
      <c r="B1307" s="59" t="str">
        <f>IFERROR(VLOOKUP(Tabla1[[#This Row],[CODIGO]],INVENTARIO!A:B,2,0)," ")</f>
        <v>Válvula Bola 3/4" Hi Un Cuerpo Pn5 Arco</v>
      </c>
      <c r="C1307" s="12">
        <v>2</v>
      </c>
      <c r="D1307" s="13"/>
      <c r="E1307" s="12">
        <v>869</v>
      </c>
      <c r="F1307" s="14">
        <v>46044</v>
      </c>
      <c r="G1307" s="34"/>
      <c r="H1307" s="34" t="s">
        <v>225</v>
      </c>
      <c r="I1307" s="34"/>
      <c r="J1307" s="9" t="s">
        <v>203</v>
      </c>
    </row>
    <row r="1308" spans="1:10" ht="15" customHeight="1" x14ac:dyDescent="0.35">
      <c r="A1308" s="12">
        <v>1002167</v>
      </c>
      <c r="B1308" s="59" t="str">
        <f>IFERROR(VLOOKUP(Tabla1[[#This Row],[CODIGO]],INVENTARIO!A:B,2,0)," ")</f>
        <v>Cable Trazador Cu 14 AWG Aisl. THW Roj</v>
      </c>
      <c r="C1308" s="12">
        <v>200</v>
      </c>
      <c r="D1308" s="13"/>
      <c r="E1308" s="12">
        <v>873</v>
      </c>
      <c r="F1308" s="14">
        <v>46044</v>
      </c>
      <c r="G1308" s="34"/>
      <c r="H1308" s="34" t="s">
        <v>269</v>
      </c>
      <c r="I1308" s="34"/>
      <c r="J1308" s="9" t="s">
        <v>207</v>
      </c>
    </row>
    <row r="1309" spans="1:10" ht="15" customHeight="1" x14ac:dyDescent="0.35">
      <c r="A1309" s="12">
        <v>2000350</v>
      </c>
      <c r="B1309" s="59" t="str">
        <f>IFERROR(VLOOKUP(Tabla1[[#This Row],[CODIGO]],INVENTARIO!A:B,2,0)," ")</f>
        <v>Codo PE 90º  25 mm EF.</v>
      </c>
      <c r="C1309" s="12">
        <v>3</v>
      </c>
      <c r="D1309" s="13"/>
      <c r="E1309" s="12">
        <v>874</v>
      </c>
      <c r="F1309" s="14">
        <v>46044</v>
      </c>
      <c r="G1309" s="34"/>
      <c r="H1309" s="34" t="s">
        <v>268</v>
      </c>
      <c r="I1309" s="34"/>
      <c r="J1309" s="9" t="s">
        <v>206</v>
      </c>
    </row>
    <row r="1310" spans="1:10" ht="15" customHeight="1" x14ac:dyDescent="0.35">
      <c r="A1310" s="12">
        <v>302683</v>
      </c>
      <c r="B1310" s="59" t="str">
        <f>IFERROR(VLOOKUP(Tabla1[[#This Row],[CODIGO]],INVENTARIO!A:B,2,0)," ")</f>
        <v>Codo PE100 45° 160mm EF</v>
      </c>
      <c r="C1310" s="12">
        <v>5</v>
      </c>
      <c r="D1310" s="13"/>
      <c r="E1310" s="12">
        <v>877</v>
      </c>
      <c r="F1310" s="14">
        <v>46044</v>
      </c>
      <c r="G1310" s="34"/>
      <c r="H1310" s="34" t="s">
        <v>267</v>
      </c>
      <c r="I1310" s="34"/>
      <c r="J1310" s="9" t="s">
        <v>193</v>
      </c>
    </row>
    <row r="1311" spans="1:10" ht="15" customHeight="1" x14ac:dyDescent="0.35">
      <c r="A1311" s="12">
        <v>2008302</v>
      </c>
      <c r="B1311" s="59" t="str">
        <f>IFERROR(VLOOKUP(Tabla1[[#This Row],[CODIGO]],INVENTARIO!A:B,2,0)," ")</f>
        <v>Tapa PE 063 mm Electro F.</v>
      </c>
      <c r="C1311" s="12">
        <v>2</v>
      </c>
      <c r="D1311" s="13"/>
      <c r="E1311" s="12">
        <v>877</v>
      </c>
      <c r="F1311" s="14">
        <v>46044</v>
      </c>
      <c r="G1311" s="34"/>
      <c r="H1311" s="34" t="s">
        <v>267</v>
      </c>
      <c r="I1311" s="34"/>
      <c r="J1311" s="9" t="s">
        <v>193</v>
      </c>
    </row>
    <row r="1312" spans="1:10" ht="15" customHeight="1" x14ac:dyDescent="0.35">
      <c r="A1312" s="12">
        <v>301047</v>
      </c>
      <c r="B1312" s="59" t="str">
        <f>IFERROR(VLOOKUP(Tabla1[[#This Row],[CODIGO]],INVENTARIO!A:B,2,0)," ")</f>
        <v>Tee PE 160 mm Electro F.</v>
      </c>
      <c r="C1312" s="12">
        <v>6</v>
      </c>
      <c r="D1312" s="13"/>
      <c r="E1312" s="12">
        <v>877</v>
      </c>
      <c r="F1312" s="14">
        <v>46044</v>
      </c>
      <c r="G1312" s="34"/>
      <c r="H1312" s="34" t="s">
        <v>267</v>
      </c>
      <c r="I1312" s="34"/>
      <c r="J1312" s="9" t="s">
        <v>193</v>
      </c>
    </row>
    <row r="1313" spans="1:10" ht="15" customHeight="1" x14ac:dyDescent="0.35">
      <c r="A1313" s="12">
        <v>303007</v>
      </c>
      <c r="B1313" s="59" t="str">
        <f>IFERROR(VLOOKUP(Tabla1[[#This Row],[CODIGO]],INVENTARIO!A:B,2,0)," ")</f>
        <v>Reductor PE 160-110 mm Termo F.</v>
      </c>
      <c r="C1313" s="12">
        <v>3</v>
      </c>
      <c r="D1313" s="13"/>
      <c r="E1313" s="12">
        <v>877</v>
      </c>
      <c r="F1313" s="14">
        <v>46044</v>
      </c>
      <c r="G1313" s="34"/>
      <c r="H1313" s="34" t="s">
        <v>267</v>
      </c>
      <c r="I1313" s="34"/>
      <c r="J1313" s="9" t="s">
        <v>193</v>
      </c>
    </row>
    <row r="1314" spans="1:10" ht="15" customHeight="1" x14ac:dyDescent="0.35">
      <c r="A1314" s="12">
        <v>301770</v>
      </c>
      <c r="B1314" s="59" t="str">
        <f>IFERROR(VLOOKUP(Tabla1[[#This Row],[CODIGO]],INVENTARIO!A:B,2,0)," ")</f>
        <v>Válvula PE100 Dn 160mm</v>
      </c>
      <c r="C1314" s="12">
        <v>1</v>
      </c>
      <c r="D1314" s="13"/>
      <c r="E1314" s="12">
        <v>877</v>
      </c>
      <c r="F1314" s="14">
        <v>46044</v>
      </c>
      <c r="G1314" s="34"/>
      <c r="H1314" s="34" t="s">
        <v>267</v>
      </c>
      <c r="I1314" s="34"/>
      <c r="J1314" s="9" t="s">
        <v>193</v>
      </c>
    </row>
    <row r="1315" spans="1:10" ht="15" customHeight="1" x14ac:dyDescent="0.35">
      <c r="A1315" s="12">
        <v>300117</v>
      </c>
      <c r="B1315" s="59" t="str">
        <f>IFERROR(VLOOKUP(Tabla1[[#This Row],[CODIGO]],INVENTARIO!A:B,2,0)," ")</f>
        <v>Copla PE100 160mm EF</v>
      </c>
      <c r="C1315" s="12">
        <v>16</v>
      </c>
      <c r="D1315" s="13"/>
      <c r="E1315" s="12">
        <v>877</v>
      </c>
      <c r="F1315" s="14">
        <v>46044</v>
      </c>
      <c r="G1315" s="34"/>
      <c r="H1315" s="34" t="s">
        <v>267</v>
      </c>
      <c r="I1315" s="34"/>
      <c r="J1315" s="9" t="s">
        <v>193</v>
      </c>
    </row>
    <row r="1316" spans="1:10" ht="15" customHeight="1" x14ac:dyDescent="0.35">
      <c r="A1316" s="12">
        <v>300422</v>
      </c>
      <c r="B1316" s="59" t="str">
        <f>IFERROR(VLOOKUP(Tabla1[[#This Row],[CODIGO]],INVENTARIO!A:B,2,0)," ")</f>
        <v>Tapa PE 160 mm Termo F.</v>
      </c>
      <c r="C1316" s="12">
        <v>3</v>
      </c>
      <c r="D1316" s="13"/>
      <c r="E1316" s="12">
        <v>877</v>
      </c>
      <c r="F1316" s="14">
        <v>46044</v>
      </c>
      <c r="G1316" s="34"/>
      <c r="H1316" s="34" t="s">
        <v>267</v>
      </c>
      <c r="I1316" s="34"/>
      <c r="J1316" s="9" t="s">
        <v>193</v>
      </c>
    </row>
    <row r="1317" spans="1:10" ht="15" customHeight="1" x14ac:dyDescent="0.35">
      <c r="A1317" s="12">
        <v>300108</v>
      </c>
      <c r="B1317" s="59" t="str">
        <f>IFERROR(VLOOKUP(Tabla1[[#This Row],[CODIGO]],INVENTARIO!A:B,2,0)," ")</f>
        <v>Tapping Tee PE 63-25 mm</v>
      </c>
      <c r="C1317" s="12">
        <v>5</v>
      </c>
      <c r="D1317" s="13"/>
      <c r="E1317" s="12">
        <v>880</v>
      </c>
      <c r="F1317" s="14">
        <v>46045</v>
      </c>
      <c r="G1317" s="34"/>
      <c r="H1317" s="34" t="s">
        <v>226</v>
      </c>
      <c r="I1317" s="34"/>
      <c r="J1317" s="9" t="s">
        <v>194</v>
      </c>
    </row>
    <row r="1318" spans="1:10" ht="15" customHeight="1" x14ac:dyDescent="0.35">
      <c r="A1318" s="12">
        <v>301329</v>
      </c>
      <c r="B1318" s="59" t="str">
        <f>IFERROR(VLOOKUP(Tabla1[[#This Row],[CODIGO]],INVENTARIO!A:B,2,0)," ")</f>
        <v>Copla PE100 025mm EF</v>
      </c>
      <c r="C1318" s="12">
        <v>10</v>
      </c>
      <c r="D1318" s="13"/>
      <c r="E1318" s="12">
        <v>880</v>
      </c>
      <c r="F1318" s="14">
        <v>46045</v>
      </c>
      <c r="G1318" s="34"/>
      <c r="H1318" s="34" t="s">
        <v>226</v>
      </c>
      <c r="I1318" s="34"/>
      <c r="J1318" s="9" t="s">
        <v>194</v>
      </c>
    </row>
    <row r="1319" spans="1:10" ht="15" customHeight="1" x14ac:dyDescent="0.35">
      <c r="A1319" s="12">
        <v>2003965</v>
      </c>
      <c r="B1319" s="59" t="str">
        <f>IFERROR(VLOOKUP(Tabla1[[#This Row],[CODIGO]],INVENTARIO!A:B,2,0)," ")</f>
        <v>Válvula PE100 Dn 63mm</v>
      </c>
      <c r="C1319" s="12">
        <v>1</v>
      </c>
      <c r="D1319" s="13"/>
      <c r="E1319" s="12">
        <v>880</v>
      </c>
      <c r="F1319" s="14">
        <v>46045</v>
      </c>
      <c r="G1319" s="34"/>
      <c r="H1319" s="34" t="s">
        <v>226</v>
      </c>
      <c r="I1319" s="34"/>
      <c r="J1319" s="9" t="s">
        <v>194</v>
      </c>
    </row>
    <row r="1320" spans="1:10" ht="15" customHeight="1" x14ac:dyDescent="0.35">
      <c r="A1320" s="12">
        <v>302659</v>
      </c>
      <c r="B1320" s="59" t="str">
        <f>IFERROR(VLOOKUP(Tabla1[[#This Row],[CODIGO]],INVENTARIO!A:B,2,0)," ")</f>
        <v>Copla PE100 063mm EF</v>
      </c>
      <c r="C1320" s="12">
        <v>2</v>
      </c>
      <c r="D1320" s="13"/>
      <c r="E1320" s="12">
        <v>880</v>
      </c>
      <c r="F1320" s="14">
        <v>46045</v>
      </c>
      <c r="G1320" s="34"/>
      <c r="H1320" s="34" t="s">
        <v>226</v>
      </c>
      <c r="I1320" s="34"/>
      <c r="J1320" s="9" t="s">
        <v>194</v>
      </c>
    </row>
    <row r="1321" spans="1:10" ht="15" customHeight="1" x14ac:dyDescent="0.35">
      <c r="A1321" s="12">
        <v>2003911</v>
      </c>
      <c r="B1321" s="59" t="str">
        <f>IFERROR(VLOOKUP(Tabla1[[#This Row],[CODIGO]],INVENTARIO!A:B,2,0)," ")</f>
        <v>Válvula EFv PE 25 mm Para Tap. Tee</v>
      </c>
      <c r="C1321" s="12">
        <v>5</v>
      </c>
      <c r="D1321" s="13"/>
      <c r="E1321" s="12">
        <v>880</v>
      </c>
      <c r="F1321" s="14">
        <v>46045</v>
      </c>
      <c r="G1321" s="34"/>
      <c r="H1321" s="34" t="s">
        <v>226</v>
      </c>
      <c r="I1321" s="34"/>
      <c r="J1321" s="9" t="s">
        <v>194</v>
      </c>
    </row>
    <row r="1322" spans="1:10" ht="15" customHeight="1" x14ac:dyDescent="0.35">
      <c r="A1322" s="12">
        <v>2002263</v>
      </c>
      <c r="B1322" s="59" t="str">
        <f>IFERROR(VLOOKUP(Tabla1[[#This Row],[CODIGO]],INVENTARIO!A:B,2,0)," ")</f>
        <v>Tubería PE80 063mm Rollo</v>
      </c>
      <c r="C1322" s="12">
        <v>12</v>
      </c>
      <c r="D1322" s="13"/>
      <c r="E1322" s="12">
        <v>880</v>
      </c>
      <c r="F1322" s="14">
        <v>46045</v>
      </c>
      <c r="G1322" s="34"/>
      <c r="H1322" s="34" t="s">
        <v>226</v>
      </c>
      <c r="I1322" s="34"/>
      <c r="J1322" s="9" t="s">
        <v>194</v>
      </c>
    </row>
    <row r="1323" spans="1:10" ht="15" customHeight="1" x14ac:dyDescent="0.35">
      <c r="A1323" s="12">
        <v>301749</v>
      </c>
      <c r="B1323" s="59" t="str">
        <f>IFERROR(VLOOKUP(Tabla1[[#This Row],[CODIGO]],INVENTARIO!A:B,2,0)," ")</f>
        <v>Tubería PE80 025mm Rollo</v>
      </c>
      <c r="C1323" s="12">
        <v>20</v>
      </c>
      <c r="D1323" s="13"/>
      <c r="E1323" s="12">
        <v>883</v>
      </c>
      <c r="F1323" s="14">
        <v>46045</v>
      </c>
      <c r="G1323" s="34"/>
      <c r="H1323" s="34" t="s">
        <v>226</v>
      </c>
      <c r="I1323" s="34"/>
      <c r="J1323" s="9" t="s">
        <v>194</v>
      </c>
    </row>
    <row r="1324" spans="1:10" ht="15" customHeight="1" x14ac:dyDescent="0.35">
      <c r="A1324" s="12">
        <v>301749</v>
      </c>
      <c r="B1324" s="59" t="str">
        <f>IFERROR(VLOOKUP(Tabla1[[#This Row],[CODIGO]],INVENTARIO!A:B,2,0)," ")</f>
        <v>Tubería PE80 025mm Rollo</v>
      </c>
      <c r="C1324" s="12">
        <v>1</v>
      </c>
      <c r="D1324" s="13"/>
      <c r="E1324" s="12">
        <v>884</v>
      </c>
      <c r="F1324" s="14">
        <v>46045</v>
      </c>
      <c r="G1324" s="34"/>
      <c r="H1324" s="34" t="s">
        <v>266</v>
      </c>
      <c r="I1324" s="34"/>
      <c r="J1324" s="9" t="s">
        <v>196</v>
      </c>
    </row>
    <row r="1325" spans="1:10" ht="15" customHeight="1" x14ac:dyDescent="0.35">
      <c r="A1325" s="12">
        <v>300109</v>
      </c>
      <c r="B1325" s="59" t="str">
        <f>IFERROR(VLOOKUP(Tabla1[[#This Row],[CODIGO]],INVENTARIO!A:B,2,0)," ")</f>
        <v>Risers de Acero 3/4" Bsp x 25 mm</v>
      </c>
      <c r="C1325" s="12">
        <v>1</v>
      </c>
      <c r="D1325" s="13"/>
      <c r="E1325" s="12">
        <v>871</v>
      </c>
      <c r="F1325" s="14">
        <v>46043</v>
      </c>
      <c r="G1325" s="34"/>
      <c r="H1325" s="34" t="s">
        <v>226</v>
      </c>
      <c r="I1325" s="34"/>
      <c r="J1325" s="9" t="s">
        <v>243</v>
      </c>
    </row>
    <row r="1326" spans="1:10" ht="15" customHeight="1" x14ac:dyDescent="0.35">
      <c r="A1326" s="12">
        <v>302737</v>
      </c>
      <c r="B1326" s="59" t="str">
        <f>IFERROR(VLOOKUP(Tabla1[[#This Row],[CODIGO]],INVENTARIO!A:B,2,0)," ")</f>
        <v>Válvula Bola 3/4" Hi Un Cuerpo Pn5 Arco</v>
      </c>
      <c r="C1326" s="12">
        <v>1</v>
      </c>
      <c r="D1326" s="13"/>
      <c r="E1326" s="12">
        <v>871</v>
      </c>
      <c r="F1326" s="14">
        <v>46043</v>
      </c>
      <c r="G1326" s="34"/>
      <c r="H1326" s="34" t="s">
        <v>226</v>
      </c>
      <c r="I1326" s="34"/>
      <c r="J1326" s="9" t="s">
        <v>243</v>
      </c>
    </row>
    <row r="1327" spans="1:10" ht="15" customHeight="1" x14ac:dyDescent="0.35">
      <c r="A1327" s="12">
        <v>302184</v>
      </c>
      <c r="B1327" s="59" t="str">
        <f>IFERROR(VLOOKUP(Tabla1[[#This Row],[CODIGO]],INVENTARIO!A:B,2,0)," ")</f>
        <v>Tapa Tornillo Cambio de Codigo por: 2008481</v>
      </c>
      <c r="C1327" s="12">
        <v>1</v>
      </c>
      <c r="D1327" s="13"/>
      <c r="E1327" s="12">
        <v>871</v>
      </c>
      <c r="F1327" s="14">
        <v>46043</v>
      </c>
      <c r="G1327" s="34"/>
      <c r="H1327" s="34" t="s">
        <v>226</v>
      </c>
      <c r="I1327" s="34"/>
      <c r="J1327" s="9" t="s">
        <v>243</v>
      </c>
    </row>
    <row r="1328" spans="1:10" ht="15" customHeight="1" x14ac:dyDescent="0.35">
      <c r="A1328" s="12">
        <v>2000350</v>
      </c>
      <c r="B1328" s="59" t="str">
        <f>IFERROR(VLOOKUP(Tabla1[[#This Row],[CODIGO]],INVENTARIO!A:B,2,0)," ")</f>
        <v>Codo PE 90º  25 mm EF.</v>
      </c>
      <c r="C1328" s="12">
        <v>1</v>
      </c>
      <c r="D1328" s="13"/>
      <c r="E1328" s="12">
        <v>871</v>
      </c>
      <c r="F1328" s="14">
        <v>46043</v>
      </c>
      <c r="G1328" s="34"/>
      <c r="H1328" s="34" t="s">
        <v>226</v>
      </c>
      <c r="I1328" s="34"/>
      <c r="J1328" s="9" t="s">
        <v>243</v>
      </c>
    </row>
    <row r="1329" spans="1:10" ht="15" customHeight="1" x14ac:dyDescent="0.35">
      <c r="A1329" s="12">
        <v>101624</v>
      </c>
      <c r="B1329" s="59" t="str">
        <f>IFERROR(VLOOKUP(Tabla1[[#This Row],[CODIGO]],INVENTARIO!A:B,2,0)," ")</f>
        <v>Tapping Tee PE 50-25 mm</v>
      </c>
      <c r="C1329" s="12">
        <v>1</v>
      </c>
      <c r="D1329" s="13"/>
      <c r="E1329" s="12">
        <v>871</v>
      </c>
      <c r="F1329" s="14">
        <v>46043</v>
      </c>
      <c r="G1329" s="34"/>
      <c r="H1329" s="34" t="s">
        <v>226</v>
      </c>
      <c r="I1329" s="34"/>
      <c r="J1329" s="9" t="s">
        <v>243</v>
      </c>
    </row>
    <row r="1330" spans="1:10" ht="15" customHeight="1" x14ac:dyDescent="0.35">
      <c r="A1330" s="12">
        <v>1000720</v>
      </c>
      <c r="B1330" s="59" t="str">
        <f>IFERROR(VLOOKUP(Tabla1[[#This Row],[CODIGO]],INVENTARIO!A:B,2,0)," ")</f>
        <v>Teflón en Cinta de 3/4" Ancho x 520" a 5</v>
      </c>
      <c r="C1330" s="12">
        <v>1</v>
      </c>
      <c r="D1330" s="13"/>
      <c r="E1330" s="12">
        <v>871</v>
      </c>
      <c r="F1330" s="14">
        <v>46043</v>
      </c>
      <c r="G1330" s="34"/>
      <c r="H1330" s="34" t="s">
        <v>226</v>
      </c>
      <c r="I1330" s="34"/>
      <c r="J1330" s="9" t="s">
        <v>243</v>
      </c>
    </row>
    <row r="1331" spans="1:10" ht="15" customHeight="1" x14ac:dyDescent="0.35">
      <c r="A1331" s="12">
        <v>301749</v>
      </c>
      <c r="B1331" s="59" t="str">
        <f>IFERROR(VLOOKUP(Tabla1[[#This Row],[CODIGO]],INVENTARIO!A:B,2,0)," ")</f>
        <v>Tubería PE80 025mm Rollo</v>
      </c>
      <c r="C1331" s="12">
        <v>50</v>
      </c>
      <c r="D1331" s="13"/>
      <c r="E1331" s="12">
        <v>871</v>
      </c>
      <c r="F1331" s="14">
        <v>46043</v>
      </c>
      <c r="G1331" s="34"/>
      <c r="H1331" s="34" t="s">
        <v>226</v>
      </c>
      <c r="I1331" s="34"/>
      <c r="J1331" s="9" t="s">
        <v>243</v>
      </c>
    </row>
    <row r="1332" spans="1:10" ht="15" customHeight="1" x14ac:dyDescent="0.35">
      <c r="A1332" s="12">
        <v>303368</v>
      </c>
      <c r="B1332" s="59" t="str">
        <f>IFERROR(VLOOKUP(Tabla1[[#This Row],[CODIGO]],INVENTARIO!A:B,2,0)," ")</f>
        <v>Cinta Plástica "Línea GN", 30 x 0.1</v>
      </c>
      <c r="C1332" s="12">
        <v>50</v>
      </c>
      <c r="D1332" s="13"/>
      <c r="E1332" s="12">
        <v>871</v>
      </c>
      <c r="F1332" s="14">
        <v>46043</v>
      </c>
      <c r="G1332" s="34"/>
      <c r="H1332" s="34" t="s">
        <v>226</v>
      </c>
      <c r="I1332" s="34"/>
      <c r="J1332" s="9" t="s">
        <v>243</v>
      </c>
    </row>
    <row r="1333" spans="1:10" ht="15" customHeight="1" x14ac:dyDescent="0.35">
      <c r="A1333" s="12">
        <v>2002263</v>
      </c>
      <c r="B1333" s="59" t="str">
        <f>IFERROR(VLOOKUP(Tabla1[[#This Row],[CODIGO]],INVENTARIO!A:B,2,0)," ")</f>
        <v>Tubería PE80 063mm Rollo</v>
      </c>
      <c r="C1333" s="12">
        <v>100</v>
      </c>
      <c r="D1333" s="13"/>
      <c r="E1333" s="12">
        <v>870</v>
      </c>
      <c r="F1333" s="14">
        <v>46043</v>
      </c>
      <c r="G1333" s="34"/>
      <c r="H1333" s="34" t="s">
        <v>226</v>
      </c>
      <c r="I1333" s="34"/>
      <c r="J1333" s="9" t="s">
        <v>200</v>
      </c>
    </row>
    <row r="1334" spans="1:10" ht="15" customHeight="1" x14ac:dyDescent="0.35">
      <c r="A1334" s="12">
        <v>1002167</v>
      </c>
      <c r="B1334" s="59" t="str">
        <f>IFERROR(VLOOKUP(Tabla1[[#This Row],[CODIGO]],INVENTARIO!A:B,2,0)," ")</f>
        <v>Cable Trazador Cu 14 AWG Aisl. THW Roj</v>
      </c>
      <c r="C1334" s="12">
        <v>100</v>
      </c>
      <c r="D1334" s="13"/>
      <c r="E1334" s="12">
        <v>870</v>
      </c>
      <c r="F1334" s="14">
        <v>46043</v>
      </c>
      <c r="G1334" s="34"/>
      <c r="H1334" s="34" t="s">
        <v>226</v>
      </c>
      <c r="I1334" s="34"/>
      <c r="J1334" s="9" t="s">
        <v>200</v>
      </c>
    </row>
    <row r="1335" spans="1:10" ht="15" customHeight="1" x14ac:dyDescent="0.35">
      <c r="A1335" s="12">
        <v>303368</v>
      </c>
      <c r="B1335" s="59" t="str">
        <f>IFERROR(VLOOKUP(Tabla1[[#This Row],[CODIGO]],INVENTARIO!A:B,2,0)," ")</f>
        <v>Cinta Plástica "Línea GN", 30 x 0.1</v>
      </c>
      <c r="C1335" s="12">
        <v>100</v>
      </c>
      <c r="D1335" s="13"/>
      <c r="E1335" s="12">
        <v>870</v>
      </c>
      <c r="F1335" s="14">
        <v>46043</v>
      </c>
      <c r="G1335" s="34"/>
      <c r="H1335" s="34" t="s">
        <v>226</v>
      </c>
      <c r="I1335" s="34"/>
      <c r="J1335" s="9" t="s">
        <v>200</v>
      </c>
    </row>
    <row r="1336" spans="1:10" ht="15" customHeight="1" x14ac:dyDescent="0.35">
      <c r="A1336" s="12">
        <v>2002263</v>
      </c>
      <c r="B1336" s="59" t="str">
        <f>IFERROR(VLOOKUP(Tabla1[[#This Row],[CODIGO]],INVENTARIO!A:B,2,0)," ")</f>
        <v>Tubería PE80 063mm Rollo</v>
      </c>
      <c r="C1336" s="12">
        <v>100</v>
      </c>
      <c r="D1336" s="13"/>
      <c r="E1336" s="12">
        <v>17</v>
      </c>
      <c r="F1336" s="14">
        <v>46043</v>
      </c>
      <c r="G1336" s="34"/>
      <c r="H1336" s="34" t="s">
        <v>223</v>
      </c>
      <c r="I1336" s="34"/>
      <c r="J1336" s="9" t="s">
        <v>207</v>
      </c>
    </row>
    <row r="1337" spans="1:10" ht="15" customHeight="1" x14ac:dyDescent="0.35">
      <c r="A1337" s="12">
        <v>303368</v>
      </c>
      <c r="B1337" s="59" t="str">
        <f>IFERROR(VLOOKUP(Tabla1[[#This Row],[CODIGO]],INVENTARIO!A:B,2,0)," ")</f>
        <v>Cinta Plástica "Línea GN", 30 x 0.1</v>
      </c>
      <c r="C1337" s="12">
        <v>100</v>
      </c>
      <c r="D1337" s="13"/>
      <c r="E1337" s="12">
        <v>17</v>
      </c>
      <c r="F1337" s="14">
        <v>46043</v>
      </c>
      <c r="G1337" s="34"/>
      <c r="H1337" s="34" t="s">
        <v>223</v>
      </c>
      <c r="I1337" s="34"/>
      <c r="J1337" s="9" t="s">
        <v>207</v>
      </c>
    </row>
    <row r="1338" spans="1:10" ht="15" customHeight="1" x14ac:dyDescent="0.35">
      <c r="A1338" s="12">
        <v>1002167</v>
      </c>
      <c r="B1338" s="59" t="str">
        <f>IFERROR(VLOOKUP(Tabla1[[#This Row],[CODIGO]],INVENTARIO!A:B,2,0)," ")</f>
        <v>Cable Trazador Cu 14 AWG Aisl. THW Roj</v>
      </c>
      <c r="C1338" s="12">
        <v>100</v>
      </c>
      <c r="D1338" s="13"/>
      <c r="E1338" s="12">
        <v>17</v>
      </c>
      <c r="F1338" s="14">
        <v>46043</v>
      </c>
      <c r="G1338" s="34"/>
      <c r="H1338" s="34" t="s">
        <v>223</v>
      </c>
      <c r="I1338" s="34"/>
      <c r="J1338" s="9" t="s">
        <v>207</v>
      </c>
    </row>
    <row r="1339" spans="1:10" ht="15" customHeight="1" x14ac:dyDescent="0.35">
      <c r="A1339" s="12">
        <v>301749</v>
      </c>
      <c r="B1339" s="59" t="str">
        <f>IFERROR(VLOOKUP(Tabla1[[#This Row],[CODIGO]],INVENTARIO!A:B,2,0)," ")</f>
        <v>Tubería PE80 025mm Rollo</v>
      </c>
      <c r="C1339" s="12">
        <v>10</v>
      </c>
      <c r="D1339" s="13"/>
      <c r="E1339" s="12">
        <v>17</v>
      </c>
      <c r="F1339" s="14">
        <v>46043</v>
      </c>
      <c r="G1339" s="34"/>
      <c r="H1339" s="34" t="s">
        <v>223</v>
      </c>
      <c r="I1339" s="34"/>
      <c r="J1339" s="9" t="s">
        <v>207</v>
      </c>
    </row>
    <row r="1340" spans="1:10" ht="15" customHeight="1" x14ac:dyDescent="0.35">
      <c r="A1340" s="12">
        <v>2005135</v>
      </c>
      <c r="B1340" s="59" t="str">
        <f>IFERROR(VLOOKUP(Tabla1[[#This Row],[CODIGO]],INVENTARIO!A:B,2,0)," ")</f>
        <v>Tubo PVC 110 mm PN6 CG Amarillo Tira 6 m</v>
      </c>
      <c r="C1340" s="12">
        <v>1</v>
      </c>
      <c r="D1340" s="13"/>
      <c r="E1340" s="12">
        <v>17</v>
      </c>
      <c r="F1340" s="14">
        <v>46043</v>
      </c>
      <c r="G1340" s="34"/>
      <c r="H1340" s="34" t="s">
        <v>223</v>
      </c>
      <c r="I1340" s="34"/>
      <c r="J1340" s="9" t="s">
        <v>207</v>
      </c>
    </row>
    <row r="1341" spans="1:10" ht="15" customHeight="1" x14ac:dyDescent="0.35">
      <c r="A1341" s="12">
        <v>302659</v>
      </c>
      <c r="B1341" s="59" t="str">
        <f>IFERROR(VLOOKUP(Tabla1[[#This Row],[CODIGO]],INVENTARIO!A:B,2,0)," ")</f>
        <v>Copla PE100 063mm EF</v>
      </c>
      <c r="C1341" s="12">
        <v>3</v>
      </c>
      <c r="D1341" s="13"/>
      <c r="E1341" s="12">
        <v>16</v>
      </c>
      <c r="F1341" s="14">
        <v>46042</v>
      </c>
      <c r="G1341" s="34"/>
      <c r="H1341" s="34" t="s">
        <v>223</v>
      </c>
      <c r="I1341" s="34"/>
      <c r="J1341" s="9" t="s">
        <v>207</v>
      </c>
    </row>
    <row r="1342" spans="1:10" ht="15" customHeight="1" x14ac:dyDescent="0.35">
      <c r="A1342" s="12">
        <v>101624</v>
      </c>
      <c r="B1342" s="59" t="str">
        <f>IFERROR(VLOOKUP(Tabla1[[#This Row],[CODIGO]],INVENTARIO!A:B,2,0)," ")</f>
        <v>Tapping Tee PE 50-25 mm</v>
      </c>
      <c r="C1342" s="12">
        <v>13</v>
      </c>
      <c r="D1342" s="13"/>
      <c r="E1342" s="12">
        <v>820</v>
      </c>
      <c r="F1342" s="14">
        <v>46042</v>
      </c>
      <c r="G1342" s="34"/>
      <c r="H1342" s="34" t="s">
        <v>226</v>
      </c>
      <c r="I1342" s="34"/>
      <c r="J1342" s="9" t="s">
        <v>243</v>
      </c>
    </row>
    <row r="1343" spans="1:10" ht="15" customHeight="1" x14ac:dyDescent="0.35">
      <c r="A1343" s="12">
        <v>2003911</v>
      </c>
      <c r="B1343" s="59" t="str">
        <f>IFERROR(VLOOKUP(Tabla1[[#This Row],[CODIGO]],INVENTARIO!A:B,2,0)," ")</f>
        <v>Válvula EFv PE 25 mm Para Tap. Tee</v>
      </c>
      <c r="C1343" s="12">
        <v>13</v>
      </c>
      <c r="D1343" s="13"/>
      <c r="E1343" s="12">
        <v>820</v>
      </c>
      <c r="F1343" s="14">
        <v>46042</v>
      </c>
      <c r="G1343" s="34"/>
      <c r="H1343" s="34" t="s">
        <v>226</v>
      </c>
      <c r="I1343" s="34"/>
      <c r="J1343" s="9" t="s">
        <v>243</v>
      </c>
    </row>
    <row r="1344" spans="1:10" ht="15" customHeight="1" x14ac:dyDescent="0.35">
      <c r="A1344" s="12">
        <v>301329</v>
      </c>
      <c r="B1344" s="59" t="str">
        <f>IFERROR(VLOOKUP(Tabla1[[#This Row],[CODIGO]],INVENTARIO!A:B,2,0)," ")</f>
        <v>Copla PE100 025mm EF</v>
      </c>
      <c r="C1344" s="12">
        <v>26</v>
      </c>
      <c r="D1344" s="13"/>
      <c r="E1344" s="12">
        <v>820</v>
      </c>
      <c r="F1344" s="14">
        <v>46042</v>
      </c>
      <c r="G1344" s="34"/>
      <c r="H1344" s="34" t="s">
        <v>226</v>
      </c>
      <c r="I1344" s="34"/>
      <c r="J1344" s="9" t="s">
        <v>243</v>
      </c>
    </row>
    <row r="1345" spans="1:10" ht="15" customHeight="1" x14ac:dyDescent="0.35">
      <c r="A1345" s="12">
        <v>300712</v>
      </c>
      <c r="B1345" s="59" t="str">
        <f>IFERROR(VLOOKUP(Tabla1[[#This Row],[CODIGO]],INVENTARIO!A:B,2,0)," ")</f>
        <v>Tapa PE  025 mm Termo F.</v>
      </c>
      <c r="C1345" s="12">
        <v>13</v>
      </c>
      <c r="D1345" s="13"/>
      <c r="E1345" s="12">
        <v>820</v>
      </c>
      <c r="F1345" s="14">
        <v>46042</v>
      </c>
      <c r="G1345" s="34"/>
      <c r="H1345" s="34" t="s">
        <v>226</v>
      </c>
      <c r="I1345" s="34"/>
      <c r="J1345" s="9" t="s">
        <v>243</v>
      </c>
    </row>
    <row r="1346" spans="1:10" ht="15" customHeight="1" x14ac:dyDescent="0.35">
      <c r="A1346" s="12">
        <v>303345</v>
      </c>
      <c r="B1346" s="59" t="str">
        <f>IFERROR(VLOOKUP(Tabla1[[#This Row],[CODIGO]],INVENTARIO!A:B,2,0)," ")</f>
        <v>Copla PE100 050mm EF</v>
      </c>
      <c r="C1346" s="12">
        <v>3</v>
      </c>
      <c r="D1346" s="13"/>
      <c r="E1346" s="12">
        <v>820</v>
      </c>
      <c r="F1346" s="14">
        <v>46042</v>
      </c>
      <c r="G1346" s="34"/>
      <c r="H1346" s="34" t="s">
        <v>226</v>
      </c>
      <c r="I1346" s="34"/>
      <c r="J1346" s="9" t="s">
        <v>243</v>
      </c>
    </row>
    <row r="1347" spans="1:10" ht="15" customHeight="1" x14ac:dyDescent="0.35">
      <c r="A1347" s="12">
        <v>301327</v>
      </c>
      <c r="B1347" s="59" t="str">
        <f>IFERROR(VLOOKUP(Tabla1[[#This Row],[CODIGO]],INVENTARIO!A:B,2,0)," ")</f>
        <v>Tapa PE  050 mm Termo F.</v>
      </c>
      <c r="C1347" s="12">
        <v>2</v>
      </c>
      <c r="D1347" s="13"/>
      <c r="E1347" s="12">
        <v>820</v>
      </c>
      <c r="F1347" s="14">
        <v>46042</v>
      </c>
      <c r="G1347" s="34"/>
      <c r="H1347" s="34" t="s">
        <v>226</v>
      </c>
      <c r="I1347" s="34"/>
      <c r="J1347" s="9" t="s">
        <v>243</v>
      </c>
    </row>
    <row r="1348" spans="1:10" ht="15" customHeight="1" x14ac:dyDescent="0.35">
      <c r="A1348" s="12">
        <v>301749</v>
      </c>
      <c r="B1348" s="59" t="str">
        <f>IFERROR(VLOOKUP(Tabla1[[#This Row],[CODIGO]],INVENTARIO!A:B,2,0)," ")</f>
        <v>Tubería PE80 025mm Rollo</v>
      </c>
      <c r="C1348" s="12">
        <v>50</v>
      </c>
      <c r="D1348" s="13"/>
      <c r="E1348" s="12">
        <v>820</v>
      </c>
      <c r="F1348" s="14">
        <v>46042</v>
      </c>
      <c r="G1348" s="34"/>
      <c r="H1348" s="34" t="s">
        <v>226</v>
      </c>
      <c r="I1348" s="34"/>
      <c r="J1348" s="9" t="s">
        <v>243</v>
      </c>
    </row>
    <row r="1349" spans="1:10" ht="15" customHeight="1" x14ac:dyDescent="0.35">
      <c r="A1349" s="12">
        <v>303368</v>
      </c>
      <c r="B1349" s="59" t="str">
        <f>IFERROR(VLOOKUP(Tabla1[[#This Row],[CODIGO]],INVENTARIO!A:B,2,0)," ")</f>
        <v>Cinta Plástica "Línea GN", 30 x 0.1</v>
      </c>
      <c r="C1349" s="12">
        <v>50</v>
      </c>
      <c r="D1349" s="13"/>
      <c r="E1349" s="12">
        <v>820</v>
      </c>
      <c r="F1349" s="14">
        <v>46042</v>
      </c>
      <c r="G1349" s="34"/>
      <c r="H1349" s="34" t="s">
        <v>226</v>
      </c>
      <c r="I1349" s="34"/>
      <c r="J1349" s="9" t="s">
        <v>243</v>
      </c>
    </row>
    <row r="1350" spans="1:10" ht="15" customHeight="1" x14ac:dyDescent="0.35">
      <c r="A1350" s="12">
        <v>300108</v>
      </c>
      <c r="B1350" s="59" t="str">
        <f>IFERROR(VLOOKUP(Tabla1[[#This Row],[CODIGO]],INVENTARIO!A:B,2,0)," ")</f>
        <v>Tapping Tee PE 63-25 mm</v>
      </c>
      <c r="C1350" s="12">
        <v>1</v>
      </c>
      <c r="D1350" s="13"/>
      <c r="E1350" s="12">
        <v>868</v>
      </c>
      <c r="F1350" s="14">
        <v>46041</v>
      </c>
      <c r="G1350" s="34"/>
      <c r="H1350" s="34" t="s">
        <v>244</v>
      </c>
      <c r="I1350" s="34"/>
      <c r="J1350" s="9" t="s">
        <v>206</v>
      </c>
    </row>
    <row r="1351" spans="1:10" ht="15" customHeight="1" x14ac:dyDescent="0.35">
      <c r="A1351" s="12">
        <v>301099</v>
      </c>
      <c r="B1351" s="59" t="str">
        <f>IFERROR(VLOOKUP(Tabla1[[#This Row],[CODIGO]],INVENTARIO!A:B,2,0)," ")</f>
        <v>Válvula PE100 Dn 25mm</v>
      </c>
      <c r="C1351" s="12">
        <v>1</v>
      </c>
      <c r="D1351" s="13"/>
      <c r="E1351" s="12">
        <v>868</v>
      </c>
      <c r="F1351" s="14">
        <v>46041</v>
      </c>
      <c r="G1351" s="34"/>
      <c r="H1351" s="34" t="s">
        <v>244</v>
      </c>
      <c r="I1351" s="34"/>
      <c r="J1351" s="9" t="s">
        <v>206</v>
      </c>
    </row>
    <row r="1352" spans="1:10" ht="15" customHeight="1" x14ac:dyDescent="0.35">
      <c r="A1352" s="12">
        <v>301329</v>
      </c>
      <c r="B1352" s="59" t="str">
        <f>IFERROR(VLOOKUP(Tabla1[[#This Row],[CODIGO]],INVENTARIO!A:B,2,0)," ")</f>
        <v>Copla PE100 025mm EF</v>
      </c>
      <c r="C1352" s="12">
        <v>4</v>
      </c>
      <c r="D1352" s="13"/>
      <c r="E1352" s="12">
        <v>868</v>
      </c>
      <c r="F1352" s="14">
        <v>46041</v>
      </c>
      <c r="G1352" s="34"/>
      <c r="H1352" s="34" t="s">
        <v>244</v>
      </c>
      <c r="I1352" s="34"/>
      <c r="J1352" s="9" t="s">
        <v>206</v>
      </c>
    </row>
    <row r="1353" spans="1:10" ht="15" customHeight="1" x14ac:dyDescent="0.35">
      <c r="A1353" s="12">
        <v>300109</v>
      </c>
      <c r="B1353" s="59" t="str">
        <f>IFERROR(VLOOKUP(Tabla1[[#This Row],[CODIGO]],INVENTARIO!A:B,2,0)," ")</f>
        <v>Risers de Acero 3/4" Bsp x 25 mm</v>
      </c>
      <c r="C1353" s="12">
        <v>1</v>
      </c>
      <c r="D1353" s="13"/>
      <c r="E1353" s="12">
        <v>868</v>
      </c>
      <c r="F1353" s="14">
        <v>46041</v>
      </c>
      <c r="G1353" s="34"/>
      <c r="H1353" s="34" t="s">
        <v>244</v>
      </c>
      <c r="I1353" s="34"/>
      <c r="J1353" s="9" t="s">
        <v>206</v>
      </c>
    </row>
    <row r="1354" spans="1:10" ht="15" customHeight="1" x14ac:dyDescent="0.35">
      <c r="A1354" s="12">
        <v>2003911</v>
      </c>
      <c r="B1354" s="59" t="str">
        <f>IFERROR(VLOOKUP(Tabla1[[#This Row],[CODIGO]],INVENTARIO!A:B,2,0)," ")</f>
        <v>Válvula EFv PE 25 mm Para Tap. Tee</v>
      </c>
      <c r="C1354" s="12">
        <v>1</v>
      </c>
      <c r="D1354" s="13"/>
      <c r="E1354" s="12">
        <v>868</v>
      </c>
      <c r="F1354" s="14">
        <v>46041</v>
      </c>
      <c r="G1354" s="34"/>
      <c r="H1354" s="34" t="s">
        <v>244</v>
      </c>
      <c r="I1354" s="34"/>
      <c r="J1354" s="9" t="s">
        <v>206</v>
      </c>
    </row>
    <row r="1355" spans="1:10" ht="15" customHeight="1" x14ac:dyDescent="0.35">
      <c r="A1355" s="12">
        <v>301749</v>
      </c>
      <c r="B1355" s="59" t="str">
        <f>IFERROR(VLOOKUP(Tabla1[[#This Row],[CODIGO]],INVENTARIO!A:B,2,0)," ")</f>
        <v>Tubería PE80 025mm Rollo</v>
      </c>
      <c r="C1355" s="12">
        <v>2</v>
      </c>
      <c r="D1355" s="13"/>
      <c r="E1355" s="12">
        <v>868</v>
      </c>
      <c r="F1355" s="14">
        <v>46041</v>
      </c>
      <c r="G1355" s="34"/>
      <c r="H1355" s="34" t="s">
        <v>244</v>
      </c>
      <c r="I1355" s="34"/>
      <c r="J1355" s="9" t="s">
        <v>206</v>
      </c>
    </row>
    <row r="1356" spans="1:10" ht="15" customHeight="1" x14ac:dyDescent="0.35">
      <c r="A1356" s="12">
        <v>2006391</v>
      </c>
      <c r="B1356" s="59" t="str">
        <f>IFERROR(VLOOKUP(Tabla1[[#This Row],[CODIGO]],INVENTARIO!A:B,2,0)," ")</f>
        <v>Guardallave Fierro Fundido C/Tapa</v>
      </c>
      <c r="C1356" s="12">
        <v>1</v>
      </c>
      <c r="D1356" s="13"/>
      <c r="E1356" s="12">
        <v>868</v>
      </c>
      <c r="F1356" s="14">
        <v>46041</v>
      </c>
      <c r="G1356" s="34"/>
      <c r="H1356" s="34" t="s">
        <v>244</v>
      </c>
      <c r="I1356" s="34"/>
      <c r="J1356" s="9" t="s">
        <v>206</v>
      </c>
    </row>
    <row r="1357" spans="1:10" ht="15" customHeight="1" x14ac:dyDescent="0.35">
      <c r="A1357" s="12">
        <v>302737</v>
      </c>
      <c r="B1357" s="59" t="str">
        <f>IFERROR(VLOOKUP(Tabla1[[#This Row],[CODIGO]],INVENTARIO!A:B,2,0)," ")</f>
        <v>Válvula Bola 3/4" Hi Un Cuerpo Pn5 Arco</v>
      </c>
      <c r="C1357" s="12">
        <v>1</v>
      </c>
      <c r="D1357" s="13"/>
      <c r="E1357" s="12">
        <v>868</v>
      </c>
      <c r="F1357" s="14">
        <v>46041</v>
      </c>
      <c r="G1357" s="34"/>
      <c r="H1357" s="34" t="s">
        <v>244</v>
      </c>
      <c r="I1357" s="34"/>
      <c r="J1357" s="9" t="s">
        <v>206</v>
      </c>
    </row>
    <row r="1358" spans="1:10" ht="15" customHeight="1" x14ac:dyDescent="0.35">
      <c r="A1358" s="12">
        <v>302184</v>
      </c>
      <c r="B1358" s="59" t="str">
        <f>IFERROR(VLOOKUP(Tabla1[[#This Row],[CODIGO]],INVENTARIO!A:B,2,0)," ")</f>
        <v>Tapa Tornillo Cambio de Codigo por: 2008481</v>
      </c>
      <c r="C1358" s="12">
        <v>1</v>
      </c>
      <c r="D1358" s="13"/>
      <c r="E1358" s="12">
        <v>868</v>
      </c>
      <c r="F1358" s="14">
        <v>46041</v>
      </c>
      <c r="G1358" s="34"/>
      <c r="H1358" s="34" t="s">
        <v>244</v>
      </c>
      <c r="I1358" s="34"/>
      <c r="J1358" s="9" t="s">
        <v>206</v>
      </c>
    </row>
    <row r="1359" spans="1:10" ht="15" customHeight="1" x14ac:dyDescent="0.35">
      <c r="A1359" s="12">
        <v>303368</v>
      </c>
      <c r="B1359" s="59" t="str">
        <f>IFERROR(VLOOKUP(Tabla1[[#This Row],[CODIGO]],INVENTARIO!A:B,2,0)," ")</f>
        <v>Cinta Plástica "Línea GN", 30 x 0.1</v>
      </c>
      <c r="C1359" s="12">
        <v>2</v>
      </c>
      <c r="D1359" s="13"/>
      <c r="E1359" s="12">
        <v>868</v>
      </c>
      <c r="F1359" s="14">
        <v>46041</v>
      </c>
      <c r="G1359" s="34"/>
      <c r="H1359" s="34" t="s">
        <v>244</v>
      </c>
      <c r="I1359" s="34"/>
      <c r="J1359" s="9" t="s">
        <v>206</v>
      </c>
    </row>
    <row r="1360" spans="1:10" ht="15" customHeight="1" x14ac:dyDescent="0.35">
      <c r="A1360" s="12">
        <v>1002167</v>
      </c>
      <c r="B1360" s="59" t="str">
        <f>IFERROR(VLOOKUP(Tabla1[[#This Row],[CODIGO]],INVENTARIO!A:B,2,0)," ")</f>
        <v>Cable Trazador Cu 14 AWG Aisl. THW Roj</v>
      </c>
      <c r="C1360" s="12">
        <v>2</v>
      </c>
      <c r="D1360" s="13"/>
      <c r="E1360" s="12">
        <v>868</v>
      </c>
      <c r="F1360" s="14">
        <v>46041</v>
      </c>
      <c r="G1360" s="34"/>
      <c r="H1360" s="34" t="s">
        <v>244</v>
      </c>
      <c r="I1360" s="34"/>
      <c r="J1360" s="9" t="s">
        <v>206</v>
      </c>
    </row>
    <row r="1361" spans="1:10" ht="15" customHeight="1" x14ac:dyDescent="0.35">
      <c r="A1361" s="12">
        <v>2007948</v>
      </c>
      <c r="B1361" s="59" t="str">
        <f>IFERROR(VLOOKUP(Tabla1[[#This Row],[CODIGO]],INVENTARIO!A:B,2,0)," ")</f>
        <v>Tubo PVC Hidraulico 110 mm Pn6 Celeste</v>
      </c>
      <c r="C1361" s="12">
        <v>1</v>
      </c>
      <c r="D1361" s="13"/>
      <c r="E1361" s="12">
        <v>868</v>
      </c>
      <c r="F1361" s="14">
        <v>46041</v>
      </c>
      <c r="G1361" s="34"/>
      <c r="H1361" s="34" t="s">
        <v>244</v>
      </c>
      <c r="I1361" s="34"/>
      <c r="J1361" s="9" t="s">
        <v>206</v>
      </c>
    </row>
    <row r="1362" spans="1:10" ht="15" customHeight="1" x14ac:dyDescent="0.35">
      <c r="A1362" s="12">
        <v>2002262</v>
      </c>
      <c r="B1362" s="59" t="str">
        <f>IFERROR(VLOOKUP(Tabla1[[#This Row],[CODIGO]],INVENTARIO!A:B,2,0)," ")</f>
        <v>Tubería PE80 050mm Rollo</v>
      </c>
      <c r="C1362" s="12">
        <v>100</v>
      </c>
      <c r="D1362" s="13"/>
      <c r="E1362" s="12">
        <v>862</v>
      </c>
      <c r="F1362" s="14">
        <v>46041</v>
      </c>
      <c r="G1362" s="34"/>
      <c r="H1362" s="34" t="s">
        <v>226</v>
      </c>
      <c r="I1362" s="34"/>
      <c r="J1362" s="9" t="s">
        <v>243</v>
      </c>
    </row>
    <row r="1363" spans="1:10" ht="15" customHeight="1" x14ac:dyDescent="0.35">
      <c r="A1363" s="12">
        <v>1002167</v>
      </c>
      <c r="B1363" s="59" t="str">
        <f>IFERROR(VLOOKUP(Tabla1[[#This Row],[CODIGO]],INVENTARIO!A:B,2,0)," ")</f>
        <v>Cable Trazador Cu 14 AWG Aisl. THW Roj</v>
      </c>
      <c r="C1363" s="12">
        <v>100</v>
      </c>
      <c r="D1363" s="13"/>
      <c r="E1363" s="12">
        <v>862</v>
      </c>
      <c r="F1363" s="14">
        <v>46041</v>
      </c>
      <c r="G1363" s="34"/>
      <c r="H1363" s="34" t="s">
        <v>226</v>
      </c>
      <c r="I1363" s="34"/>
      <c r="J1363" s="9" t="s">
        <v>243</v>
      </c>
    </row>
    <row r="1364" spans="1:10" ht="15" customHeight="1" x14ac:dyDescent="0.35">
      <c r="A1364" s="12">
        <v>303368</v>
      </c>
      <c r="B1364" s="59" t="str">
        <f>IFERROR(VLOOKUP(Tabla1[[#This Row],[CODIGO]],INVENTARIO!A:B,2,0)," ")</f>
        <v>Cinta Plástica "Línea GN", 30 x 0.1</v>
      </c>
      <c r="C1364" s="12">
        <v>100</v>
      </c>
      <c r="D1364" s="13"/>
      <c r="E1364" s="12">
        <v>862</v>
      </c>
      <c r="F1364" s="14">
        <v>46041</v>
      </c>
      <c r="G1364" s="34"/>
      <c r="H1364" s="34" t="s">
        <v>226</v>
      </c>
      <c r="I1364" s="34"/>
      <c r="J1364" s="9" t="s">
        <v>243</v>
      </c>
    </row>
    <row r="1365" spans="1:10" ht="15" customHeight="1" x14ac:dyDescent="0.35">
      <c r="A1365" s="12">
        <v>301044</v>
      </c>
      <c r="B1365" s="59" t="str">
        <f>IFERROR(VLOOKUP(Tabla1[[#This Row],[CODIGO]],INVENTARIO!A:B,2,0)," ")</f>
        <v>Codo PE100 45° 063mm EF</v>
      </c>
      <c r="C1365" s="12">
        <v>2</v>
      </c>
      <c r="D1365" s="13"/>
      <c r="E1365" s="12">
        <v>15</v>
      </c>
      <c r="F1365" s="14">
        <v>46041</v>
      </c>
      <c r="G1365" s="34"/>
      <c r="H1365" s="34" t="s">
        <v>223</v>
      </c>
      <c r="I1365" s="34"/>
      <c r="J1365" s="9" t="s">
        <v>207</v>
      </c>
    </row>
    <row r="1366" spans="1:10" ht="15" customHeight="1" x14ac:dyDescent="0.35">
      <c r="A1366" s="12">
        <v>301987</v>
      </c>
      <c r="B1366" s="59" t="str">
        <f>IFERROR(VLOOKUP(Tabla1[[#This Row],[CODIGO]],INVENTARIO!A:B,2,0)," ")</f>
        <v>Codo PE100 90° 063mm EF</v>
      </c>
      <c r="C1366" s="12">
        <v>2</v>
      </c>
      <c r="D1366" s="13"/>
      <c r="E1366" s="12">
        <v>15</v>
      </c>
      <c r="F1366" s="14">
        <v>46041</v>
      </c>
      <c r="G1366" s="34"/>
      <c r="H1366" s="34" t="s">
        <v>223</v>
      </c>
      <c r="I1366" s="34"/>
      <c r="J1366" s="9" t="s">
        <v>207</v>
      </c>
    </row>
    <row r="1367" spans="1:10" ht="15" customHeight="1" x14ac:dyDescent="0.35">
      <c r="A1367" s="12">
        <v>2005135</v>
      </c>
      <c r="B1367" s="59" t="str">
        <f>IFERROR(VLOOKUP(Tabla1[[#This Row],[CODIGO]],INVENTARIO!A:B,2,0)," ")</f>
        <v>Tubo PVC 110 mm PN6 CG Amarillo Tira 6 m</v>
      </c>
      <c r="C1367" s="12">
        <v>1</v>
      </c>
      <c r="D1367" s="13"/>
      <c r="E1367" s="12">
        <v>15</v>
      </c>
      <c r="F1367" s="14">
        <v>46041</v>
      </c>
      <c r="G1367" s="34"/>
      <c r="H1367" s="34" t="s">
        <v>223</v>
      </c>
      <c r="I1367" s="34"/>
      <c r="J1367" s="9" t="s">
        <v>207</v>
      </c>
    </row>
    <row r="1368" spans="1:10" ht="15" customHeight="1" x14ac:dyDescent="0.35">
      <c r="A1368" s="12">
        <v>1002167</v>
      </c>
      <c r="B1368" s="59" t="str">
        <f>IFERROR(VLOOKUP(Tabla1[[#This Row],[CODIGO]],INVENTARIO!A:B,2,0)," ")</f>
        <v>Cable Trazador Cu 14 AWG Aisl. THW Roj</v>
      </c>
      <c r="C1368" s="12">
        <v>100</v>
      </c>
      <c r="D1368" s="13"/>
      <c r="E1368" s="12">
        <v>15</v>
      </c>
      <c r="F1368" s="14">
        <v>46041</v>
      </c>
      <c r="G1368" s="34"/>
      <c r="H1368" s="34" t="s">
        <v>223</v>
      </c>
      <c r="I1368" s="34"/>
      <c r="J1368" s="9" t="s">
        <v>207</v>
      </c>
    </row>
    <row r="1369" spans="1:10" ht="15" customHeight="1" x14ac:dyDescent="0.35">
      <c r="A1369" s="12">
        <v>303368</v>
      </c>
      <c r="B1369" s="59" t="str">
        <f>IFERROR(VLOOKUP(Tabla1[[#This Row],[CODIGO]],INVENTARIO!A:B,2,0)," ")</f>
        <v>Cinta Plástica "Línea GN", 30 x 0.1</v>
      </c>
      <c r="C1369" s="12">
        <v>100</v>
      </c>
      <c r="D1369" s="13"/>
      <c r="E1369" s="12">
        <v>15</v>
      </c>
      <c r="F1369" s="14">
        <v>46041</v>
      </c>
      <c r="G1369" s="34"/>
      <c r="H1369" s="34" t="s">
        <v>223</v>
      </c>
      <c r="I1369" s="34"/>
      <c r="J1369" s="9" t="s">
        <v>207</v>
      </c>
    </row>
    <row r="1370" spans="1:10" ht="15" customHeight="1" x14ac:dyDescent="0.35">
      <c r="A1370" s="12">
        <v>2002263</v>
      </c>
      <c r="B1370" s="59" t="str">
        <f>IFERROR(VLOOKUP(Tabla1[[#This Row],[CODIGO]],INVENTARIO!A:B,2,0)," ")</f>
        <v>Tubería PE80 063mm Rollo</v>
      </c>
      <c r="C1370" s="12">
        <v>100</v>
      </c>
      <c r="D1370" s="13"/>
      <c r="E1370" s="12">
        <v>15</v>
      </c>
      <c r="F1370" s="14">
        <v>46041</v>
      </c>
      <c r="G1370" s="34"/>
      <c r="H1370" s="34" t="s">
        <v>223</v>
      </c>
      <c r="I1370" s="34"/>
      <c r="J1370" s="9" t="s">
        <v>207</v>
      </c>
    </row>
    <row r="1371" spans="1:10" ht="15" customHeight="1" x14ac:dyDescent="0.35">
      <c r="A1371" s="12">
        <v>301749</v>
      </c>
      <c r="B1371" s="59" t="str">
        <f>IFERROR(VLOOKUP(Tabla1[[#This Row],[CODIGO]],INVENTARIO!A:B,2,0)," ")</f>
        <v>Tubería PE80 025mm Rollo</v>
      </c>
      <c r="C1371" s="12">
        <v>499</v>
      </c>
      <c r="D1371" s="13"/>
      <c r="E1371" s="12">
        <v>298581</v>
      </c>
      <c r="F1371" s="14">
        <v>46038</v>
      </c>
      <c r="G1371" s="34"/>
      <c r="H1371" s="34" t="s">
        <v>242</v>
      </c>
      <c r="I1371" s="34"/>
      <c r="J1371" s="9"/>
    </row>
    <row r="1372" spans="1:10" ht="15" customHeight="1" x14ac:dyDescent="0.35">
      <c r="A1372" s="12">
        <v>1000720</v>
      </c>
      <c r="B1372" s="59" t="str">
        <f>IFERROR(VLOOKUP(Tabla1[[#This Row],[CODIGO]],INVENTARIO!A:B,2,0)," ")</f>
        <v>Teflón en Cinta de 3/4" Ancho x 520" a 5</v>
      </c>
      <c r="C1372" s="12">
        <v>2</v>
      </c>
      <c r="D1372" s="13"/>
      <c r="E1372" s="12">
        <v>859</v>
      </c>
      <c r="F1372" s="14">
        <v>46036</v>
      </c>
      <c r="G1372" s="34"/>
      <c r="H1372" s="34" t="s">
        <v>224</v>
      </c>
      <c r="I1372" s="34" t="s">
        <v>247</v>
      </c>
      <c r="J1372" s="9" t="s">
        <v>193</v>
      </c>
    </row>
    <row r="1373" spans="1:10" ht="15" customHeight="1" x14ac:dyDescent="0.35">
      <c r="A1373" s="12">
        <v>302184</v>
      </c>
      <c r="B1373" s="59" t="str">
        <f>IFERROR(VLOOKUP(Tabla1[[#This Row],[CODIGO]],INVENTARIO!A:B,2,0)," ")</f>
        <v>Tapa Tornillo Cambio de Codigo por: 2008481</v>
      </c>
      <c r="C1373" s="12">
        <v>3</v>
      </c>
      <c r="D1373" s="13"/>
      <c r="E1373" s="12">
        <v>859</v>
      </c>
      <c r="F1373" s="14">
        <v>46036</v>
      </c>
      <c r="G1373" s="34"/>
      <c r="H1373" s="34" t="s">
        <v>224</v>
      </c>
      <c r="I1373" s="34" t="s">
        <v>247</v>
      </c>
      <c r="J1373" s="9" t="s">
        <v>193</v>
      </c>
    </row>
    <row r="1374" spans="1:10" ht="15" customHeight="1" x14ac:dyDescent="0.35">
      <c r="A1374" s="12">
        <v>302737</v>
      </c>
      <c r="B1374" s="59" t="str">
        <f>IFERROR(VLOOKUP(Tabla1[[#This Row],[CODIGO]],INVENTARIO!A:B,2,0)," ")</f>
        <v>Válvula Bola 3/4" Hi Un Cuerpo Pn5 Arco</v>
      </c>
      <c r="C1374" s="12">
        <v>3</v>
      </c>
      <c r="D1374" s="13"/>
      <c r="E1374" s="12">
        <v>859</v>
      </c>
      <c r="F1374" s="14">
        <v>46036</v>
      </c>
      <c r="G1374" s="34"/>
      <c r="H1374" s="34" t="s">
        <v>224</v>
      </c>
      <c r="I1374" s="34" t="s">
        <v>247</v>
      </c>
      <c r="J1374" s="9" t="s">
        <v>193</v>
      </c>
    </row>
    <row r="1375" spans="1:10" ht="15" customHeight="1" x14ac:dyDescent="0.35">
      <c r="A1375" s="12">
        <v>300109</v>
      </c>
      <c r="B1375" s="59" t="str">
        <f>IFERROR(VLOOKUP(Tabla1[[#This Row],[CODIGO]],INVENTARIO!A:B,2,0)," ")</f>
        <v>Risers de Acero 3/4" Bsp x 25 mm</v>
      </c>
      <c r="C1375" s="12">
        <v>3</v>
      </c>
      <c r="D1375" s="13"/>
      <c r="E1375" s="12">
        <v>859</v>
      </c>
      <c r="F1375" s="14">
        <v>46036</v>
      </c>
      <c r="G1375" s="34"/>
      <c r="H1375" s="34" t="s">
        <v>224</v>
      </c>
      <c r="I1375" s="34" t="s">
        <v>247</v>
      </c>
      <c r="J1375" s="9" t="s">
        <v>193</v>
      </c>
    </row>
    <row r="1376" spans="1:10" ht="15" customHeight="1" x14ac:dyDescent="0.35">
      <c r="A1376" s="12">
        <v>2006392</v>
      </c>
      <c r="B1376" s="59" t="str">
        <f>IFERROR(VLOOKUP(Tabla1[[#This Row],[CODIGO]],INVENTARIO!A:B,2,0)," ")</f>
        <v>Limitador Flujo P/Tapping Tee 25 MM</v>
      </c>
      <c r="C1376" s="12">
        <v>3</v>
      </c>
      <c r="D1376" s="13"/>
      <c r="E1376" s="12">
        <v>859</v>
      </c>
      <c r="F1376" s="14">
        <v>46036</v>
      </c>
      <c r="G1376" s="34"/>
      <c r="H1376" s="34" t="s">
        <v>224</v>
      </c>
      <c r="I1376" s="34" t="s">
        <v>247</v>
      </c>
      <c r="J1376" s="9" t="s">
        <v>193</v>
      </c>
    </row>
    <row r="1377" spans="1:10" ht="15" customHeight="1" x14ac:dyDescent="0.35">
      <c r="A1377" s="12">
        <v>300527</v>
      </c>
      <c r="B1377" s="59" t="str">
        <f>IFERROR(VLOOKUP(Tabla1[[#This Row],[CODIGO]],INVENTARIO!A:B,2,0)," ")</f>
        <v>Tapping Tee PE 160-25 mm</v>
      </c>
      <c r="C1377" s="12">
        <v>3</v>
      </c>
      <c r="D1377" s="13"/>
      <c r="E1377" s="12">
        <v>859</v>
      </c>
      <c r="F1377" s="14">
        <v>46036</v>
      </c>
      <c r="G1377" s="34"/>
      <c r="H1377" s="34" t="s">
        <v>224</v>
      </c>
      <c r="I1377" s="34" t="s">
        <v>247</v>
      </c>
      <c r="J1377" s="9" t="s">
        <v>193</v>
      </c>
    </row>
    <row r="1378" spans="1:10" ht="15" customHeight="1" x14ac:dyDescent="0.35">
      <c r="A1378" s="12">
        <v>301329</v>
      </c>
      <c r="B1378" s="59" t="str">
        <f>IFERROR(VLOOKUP(Tabla1[[#This Row],[CODIGO]],INVENTARIO!A:B,2,0)," ")</f>
        <v>Copla PE100 025mm EF</v>
      </c>
      <c r="C1378" s="12">
        <v>6</v>
      </c>
      <c r="D1378" s="13"/>
      <c r="E1378" s="12">
        <v>859</v>
      </c>
      <c r="F1378" s="14">
        <v>46036</v>
      </c>
      <c r="G1378" s="34"/>
      <c r="H1378" s="34" t="s">
        <v>224</v>
      </c>
      <c r="I1378" s="34" t="s">
        <v>247</v>
      </c>
      <c r="J1378" s="9" t="s">
        <v>193</v>
      </c>
    </row>
    <row r="1379" spans="1:10" ht="15" customHeight="1" x14ac:dyDescent="0.35">
      <c r="A1379" s="12">
        <v>2006391</v>
      </c>
      <c r="B1379" s="59" t="str">
        <f>IFERROR(VLOOKUP(Tabla1[[#This Row],[CODIGO]],INVENTARIO!A:B,2,0)," ")</f>
        <v>Guardallave Fierro Fundido C/Tapa</v>
      </c>
      <c r="C1379" s="12">
        <v>4</v>
      </c>
      <c r="D1379" s="13"/>
      <c r="E1379" s="12">
        <v>11</v>
      </c>
      <c r="F1379" s="14">
        <v>46036</v>
      </c>
      <c r="G1379" s="34"/>
      <c r="H1379" s="34" t="s">
        <v>223</v>
      </c>
      <c r="I1379" s="34"/>
      <c r="J1379" s="9" t="s">
        <v>207</v>
      </c>
    </row>
    <row r="1380" spans="1:10" ht="15" customHeight="1" x14ac:dyDescent="0.35">
      <c r="A1380" s="12">
        <v>2007948</v>
      </c>
      <c r="B1380" s="59" t="str">
        <f>IFERROR(VLOOKUP(Tabla1[[#This Row],[CODIGO]],INVENTARIO!A:B,2,0)," ")</f>
        <v>Tubo PVC Hidraulico 110 mm Pn6 Celeste</v>
      </c>
      <c r="C1380" s="12">
        <v>4</v>
      </c>
      <c r="D1380" s="13"/>
      <c r="E1380" s="12">
        <v>11</v>
      </c>
      <c r="F1380" s="14">
        <v>46036</v>
      </c>
      <c r="G1380" s="34"/>
      <c r="H1380" s="34" t="s">
        <v>223</v>
      </c>
      <c r="I1380" s="34"/>
      <c r="J1380" s="9" t="s">
        <v>207</v>
      </c>
    </row>
    <row r="1381" spans="1:10" ht="15" customHeight="1" x14ac:dyDescent="0.35">
      <c r="A1381" s="12">
        <v>2000350</v>
      </c>
      <c r="B1381" s="59" t="str">
        <f>IFERROR(VLOOKUP(Tabla1[[#This Row],[CODIGO]],INVENTARIO!A:B,2,0)," ")</f>
        <v>Codo PE 90º  25 mm EF.</v>
      </c>
      <c r="C1381" s="12">
        <v>5</v>
      </c>
      <c r="D1381" s="13"/>
      <c r="E1381" s="12">
        <v>11</v>
      </c>
      <c r="F1381" s="14">
        <v>46036</v>
      </c>
      <c r="G1381" s="34"/>
      <c r="H1381" s="34" t="s">
        <v>223</v>
      </c>
      <c r="I1381" s="34"/>
      <c r="J1381" s="9" t="s">
        <v>207</v>
      </c>
    </row>
    <row r="1382" spans="1:10" ht="15" customHeight="1" x14ac:dyDescent="0.35">
      <c r="A1382" s="12">
        <v>2002263</v>
      </c>
      <c r="B1382" s="59" t="str">
        <f>IFERROR(VLOOKUP(Tabla1[[#This Row],[CODIGO]],INVENTARIO!A:B,2,0)," ")</f>
        <v>Tubería PE80 063mm Rollo</v>
      </c>
      <c r="C1382" s="12">
        <v>100</v>
      </c>
      <c r="D1382" s="13"/>
      <c r="E1382" s="12">
        <v>11</v>
      </c>
      <c r="F1382" s="14">
        <v>46036</v>
      </c>
      <c r="G1382" s="34"/>
      <c r="H1382" s="34" t="s">
        <v>223</v>
      </c>
      <c r="I1382" s="34"/>
      <c r="J1382" s="9" t="s">
        <v>207</v>
      </c>
    </row>
    <row r="1383" spans="1:10" ht="15" customHeight="1" x14ac:dyDescent="0.35">
      <c r="A1383" s="12">
        <v>1000720</v>
      </c>
      <c r="B1383" s="59" t="str">
        <f>IFERROR(VLOOKUP(Tabla1[[#This Row],[CODIGO]],INVENTARIO!A:B,2,0)," ")</f>
        <v>Teflón en Cinta de 3/4" Ancho x 520" a 5</v>
      </c>
      <c r="C1383" s="12">
        <v>1</v>
      </c>
      <c r="D1383" s="13"/>
      <c r="E1383" s="12">
        <v>11</v>
      </c>
      <c r="F1383" s="14">
        <v>46036</v>
      </c>
      <c r="G1383" s="34"/>
      <c r="H1383" s="34" t="s">
        <v>223</v>
      </c>
      <c r="I1383" s="34"/>
      <c r="J1383" s="9" t="s">
        <v>207</v>
      </c>
    </row>
    <row r="1384" spans="1:10" ht="15" customHeight="1" x14ac:dyDescent="0.35">
      <c r="A1384" s="12">
        <v>302184</v>
      </c>
      <c r="B1384" s="59" t="str">
        <f>IFERROR(VLOOKUP(Tabla1[[#This Row],[CODIGO]],INVENTARIO!A:B,2,0)," ")</f>
        <v>Tapa Tornillo Cambio de Codigo por: 2008481</v>
      </c>
      <c r="C1384" s="12">
        <v>5</v>
      </c>
      <c r="D1384" s="13"/>
      <c r="E1384" s="12">
        <v>11</v>
      </c>
      <c r="F1384" s="14">
        <v>46036</v>
      </c>
      <c r="G1384" s="34"/>
      <c r="H1384" s="34" t="s">
        <v>223</v>
      </c>
      <c r="I1384" s="34"/>
      <c r="J1384" s="9" t="s">
        <v>207</v>
      </c>
    </row>
    <row r="1385" spans="1:10" ht="15" customHeight="1" x14ac:dyDescent="0.35">
      <c r="A1385" s="12">
        <v>302737</v>
      </c>
      <c r="B1385" s="59" t="str">
        <f>IFERROR(VLOOKUP(Tabla1[[#This Row],[CODIGO]],INVENTARIO!A:B,2,0)," ")</f>
        <v>Válvula Bola 3/4" Hi Un Cuerpo Pn5 Arco</v>
      </c>
      <c r="C1385" s="12">
        <v>5</v>
      </c>
      <c r="D1385" s="13"/>
      <c r="E1385" s="12">
        <v>11</v>
      </c>
      <c r="F1385" s="14">
        <v>46036</v>
      </c>
      <c r="G1385" s="34"/>
      <c r="H1385" s="34" t="s">
        <v>223</v>
      </c>
      <c r="I1385" s="34"/>
      <c r="J1385" s="9" t="s">
        <v>207</v>
      </c>
    </row>
    <row r="1386" spans="1:10" ht="15" customHeight="1" x14ac:dyDescent="0.35">
      <c r="A1386" s="12">
        <v>300109</v>
      </c>
      <c r="B1386" s="59" t="str">
        <f>IFERROR(VLOOKUP(Tabla1[[#This Row],[CODIGO]],INVENTARIO!A:B,2,0)," ")</f>
        <v>Risers de Acero 3/4" Bsp x 25 mm</v>
      </c>
      <c r="C1386" s="12">
        <v>5</v>
      </c>
      <c r="D1386" s="13"/>
      <c r="E1386" s="12">
        <v>11</v>
      </c>
      <c r="F1386" s="14">
        <v>46036</v>
      </c>
      <c r="G1386" s="34"/>
      <c r="H1386" s="34" t="s">
        <v>223</v>
      </c>
      <c r="I1386" s="34"/>
      <c r="J1386" s="9" t="s">
        <v>207</v>
      </c>
    </row>
    <row r="1387" spans="1:10" ht="15" customHeight="1" x14ac:dyDescent="0.35">
      <c r="A1387" s="12">
        <v>2003911</v>
      </c>
      <c r="B1387" s="59" t="str">
        <f>IFERROR(VLOOKUP(Tabla1[[#This Row],[CODIGO]],INVENTARIO!A:B,2,0)," ")</f>
        <v>Válvula EFv PE 25 mm Para Tap. Tee</v>
      </c>
      <c r="C1387" s="12">
        <v>4</v>
      </c>
      <c r="D1387" s="13"/>
      <c r="E1387" s="12">
        <v>11</v>
      </c>
      <c r="F1387" s="14">
        <v>46036</v>
      </c>
      <c r="G1387" s="34"/>
      <c r="H1387" s="34" t="s">
        <v>223</v>
      </c>
      <c r="I1387" s="34"/>
      <c r="J1387" s="9" t="s">
        <v>207</v>
      </c>
    </row>
    <row r="1388" spans="1:10" ht="15" customHeight="1" x14ac:dyDescent="0.35">
      <c r="A1388" s="12">
        <v>301329</v>
      </c>
      <c r="B1388" s="59" t="str">
        <f>IFERROR(VLOOKUP(Tabla1[[#This Row],[CODIGO]],INVENTARIO!A:B,2,0)," ")</f>
        <v>Copla PE100 025mm EF</v>
      </c>
      <c r="C1388" s="12">
        <v>12</v>
      </c>
      <c r="D1388" s="13"/>
      <c r="E1388" s="12">
        <v>11</v>
      </c>
      <c r="F1388" s="14">
        <v>46036</v>
      </c>
      <c r="G1388" s="34"/>
      <c r="H1388" s="34" t="s">
        <v>223</v>
      </c>
      <c r="I1388" s="34"/>
      <c r="J1388" s="9" t="s">
        <v>207</v>
      </c>
    </row>
    <row r="1389" spans="1:10" ht="15" customHeight="1" x14ac:dyDescent="0.35">
      <c r="A1389" s="12">
        <v>301099</v>
      </c>
      <c r="B1389" s="59" t="str">
        <f>IFERROR(VLOOKUP(Tabla1[[#This Row],[CODIGO]],INVENTARIO!A:B,2,0)," ")</f>
        <v>Válvula PE100 Dn 25mm</v>
      </c>
      <c r="C1389" s="12">
        <v>4</v>
      </c>
      <c r="D1389" s="13"/>
      <c r="E1389" s="12">
        <v>11</v>
      </c>
      <c r="F1389" s="14">
        <v>46036</v>
      </c>
      <c r="G1389" s="34"/>
      <c r="H1389" s="34" t="s">
        <v>223</v>
      </c>
      <c r="I1389" s="34"/>
      <c r="J1389" s="9" t="s">
        <v>207</v>
      </c>
    </row>
    <row r="1390" spans="1:10" ht="15" customHeight="1" x14ac:dyDescent="0.35">
      <c r="A1390" s="12">
        <v>300108</v>
      </c>
      <c r="B1390" s="59" t="str">
        <f>IFERROR(VLOOKUP(Tabla1[[#This Row],[CODIGO]],INVENTARIO!A:B,2,0)," ")</f>
        <v>Tapping Tee PE 63-25 mm</v>
      </c>
      <c r="C1390" s="12">
        <v>5</v>
      </c>
      <c r="D1390" s="13"/>
      <c r="E1390" s="12">
        <v>11</v>
      </c>
      <c r="F1390" s="14">
        <v>46036</v>
      </c>
      <c r="G1390" s="34"/>
      <c r="H1390" s="34" t="s">
        <v>223</v>
      </c>
      <c r="I1390" s="34"/>
      <c r="J1390" s="9" t="s">
        <v>207</v>
      </c>
    </row>
    <row r="1391" spans="1:10" ht="15" customHeight="1" x14ac:dyDescent="0.35">
      <c r="A1391" s="12">
        <v>1002167</v>
      </c>
      <c r="B1391" s="59" t="str">
        <f>IFERROR(VLOOKUP(Tabla1[[#This Row],[CODIGO]],INVENTARIO!A:B,2,0)," ")</f>
        <v>Cable Trazador Cu 14 AWG Aisl. THW Roj</v>
      </c>
      <c r="C1391" s="12">
        <v>100</v>
      </c>
      <c r="D1391" s="13"/>
      <c r="E1391" s="12">
        <v>11</v>
      </c>
      <c r="F1391" s="14">
        <v>46036</v>
      </c>
      <c r="G1391" s="34"/>
      <c r="H1391" s="34" t="s">
        <v>223</v>
      </c>
      <c r="I1391" s="34"/>
      <c r="J1391" s="9" t="s">
        <v>207</v>
      </c>
    </row>
    <row r="1392" spans="1:10" ht="15" customHeight="1" x14ac:dyDescent="0.35">
      <c r="A1392" s="12">
        <v>303368</v>
      </c>
      <c r="B1392" s="59" t="str">
        <f>IFERROR(VLOOKUP(Tabla1[[#This Row],[CODIGO]],INVENTARIO!A:B,2,0)," ")</f>
        <v>Cinta Plástica "Línea GN", 30 x 0.1</v>
      </c>
      <c r="C1392" s="12">
        <v>100</v>
      </c>
      <c r="D1392" s="13"/>
      <c r="E1392" s="12">
        <v>11</v>
      </c>
      <c r="F1392" s="14">
        <v>46036</v>
      </c>
      <c r="G1392" s="34"/>
      <c r="H1392" s="34" t="s">
        <v>223</v>
      </c>
      <c r="I1392" s="34"/>
      <c r="J1392" s="9" t="s">
        <v>207</v>
      </c>
    </row>
    <row r="1393" spans="1:10" ht="15" customHeight="1" x14ac:dyDescent="0.35">
      <c r="A1393" s="12">
        <v>2005135</v>
      </c>
      <c r="B1393" s="59" t="str">
        <f>IFERROR(VLOOKUP(Tabla1[[#This Row],[CODIGO]],INVENTARIO!A:B,2,0)," ")</f>
        <v>Tubo PVC 110 mm PN6 CG Amarillo Tira 6 m</v>
      </c>
      <c r="C1393" s="12">
        <v>1</v>
      </c>
      <c r="D1393" s="13"/>
      <c r="E1393" s="12">
        <v>11</v>
      </c>
      <c r="F1393" s="14">
        <v>46036</v>
      </c>
      <c r="G1393" s="34"/>
      <c r="H1393" s="34" t="s">
        <v>223</v>
      </c>
      <c r="I1393" s="34"/>
      <c r="J1393" s="9" t="s">
        <v>207</v>
      </c>
    </row>
    <row r="1394" spans="1:10" ht="15" customHeight="1" x14ac:dyDescent="0.35">
      <c r="A1394" s="12">
        <v>301738</v>
      </c>
      <c r="B1394" s="59" t="str">
        <f>IFERROR(VLOOKUP(Tabla1[[#This Row],[CODIGO]],INVENTARIO!A:B,2,0)," ")</f>
        <v>Regulador Sum. Fe-25, 20 Mbar P.Fior</v>
      </c>
      <c r="C1394" s="12">
        <v>1</v>
      </c>
      <c r="D1394" s="13"/>
      <c r="E1394" s="12">
        <v>858</v>
      </c>
      <c r="F1394" s="14">
        <v>46036</v>
      </c>
      <c r="G1394" s="34"/>
      <c r="H1394" s="34" t="s">
        <v>232</v>
      </c>
      <c r="I1394" s="34"/>
      <c r="J1394" s="9" t="s">
        <v>231</v>
      </c>
    </row>
    <row r="1395" spans="1:10" ht="15" customHeight="1" x14ac:dyDescent="0.35">
      <c r="A1395" s="12">
        <v>101618</v>
      </c>
      <c r="B1395" s="59" t="str">
        <f>IFERROR(VLOOKUP(Tabla1[[#This Row],[CODIGO]],INVENTARIO!A:B,2,0)," ")</f>
        <v>Risers Ac,Recto 3/4 "x25 mm</v>
      </c>
      <c r="C1395" s="12">
        <v>1</v>
      </c>
      <c r="D1395" s="13"/>
      <c r="E1395" s="12">
        <v>858</v>
      </c>
      <c r="F1395" s="14">
        <v>46036</v>
      </c>
      <c r="G1395" s="34"/>
      <c r="H1395" s="34" t="s">
        <v>232</v>
      </c>
      <c r="I1395" s="34"/>
      <c r="J1395" s="9" t="s">
        <v>231</v>
      </c>
    </row>
    <row r="1396" spans="1:10" ht="15" customHeight="1" x14ac:dyDescent="0.35">
      <c r="A1396" s="12">
        <v>301329</v>
      </c>
      <c r="B1396" s="59" t="str">
        <f>IFERROR(VLOOKUP(Tabla1[[#This Row],[CODIGO]],INVENTARIO!A:B,2,0)," ")</f>
        <v>Copla PE100 025mm EF</v>
      </c>
      <c r="C1396" s="12">
        <v>4</v>
      </c>
      <c r="D1396" s="13"/>
      <c r="E1396" s="12">
        <v>858</v>
      </c>
      <c r="F1396" s="14">
        <v>46036</v>
      </c>
      <c r="G1396" s="34"/>
      <c r="H1396" s="34" t="s">
        <v>232</v>
      </c>
      <c r="I1396" s="34"/>
      <c r="J1396" s="9" t="s">
        <v>231</v>
      </c>
    </row>
    <row r="1397" spans="1:10" ht="15" customHeight="1" x14ac:dyDescent="0.35">
      <c r="A1397" s="12">
        <v>301099</v>
      </c>
      <c r="B1397" s="59" t="str">
        <f>IFERROR(VLOOKUP(Tabla1[[#This Row],[CODIGO]],INVENTARIO!A:B,2,0)," ")</f>
        <v>Válvula PE100 Dn 25mm</v>
      </c>
      <c r="C1397" s="12">
        <v>1</v>
      </c>
      <c r="D1397" s="13"/>
      <c r="E1397" s="12">
        <v>858</v>
      </c>
      <c r="F1397" s="14">
        <v>46036</v>
      </c>
      <c r="G1397" s="34"/>
      <c r="H1397" s="34" t="s">
        <v>232</v>
      </c>
      <c r="I1397" s="34"/>
      <c r="J1397" s="9" t="s">
        <v>231</v>
      </c>
    </row>
    <row r="1398" spans="1:10" ht="15" customHeight="1" x14ac:dyDescent="0.35">
      <c r="A1398" s="12">
        <v>300527</v>
      </c>
      <c r="B1398" s="59" t="str">
        <f>IFERROR(VLOOKUP(Tabla1[[#This Row],[CODIGO]],INVENTARIO!A:B,2,0)," ")</f>
        <v>Tapping Tee PE 160-25 mm</v>
      </c>
      <c r="C1398" s="12">
        <v>1</v>
      </c>
      <c r="D1398" s="13"/>
      <c r="E1398" s="12">
        <v>858</v>
      </c>
      <c r="F1398" s="14">
        <v>46036</v>
      </c>
      <c r="G1398" s="34"/>
      <c r="H1398" s="34" t="s">
        <v>232</v>
      </c>
      <c r="I1398" s="34"/>
      <c r="J1398" s="9" t="s">
        <v>231</v>
      </c>
    </row>
    <row r="1399" spans="1:10" ht="15" customHeight="1" x14ac:dyDescent="0.35">
      <c r="A1399" s="12">
        <v>1002167</v>
      </c>
      <c r="B1399" s="59" t="str">
        <f>IFERROR(VLOOKUP(Tabla1[[#This Row],[CODIGO]],INVENTARIO!A:B,2,0)," ")</f>
        <v>Cable Trazador Cu 14 AWG Aisl. THW Roj</v>
      </c>
      <c r="C1399" s="12">
        <v>6</v>
      </c>
      <c r="D1399" s="13"/>
      <c r="E1399" s="12">
        <v>858</v>
      </c>
      <c r="F1399" s="14">
        <v>46036</v>
      </c>
      <c r="G1399" s="34"/>
      <c r="H1399" s="34" t="s">
        <v>232</v>
      </c>
      <c r="I1399" s="34"/>
      <c r="J1399" s="9" t="s">
        <v>231</v>
      </c>
    </row>
    <row r="1400" spans="1:10" ht="15" customHeight="1" x14ac:dyDescent="0.35">
      <c r="A1400" s="12">
        <v>303368</v>
      </c>
      <c r="B1400" s="59" t="str">
        <f>IFERROR(VLOOKUP(Tabla1[[#This Row],[CODIGO]],INVENTARIO!A:B,2,0)," ")</f>
        <v>Cinta Plástica "Línea GN", 30 x 0.1</v>
      </c>
      <c r="C1400" s="12">
        <v>6</v>
      </c>
      <c r="D1400" s="13"/>
      <c r="E1400" s="12">
        <v>858</v>
      </c>
      <c r="F1400" s="14">
        <v>46036</v>
      </c>
      <c r="G1400" s="34"/>
      <c r="H1400" s="34" t="s">
        <v>232</v>
      </c>
      <c r="I1400" s="34"/>
      <c r="J1400" s="9" t="s">
        <v>231</v>
      </c>
    </row>
    <row r="1401" spans="1:10" ht="15" customHeight="1" x14ac:dyDescent="0.35">
      <c r="A1401" s="12">
        <v>2007948</v>
      </c>
      <c r="B1401" s="59" t="str">
        <f>IFERROR(VLOOKUP(Tabla1[[#This Row],[CODIGO]],INVENTARIO!A:B,2,0)," ")</f>
        <v>Tubo PVC Hidraulico 110 mm Pn6 Celeste</v>
      </c>
      <c r="C1401" s="12">
        <v>1</v>
      </c>
      <c r="D1401" s="13"/>
      <c r="E1401" s="12">
        <v>858</v>
      </c>
      <c r="F1401" s="14">
        <v>46036</v>
      </c>
      <c r="G1401" s="34"/>
      <c r="H1401" s="34" t="s">
        <v>232</v>
      </c>
      <c r="I1401" s="34"/>
      <c r="J1401" s="9" t="s">
        <v>231</v>
      </c>
    </row>
    <row r="1402" spans="1:10" ht="15" customHeight="1" x14ac:dyDescent="0.35">
      <c r="A1402" s="12">
        <v>302737</v>
      </c>
      <c r="B1402" s="59" t="str">
        <f>IFERROR(VLOOKUP(Tabla1[[#This Row],[CODIGO]],INVENTARIO!A:B,2,0)," ")</f>
        <v>Válvula Bola 3/4" Hi Un Cuerpo Pn5 Arco</v>
      </c>
      <c r="C1402" s="12">
        <v>1</v>
      </c>
      <c r="D1402" s="13"/>
      <c r="E1402" s="12">
        <v>858</v>
      </c>
      <c r="F1402" s="14">
        <v>46036</v>
      </c>
      <c r="G1402" s="34"/>
      <c r="H1402" s="34" t="s">
        <v>232</v>
      </c>
      <c r="I1402" s="34"/>
      <c r="J1402" s="9" t="s">
        <v>231</v>
      </c>
    </row>
    <row r="1403" spans="1:10" ht="15" customHeight="1" x14ac:dyDescent="0.35">
      <c r="A1403" s="12">
        <v>2006391</v>
      </c>
      <c r="B1403" s="59" t="str">
        <f>IFERROR(VLOOKUP(Tabla1[[#This Row],[CODIGO]],INVENTARIO!A:B,2,0)," ")</f>
        <v>Guardallave Fierro Fundido C/Tapa</v>
      </c>
      <c r="C1403" s="12">
        <v>1</v>
      </c>
      <c r="D1403" s="13"/>
      <c r="E1403" s="12">
        <v>858</v>
      </c>
      <c r="F1403" s="14">
        <v>46036</v>
      </c>
      <c r="G1403" s="34"/>
      <c r="H1403" s="34" t="s">
        <v>232</v>
      </c>
      <c r="I1403" s="34"/>
      <c r="J1403" s="9" t="s">
        <v>231</v>
      </c>
    </row>
    <row r="1404" spans="1:10" ht="15" customHeight="1" x14ac:dyDescent="0.35">
      <c r="A1404" s="12">
        <v>301044</v>
      </c>
      <c r="B1404" s="59" t="str">
        <f>IFERROR(VLOOKUP(Tabla1[[#This Row],[CODIGO]],INVENTARIO!A:B,2,0)," ")</f>
        <v>Codo PE100 45° 063mm EF</v>
      </c>
      <c r="C1404" s="12">
        <v>2</v>
      </c>
      <c r="D1404" s="13"/>
      <c r="E1404" s="12">
        <v>12</v>
      </c>
      <c r="F1404" s="14">
        <v>46037</v>
      </c>
      <c r="G1404" s="34"/>
      <c r="H1404" s="34" t="s">
        <v>223</v>
      </c>
      <c r="I1404" s="34"/>
      <c r="J1404" s="9" t="s">
        <v>207</v>
      </c>
    </row>
    <row r="1405" spans="1:10" ht="15" customHeight="1" x14ac:dyDescent="0.35">
      <c r="A1405" s="12">
        <v>301987</v>
      </c>
      <c r="B1405" s="59" t="str">
        <f>IFERROR(VLOOKUP(Tabla1[[#This Row],[CODIGO]],INVENTARIO!A:B,2,0)," ")</f>
        <v>Codo PE100 90° 063mm EF</v>
      </c>
      <c r="C1405" s="12">
        <v>1</v>
      </c>
      <c r="D1405" s="13"/>
      <c r="E1405" s="12">
        <v>12</v>
      </c>
      <c r="F1405" s="14">
        <v>46037</v>
      </c>
      <c r="G1405" s="34"/>
      <c r="H1405" s="34" t="s">
        <v>223</v>
      </c>
      <c r="I1405" s="34"/>
      <c r="J1405" s="9" t="s">
        <v>207</v>
      </c>
    </row>
    <row r="1406" spans="1:10" ht="15" customHeight="1" x14ac:dyDescent="0.35">
      <c r="A1406" s="12">
        <v>2005135</v>
      </c>
      <c r="B1406" s="59" t="str">
        <f>IFERROR(VLOOKUP(Tabla1[[#This Row],[CODIGO]],INVENTARIO!A:B,2,0)," ")</f>
        <v>Tubo PVC 110 mm PN6 CG Amarillo Tira 6 m</v>
      </c>
      <c r="C1406" s="12">
        <v>1</v>
      </c>
      <c r="D1406" s="13"/>
      <c r="E1406" s="12">
        <v>12</v>
      </c>
      <c r="F1406" s="14">
        <v>46037</v>
      </c>
      <c r="G1406" s="34"/>
      <c r="H1406" s="34" t="s">
        <v>223</v>
      </c>
      <c r="I1406" s="34"/>
      <c r="J1406" s="9" t="s">
        <v>207</v>
      </c>
    </row>
    <row r="1407" spans="1:10" ht="15" customHeight="1" x14ac:dyDescent="0.35">
      <c r="A1407" s="12">
        <v>2008302</v>
      </c>
      <c r="B1407" s="59" t="str">
        <f>IFERROR(VLOOKUP(Tabla1[[#This Row],[CODIGO]],INVENTARIO!A:B,2,0)," ")</f>
        <v>Tapa PE 063 mm Electro F.</v>
      </c>
      <c r="C1407" s="12">
        <v>6</v>
      </c>
      <c r="D1407" s="13"/>
      <c r="E1407" s="12">
        <v>14</v>
      </c>
      <c r="F1407" s="14">
        <v>46038</v>
      </c>
      <c r="G1407" s="34"/>
      <c r="H1407" s="34" t="s">
        <v>223</v>
      </c>
      <c r="I1407" s="34"/>
      <c r="J1407" s="9" t="s">
        <v>207</v>
      </c>
    </row>
    <row r="1408" spans="1:10" ht="15" customHeight="1" x14ac:dyDescent="0.35">
      <c r="A1408" s="12">
        <v>301749</v>
      </c>
      <c r="B1408" s="59" t="str">
        <f>IFERROR(VLOOKUP(Tabla1[[#This Row],[CODIGO]],INVENTARIO!A:B,2,0)," ")</f>
        <v>Tubería PE80 025mm Rollo</v>
      </c>
      <c r="C1408" s="12">
        <v>6</v>
      </c>
      <c r="D1408" s="13"/>
      <c r="E1408" s="12">
        <v>858</v>
      </c>
      <c r="F1408" s="14">
        <v>46036</v>
      </c>
      <c r="G1408" s="34"/>
      <c r="H1408" s="34" t="s">
        <v>232</v>
      </c>
      <c r="I1408" s="34" t="s">
        <v>234</v>
      </c>
      <c r="J1408" s="9" t="s">
        <v>231</v>
      </c>
    </row>
    <row r="1409" spans="1:10" ht="15" customHeight="1" x14ac:dyDescent="0.35">
      <c r="A1409" s="12">
        <v>301749</v>
      </c>
      <c r="B1409" s="59" t="str">
        <f>IFERROR(VLOOKUP(Tabla1[[#This Row],[CODIGO]],INVENTARIO!A:B,2,0)," ")</f>
        <v>Tubería PE80 025mm Rollo</v>
      </c>
      <c r="C1409" s="12">
        <v>10</v>
      </c>
      <c r="D1409" s="13"/>
      <c r="E1409" s="12">
        <v>11</v>
      </c>
      <c r="F1409" s="14">
        <v>46036</v>
      </c>
      <c r="G1409" s="34"/>
      <c r="H1409" s="34" t="s">
        <v>223</v>
      </c>
      <c r="I1409" s="34" t="s">
        <v>236</v>
      </c>
      <c r="J1409" s="9" t="s">
        <v>207</v>
      </c>
    </row>
    <row r="1410" spans="1:10" ht="15" customHeight="1" x14ac:dyDescent="0.35">
      <c r="A1410" s="12">
        <v>301749</v>
      </c>
      <c r="B1410" s="59" t="str">
        <f>IFERROR(VLOOKUP(Tabla1[[#This Row],[CODIGO]],INVENTARIO!A:B,2,0)," ")</f>
        <v>Tubería PE80 025mm Rollo</v>
      </c>
      <c r="C1410" s="12">
        <v>5</v>
      </c>
      <c r="D1410" s="13"/>
      <c r="E1410" s="12">
        <v>859</v>
      </c>
      <c r="F1410" s="14">
        <v>46036</v>
      </c>
      <c r="G1410" s="34"/>
      <c r="H1410" s="34" t="s">
        <v>224</v>
      </c>
      <c r="I1410" s="34" t="s">
        <v>236</v>
      </c>
      <c r="J1410" s="9" t="s">
        <v>193</v>
      </c>
    </row>
    <row r="1411" spans="1:10" ht="15" customHeight="1" x14ac:dyDescent="0.35">
      <c r="A1411" s="12">
        <v>301987</v>
      </c>
      <c r="B1411" s="59" t="str">
        <f>IFERROR(VLOOKUP(Tabla1[[#This Row],[CODIGO]],INVENTARIO!A:B,2,0)," ")</f>
        <v>Codo PE100 90° 063mm EF</v>
      </c>
      <c r="C1411" s="12">
        <v>8</v>
      </c>
      <c r="D1411" s="13"/>
      <c r="E1411" s="12">
        <v>10</v>
      </c>
      <c r="F1411" s="14">
        <v>46034</v>
      </c>
      <c r="G1411" s="14"/>
      <c r="H1411" s="14"/>
      <c r="I1411" s="14"/>
      <c r="J1411" s="9" t="s">
        <v>194</v>
      </c>
    </row>
    <row r="1412" spans="1:10" ht="15" customHeight="1" x14ac:dyDescent="0.35">
      <c r="A1412" s="12">
        <v>301044</v>
      </c>
      <c r="B1412" s="59" t="str">
        <f>IFERROR(VLOOKUP(Tabla1[[#This Row],[CODIGO]],INVENTARIO!A:B,2,0)," ")</f>
        <v>Codo PE100 45° 063mm EF</v>
      </c>
      <c r="C1412" s="12">
        <v>2</v>
      </c>
      <c r="D1412" s="13"/>
      <c r="E1412" s="12">
        <v>10</v>
      </c>
      <c r="F1412" s="14">
        <v>46034</v>
      </c>
      <c r="G1412" s="14"/>
      <c r="H1412" s="14"/>
      <c r="I1412" s="14"/>
      <c r="J1412" s="9" t="s">
        <v>194</v>
      </c>
    </row>
    <row r="1413" spans="1:10" ht="15" customHeight="1" x14ac:dyDescent="0.35">
      <c r="A1413" s="12">
        <v>1000720</v>
      </c>
      <c r="B1413" s="59" t="str">
        <f>IFERROR(VLOOKUP(Tabla1[[#This Row],[CODIGO]],INVENTARIO!A:B,2,0)," ")</f>
        <v>Teflón en Cinta de 3/4" Ancho x 520" a 5</v>
      </c>
      <c r="C1413" s="12">
        <v>1</v>
      </c>
      <c r="D1413" s="13"/>
      <c r="E1413" s="12">
        <v>10</v>
      </c>
      <c r="F1413" s="14">
        <v>46034</v>
      </c>
      <c r="G1413" s="14"/>
      <c r="H1413" s="14"/>
      <c r="I1413" s="14"/>
      <c r="J1413" s="9" t="s">
        <v>194</v>
      </c>
    </row>
    <row r="1414" spans="1:10" ht="15" customHeight="1" x14ac:dyDescent="0.35">
      <c r="A1414" s="12">
        <v>302184</v>
      </c>
      <c r="B1414" s="59" t="str">
        <f>IFERROR(VLOOKUP(Tabla1[[#This Row],[CODIGO]],INVENTARIO!A:B,2,0)," ")</f>
        <v>Tapa Tornillo Cambio de Codigo por: 2008481</v>
      </c>
      <c r="C1414" s="12">
        <v>1</v>
      </c>
      <c r="D1414" s="13"/>
      <c r="E1414" s="12">
        <v>10</v>
      </c>
      <c r="F1414" s="14">
        <v>46034</v>
      </c>
      <c r="G1414" s="14"/>
      <c r="H1414" s="14"/>
      <c r="I1414" s="14"/>
      <c r="J1414" s="9" t="s">
        <v>194</v>
      </c>
    </row>
    <row r="1415" spans="1:10" ht="15" customHeight="1" x14ac:dyDescent="0.35">
      <c r="A1415" s="12">
        <v>302737</v>
      </c>
      <c r="B1415" s="59" t="str">
        <f>IFERROR(VLOOKUP(Tabla1[[#This Row],[CODIGO]],INVENTARIO!A:B,2,0)," ")</f>
        <v>Válvula Bola 3/4" Hi Un Cuerpo Pn5 Arco</v>
      </c>
      <c r="C1415" s="12">
        <v>1</v>
      </c>
      <c r="D1415" s="13"/>
      <c r="E1415" s="12">
        <v>10</v>
      </c>
      <c r="F1415" s="14">
        <v>46034</v>
      </c>
      <c r="G1415" s="14"/>
      <c r="H1415" s="14"/>
      <c r="I1415" s="14"/>
      <c r="J1415" s="9" t="s">
        <v>194</v>
      </c>
    </row>
    <row r="1416" spans="1:10" ht="15" customHeight="1" x14ac:dyDescent="0.35">
      <c r="A1416" s="12">
        <v>300109</v>
      </c>
      <c r="B1416" s="59" t="str">
        <f>IFERROR(VLOOKUP(Tabla1[[#This Row],[CODIGO]],INVENTARIO!A:B,2,0)," ")</f>
        <v>Risers de Acero 3/4" Bsp x 25 mm</v>
      </c>
      <c r="C1416" s="12">
        <v>1</v>
      </c>
      <c r="D1416" s="13"/>
      <c r="E1416" s="12">
        <v>10</v>
      </c>
      <c r="F1416" s="14">
        <v>46034</v>
      </c>
      <c r="G1416" s="14"/>
      <c r="H1416" s="14"/>
      <c r="I1416" s="14"/>
      <c r="J1416" s="9" t="s">
        <v>194</v>
      </c>
    </row>
    <row r="1417" spans="1:10" ht="15" customHeight="1" x14ac:dyDescent="0.35">
      <c r="A1417" s="12">
        <v>302659</v>
      </c>
      <c r="B1417" s="59" t="str">
        <f>IFERROR(VLOOKUP(Tabla1[[#This Row],[CODIGO]],INVENTARIO!A:B,2,0)," ")</f>
        <v>Copla PE100 063mm EF</v>
      </c>
      <c r="C1417" s="12">
        <v>2</v>
      </c>
      <c r="D1417" s="13"/>
      <c r="E1417" s="12">
        <v>10</v>
      </c>
      <c r="F1417" s="14">
        <v>46034</v>
      </c>
      <c r="G1417" s="14"/>
      <c r="H1417" s="14"/>
      <c r="I1417" s="14"/>
      <c r="J1417" s="9" t="s">
        <v>194</v>
      </c>
    </row>
    <row r="1418" spans="1:10" ht="15" customHeight="1" x14ac:dyDescent="0.35">
      <c r="A1418" s="12">
        <v>2008302</v>
      </c>
      <c r="B1418" s="59" t="str">
        <f>IFERROR(VLOOKUP(Tabla1[[#This Row],[CODIGO]],INVENTARIO!A:B,2,0)," ")</f>
        <v>Tapa PE 063 mm Electro F.</v>
      </c>
      <c r="C1418" s="12">
        <v>2</v>
      </c>
      <c r="D1418" s="13"/>
      <c r="E1418" s="12">
        <v>10</v>
      </c>
      <c r="F1418" s="14">
        <v>46034</v>
      </c>
      <c r="G1418" s="14"/>
      <c r="H1418" s="34" t="s">
        <v>226</v>
      </c>
      <c r="I1418" s="14"/>
      <c r="J1418" s="9" t="s">
        <v>194</v>
      </c>
    </row>
    <row r="1419" spans="1:10" ht="15" customHeight="1" x14ac:dyDescent="0.35">
      <c r="A1419" s="12">
        <v>2008302</v>
      </c>
      <c r="B1419" s="59" t="str">
        <f>IFERROR(VLOOKUP(Tabla1[[#This Row],[CODIGO]],INVENTARIO!A:B,2,0)," ")</f>
        <v>Tapa PE 063 mm Electro F.</v>
      </c>
      <c r="C1419" s="12">
        <v>2</v>
      </c>
      <c r="D1419" s="13"/>
      <c r="E1419" s="12">
        <v>7</v>
      </c>
      <c r="F1419" s="14">
        <v>46031</v>
      </c>
      <c r="G1419" s="14"/>
      <c r="H1419" s="14"/>
      <c r="I1419" s="14"/>
      <c r="J1419" s="9" t="s">
        <v>207</v>
      </c>
    </row>
    <row r="1420" spans="1:10" ht="15" customHeight="1" x14ac:dyDescent="0.35">
      <c r="A1420" s="12">
        <v>1002167</v>
      </c>
      <c r="B1420" s="59" t="str">
        <f>IFERROR(VLOOKUP(Tabla1[[#This Row],[CODIGO]],INVENTARIO!A:B,2,0)," ")</f>
        <v>Cable Trazador Cu 14 AWG Aisl. THW Roj</v>
      </c>
      <c r="C1420" s="12">
        <v>100</v>
      </c>
      <c r="D1420" s="13"/>
      <c r="E1420" s="12">
        <v>7</v>
      </c>
      <c r="F1420" s="14">
        <v>46031</v>
      </c>
      <c r="G1420" s="14"/>
      <c r="H1420" s="14"/>
      <c r="I1420" s="14"/>
      <c r="J1420" s="9" t="s">
        <v>207</v>
      </c>
    </row>
    <row r="1421" spans="1:10" ht="15" customHeight="1" x14ac:dyDescent="0.35">
      <c r="A1421" s="12">
        <v>303368</v>
      </c>
      <c r="B1421" s="59" t="str">
        <f>IFERROR(VLOOKUP(Tabla1[[#This Row],[CODIGO]],INVENTARIO!A:B,2,0)," ")</f>
        <v>Cinta Plástica "Línea GN", 30 x 0.1</v>
      </c>
      <c r="C1421" s="12">
        <v>100</v>
      </c>
      <c r="D1421" s="13"/>
      <c r="E1421" s="12">
        <v>7</v>
      </c>
      <c r="F1421" s="14">
        <v>46031</v>
      </c>
      <c r="G1421" s="14"/>
      <c r="H1421" s="14"/>
      <c r="I1421" s="14"/>
      <c r="J1421" s="9" t="s">
        <v>207</v>
      </c>
    </row>
    <row r="1422" spans="1:10" ht="15" customHeight="1" x14ac:dyDescent="0.35">
      <c r="A1422" s="12">
        <v>302659</v>
      </c>
      <c r="B1422" s="59" t="str">
        <f>IFERROR(VLOOKUP(Tabla1[[#This Row],[CODIGO]],INVENTARIO!A:B,2,0)," ")</f>
        <v>Copla PE100 063mm EF</v>
      </c>
      <c r="C1422" s="12">
        <v>7</v>
      </c>
      <c r="D1422" s="13"/>
      <c r="E1422" s="12">
        <v>7</v>
      </c>
      <c r="F1422" s="14">
        <v>46031</v>
      </c>
      <c r="G1422" s="14"/>
      <c r="H1422" s="14"/>
      <c r="I1422" s="14"/>
      <c r="J1422" s="9" t="s">
        <v>207</v>
      </c>
    </row>
    <row r="1423" spans="1:10" ht="15" customHeight="1" x14ac:dyDescent="0.35">
      <c r="A1423" s="12">
        <v>2002263</v>
      </c>
      <c r="B1423" s="59" t="str">
        <f>IFERROR(VLOOKUP(Tabla1[[#This Row],[CODIGO]],INVENTARIO!A:B,2,0)," ")</f>
        <v>Tubería PE80 063mm Rollo</v>
      </c>
      <c r="C1423" s="12">
        <v>100</v>
      </c>
      <c r="D1423" s="13"/>
      <c r="E1423" s="12">
        <v>7</v>
      </c>
      <c r="F1423" s="14">
        <v>46031</v>
      </c>
      <c r="G1423" s="9" t="s">
        <v>218</v>
      </c>
      <c r="H1423" s="34" t="s">
        <v>223</v>
      </c>
      <c r="I1423" s="9"/>
      <c r="J1423" s="9" t="s">
        <v>207</v>
      </c>
    </row>
    <row r="1424" spans="1:10" ht="15" customHeight="1" x14ac:dyDescent="0.35">
      <c r="A1424" s="12">
        <v>1002167</v>
      </c>
      <c r="B1424" s="59" t="str">
        <f>IFERROR(VLOOKUP(Tabla1[[#This Row],[CODIGO]],INVENTARIO!A:B,2,0)," ")</f>
        <v>Cable Trazador Cu 14 AWG Aisl. THW Roj</v>
      </c>
      <c r="C1424" s="12">
        <v>3</v>
      </c>
      <c r="D1424" s="13"/>
      <c r="E1424" s="12">
        <v>856</v>
      </c>
      <c r="F1424" s="14">
        <v>46035</v>
      </c>
      <c r="G1424" s="14"/>
      <c r="H1424" s="14"/>
      <c r="I1424" s="14"/>
      <c r="J1424" s="9" t="s">
        <v>208</v>
      </c>
    </row>
    <row r="1425" spans="1:10" ht="15" customHeight="1" x14ac:dyDescent="0.35">
      <c r="A1425" s="12">
        <v>303368</v>
      </c>
      <c r="B1425" s="59" t="str">
        <f>IFERROR(VLOOKUP(Tabla1[[#This Row],[CODIGO]],INVENTARIO!A:B,2,0)," ")</f>
        <v>Cinta Plástica "Línea GN", 30 x 0.1</v>
      </c>
      <c r="C1425" s="12">
        <v>3</v>
      </c>
      <c r="D1425" s="13"/>
      <c r="E1425" s="12">
        <v>856</v>
      </c>
      <c r="F1425" s="14">
        <v>46035</v>
      </c>
      <c r="G1425" s="14"/>
      <c r="H1425" s="14"/>
      <c r="I1425" s="14"/>
      <c r="J1425" s="9" t="s">
        <v>208</v>
      </c>
    </row>
    <row r="1426" spans="1:10" ht="15" customHeight="1" x14ac:dyDescent="0.35">
      <c r="A1426" s="12">
        <v>302737</v>
      </c>
      <c r="B1426" s="59" t="str">
        <f>IFERROR(VLOOKUP(Tabla1[[#This Row],[CODIGO]],INVENTARIO!A:B,2,0)," ")</f>
        <v>Válvula Bola 3/4" Hi Un Cuerpo Pn5 Arco</v>
      </c>
      <c r="C1426" s="12">
        <v>1</v>
      </c>
      <c r="D1426" s="13"/>
      <c r="E1426" s="12">
        <v>856</v>
      </c>
      <c r="F1426" s="14">
        <v>46035</v>
      </c>
      <c r="G1426" s="14"/>
      <c r="H1426" s="14"/>
      <c r="I1426" s="14"/>
      <c r="J1426" s="9" t="s">
        <v>208</v>
      </c>
    </row>
    <row r="1427" spans="1:10" ht="15" customHeight="1" x14ac:dyDescent="0.35">
      <c r="A1427" s="12">
        <v>2007948</v>
      </c>
      <c r="B1427" s="59" t="str">
        <f>IFERROR(VLOOKUP(Tabla1[[#This Row],[CODIGO]],INVENTARIO!A:B,2,0)," ")</f>
        <v>Tubo PVC Hidraulico 110 mm Pn6 Celeste</v>
      </c>
      <c r="C1427" s="12">
        <v>1</v>
      </c>
      <c r="D1427" s="13"/>
      <c r="E1427" s="12">
        <v>856</v>
      </c>
      <c r="F1427" s="14">
        <v>46035</v>
      </c>
      <c r="G1427" s="14"/>
      <c r="H1427" s="14"/>
      <c r="I1427" s="14"/>
      <c r="J1427" s="9" t="s">
        <v>208</v>
      </c>
    </row>
    <row r="1428" spans="1:10" ht="15" customHeight="1" x14ac:dyDescent="0.35">
      <c r="A1428" s="12">
        <v>2006391</v>
      </c>
      <c r="B1428" s="59" t="str">
        <f>IFERROR(VLOOKUP(Tabla1[[#This Row],[CODIGO]],INVENTARIO!A:B,2,0)," ")</f>
        <v>Guardallave Fierro Fundido C/Tapa</v>
      </c>
      <c r="C1428" s="12">
        <v>1</v>
      </c>
      <c r="D1428" s="13"/>
      <c r="E1428" s="12">
        <v>856</v>
      </c>
      <c r="F1428" s="14">
        <v>46035</v>
      </c>
      <c r="G1428" s="14"/>
      <c r="H1428" s="14"/>
      <c r="I1428" s="14"/>
      <c r="J1428" s="9" t="s">
        <v>208</v>
      </c>
    </row>
    <row r="1429" spans="1:10" ht="15" customHeight="1" x14ac:dyDescent="0.35">
      <c r="A1429" s="12">
        <v>301749</v>
      </c>
      <c r="B1429" s="59" t="str">
        <f>IFERROR(VLOOKUP(Tabla1[[#This Row],[CODIGO]],INVENTARIO!A:B,2,0)," ")</f>
        <v>Tubería PE80 025mm Rollo</v>
      </c>
      <c r="C1429" s="12">
        <v>3</v>
      </c>
      <c r="D1429" s="13"/>
      <c r="E1429" s="12">
        <v>856</v>
      </c>
      <c r="F1429" s="14">
        <v>46035</v>
      </c>
      <c r="G1429" s="14"/>
      <c r="H1429" s="34" t="s">
        <v>225</v>
      </c>
      <c r="I1429" s="34" t="s">
        <v>235</v>
      </c>
      <c r="J1429" s="9" t="s">
        <v>208</v>
      </c>
    </row>
    <row r="1430" spans="1:10" ht="15" customHeight="1" x14ac:dyDescent="0.35">
      <c r="A1430" s="12">
        <v>301738</v>
      </c>
      <c r="B1430" s="59" t="str">
        <f>IFERROR(VLOOKUP(Tabla1[[#This Row],[CODIGO]],INVENTARIO!A:B,2,0)," ")</f>
        <v>Regulador Sum. Fe-25, 20 Mbar P.Fior</v>
      </c>
      <c r="C1430" s="12">
        <v>1</v>
      </c>
      <c r="D1430" s="13"/>
      <c r="E1430" s="12">
        <v>856</v>
      </c>
      <c r="F1430" s="14">
        <v>46035</v>
      </c>
      <c r="G1430" s="14"/>
      <c r="H1430" s="14"/>
      <c r="I1430" s="14"/>
      <c r="J1430" s="9" t="s">
        <v>208</v>
      </c>
    </row>
    <row r="1431" spans="1:10" ht="15" customHeight="1" x14ac:dyDescent="0.35">
      <c r="A1431" s="12">
        <v>101618</v>
      </c>
      <c r="B1431" s="59" t="str">
        <f>IFERROR(VLOOKUP(Tabla1[[#This Row],[CODIGO]],INVENTARIO!A:B,2,0)," ")</f>
        <v>Risers Ac,Recto 3/4 "x25 mm</v>
      </c>
      <c r="C1431" s="12">
        <v>1</v>
      </c>
      <c r="D1431" s="13"/>
      <c r="E1431" s="12">
        <v>856</v>
      </c>
      <c r="F1431" s="14">
        <v>46035</v>
      </c>
      <c r="G1431" s="14"/>
      <c r="H1431" s="14"/>
      <c r="I1431" s="14"/>
      <c r="J1431" s="9" t="s">
        <v>208</v>
      </c>
    </row>
    <row r="1432" spans="1:10" ht="15" customHeight="1" x14ac:dyDescent="0.35">
      <c r="A1432" s="12">
        <v>301329</v>
      </c>
      <c r="B1432" s="59" t="str">
        <f>IFERROR(VLOOKUP(Tabla1[[#This Row],[CODIGO]],INVENTARIO!A:B,2,0)," ")</f>
        <v>Copla PE100 025mm EF</v>
      </c>
      <c r="C1432" s="12">
        <v>4</v>
      </c>
      <c r="D1432" s="13"/>
      <c r="E1432" s="12">
        <v>856</v>
      </c>
      <c r="F1432" s="14">
        <v>46035</v>
      </c>
      <c r="G1432" s="14"/>
      <c r="H1432" s="14"/>
      <c r="I1432" s="14"/>
      <c r="J1432" s="9" t="s">
        <v>208</v>
      </c>
    </row>
    <row r="1433" spans="1:10" ht="15" customHeight="1" x14ac:dyDescent="0.35">
      <c r="A1433" s="12">
        <v>301099</v>
      </c>
      <c r="B1433" s="59" t="str">
        <f>IFERROR(VLOOKUP(Tabla1[[#This Row],[CODIGO]],INVENTARIO!A:B,2,0)," ")</f>
        <v>Válvula PE100 Dn 25mm</v>
      </c>
      <c r="C1433" s="12">
        <v>1</v>
      </c>
      <c r="D1433" s="13"/>
      <c r="E1433" s="12">
        <v>856</v>
      </c>
      <c r="F1433" s="14">
        <v>46035</v>
      </c>
      <c r="G1433" s="14"/>
      <c r="H1433" s="14"/>
      <c r="I1433" s="14"/>
      <c r="J1433" s="9" t="s">
        <v>208</v>
      </c>
    </row>
    <row r="1434" spans="1:10" ht="15" customHeight="1" x14ac:dyDescent="0.35">
      <c r="A1434" s="12">
        <v>2000350</v>
      </c>
      <c r="B1434" s="59" t="str">
        <f>IFERROR(VLOOKUP(Tabla1[[#This Row],[CODIGO]],INVENTARIO!A:B,2,0)," ")</f>
        <v>Codo PE 90º  25 mm EF.</v>
      </c>
      <c r="C1434" s="12">
        <v>4</v>
      </c>
      <c r="D1434" s="13"/>
      <c r="E1434" s="12">
        <v>856</v>
      </c>
      <c r="F1434" s="14">
        <v>46035</v>
      </c>
      <c r="G1434" s="14"/>
      <c r="H1434" s="14"/>
      <c r="I1434" s="14"/>
      <c r="J1434" s="9" t="s">
        <v>208</v>
      </c>
    </row>
    <row r="1435" spans="1:10" ht="15" customHeight="1" x14ac:dyDescent="0.35">
      <c r="A1435" s="12">
        <v>300412</v>
      </c>
      <c r="B1435" s="59" t="str">
        <f>IFERROR(VLOOKUP(Tabla1[[#This Row],[CODIGO]],INVENTARIO!A:B,2,0)," ")</f>
        <v>Tapping Tee PE 90-25 mm</v>
      </c>
      <c r="C1435" s="12">
        <v>1</v>
      </c>
      <c r="D1435" s="13"/>
      <c r="E1435" s="12">
        <v>856</v>
      </c>
      <c r="F1435" s="14">
        <v>46035</v>
      </c>
      <c r="G1435" s="14"/>
      <c r="H1435" s="14"/>
      <c r="I1435" s="14"/>
      <c r="J1435" s="9" t="s">
        <v>208</v>
      </c>
    </row>
    <row r="1436" spans="1:10" ht="15" customHeight="1" x14ac:dyDescent="0.35">
      <c r="A1436" s="12">
        <v>301987</v>
      </c>
      <c r="B1436" s="59" t="str">
        <f>IFERROR(VLOOKUP(Tabla1[[#This Row],[CODIGO]],INVENTARIO!A:B,2,0)," ")</f>
        <v>Codo PE100 90° 063mm EF</v>
      </c>
      <c r="C1436" s="12">
        <v>2</v>
      </c>
      <c r="D1436" s="13"/>
      <c r="E1436" s="12">
        <v>9</v>
      </c>
      <c r="F1436" s="14">
        <v>46034</v>
      </c>
      <c r="G1436" s="14"/>
      <c r="H1436" s="14"/>
      <c r="I1436" s="14"/>
      <c r="J1436" s="9" t="s">
        <v>207</v>
      </c>
    </row>
    <row r="1437" spans="1:10" ht="15" customHeight="1" x14ac:dyDescent="0.35">
      <c r="A1437" s="12">
        <v>302184</v>
      </c>
      <c r="B1437" s="59" t="str">
        <f>IFERROR(VLOOKUP(Tabla1[[#This Row],[CODIGO]],INVENTARIO!A:B,2,0)," ")</f>
        <v>Tapa Tornillo Cambio de Codigo por: 2008481</v>
      </c>
      <c r="C1437" s="12">
        <v>2</v>
      </c>
      <c r="D1437" s="13"/>
      <c r="E1437" s="12">
        <v>9</v>
      </c>
      <c r="F1437" s="14">
        <v>46034</v>
      </c>
      <c r="G1437" s="14"/>
      <c r="H1437" s="14"/>
      <c r="I1437" s="14"/>
      <c r="J1437" s="9" t="s">
        <v>207</v>
      </c>
    </row>
    <row r="1438" spans="1:10" ht="15" customHeight="1" x14ac:dyDescent="0.35">
      <c r="A1438" s="12">
        <v>302737</v>
      </c>
      <c r="B1438" s="59" t="str">
        <f>IFERROR(VLOOKUP(Tabla1[[#This Row],[CODIGO]],INVENTARIO!A:B,2,0)," ")</f>
        <v>Válvula Bola 3/4" Hi Un Cuerpo Pn5 Arco</v>
      </c>
      <c r="C1438" s="12">
        <v>2</v>
      </c>
      <c r="D1438" s="13"/>
      <c r="E1438" s="12">
        <v>9</v>
      </c>
      <c r="F1438" s="14">
        <v>46034</v>
      </c>
      <c r="G1438" s="14"/>
      <c r="H1438" s="14"/>
      <c r="I1438" s="14"/>
      <c r="J1438" s="9" t="s">
        <v>207</v>
      </c>
    </row>
    <row r="1439" spans="1:10" ht="15" customHeight="1" x14ac:dyDescent="0.35">
      <c r="A1439" s="12">
        <v>2006392</v>
      </c>
      <c r="B1439" s="59" t="str">
        <f>IFERROR(VLOOKUP(Tabla1[[#This Row],[CODIGO]],INVENTARIO!A:B,2,0)," ")</f>
        <v>Limitador Flujo P/Tapping Tee 25 MM</v>
      </c>
      <c r="C1439" s="12">
        <v>2</v>
      </c>
      <c r="D1439" s="13"/>
      <c r="E1439" s="12">
        <v>9</v>
      </c>
      <c r="F1439" s="14">
        <v>46034</v>
      </c>
      <c r="G1439" s="14"/>
      <c r="H1439" s="14"/>
      <c r="I1439" s="14"/>
      <c r="J1439" s="9" t="s">
        <v>207</v>
      </c>
    </row>
    <row r="1440" spans="1:10" ht="15" customHeight="1" x14ac:dyDescent="0.35">
      <c r="A1440" s="12">
        <v>2006393</v>
      </c>
      <c r="B1440" s="59" t="str">
        <f>IFERROR(VLOOKUP(Tabla1[[#This Row],[CODIGO]],INVENTARIO!A:B,2,0)," ")</f>
        <v>Transición Latón 3/4"x25 MM PE100, SDR11</v>
      </c>
      <c r="C1440" s="12">
        <v>2</v>
      </c>
      <c r="D1440" s="13"/>
      <c r="E1440" s="12">
        <v>9</v>
      </c>
      <c r="F1440" s="14">
        <v>46034</v>
      </c>
      <c r="G1440" s="14"/>
      <c r="H1440" s="14"/>
      <c r="I1440" s="14"/>
      <c r="J1440" s="9" t="s">
        <v>207</v>
      </c>
    </row>
    <row r="1441" spans="1:10" ht="15" customHeight="1" x14ac:dyDescent="0.35">
      <c r="A1441" s="12">
        <v>2006391</v>
      </c>
      <c r="B1441" s="59" t="str">
        <f>IFERROR(VLOOKUP(Tabla1[[#This Row],[CODIGO]],INVENTARIO!A:B,2,0)," ")</f>
        <v>Guardallave Fierro Fundido C/Tapa</v>
      </c>
      <c r="C1441" s="12">
        <v>3</v>
      </c>
      <c r="D1441" s="13"/>
      <c r="E1441" s="12">
        <v>9</v>
      </c>
      <c r="F1441" s="14">
        <v>46034</v>
      </c>
      <c r="G1441" s="14"/>
      <c r="H1441" s="14"/>
      <c r="I1441" s="14"/>
      <c r="J1441" s="9" t="s">
        <v>207</v>
      </c>
    </row>
    <row r="1442" spans="1:10" ht="15" customHeight="1" x14ac:dyDescent="0.35">
      <c r="A1442" s="12">
        <v>2007948</v>
      </c>
      <c r="B1442" s="59" t="str">
        <f>IFERROR(VLOOKUP(Tabla1[[#This Row],[CODIGO]],INVENTARIO!A:B,2,0)," ")</f>
        <v>Tubo PVC Hidraulico 110 mm Pn6 Celeste</v>
      </c>
      <c r="C1442" s="12">
        <v>2</v>
      </c>
      <c r="D1442" s="13"/>
      <c r="E1442" s="12">
        <v>9</v>
      </c>
      <c r="F1442" s="14">
        <v>46034</v>
      </c>
      <c r="G1442" s="14"/>
      <c r="H1442" s="14"/>
      <c r="I1442" s="14"/>
      <c r="J1442" s="9" t="s">
        <v>207</v>
      </c>
    </row>
    <row r="1443" spans="1:10" ht="15" customHeight="1" x14ac:dyDescent="0.35">
      <c r="A1443" s="12">
        <v>301749</v>
      </c>
      <c r="B1443" s="59" t="str">
        <f>IFERROR(VLOOKUP(Tabla1[[#This Row],[CODIGO]],INVENTARIO!A:B,2,0)," ")</f>
        <v>Tubería PE80 025mm Rollo</v>
      </c>
      <c r="C1443" s="12">
        <v>4</v>
      </c>
      <c r="D1443" s="13"/>
      <c r="E1443" s="12">
        <v>9</v>
      </c>
      <c r="F1443" s="14">
        <v>46034</v>
      </c>
      <c r="G1443" s="9" t="s">
        <v>217</v>
      </c>
      <c r="H1443" s="34" t="s">
        <v>223</v>
      </c>
      <c r="I1443" s="34" t="s">
        <v>237</v>
      </c>
      <c r="J1443" s="9" t="s">
        <v>207</v>
      </c>
    </row>
    <row r="1444" spans="1:10" ht="15" customHeight="1" x14ac:dyDescent="0.35">
      <c r="A1444" s="12">
        <v>2000350</v>
      </c>
      <c r="B1444" s="59" t="str">
        <f>IFERROR(VLOOKUP(Tabla1[[#This Row],[CODIGO]],INVENTARIO!A:B,2,0)," ")</f>
        <v>Codo PE 90º  25 mm EF.</v>
      </c>
      <c r="C1444" s="12">
        <v>2</v>
      </c>
      <c r="D1444" s="13"/>
      <c r="E1444" s="12">
        <v>9</v>
      </c>
      <c r="F1444" s="14">
        <v>46034</v>
      </c>
      <c r="G1444" s="14"/>
      <c r="H1444" s="14"/>
      <c r="I1444" s="14"/>
      <c r="J1444" s="9" t="s">
        <v>207</v>
      </c>
    </row>
    <row r="1445" spans="1:10" ht="15" customHeight="1" x14ac:dyDescent="0.35">
      <c r="A1445" s="12">
        <v>301329</v>
      </c>
      <c r="B1445" s="59" t="str">
        <f>IFERROR(VLOOKUP(Tabla1[[#This Row],[CODIGO]],INVENTARIO!A:B,2,0)," ")</f>
        <v>Copla PE100 025mm EF</v>
      </c>
      <c r="C1445" s="12">
        <v>2</v>
      </c>
      <c r="D1445" s="13"/>
      <c r="E1445" s="12">
        <v>9</v>
      </c>
      <c r="F1445" s="14">
        <v>46034</v>
      </c>
      <c r="G1445" s="14"/>
      <c r="H1445" s="14"/>
      <c r="I1445" s="14"/>
      <c r="J1445" s="9" t="s">
        <v>207</v>
      </c>
    </row>
    <row r="1446" spans="1:10" ht="15" customHeight="1" x14ac:dyDescent="0.35">
      <c r="A1446" s="12">
        <v>300108</v>
      </c>
      <c r="B1446" s="59" t="str">
        <f>IFERROR(VLOOKUP(Tabla1[[#This Row],[CODIGO]],INVENTARIO!A:B,2,0)," ")</f>
        <v>Tapping Tee PE 63-25 mm</v>
      </c>
      <c r="C1446" s="12">
        <v>2</v>
      </c>
      <c r="D1446" s="13"/>
      <c r="E1446" s="12">
        <v>9</v>
      </c>
      <c r="F1446" s="14">
        <v>46034</v>
      </c>
      <c r="G1446" s="14"/>
      <c r="H1446" s="14"/>
      <c r="I1446" s="14"/>
      <c r="J1446" s="9" t="s">
        <v>207</v>
      </c>
    </row>
    <row r="1447" spans="1:10" ht="15" customHeight="1" x14ac:dyDescent="0.35">
      <c r="A1447" s="12">
        <v>2003965</v>
      </c>
      <c r="B1447" s="59" t="str">
        <f>IFERROR(VLOOKUP(Tabla1[[#This Row],[CODIGO]],INVENTARIO!A:B,2,0)," ")</f>
        <v>Válvula PE100 Dn 63mm</v>
      </c>
      <c r="C1447" s="12">
        <v>1</v>
      </c>
      <c r="D1447" s="13"/>
      <c r="E1447" s="12">
        <v>9</v>
      </c>
      <c r="F1447" s="14">
        <v>46034</v>
      </c>
      <c r="G1447" s="14"/>
      <c r="H1447" s="14"/>
      <c r="I1447" s="14"/>
      <c r="J1447" s="9" t="s">
        <v>207</v>
      </c>
    </row>
    <row r="1448" spans="1:10" ht="15" customHeight="1" x14ac:dyDescent="0.35">
      <c r="A1448" s="12">
        <v>2005135</v>
      </c>
      <c r="B1448" s="59" t="str">
        <f>IFERROR(VLOOKUP(Tabla1[[#This Row],[CODIGO]],INVENTARIO!A:B,2,0)," ")</f>
        <v>Tubo PVC 110 mm PN6 CG Amarillo Tira 6 m</v>
      </c>
      <c r="C1448" s="12">
        <v>2</v>
      </c>
      <c r="D1448" s="13"/>
      <c r="E1448" s="12">
        <v>9</v>
      </c>
      <c r="F1448" s="14">
        <v>46034</v>
      </c>
      <c r="G1448" s="14"/>
      <c r="H1448" s="14"/>
      <c r="I1448" s="14"/>
      <c r="J1448" s="9" t="s">
        <v>207</v>
      </c>
    </row>
    <row r="1449" spans="1:10" ht="15" customHeight="1" x14ac:dyDescent="0.35">
      <c r="A1449" s="12">
        <v>302659</v>
      </c>
      <c r="B1449" s="59" t="str">
        <f>IFERROR(VLOOKUP(Tabla1[[#This Row],[CODIGO]],INVENTARIO!A:B,2,0)," ")</f>
        <v>Copla PE100 063mm EF</v>
      </c>
      <c r="C1449" s="12">
        <v>4</v>
      </c>
      <c r="D1449" s="13"/>
      <c r="E1449" s="12">
        <v>853</v>
      </c>
      <c r="F1449" s="14">
        <v>46031</v>
      </c>
      <c r="G1449" s="14"/>
      <c r="H1449" s="14"/>
      <c r="I1449" s="14"/>
      <c r="J1449" s="9" t="s">
        <v>194</v>
      </c>
    </row>
    <row r="1450" spans="1:10" ht="15" customHeight="1" x14ac:dyDescent="0.35">
      <c r="A1450" s="12">
        <v>303368</v>
      </c>
      <c r="B1450" s="59" t="str">
        <f>IFERROR(VLOOKUP(Tabla1[[#This Row],[CODIGO]],INVENTARIO!A:B,2,0)," ")</f>
        <v>Cinta Plástica "Línea GN", 30 x 0.1</v>
      </c>
      <c r="C1450" s="12">
        <v>100</v>
      </c>
      <c r="D1450" s="13"/>
      <c r="E1450" s="12">
        <v>853</v>
      </c>
      <c r="F1450" s="14">
        <v>46031</v>
      </c>
      <c r="G1450" s="14"/>
      <c r="H1450" s="14"/>
      <c r="I1450" s="14"/>
      <c r="J1450" s="9" t="s">
        <v>194</v>
      </c>
    </row>
    <row r="1451" spans="1:10" ht="15" customHeight="1" x14ac:dyDescent="0.35">
      <c r="A1451" s="12">
        <v>1002167</v>
      </c>
      <c r="B1451" s="59" t="str">
        <f>IFERROR(VLOOKUP(Tabla1[[#This Row],[CODIGO]],INVENTARIO!A:B,2,0)," ")</f>
        <v>Cable Trazador Cu 14 AWG Aisl. THW Roj</v>
      </c>
      <c r="C1451" s="12">
        <v>100</v>
      </c>
      <c r="D1451" s="13"/>
      <c r="E1451" s="12">
        <v>853</v>
      </c>
      <c r="F1451" s="14">
        <v>46031</v>
      </c>
      <c r="G1451" s="14"/>
      <c r="H1451" s="14"/>
      <c r="I1451" s="14"/>
      <c r="J1451" s="9" t="s">
        <v>194</v>
      </c>
    </row>
    <row r="1452" spans="1:10" ht="15" customHeight="1" x14ac:dyDescent="0.35">
      <c r="A1452" s="12">
        <v>2002263</v>
      </c>
      <c r="B1452" s="59" t="str">
        <f>IFERROR(VLOOKUP(Tabla1[[#This Row],[CODIGO]],INVENTARIO!A:B,2,0)," ")</f>
        <v>Tubería PE80 063mm Rollo</v>
      </c>
      <c r="C1452" s="12">
        <v>100</v>
      </c>
      <c r="D1452" s="13"/>
      <c r="E1452" s="12">
        <v>853</v>
      </c>
      <c r="F1452" s="14">
        <v>46031</v>
      </c>
      <c r="G1452" s="9" t="s">
        <v>218</v>
      </c>
      <c r="H1452" s="9"/>
      <c r="I1452" s="9"/>
      <c r="J1452" s="9" t="s">
        <v>194</v>
      </c>
    </row>
    <row r="1453" spans="1:10" ht="15" customHeight="1" x14ac:dyDescent="0.35">
      <c r="A1453" s="12">
        <v>302065</v>
      </c>
      <c r="B1453" s="59" t="str">
        <f>IFERROR(VLOOKUP(Tabla1[[#This Row],[CODIGO]],INVENTARIO!A:B,2,0)," ")</f>
        <v>Tubería PE80 110mm Tira</v>
      </c>
      <c r="C1453" s="12">
        <v>1164</v>
      </c>
      <c r="D1453" s="13"/>
      <c r="E1453" s="12">
        <v>850</v>
      </c>
      <c r="F1453" s="14">
        <v>46029</v>
      </c>
      <c r="G1453" s="34" t="s">
        <v>215</v>
      </c>
      <c r="H1453" s="34"/>
      <c r="I1453" s="34"/>
      <c r="J1453" s="9" t="s">
        <v>197</v>
      </c>
    </row>
    <row r="1454" spans="1:10" ht="15" customHeight="1" x14ac:dyDescent="0.35">
      <c r="A1454" s="12">
        <v>2005136</v>
      </c>
      <c r="B1454" s="59" t="str">
        <f>IFERROR(VLOOKUP(Tabla1[[#This Row],[CODIGO]],INVENTARIO!A:B,2,0)," ")</f>
        <v>Tubo PVC 160 mm PN6 CG Amarillo</v>
      </c>
      <c r="C1454" s="12">
        <v>13</v>
      </c>
      <c r="D1454" s="13"/>
      <c r="E1454" s="12">
        <v>850</v>
      </c>
      <c r="F1454" s="14">
        <v>46029</v>
      </c>
      <c r="G1454" s="14"/>
      <c r="H1454" s="14"/>
      <c r="I1454" s="14"/>
      <c r="J1454" s="9" t="s">
        <v>197</v>
      </c>
    </row>
    <row r="1455" spans="1:10" ht="15" customHeight="1" x14ac:dyDescent="0.35">
      <c r="A1455" s="12">
        <v>2004185</v>
      </c>
      <c r="B1455" s="59" t="str">
        <f>IFERROR(VLOOKUP(Tabla1[[#This Row],[CODIGO]],INVENTARIO!A:B,2,0)," ")</f>
        <v>Anillo Cámara Modular 800x800 H=150 E6</v>
      </c>
      <c r="C1455" s="12">
        <v>6</v>
      </c>
      <c r="D1455" s="13"/>
      <c r="E1455" s="12">
        <v>850</v>
      </c>
      <c r="F1455" s="14">
        <v>46029</v>
      </c>
      <c r="G1455" s="14"/>
      <c r="H1455" s="14"/>
      <c r="I1455" s="14"/>
      <c r="J1455" s="9" t="s">
        <v>197</v>
      </c>
    </row>
    <row r="1456" spans="1:10" ht="15" customHeight="1" x14ac:dyDescent="0.35">
      <c r="A1456" s="12">
        <v>2004186</v>
      </c>
      <c r="B1456" s="59" t="str">
        <f>IFERROR(VLOOKUP(Tabla1[[#This Row],[CODIGO]],INVENTARIO!A:B,2,0)," ")</f>
        <v>Tapa AX-S Composite 800x800 B125</v>
      </c>
      <c r="C1456" s="12">
        <v>1</v>
      </c>
      <c r="D1456" s="13"/>
      <c r="E1456" s="12">
        <v>850</v>
      </c>
      <c r="F1456" s="14">
        <v>46029</v>
      </c>
      <c r="G1456" s="14"/>
      <c r="H1456" s="14"/>
      <c r="I1456" s="14"/>
      <c r="J1456" s="9" t="s">
        <v>197</v>
      </c>
    </row>
    <row r="1457" spans="1:10" ht="15" customHeight="1" x14ac:dyDescent="0.35">
      <c r="A1457" s="12">
        <v>2005138</v>
      </c>
      <c r="B1457" s="59" t="str">
        <f>IFERROR(VLOOKUP(Tabla1[[#This Row],[CODIGO]],INVENTARIO!A:B,2,0)," ")</f>
        <v>Tubo PVC 250 mm PN6 CG Amarillo</v>
      </c>
      <c r="C1457" s="12">
        <v>3</v>
      </c>
      <c r="D1457" s="13"/>
      <c r="E1457" s="12">
        <v>851</v>
      </c>
      <c r="F1457" s="14">
        <v>46021</v>
      </c>
      <c r="G1457" s="14"/>
      <c r="H1457" s="14"/>
      <c r="I1457" s="14"/>
      <c r="J1457" s="9" t="s">
        <v>193</v>
      </c>
    </row>
    <row r="1458" spans="1:10" ht="15" customHeight="1" x14ac:dyDescent="0.35">
      <c r="A1458" s="12">
        <v>300820</v>
      </c>
      <c r="B1458" s="59" t="str">
        <f>IFERROR(VLOOKUP(Tabla1[[#This Row],[CODIGO]],INVENTARIO!A:B,2,0)," ")</f>
        <v>Tubería PE80 160mm Tira</v>
      </c>
      <c r="C1458" s="12">
        <v>300</v>
      </c>
      <c r="D1458" s="13"/>
      <c r="E1458" s="12">
        <v>851</v>
      </c>
      <c r="F1458" s="14">
        <v>46021</v>
      </c>
      <c r="G1458" s="9" t="s">
        <v>219</v>
      </c>
      <c r="H1458" s="9"/>
      <c r="I1458" s="9"/>
      <c r="J1458" s="9" t="s">
        <v>193</v>
      </c>
    </row>
    <row r="1459" spans="1:10" ht="15" customHeight="1" x14ac:dyDescent="0.35">
      <c r="A1459" s="12">
        <v>302065</v>
      </c>
      <c r="B1459" s="59" t="str">
        <f>IFERROR(VLOOKUP(Tabla1[[#This Row],[CODIGO]],INVENTARIO!A:B,2,0)," ")</f>
        <v>Tubería PE80 110mm Tira</v>
      </c>
      <c r="C1459" s="12">
        <v>132</v>
      </c>
      <c r="D1459" s="13"/>
      <c r="E1459" s="12">
        <v>851</v>
      </c>
      <c r="F1459" s="14">
        <v>46021</v>
      </c>
      <c r="G1459" s="9" t="s">
        <v>215</v>
      </c>
      <c r="H1459" s="9"/>
      <c r="I1459" s="9"/>
      <c r="J1459" s="9" t="s">
        <v>193</v>
      </c>
    </row>
    <row r="1460" spans="1:10" ht="15" customHeight="1" x14ac:dyDescent="0.35">
      <c r="A1460" s="12">
        <v>2003911</v>
      </c>
      <c r="B1460" s="59" t="str">
        <f>IFERROR(VLOOKUP(Tabla1[[#This Row],[CODIGO]],INVENTARIO!A:B,2,0)," ")</f>
        <v>Válvula EFv PE 25 mm Para Tap. Tee</v>
      </c>
      <c r="C1460" s="12">
        <v>17</v>
      </c>
      <c r="D1460" s="13"/>
      <c r="E1460" s="12">
        <v>6</v>
      </c>
      <c r="F1460" s="14">
        <v>46030</v>
      </c>
      <c r="G1460" s="14"/>
      <c r="H1460" s="14"/>
      <c r="I1460" s="14"/>
      <c r="J1460" s="9" t="s">
        <v>194</v>
      </c>
    </row>
    <row r="1461" spans="1:10" ht="15" customHeight="1" x14ac:dyDescent="0.35">
      <c r="A1461" s="12">
        <v>301749</v>
      </c>
      <c r="B1461" s="59" t="str">
        <f>IFERROR(VLOOKUP(Tabla1[[#This Row],[CODIGO]],INVENTARIO!A:B,2,0)," ")</f>
        <v>Tubería PE80 025mm Rollo</v>
      </c>
      <c r="C1461" s="40">
        <v>100</v>
      </c>
      <c r="D1461" s="13"/>
      <c r="E1461" s="12">
        <v>6</v>
      </c>
      <c r="F1461" s="14">
        <v>46030</v>
      </c>
      <c r="G1461" s="9" t="s">
        <v>217</v>
      </c>
      <c r="H1461" s="9" t="s">
        <v>226</v>
      </c>
      <c r="I1461" s="9" t="s">
        <v>234</v>
      </c>
      <c r="J1461" s="9" t="s">
        <v>194</v>
      </c>
    </row>
    <row r="1462" spans="1:10" ht="15" customHeight="1" x14ac:dyDescent="0.35">
      <c r="A1462" s="12">
        <v>300712</v>
      </c>
      <c r="B1462" s="59" t="str">
        <f>IFERROR(VLOOKUP(Tabla1[[#This Row],[CODIGO]],INVENTARIO!A:B,2,0)," ")</f>
        <v>Tapa PE  025 mm Termo F.</v>
      </c>
      <c r="C1462" s="12">
        <v>20</v>
      </c>
      <c r="D1462" s="13"/>
      <c r="E1462" s="12">
        <v>6</v>
      </c>
      <c r="F1462" s="14">
        <v>46030</v>
      </c>
      <c r="G1462" s="14"/>
      <c r="H1462" s="14"/>
      <c r="I1462" s="14"/>
      <c r="J1462" s="9" t="s">
        <v>194</v>
      </c>
    </row>
    <row r="1463" spans="1:10" ht="15" customHeight="1" x14ac:dyDescent="0.35">
      <c r="A1463" s="12">
        <v>301329</v>
      </c>
      <c r="B1463" s="59" t="str">
        <f>IFERROR(VLOOKUP(Tabla1[[#This Row],[CODIGO]],INVENTARIO!A:B,2,0)," ")</f>
        <v>Copla PE100 025mm EF</v>
      </c>
      <c r="C1463" s="12">
        <v>37</v>
      </c>
      <c r="D1463" s="13"/>
      <c r="E1463" s="12">
        <v>6</v>
      </c>
      <c r="F1463" s="14">
        <v>46030</v>
      </c>
      <c r="G1463" s="14"/>
      <c r="H1463" s="14"/>
      <c r="I1463" s="14"/>
      <c r="J1463" s="9" t="s">
        <v>194</v>
      </c>
    </row>
    <row r="1464" spans="1:10" ht="15" customHeight="1" x14ac:dyDescent="0.35">
      <c r="A1464" s="12">
        <v>300108</v>
      </c>
      <c r="B1464" s="59" t="str">
        <f>IFERROR(VLOOKUP(Tabla1[[#This Row],[CODIGO]],INVENTARIO!A:B,2,0)," ")</f>
        <v>Tapping Tee PE 63-25 mm</v>
      </c>
      <c r="C1464" s="12">
        <v>17</v>
      </c>
      <c r="D1464" s="13"/>
      <c r="E1464" s="12">
        <v>6</v>
      </c>
      <c r="F1464" s="14">
        <v>46030</v>
      </c>
      <c r="G1464" s="14"/>
      <c r="H1464" s="14"/>
      <c r="I1464" s="14"/>
      <c r="J1464" s="9" t="s">
        <v>194</v>
      </c>
    </row>
    <row r="1465" spans="1:10" ht="15" customHeight="1" x14ac:dyDescent="0.35">
      <c r="A1465" s="12">
        <v>1002167</v>
      </c>
      <c r="B1465" s="59" t="str">
        <f>IFERROR(VLOOKUP(Tabla1[[#This Row],[CODIGO]],INVENTARIO!A:B,2,0)," ")</f>
        <v>Cable Trazador Cu 14 AWG Aisl. THW Roj</v>
      </c>
      <c r="C1465" s="12">
        <v>100</v>
      </c>
      <c r="D1465" s="13"/>
      <c r="E1465" s="12">
        <v>6</v>
      </c>
      <c r="F1465" s="14">
        <v>46030</v>
      </c>
      <c r="G1465" s="14"/>
      <c r="H1465" s="14"/>
      <c r="I1465" s="14"/>
      <c r="J1465" s="9" t="s">
        <v>194</v>
      </c>
    </row>
    <row r="1466" spans="1:10" ht="15" customHeight="1" x14ac:dyDescent="0.35">
      <c r="A1466" s="12">
        <v>303368</v>
      </c>
      <c r="B1466" s="59" t="str">
        <f>IFERROR(VLOOKUP(Tabla1[[#This Row],[CODIGO]],INVENTARIO!A:B,2,0)," ")</f>
        <v>Cinta Plástica "Línea GN", 30 x 0.1</v>
      </c>
      <c r="C1466" s="12">
        <v>200</v>
      </c>
      <c r="D1466" s="13"/>
      <c r="E1466" s="12">
        <v>6</v>
      </c>
      <c r="F1466" s="14">
        <v>46030</v>
      </c>
      <c r="G1466" s="14"/>
      <c r="H1466" s="14"/>
      <c r="I1466" s="14"/>
      <c r="J1466" s="9" t="s">
        <v>194</v>
      </c>
    </row>
    <row r="1467" spans="1:10" ht="15" customHeight="1" x14ac:dyDescent="0.35">
      <c r="A1467" s="12">
        <v>2002263</v>
      </c>
      <c r="B1467" s="59" t="str">
        <f>IFERROR(VLOOKUP(Tabla1[[#This Row],[CODIGO]],INVENTARIO!A:B,2,0)," ")</f>
        <v>Tubería PE80 063mm Rollo</v>
      </c>
      <c r="C1467" s="12">
        <v>100</v>
      </c>
      <c r="D1467" s="13"/>
      <c r="E1467" s="12">
        <v>6</v>
      </c>
      <c r="F1467" s="14">
        <v>46030</v>
      </c>
      <c r="G1467" s="9" t="s">
        <v>218</v>
      </c>
      <c r="H1467" s="9"/>
      <c r="I1467" s="9"/>
      <c r="J1467" s="9" t="s">
        <v>194</v>
      </c>
    </row>
    <row r="1468" spans="1:10" ht="15" customHeight="1" x14ac:dyDescent="0.35">
      <c r="A1468" s="12">
        <v>1002167</v>
      </c>
      <c r="B1468" s="59" t="str">
        <f>IFERROR(VLOOKUP(Tabla1[[#This Row],[CODIGO]],INVENTARIO!A:B,2,0)," ")</f>
        <v>Cable Trazador Cu 14 AWG Aisl. THW Roj</v>
      </c>
      <c r="C1468" s="12">
        <v>30</v>
      </c>
      <c r="D1468" s="13"/>
      <c r="E1468" s="12">
        <v>840</v>
      </c>
      <c r="F1468" s="14">
        <v>46020</v>
      </c>
      <c r="G1468" s="14"/>
      <c r="H1468" s="14"/>
      <c r="I1468" s="14"/>
      <c r="J1468" s="9" t="s">
        <v>194</v>
      </c>
    </row>
    <row r="1469" spans="1:10" ht="15" customHeight="1" x14ac:dyDescent="0.35">
      <c r="A1469" s="12">
        <v>303368</v>
      </c>
      <c r="B1469" s="59" t="str">
        <f>IFERROR(VLOOKUP(Tabla1[[#This Row],[CODIGO]],INVENTARIO!A:B,2,0)," ")</f>
        <v>Cinta Plástica "Línea GN", 30 x 0.1</v>
      </c>
      <c r="C1469" s="12">
        <v>30</v>
      </c>
      <c r="D1469" s="13"/>
      <c r="E1469" s="12">
        <v>840</v>
      </c>
      <c r="F1469" s="14">
        <v>46020</v>
      </c>
      <c r="G1469" s="14"/>
      <c r="H1469" s="14"/>
      <c r="I1469" s="14"/>
      <c r="J1469" s="9" t="s">
        <v>194</v>
      </c>
    </row>
    <row r="1470" spans="1:10" ht="15" customHeight="1" x14ac:dyDescent="0.35">
      <c r="A1470" s="12">
        <v>2005135</v>
      </c>
      <c r="B1470" s="59" t="str">
        <f>IFERROR(VLOOKUP(Tabla1[[#This Row],[CODIGO]],INVENTARIO!A:B,2,0)," ")</f>
        <v>Tubo PVC 110 mm PN6 CG Amarillo Tira 6 m</v>
      </c>
      <c r="C1470" s="12">
        <v>12</v>
      </c>
      <c r="D1470" s="13"/>
      <c r="E1470" s="12">
        <v>840</v>
      </c>
      <c r="F1470" s="14">
        <v>46020</v>
      </c>
      <c r="G1470" s="14"/>
      <c r="H1470" s="14"/>
      <c r="I1470" s="14"/>
      <c r="J1470" s="9" t="s">
        <v>194</v>
      </c>
    </row>
    <row r="1471" spans="1:10" ht="15" customHeight="1" x14ac:dyDescent="0.35">
      <c r="A1471" s="12">
        <v>301749</v>
      </c>
      <c r="B1471" s="59" t="str">
        <f>IFERROR(VLOOKUP(Tabla1[[#This Row],[CODIGO]],INVENTARIO!A:B,2,0)," ")</f>
        <v>Tubería PE80 025mm Rollo</v>
      </c>
      <c r="C1471" s="40">
        <v>100</v>
      </c>
      <c r="D1471" s="13"/>
      <c r="E1471" s="12">
        <v>846</v>
      </c>
      <c r="F1471" s="14">
        <v>46027</v>
      </c>
      <c r="G1471" s="9" t="s">
        <v>217</v>
      </c>
      <c r="H1471" s="9" t="s">
        <v>226</v>
      </c>
      <c r="I1471" s="9" t="s">
        <v>234</v>
      </c>
      <c r="J1471" s="9" t="s">
        <v>194</v>
      </c>
    </row>
    <row r="1472" spans="1:10" ht="15" customHeight="1" x14ac:dyDescent="0.35">
      <c r="A1472" s="12">
        <v>1000720</v>
      </c>
      <c r="B1472" s="59" t="str">
        <f>IFERROR(VLOOKUP(Tabla1[[#This Row],[CODIGO]],INVENTARIO!A:B,2,0)," ")</f>
        <v>Teflón en Cinta de 3/4" Ancho x 520" a 5</v>
      </c>
      <c r="C1472" s="12">
        <v>1</v>
      </c>
      <c r="D1472" s="13"/>
      <c r="E1472" s="12">
        <v>4</v>
      </c>
      <c r="F1472" s="14">
        <v>46029</v>
      </c>
      <c r="G1472" s="14"/>
      <c r="H1472" s="14"/>
      <c r="I1472" s="14"/>
      <c r="J1472" s="9" t="s">
        <v>192</v>
      </c>
    </row>
    <row r="1473" spans="1:10" ht="15" customHeight="1" x14ac:dyDescent="0.35">
      <c r="A1473" s="12">
        <v>1002167</v>
      </c>
      <c r="B1473" s="59" t="str">
        <f>IFERROR(VLOOKUP(Tabla1[[#This Row],[CODIGO]],INVENTARIO!A:B,2,0)," ")</f>
        <v>Cable Trazador Cu 14 AWG Aisl. THW Roj</v>
      </c>
      <c r="C1473" s="12">
        <v>3</v>
      </c>
      <c r="D1473" s="13"/>
      <c r="E1473" s="12">
        <v>4</v>
      </c>
      <c r="F1473" s="14">
        <v>46029</v>
      </c>
      <c r="G1473" s="14"/>
      <c r="H1473" s="14"/>
      <c r="I1473" s="14"/>
      <c r="J1473" s="9" t="s">
        <v>192</v>
      </c>
    </row>
    <row r="1474" spans="1:10" ht="15" customHeight="1" x14ac:dyDescent="0.35">
      <c r="A1474" s="12">
        <v>303368</v>
      </c>
      <c r="B1474" s="59" t="str">
        <f>IFERROR(VLOOKUP(Tabla1[[#This Row],[CODIGO]],INVENTARIO!A:B,2,0)," ")</f>
        <v>Cinta Plástica "Línea GN", 30 x 0.1</v>
      </c>
      <c r="C1474" s="12">
        <v>3</v>
      </c>
      <c r="D1474" s="13"/>
      <c r="E1474" s="12">
        <v>4</v>
      </c>
      <c r="F1474" s="14">
        <v>46029</v>
      </c>
      <c r="G1474" s="14"/>
      <c r="H1474" s="14"/>
      <c r="I1474" s="14"/>
      <c r="J1474" s="9" t="s">
        <v>192</v>
      </c>
    </row>
    <row r="1475" spans="1:10" ht="15" customHeight="1" x14ac:dyDescent="0.35">
      <c r="A1475" s="12">
        <v>302737</v>
      </c>
      <c r="B1475" s="59" t="str">
        <f>IFERROR(VLOOKUP(Tabla1[[#This Row],[CODIGO]],INVENTARIO!A:B,2,0)," ")</f>
        <v>Válvula Bola 3/4" Hi Un Cuerpo Pn5 Arco</v>
      </c>
      <c r="C1475" s="12">
        <v>1</v>
      </c>
      <c r="D1475" s="13"/>
      <c r="E1475" s="12">
        <v>4</v>
      </c>
      <c r="F1475" s="14">
        <v>46029</v>
      </c>
      <c r="G1475" s="14"/>
      <c r="H1475" s="14"/>
      <c r="I1475" s="14"/>
      <c r="J1475" s="9" t="s">
        <v>192</v>
      </c>
    </row>
    <row r="1476" spans="1:10" ht="15" customHeight="1" x14ac:dyDescent="0.35">
      <c r="A1476" s="12">
        <v>2007948</v>
      </c>
      <c r="B1476" s="59" t="str">
        <f>IFERROR(VLOOKUP(Tabla1[[#This Row],[CODIGO]],INVENTARIO!A:B,2,0)," ")</f>
        <v>Tubo PVC Hidraulico 110 mm Pn6 Celeste</v>
      </c>
      <c r="C1476" s="12">
        <v>1</v>
      </c>
      <c r="D1476" s="13"/>
      <c r="E1476" s="12">
        <v>4</v>
      </c>
      <c r="F1476" s="14">
        <v>46029</v>
      </c>
      <c r="G1476" s="14"/>
      <c r="H1476" s="14"/>
      <c r="I1476" s="14"/>
      <c r="J1476" s="9" t="s">
        <v>192</v>
      </c>
    </row>
    <row r="1477" spans="1:10" ht="15" customHeight="1" x14ac:dyDescent="0.35">
      <c r="A1477" s="12">
        <v>2006391</v>
      </c>
      <c r="B1477" s="59" t="str">
        <f>IFERROR(VLOOKUP(Tabla1[[#This Row],[CODIGO]],INVENTARIO!A:B,2,0)," ")</f>
        <v>Guardallave Fierro Fundido C/Tapa</v>
      </c>
      <c r="C1477" s="12">
        <v>1</v>
      </c>
      <c r="D1477" s="13"/>
      <c r="E1477" s="12">
        <v>4</v>
      </c>
      <c r="F1477" s="14">
        <v>46029</v>
      </c>
      <c r="G1477" s="14"/>
      <c r="H1477" s="14"/>
      <c r="I1477" s="14"/>
      <c r="J1477" s="9" t="s">
        <v>192</v>
      </c>
    </row>
    <row r="1478" spans="1:10" ht="15" customHeight="1" x14ac:dyDescent="0.35">
      <c r="A1478" s="12">
        <v>301749</v>
      </c>
      <c r="B1478" s="59" t="str">
        <f>IFERROR(VLOOKUP(Tabla1[[#This Row],[CODIGO]],INVENTARIO!A:B,2,0)," ")</f>
        <v>Tubería PE80 025mm Rollo</v>
      </c>
      <c r="C1478" s="40">
        <v>3</v>
      </c>
      <c r="D1478" s="13"/>
      <c r="E1478" s="12">
        <v>4</v>
      </c>
      <c r="F1478" s="14">
        <v>46029</v>
      </c>
      <c r="G1478" s="14"/>
      <c r="H1478" s="34" t="s">
        <v>228</v>
      </c>
      <c r="I1478" s="34" t="s">
        <v>234</v>
      </c>
      <c r="J1478" s="9" t="s">
        <v>192</v>
      </c>
    </row>
    <row r="1479" spans="1:10" ht="15" customHeight="1" x14ac:dyDescent="0.35">
      <c r="A1479" s="12">
        <v>301738</v>
      </c>
      <c r="B1479" s="59" t="str">
        <f>IFERROR(VLOOKUP(Tabla1[[#This Row],[CODIGO]],INVENTARIO!A:B,2,0)," ")</f>
        <v>Regulador Sum. Fe-25, 20 Mbar P.Fior</v>
      </c>
      <c r="C1479" s="12">
        <v>1</v>
      </c>
      <c r="D1479" s="13"/>
      <c r="E1479" s="12">
        <v>4</v>
      </c>
      <c r="F1479" s="14">
        <v>46029</v>
      </c>
      <c r="G1479" s="14"/>
      <c r="H1479" s="14"/>
      <c r="I1479" s="14"/>
      <c r="J1479" s="9" t="s">
        <v>192</v>
      </c>
    </row>
    <row r="1480" spans="1:10" ht="15" customHeight="1" x14ac:dyDescent="0.35">
      <c r="A1480" s="12">
        <v>101618</v>
      </c>
      <c r="B1480" s="59" t="str">
        <f>IFERROR(VLOOKUP(Tabla1[[#This Row],[CODIGO]],INVENTARIO!A:B,2,0)," ")</f>
        <v>Risers Ac,Recto 3/4 "x25 mm</v>
      </c>
      <c r="C1480" s="12">
        <v>1</v>
      </c>
      <c r="D1480" s="13"/>
      <c r="E1480" s="12">
        <v>4</v>
      </c>
      <c r="F1480" s="14">
        <v>46029</v>
      </c>
      <c r="G1480" s="14"/>
      <c r="H1480" s="14"/>
      <c r="I1480" s="14"/>
      <c r="J1480" s="9" t="s">
        <v>192</v>
      </c>
    </row>
    <row r="1481" spans="1:10" ht="15" customHeight="1" x14ac:dyDescent="0.35">
      <c r="A1481" s="12">
        <v>301329</v>
      </c>
      <c r="B1481" s="59" t="str">
        <f>IFERROR(VLOOKUP(Tabla1[[#This Row],[CODIGO]],INVENTARIO!A:B,2,0)," ")</f>
        <v>Copla PE100 025mm EF</v>
      </c>
      <c r="C1481" s="12">
        <v>4</v>
      </c>
      <c r="D1481" s="13"/>
      <c r="E1481" s="12">
        <v>4</v>
      </c>
      <c r="F1481" s="14">
        <v>46029</v>
      </c>
      <c r="G1481" s="14"/>
      <c r="H1481" s="14"/>
      <c r="I1481" s="14"/>
      <c r="J1481" s="9" t="s">
        <v>192</v>
      </c>
    </row>
    <row r="1482" spans="1:10" ht="15" customHeight="1" x14ac:dyDescent="0.35">
      <c r="A1482" s="12">
        <v>301099</v>
      </c>
      <c r="B1482" s="59" t="str">
        <f>IFERROR(VLOOKUP(Tabla1[[#This Row],[CODIGO]],INVENTARIO!A:B,2,0)," ")</f>
        <v>Válvula PE100 Dn 25mm</v>
      </c>
      <c r="C1482" s="12">
        <v>1</v>
      </c>
      <c r="D1482" s="13"/>
      <c r="E1482" s="12">
        <v>4</v>
      </c>
      <c r="F1482" s="14">
        <v>46029</v>
      </c>
      <c r="G1482" s="14"/>
      <c r="H1482" s="14"/>
      <c r="I1482" s="14"/>
      <c r="J1482" s="9" t="s">
        <v>192</v>
      </c>
    </row>
    <row r="1483" spans="1:10" ht="15" customHeight="1" x14ac:dyDescent="0.35">
      <c r="A1483" s="12">
        <v>300527</v>
      </c>
      <c r="B1483" s="59" t="str">
        <f>IFERROR(VLOOKUP(Tabla1[[#This Row],[CODIGO]],INVENTARIO!A:B,2,0)," ")</f>
        <v>Tapping Tee PE 160-25 mm</v>
      </c>
      <c r="C1483" s="12">
        <v>1</v>
      </c>
      <c r="D1483" s="13"/>
      <c r="E1483" s="12">
        <v>4</v>
      </c>
      <c r="F1483" s="14">
        <v>46029</v>
      </c>
      <c r="G1483" s="14"/>
      <c r="H1483" s="14"/>
      <c r="I1483" s="14"/>
      <c r="J1483" s="9" t="s">
        <v>192</v>
      </c>
    </row>
    <row r="1484" spans="1:10" ht="15" customHeight="1" x14ac:dyDescent="0.35">
      <c r="A1484" s="12">
        <v>301749</v>
      </c>
      <c r="B1484" s="59" t="str">
        <f>IFERROR(VLOOKUP(Tabla1[[#This Row],[CODIGO]],INVENTARIO!A:B,2,0)," ")</f>
        <v>Tubería PE80 025mm Rollo</v>
      </c>
      <c r="C1484" s="40">
        <v>50</v>
      </c>
      <c r="D1484" s="13"/>
      <c r="E1484" s="12">
        <v>848</v>
      </c>
      <c r="F1484" s="14">
        <v>46028</v>
      </c>
      <c r="G1484" s="14"/>
      <c r="H1484" s="34" t="s">
        <v>224</v>
      </c>
      <c r="I1484" s="34" t="s">
        <v>236</v>
      </c>
      <c r="J1484" s="9" t="s">
        <v>193</v>
      </c>
    </row>
    <row r="1485" spans="1:10" ht="15" customHeight="1" x14ac:dyDescent="0.35">
      <c r="A1485" s="12">
        <v>302184</v>
      </c>
      <c r="B1485" s="59" t="str">
        <f>IFERROR(VLOOKUP(Tabla1[[#This Row],[CODIGO]],INVENTARIO!A:B,2,0)," ")</f>
        <v>Tapa Tornillo Cambio de Codigo por: 2008481</v>
      </c>
      <c r="C1485" s="12">
        <v>2</v>
      </c>
      <c r="D1485" s="13"/>
      <c r="E1485" s="12">
        <v>848</v>
      </c>
      <c r="F1485" s="14">
        <v>46028</v>
      </c>
      <c r="G1485" s="14"/>
      <c r="H1485" s="14"/>
      <c r="I1485" s="14"/>
      <c r="J1485" s="9" t="s">
        <v>193</v>
      </c>
    </row>
    <row r="1486" spans="1:10" ht="15" customHeight="1" x14ac:dyDescent="0.35">
      <c r="A1486" s="12">
        <v>302737</v>
      </c>
      <c r="B1486" s="59" t="str">
        <f>IFERROR(VLOOKUP(Tabla1[[#This Row],[CODIGO]],INVENTARIO!A:B,2,0)," ")</f>
        <v>Válvula Bola 3/4" Hi Un Cuerpo Pn5 Arco</v>
      </c>
      <c r="C1486" s="12">
        <v>2</v>
      </c>
      <c r="D1486" s="13"/>
      <c r="E1486" s="12">
        <v>848</v>
      </c>
      <c r="F1486" s="14">
        <v>46028</v>
      </c>
      <c r="G1486" s="14"/>
      <c r="H1486" s="14"/>
      <c r="I1486" s="14"/>
      <c r="J1486" s="9" t="s">
        <v>193</v>
      </c>
    </row>
    <row r="1487" spans="1:10" ht="15" customHeight="1" x14ac:dyDescent="0.35">
      <c r="A1487" s="12">
        <v>303510</v>
      </c>
      <c r="B1487" s="59" t="str">
        <f>IFERROR(VLOOKUP(Tabla1[[#This Row],[CODIGO]],INVENTARIO!A:B,2,0)," ")</f>
        <v>Guardallave Hormigón 125 mm con Tapa</v>
      </c>
      <c r="C1487" s="12">
        <v>1</v>
      </c>
      <c r="D1487" s="13"/>
      <c r="E1487" s="12">
        <v>848</v>
      </c>
      <c r="F1487" s="14">
        <v>46028</v>
      </c>
      <c r="G1487" s="14"/>
      <c r="H1487" s="14"/>
      <c r="I1487" s="14"/>
      <c r="J1487" s="9" t="s">
        <v>193</v>
      </c>
    </row>
    <row r="1488" spans="1:10" ht="15" customHeight="1" x14ac:dyDescent="0.35">
      <c r="A1488" s="12">
        <v>1002167</v>
      </c>
      <c r="B1488" s="59" t="str">
        <f>IFERROR(VLOOKUP(Tabla1[[#This Row],[CODIGO]],INVENTARIO!A:B,2,0)," ")</f>
        <v>Cable Trazador Cu 14 AWG Aisl. THW Roj</v>
      </c>
      <c r="C1488" s="12">
        <v>500</v>
      </c>
      <c r="D1488" s="13"/>
      <c r="E1488" s="12">
        <v>848</v>
      </c>
      <c r="F1488" s="14">
        <v>46028</v>
      </c>
      <c r="G1488" s="14"/>
      <c r="H1488" s="14"/>
      <c r="I1488" s="14"/>
      <c r="J1488" s="9" t="s">
        <v>193</v>
      </c>
    </row>
    <row r="1489" spans="1:10" ht="15" customHeight="1" x14ac:dyDescent="0.35">
      <c r="A1489" s="12">
        <v>303368</v>
      </c>
      <c r="B1489" s="59" t="str">
        <f>IFERROR(VLOOKUP(Tabla1[[#This Row],[CODIGO]],INVENTARIO!A:B,2,0)," ")</f>
        <v>Cinta Plástica "Línea GN", 30 x 0.1</v>
      </c>
      <c r="C1489" s="12">
        <v>500</v>
      </c>
      <c r="D1489" s="13"/>
      <c r="E1489" s="12">
        <v>848</v>
      </c>
      <c r="F1489" s="14">
        <v>46028</v>
      </c>
      <c r="G1489" s="14"/>
      <c r="H1489" s="14"/>
      <c r="I1489" s="14"/>
      <c r="J1489" s="9" t="s">
        <v>193</v>
      </c>
    </row>
    <row r="1490" spans="1:10" ht="15" customHeight="1" x14ac:dyDescent="0.35">
      <c r="A1490" s="12">
        <v>301329</v>
      </c>
      <c r="B1490" s="59" t="str">
        <f>IFERROR(VLOOKUP(Tabla1[[#This Row],[CODIGO]],INVENTARIO!A:B,2,0)," ")</f>
        <v>Copla PE100 025mm EF</v>
      </c>
      <c r="C1490" s="12">
        <v>3</v>
      </c>
      <c r="D1490" s="13"/>
      <c r="E1490" s="12">
        <v>848</v>
      </c>
      <c r="F1490" s="14">
        <v>46028</v>
      </c>
      <c r="G1490" s="14"/>
      <c r="H1490" s="14"/>
      <c r="I1490" s="14"/>
      <c r="J1490" s="9" t="s">
        <v>193</v>
      </c>
    </row>
    <row r="1491" spans="1:10" ht="15" customHeight="1" x14ac:dyDescent="0.35">
      <c r="A1491" s="12">
        <v>303017</v>
      </c>
      <c r="B1491" s="59" t="str">
        <f>IFERROR(VLOOKUP(Tabla1[[#This Row],[CODIGO]],INVENTARIO!A:B,2,0)," ")</f>
        <v>Codo PE100 90° 110mm EF</v>
      </c>
      <c r="C1491" s="12">
        <v>2</v>
      </c>
      <c r="D1491" s="13"/>
      <c r="E1491" s="12">
        <v>848</v>
      </c>
      <c r="F1491" s="14">
        <v>46028</v>
      </c>
      <c r="G1491" s="14"/>
      <c r="H1491" s="14"/>
      <c r="I1491" s="14"/>
      <c r="J1491" s="9" t="s">
        <v>193</v>
      </c>
    </row>
    <row r="1492" spans="1:10" ht="15" customHeight="1" x14ac:dyDescent="0.35">
      <c r="A1492" s="12">
        <v>302317</v>
      </c>
      <c r="B1492" s="59" t="str">
        <f>IFERROR(VLOOKUP(Tabla1[[#This Row],[CODIGO]],INVENTARIO!A:B,2,0)," ")</f>
        <v>Tapa PE 110 mm Termo F.</v>
      </c>
      <c r="C1492" s="12">
        <v>1</v>
      </c>
      <c r="D1492" s="13"/>
      <c r="E1492" s="12">
        <v>848</v>
      </c>
      <c r="F1492" s="14">
        <v>46028</v>
      </c>
      <c r="G1492" s="14"/>
      <c r="H1492" s="14"/>
      <c r="I1492" s="14"/>
      <c r="J1492" s="9" t="s">
        <v>193</v>
      </c>
    </row>
    <row r="1493" spans="1:10" ht="15" customHeight="1" x14ac:dyDescent="0.35">
      <c r="A1493" s="12">
        <v>301666</v>
      </c>
      <c r="B1493" s="59" t="str">
        <f>IFERROR(VLOOKUP(Tabla1[[#This Row],[CODIGO]],INVENTARIO!A:B,2,0)," ")</f>
        <v>Tapping Tee PE 110-25 mm</v>
      </c>
      <c r="C1493" s="12">
        <v>1</v>
      </c>
      <c r="D1493" s="13"/>
      <c r="E1493" s="12">
        <v>848</v>
      </c>
      <c r="F1493" s="14">
        <v>46028</v>
      </c>
      <c r="G1493" s="14"/>
      <c r="H1493" s="14"/>
      <c r="I1493" s="14"/>
      <c r="J1493" s="9" t="s">
        <v>193</v>
      </c>
    </row>
    <row r="1494" spans="1:10" ht="15" customHeight="1" x14ac:dyDescent="0.35">
      <c r="A1494" s="12">
        <v>300109</v>
      </c>
      <c r="B1494" s="59" t="str">
        <f>IFERROR(VLOOKUP(Tabla1[[#This Row],[CODIGO]],INVENTARIO!A:B,2,0)," ")</f>
        <v>Risers de Acero 3/4" Bsp x 25 mm</v>
      </c>
      <c r="C1494" s="12">
        <v>2</v>
      </c>
      <c r="D1494" s="13"/>
      <c r="E1494" s="12">
        <v>848</v>
      </c>
      <c r="F1494" s="14">
        <v>46028</v>
      </c>
      <c r="G1494" s="14"/>
      <c r="H1494" s="14"/>
      <c r="I1494" s="14"/>
      <c r="J1494" s="9" t="s">
        <v>193</v>
      </c>
    </row>
    <row r="1495" spans="1:10" ht="15" customHeight="1" x14ac:dyDescent="0.35">
      <c r="A1495" s="12">
        <v>300527</v>
      </c>
      <c r="B1495" s="59" t="str">
        <f>IFERROR(VLOOKUP(Tabla1[[#This Row],[CODIGO]],INVENTARIO!A:B,2,0)," ")</f>
        <v>Tapping Tee PE 160-25 mm</v>
      </c>
      <c r="C1495" s="12">
        <v>4</v>
      </c>
      <c r="D1495" s="13"/>
      <c r="E1495" s="12">
        <v>848</v>
      </c>
      <c r="F1495" s="14">
        <v>46028</v>
      </c>
      <c r="G1495" s="14"/>
      <c r="H1495" s="14"/>
      <c r="I1495" s="14"/>
      <c r="J1495" s="9" t="s">
        <v>193</v>
      </c>
    </row>
    <row r="1496" spans="1:10" ht="15" customHeight="1" x14ac:dyDescent="0.35">
      <c r="A1496" s="12">
        <v>300117</v>
      </c>
      <c r="B1496" s="59" t="str">
        <f>IFERROR(VLOOKUP(Tabla1[[#This Row],[CODIGO]],INVENTARIO!A:B,2,0)," ")</f>
        <v>Copla PE100 160mm EF</v>
      </c>
      <c r="C1496" s="12">
        <v>4</v>
      </c>
      <c r="D1496" s="13"/>
      <c r="E1496" s="12">
        <v>848</v>
      </c>
      <c r="F1496" s="14">
        <v>46028</v>
      </c>
      <c r="G1496" s="14"/>
      <c r="H1496" s="14"/>
      <c r="I1496" s="14"/>
      <c r="J1496" s="9" t="s">
        <v>193</v>
      </c>
    </row>
    <row r="1497" spans="1:10" ht="15" customHeight="1" x14ac:dyDescent="0.35">
      <c r="A1497" s="12">
        <v>302659</v>
      </c>
      <c r="B1497" s="59" t="str">
        <f>IFERROR(VLOOKUP(Tabla1[[#This Row],[CODIGO]],INVENTARIO!A:B,2,0)," ")</f>
        <v>Copla PE100 063mm EF</v>
      </c>
      <c r="C1497" s="12">
        <v>8</v>
      </c>
      <c r="D1497" s="13"/>
      <c r="E1497" s="12">
        <v>848</v>
      </c>
      <c r="F1497" s="14">
        <v>46028</v>
      </c>
      <c r="G1497" s="14"/>
      <c r="H1497" s="14"/>
      <c r="I1497" s="14"/>
      <c r="J1497" s="9" t="s">
        <v>193</v>
      </c>
    </row>
    <row r="1498" spans="1:10" ht="15" customHeight="1" x14ac:dyDescent="0.35">
      <c r="A1498" s="12">
        <v>301685</v>
      </c>
      <c r="B1498" s="59" t="str">
        <f>IFERROR(VLOOKUP(Tabla1[[#This Row],[CODIGO]],INVENTARIO!A:B,2,0)," ")</f>
        <v>Reductor PE100 110-63 mm TF.</v>
      </c>
      <c r="C1498" s="12">
        <v>8</v>
      </c>
      <c r="D1498" s="13"/>
      <c r="E1498" s="12">
        <v>848</v>
      </c>
      <c r="F1498" s="14">
        <v>46028</v>
      </c>
      <c r="G1498" s="14"/>
      <c r="H1498" s="14"/>
      <c r="I1498" s="14"/>
      <c r="J1498" s="9" t="s">
        <v>193</v>
      </c>
    </row>
    <row r="1499" spans="1:10" ht="15" customHeight="1" x14ac:dyDescent="0.35">
      <c r="A1499" s="12">
        <v>302991</v>
      </c>
      <c r="B1499" s="59" t="str">
        <f>IFERROR(VLOOKUP(Tabla1[[#This Row],[CODIGO]],INVENTARIO!A:B,2,0)," ")</f>
        <v>Copla PE100 110mm EF</v>
      </c>
      <c r="C1499" s="12">
        <v>14</v>
      </c>
      <c r="D1499" s="13"/>
      <c r="E1499" s="12">
        <v>848</v>
      </c>
      <c r="F1499" s="14">
        <v>46028</v>
      </c>
      <c r="G1499" s="14"/>
      <c r="H1499" s="14"/>
      <c r="I1499" s="14"/>
      <c r="J1499" s="9" t="s">
        <v>193</v>
      </c>
    </row>
    <row r="1500" spans="1:10" ht="15" customHeight="1" x14ac:dyDescent="0.35">
      <c r="A1500" s="12">
        <v>1002167</v>
      </c>
      <c r="B1500" s="59" t="str">
        <f>IFERROR(VLOOKUP(Tabla1[[#This Row],[CODIGO]],INVENTARIO!A:B,2,0)," ")</f>
        <v>Cable Trazador Cu 14 AWG Aisl. THW Roj</v>
      </c>
      <c r="C1500" s="12">
        <v>100</v>
      </c>
      <c r="D1500" s="13"/>
      <c r="E1500" s="12">
        <v>3</v>
      </c>
      <c r="F1500" s="14">
        <v>46028</v>
      </c>
      <c r="G1500" s="14"/>
      <c r="H1500" s="14"/>
      <c r="I1500" s="14"/>
      <c r="J1500" s="9" t="s">
        <v>194</v>
      </c>
    </row>
    <row r="1501" spans="1:10" ht="15" customHeight="1" x14ac:dyDescent="0.35">
      <c r="A1501" s="12">
        <v>303368</v>
      </c>
      <c r="B1501" s="59" t="str">
        <f>IFERROR(VLOOKUP(Tabla1[[#This Row],[CODIGO]],INVENTARIO!A:B,2,0)," ")</f>
        <v>Cinta Plástica "Línea GN", 30 x 0.1</v>
      </c>
      <c r="C1501" s="12">
        <v>100</v>
      </c>
      <c r="D1501" s="13"/>
      <c r="E1501" s="12">
        <v>3</v>
      </c>
      <c r="F1501" s="14">
        <v>46028</v>
      </c>
      <c r="G1501" s="14"/>
      <c r="H1501" s="14"/>
      <c r="I1501" s="14"/>
      <c r="J1501" s="9" t="s">
        <v>194</v>
      </c>
    </row>
    <row r="1502" spans="1:10" ht="15" customHeight="1" x14ac:dyDescent="0.35">
      <c r="A1502" s="12">
        <v>2002263</v>
      </c>
      <c r="B1502" s="59" t="str">
        <f>IFERROR(VLOOKUP(Tabla1[[#This Row],[CODIGO]],INVENTARIO!A:B,2,0)," ")</f>
        <v>Tubería PE80 063mm Rollo</v>
      </c>
      <c r="C1502" s="12">
        <v>100</v>
      </c>
      <c r="D1502" s="13"/>
      <c r="E1502" s="12">
        <v>3</v>
      </c>
      <c r="F1502" s="14">
        <v>46028</v>
      </c>
      <c r="G1502" s="9" t="s">
        <v>218</v>
      </c>
      <c r="H1502" s="9"/>
      <c r="I1502" s="9"/>
      <c r="J1502" s="9" t="s">
        <v>194</v>
      </c>
    </row>
    <row r="1503" spans="1:10" ht="15" customHeight="1" x14ac:dyDescent="0.35">
      <c r="A1503" s="12">
        <v>300130</v>
      </c>
      <c r="B1503" s="59" t="str">
        <f>IFERROR(VLOOKUP(Tabla1[[#This Row],[CODIGO]],INVENTARIO!A:B,2,0)," ")</f>
        <v>Tee PE  63 mm Electro F.</v>
      </c>
      <c r="C1503" s="12">
        <v>1</v>
      </c>
      <c r="D1503" s="13"/>
      <c r="E1503" s="12">
        <v>3</v>
      </c>
      <c r="F1503" s="14">
        <v>46028</v>
      </c>
      <c r="G1503" s="14"/>
      <c r="H1503" s="14"/>
      <c r="I1503" s="14"/>
      <c r="J1503" s="9" t="s">
        <v>194</v>
      </c>
    </row>
    <row r="1504" spans="1:10" ht="15" customHeight="1" x14ac:dyDescent="0.35">
      <c r="A1504" s="12">
        <v>301987</v>
      </c>
      <c r="B1504" s="59" t="str">
        <f>IFERROR(VLOOKUP(Tabla1[[#This Row],[CODIGO]],INVENTARIO!A:B,2,0)," ")</f>
        <v>Codo PE100 90° 063mm EF</v>
      </c>
      <c r="C1504" s="12">
        <v>4</v>
      </c>
      <c r="D1504" s="13"/>
      <c r="E1504" s="12">
        <v>3</v>
      </c>
      <c r="F1504" s="14">
        <v>46028</v>
      </c>
      <c r="G1504" s="14"/>
      <c r="H1504" s="14"/>
      <c r="I1504" s="14"/>
      <c r="J1504" s="9" t="s">
        <v>194</v>
      </c>
    </row>
    <row r="1505" spans="1:10" ht="15" customHeight="1" x14ac:dyDescent="0.35">
      <c r="A1505" s="12">
        <v>300712</v>
      </c>
      <c r="B1505" s="59" t="str">
        <f>IFERROR(VLOOKUP(Tabla1[[#This Row],[CODIGO]],INVENTARIO!A:B,2,0)," ")</f>
        <v>Tapa PE  025 mm Termo F.</v>
      </c>
      <c r="C1505" s="12">
        <v>10</v>
      </c>
      <c r="D1505" s="13"/>
      <c r="E1505" s="12">
        <v>3</v>
      </c>
      <c r="F1505" s="14">
        <v>46028</v>
      </c>
      <c r="G1505" s="14"/>
      <c r="H1505" s="14"/>
      <c r="I1505" s="14"/>
      <c r="J1505" s="9" t="s">
        <v>194</v>
      </c>
    </row>
    <row r="1506" spans="1:10" ht="15" customHeight="1" x14ac:dyDescent="0.35">
      <c r="A1506" s="12">
        <v>301329</v>
      </c>
      <c r="B1506" s="59" t="str">
        <f>IFERROR(VLOOKUP(Tabla1[[#This Row],[CODIGO]],INVENTARIO!A:B,2,0)," ")</f>
        <v>Copla PE100 025mm EF</v>
      </c>
      <c r="C1506" s="12">
        <v>10</v>
      </c>
      <c r="D1506" s="13"/>
      <c r="E1506" s="12">
        <v>3</v>
      </c>
      <c r="F1506" s="14">
        <v>46028</v>
      </c>
      <c r="G1506" s="14"/>
      <c r="H1506" s="14"/>
      <c r="I1506" s="14"/>
      <c r="J1506" s="9" t="s">
        <v>194</v>
      </c>
    </row>
    <row r="1507" spans="1:10" ht="15" customHeight="1" x14ac:dyDescent="0.35">
      <c r="A1507" s="12">
        <v>2000350</v>
      </c>
      <c r="B1507" s="59" t="str">
        <f>IFERROR(VLOOKUP(Tabla1[[#This Row],[CODIGO]],INVENTARIO!A:B,2,0)," ")</f>
        <v>Codo PE 90º  25 mm EF.</v>
      </c>
      <c r="C1507" s="12">
        <v>10</v>
      </c>
      <c r="D1507" s="13"/>
      <c r="E1507" s="12">
        <v>3</v>
      </c>
      <c r="F1507" s="14">
        <v>46028</v>
      </c>
      <c r="G1507" s="14"/>
      <c r="H1507" s="14"/>
      <c r="I1507" s="14"/>
      <c r="J1507" s="9" t="s">
        <v>194</v>
      </c>
    </row>
    <row r="1508" spans="1:10" ht="15" customHeight="1" x14ac:dyDescent="0.35">
      <c r="A1508" s="12">
        <v>2003911</v>
      </c>
      <c r="B1508" s="59" t="str">
        <f>IFERROR(VLOOKUP(Tabla1[[#This Row],[CODIGO]],INVENTARIO!A:B,2,0)," ")</f>
        <v>Válvula EFv PE 25 mm Para Tap. Tee</v>
      </c>
      <c r="C1508" s="12">
        <v>14</v>
      </c>
      <c r="D1508" s="13"/>
      <c r="E1508" s="12">
        <v>3</v>
      </c>
      <c r="F1508" s="14">
        <v>46028</v>
      </c>
      <c r="G1508" s="14"/>
      <c r="H1508" s="14"/>
      <c r="I1508" s="14"/>
      <c r="J1508" s="9" t="s">
        <v>194</v>
      </c>
    </row>
    <row r="1509" spans="1:10" ht="15" customHeight="1" x14ac:dyDescent="0.35">
      <c r="A1509" s="12">
        <v>300108</v>
      </c>
      <c r="B1509" s="59" t="str">
        <f>IFERROR(VLOOKUP(Tabla1[[#This Row],[CODIGO]],INVENTARIO!A:B,2,0)," ")</f>
        <v>Tapping Tee PE 63-25 mm</v>
      </c>
      <c r="C1509" s="12">
        <v>14</v>
      </c>
      <c r="D1509" s="13"/>
      <c r="E1509" s="12">
        <v>3</v>
      </c>
      <c r="F1509" s="14">
        <v>46028</v>
      </c>
      <c r="G1509" s="14"/>
      <c r="H1509" s="14"/>
      <c r="I1509" s="14"/>
      <c r="J1509" s="9" t="s">
        <v>194</v>
      </c>
    </row>
    <row r="1510" spans="1:10" ht="15" customHeight="1" x14ac:dyDescent="0.35">
      <c r="A1510" s="12">
        <v>2000350</v>
      </c>
      <c r="B1510" s="59" t="str">
        <f>IFERROR(VLOOKUP(Tabla1[[#This Row],[CODIGO]],INVENTARIO!A:B,2,0)," ")</f>
        <v>Codo PE 90º  25 mm EF.</v>
      </c>
      <c r="C1510" s="12">
        <v>2</v>
      </c>
      <c r="D1510" s="13"/>
      <c r="E1510" s="12">
        <v>2</v>
      </c>
      <c r="F1510" s="14">
        <v>46027</v>
      </c>
      <c r="G1510" s="14"/>
      <c r="H1510" s="14"/>
      <c r="I1510" s="34" t="s">
        <v>247</v>
      </c>
      <c r="J1510" s="9" t="s">
        <v>195</v>
      </c>
    </row>
    <row r="1511" spans="1:10" ht="15" customHeight="1" x14ac:dyDescent="0.35">
      <c r="A1511" s="12">
        <v>2007948</v>
      </c>
      <c r="B1511" s="59" t="str">
        <f>IFERROR(VLOOKUP(Tabla1[[#This Row],[CODIGO]],INVENTARIO!A:B,2,0)," ")</f>
        <v>Tubo PVC Hidraulico 110 mm Pn6 Celeste</v>
      </c>
      <c r="C1511" s="12">
        <v>1</v>
      </c>
      <c r="D1511" s="13"/>
      <c r="E1511" s="12">
        <v>1</v>
      </c>
      <c r="F1511" s="14">
        <v>46027</v>
      </c>
      <c r="G1511" s="14"/>
      <c r="H1511" s="14"/>
      <c r="I1511" s="14"/>
      <c r="J1511" s="9" t="s">
        <v>195</v>
      </c>
    </row>
    <row r="1512" spans="1:10" ht="15" customHeight="1" x14ac:dyDescent="0.35">
      <c r="A1512" s="12">
        <v>1002167</v>
      </c>
      <c r="B1512" s="59" t="str">
        <f>IFERROR(VLOOKUP(Tabla1[[#This Row],[CODIGO]],INVENTARIO!A:B,2,0)," ")</f>
        <v>Cable Trazador Cu 14 AWG Aisl. THW Roj</v>
      </c>
      <c r="C1512" s="12">
        <v>2</v>
      </c>
      <c r="D1512" s="13"/>
      <c r="E1512" s="12">
        <v>1</v>
      </c>
      <c r="F1512" s="14">
        <v>46027</v>
      </c>
      <c r="G1512" s="14"/>
      <c r="H1512" s="14"/>
      <c r="I1512" s="14"/>
      <c r="J1512" s="9" t="s">
        <v>195</v>
      </c>
    </row>
    <row r="1513" spans="1:10" ht="15" customHeight="1" x14ac:dyDescent="0.35">
      <c r="A1513" s="12">
        <v>303368</v>
      </c>
      <c r="B1513" s="59" t="str">
        <f>IFERROR(VLOOKUP(Tabla1[[#This Row],[CODIGO]],INVENTARIO!A:B,2,0)," ")</f>
        <v>Cinta Plástica "Línea GN", 30 x 0.1</v>
      </c>
      <c r="C1513" s="12">
        <v>2</v>
      </c>
      <c r="D1513" s="13"/>
      <c r="E1513" s="12">
        <v>1</v>
      </c>
      <c r="F1513" s="14">
        <v>46027</v>
      </c>
      <c r="G1513" s="14"/>
      <c r="H1513" s="14"/>
      <c r="I1513" s="14"/>
      <c r="J1513" s="9" t="s">
        <v>195</v>
      </c>
    </row>
    <row r="1514" spans="1:10" ht="15" customHeight="1" x14ac:dyDescent="0.35">
      <c r="A1514" s="12">
        <v>302184</v>
      </c>
      <c r="B1514" s="59" t="str">
        <f>IFERROR(VLOOKUP(Tabla1[[#This Row],[CODIGO]],INVENTARIO!A:B,2,0)," ")</f>
        <v>Tapa Tornillo Cambio de Codigo por: 2008481</v>
      </c>
      <c r="C1514" s="12">
        <v>1</v>
      </c>
      <c r="D1514" s="13"/>
      <c r="E1514" s="12">
        <v>1</v>
      </c>
      <c r="F1514" s="14">
        <v>46027</v>
      </c>
      <c r="G1514" s="14"/>
      <c r="H1514" s="14"/>
      <c r="I1514" s="14"/>
      <c r="J1514" s="9" t="s">
        <v>195</v>
      </c>
    </row>
    <row r="1515" spans="1:10" ht="15" customHeight="1" x14ac:dyDescent="0.35">
      <c r="A1515" s="12">
        <v>302737</v>
      </c>
      <c r="B1515" s="59" t="str">
        <f>IFERROR(VLOOKUP(Tabla1[[#This Row],[CODIGO]],INVENTARIO!A:B,2,0)," ")</f>
        <v>Válvula Bola 3/4" Hi Un Cuerpo Pn5 Arco</v>
      </c>
      <c r="C1515" s="12">
        <v>1</v>
      </c>
      <c r="D1515" s="13"/>
      <c r="E1515" s="12">
        <v>1</v>
      </c>
      <c r="F1515" s="14">
        <v>46027</v>
      </c>
      <c r="G1515" s="14"/>
      <c r="H1515" s="14"/>
      <c r="I1515" s="14"/>
      <c r="J1515" s="9" t="s">
        <v>195</v>
      </c>
    </row>
    <row r="1516" spans="1:10" ht="15" customHeight="1" x14ac:dyDescent="0.35">
      <c r="A1516" s="12">
        <v>2006391</v>
      </c>
      <c r="B1516" s="59" t="str">
        <f>IFERROR(VLOOKUP(Tabla1[[#This Row],[CODIGO]],INVENTARIO!A:B,2,0)," ")</f>
        <v>Guardallave Fierro Fundido C/Tapa</v>
      </c>
      <c r="C1516" s="12">
        <v>1</v>
      </c>
      <c r="D1516" s="13"/>
      <c r="E1516" s="12">
        <v>1</v>
      </c>
      <c r="F1516" s="14">
        <v>46027</v>
      </c>
      <c r="G1516" s="14"/>
      <c r="H1516" s="14"/>
      <c r="I1516" s="14"/>
      <c r="J1516" s="9" t="s">
        <v>195</v>
      </c>
    </row>
    <row r="1517" spans="1:10" ht="15" customHeight="1" x14ac:dyDescent="0.35">
      <c r="A1517" s="12">
        <v>301749</v>
      </c>
      <c r="B1517" s="59" t="str">
        <f>IFERROR(VLOOKUP(Tabla1[[#This Row],[CODIGO]],INVENTARIO!A:B,2,0)," ")</f>
        <v>Tubería PE80 025mm Rollo</v>
      </c>
      <c r="C1517" s="40">
        <v>2</v>
      </c>
      <c r="D1517" s="13"/>
      <c r="E1517" s="12">
        <v>1</v>
      </c>
      <c r="F1517" s="14">
        <v>46027</v>
      </c>
      <c r="G1517" s="14"/>
      <c r="H1517" s="34" t="s">
        <v>223</v>
      </c>
      <c r="I1517" s="34" t="s">
        <v>234</v>
      </c>
      <c r="J1517" s="9" t="s">
        <v>195</v>
      </c>
    </row>
    <row r="1518" spans="1:10" ht="15" customHeight="1" x14ac:dyDescent="0.35">
      <c r="A1518" s="12">
        <v>2003911</v>
      </c>
      <c r="B1518" s="59" t="str">
        <f>IFERROR(VLOOKUP(Tabla1[[#This Row],[CODIGO]],INVENTARIO!A:B,2,0)," ")</f>
        <v>Válvula EFv PE 25 mm Para Tap. Tee</v>
      </c>
      <c r="C1518" s="12">
        <v>1</v>
      </c>
      <c r="D1518" s="13"/>
      <c r="E1518" s="12">
        <v>1</v>
      </c>
      <c r="F1518" s="14">
        <v>46027</v>
      </c>
      <c r="G1518" s="14"/>
      <c r="H1518" s="14"/>
      <c r="I1518" s="14"/>
      <c r="J1518" s="9" t="s">
        <v>195</v>
      </c>
    </row>
    <row r="1519" spans="1:10" ht="15" customHeight="1" x14ac:dyDescent="0.35">
      <c r="A1519" s="12">
        <v>300109</v>
      </c>
      <c r="B1519" s="59" t="str">
        <f>IFERROR(VLOOKUP(Tabla1[[#This Row],[CODIGO]],INVENTARIO!A:B,2,0)," ")</f>
        <v>Risers de Acero 3/4" Bsp x 25 mm</v>
      </c>
      <c r="C1519" s="12">
        <v>1</v>
      </c>
      <c r="D1519" s="13"/>
      <c r="E1519" s="12">
        <v>1</v>
      </c>
      <c r="F1519" s="14">
        <v>46027</v>
      </c>
      <c r="G1519" s="14"/>
      <c r="H1519" s="14"/>
      <c r="I1519" s="14"/>
      <c r="J1519" s="9" t="s">
        <v>195</v>
      </c>
    </row>
    <row r="1520" spans="1:10" ht="15" customHeight="1" x14ac:dyDescent="0.35">
      <c r="A1520" s="12">
        <v>301329</v>
      </c>
      <c r="B1520" s="59" t="str">
        <f>IFERROR(VLOOKUP(Tabla1[[#This Row],[CODIGO]],INVENTARIO!A:B,2,0)," ")</f>
        <v>Copla PE100 025mm EF</v>
      </c>
      <c r="C1520" s="12">
        <v>4</v>
      </c>
      <c r="D1520" s="13"/>
      <c r="E1520" s="12">
        <v>1</v>
      </c>
      <c r="F1520" s="14">
        <v>46027</v>
      </c>
      <c r="G1520" s="14"/>
      <c r="H1520" s="14"/>
      <c r="I1520" s="14"/>
      <c r="J1520" s="9" t="s">
        <v>195</v>
      </c>
    </row>
    <row r="1521" spans="1:10" ht="15" customHeight="1" x14ac:dyDescent="0.35">
      <c r="A1521" s="12">
        <v>301099</v>
      </c>
      <c r="B1521" s="59" t="str">
        <f>IFERROR(VLOOKUP(Tabla1[[#This Row],[CODIGO]],INVENTARIO!A:B,2,0)," ")</f>
        <v>Válvula PE100 Dn 25mm</v>
      </c>
      <c r="C1521" s="12">
        <v>1</v>
      </c>
      <c r="D1521" s="13"/>
      <c r="E1521" s="12">
        <v>1</v>
      </c>
      <c r="F1521" s="14">
        <v>46027</v>
      </c>
      <c r="G1521" s="14"/>
      <c r="H1521" s="14"/>
      <c r="I1521" s="14"/>
      <c r="J1521" s="9" t="s">
        <v>195</v>
      </c>
    </row>
    <row r="1522" spans="1:10" ht="15" customHeight="1" x14ac:dyDescent="0.35">
      <c r="A1522" s="12">
        <v>101624</v>
      </c>
      <c r="B1522" s="59" t="str">
        <f>IFERROR(VLOOKUP(Tabla1[[#This Row],[CODIGO]],INVENTARIO!A:B,2,0)," ")</f>
        <v>Tapping Tee PE 50-25 mm</v>
      </c>
      <c r="C1522" s="12">
        <v>1</v>
      </c>
      <c r="D1522" s="13"/>
      <c r="E1522" s="12">
        <v>1</v>
      </c>
      <c r="F1522" s="14">
        <v>46027</v>
      </c>
      <c r="G1522" s="14"/>
      <c r="H1522" s="14"/>
      <c r="I1522" s="14"/>
      <c r="J1522" s="9" t="s">
        <v>195</v>
      </c>
    </row>
    <row r="1523" spans="1:10" ht="15" customHeight="1" x14ac:dyDescent="0.35">
      <c r="A1523" s="12">
        <v>2008302</v>
      </c>
      <c r="B1523" s="59" t="str">
        <f>IFERROR(VLOOKUP(Tabla1[[#This Row],[CODIGO]],INVENTARIO!A:B,2,0)," ")</f>
        <v>Tapa PE 063 mm Electro F.</v>
      </c>
      <c r="C1523" s="12">
        <v>2</v>
      </c>
      <c r="D1523" s="13"/>
      <c r="E1523" s="12">
        <v>846</v>
      </c>
      <c r="F1523" s="14">
        <v>46027</v>
      </c>
      <c r="G1523" s="14"/>
      <c r="H1523" s="14"/>
      <c r="I1523" s="14"/>
      <c r="J1523" s="9" t="s">
        <v>194</v>
      </c>
    </row>
    <row r="1524" spans="1:10" ht="15" customHeight="1" x14ac:dyDescent="0.35">
      <c r="A1524" s="12">
        <v>302659</v>
      </c>
      <c r="B1524" s="59" t="str">
        <f>IFERROR(VLOOKUP(Tabla1[[#This Row],[CODIGO]],INVENTARIO!A:B,2,0)," ")</f>
        <v>Copla PE100 063mm EF</v>
      </c>
      <c r="C1524" s="12">
        <v>3</v>
      </c>
      <c r="D1524" s="13"/>
      <c r="E1524" s="12">
        <v>846</v>
      </c>
      <c r="F1524" s="14">
        <v>46027</v>
      </c>
      <c r="G1524" s="14"/>
      <c r="H1524" s="14"/>
      <c r="I1524" s="14"/>
      <c r="J1524" s="9" t="s">
        <v>194</v>
      </c>
    </row>
    <row r="1525" spans="1:10" ht="15" customHeight="1" x14ac:dyDescent="0.35">
      <c r="A1525" s="12">
        <v>303368</v>
      </c>
      <c r="B1525" s="59" t="str">
        <f>IFERROR(VLOOKUP(Tabla1[[#This Row],[CODIGO]],INVENTARIO!A:B,2,0)," ")</f>
        <v>Cinta Plástica "Línea GN", 30 x 0.1</v>
      </c>
      <c r="C1525" s="12">
        <v>100</v>
      </c>
      <c r="D1525" s="13"/>
      <c r="E1525" s="12">
        <v>846</v>
      </c>
      <c r="F1525" s="14">
        <v>46027</v>
      </c>
      <c r="G1525" s="14"/>
      <c r="H1525" s="14"/>
      <c r="I1525" s="14"/>
      <c r="J1525" s="9" t="s">
        <v>194</v>
      </c>
    </row>
    <row r="1526" spans="1:10" ht="15" customHeight="1" x14ac:dyDescent="0.35">
      <c r="A1526" s="12">
        <v>1002167</v>
      </c>
      <c r="B1526" s="59" t="str">
        <f>IFERROR(VLOOKUP(Tabla1[[#This Row],[CODIGO]],INVENTARIO!A:B,2,0)," ")</f>
        <v>Cable Trazador Cu 14 AWG Aisl. THW Roj</v>
      </c>
      <c r="C1526" s="12">
        <v>100</v>
      </c>
      <c r="D1526" s="13"/>
      <c r="E1526" s="12">
        <v>846</v>
      </c>
      <c r="F1526" s="14">
        <v>46027</v>
      </c>
      <c r="G1526" s="14"/>
      <c r="H1526" s="14"/>
      <c r="I1526" s="14"/>
      <c r="J1526" s="9" t="s">
        <v>194</v>
      </c>
    </row>
    <row r="1527" spans="1:10" ht="15" customHeight="1" x14ac:dyDescent="0.35">
      <c r="A1527" s="12">
        <v>300712</v>
      </c>
      <c r="B1527" s="59" t="str">
        <f>IFERROR(VLOOKUP(Tabla1[[#This Row],[CODIGO]],INVENTARIO!A:B,2,0)," ")</f>
        <v>Tapa PE  025 mm Termo F.</v>
      </c>
      <c r="C1527" s="12">
        <v>5</v>
      </c>
      <c r="D1527" s="13"/>
      <c r="E1527" s="12">
        <v>846</v>
      </c>
      <c r="F1527" s="14">
        <v>46027</v>
      </c>
      <c r="G1527" s="14"/>
      <c r="H1527" s="14"/>
      <c r="I1527" s="14"/>
      <c r="J1527" s="9" t="s">
        <v>194</v>
      </c>
    </row>
    <row r="1528" spans="1:10" ht="15" customHeight="1" x14ac:dyDescent="0.35">
      <c r="A1528" s="12">
        <v>301329</v>
      </c>
      <c r="B1528" s="59" t="str">
        <f>IFERROR(VLOOKUP(Tabla1[[#This Row],[CODIGO]],INVENTARIO!A:B,2,0)," ")</f>
        <v>Copla PE100 025mm EF</v>
      </c>
      <c r="C1528" s="12">
        <v>10</v>
      </c>
      <c r="D1528" s="13"/>
      <c r="E1528" s="12">
        <v>846</v>
      </c>
      <c r="F1528" s="14">
        <v>46027</v>
      </c>
      <c r="G1528" s="14"/>
      <c r="H1528" s="14"/>
      <c r="I1528" s="14"/>
      <c r="J1528" s="9" t="s">
        <v>194</v>
      </c>
    </row>
    <row r="1529" spans="1:10" ht="15" customHeight="1" x14ac:dyDescent="0.35">
      <c r="A1529" s="12">
        <v>2002263</v>
      </c>
      <c r="B1529" s="59" t="str">
        <f>IFERROR(VLOOKUP(Tabla1[[#This Row],[CODIGO]],INVENTARIO!A:B,2,0)," ")</f>
        <v>Tubería PE80 063mm Rollo</v>
      </c>
      <c r="C1529" s="12">
        <v>100</v>
      </c>
      <c r="D1529" s="13"/>
      <c r="E1529" s="12">
        <v>846</v>
      </c>
      <c r="F1529" s="14">
        <v>46027</v>
      </c>
      <c r="G1529" s="9" t="s">
        <v>218</v>
      </c>
      <c r="H1529" s="9"/>
      <c r="I1529" s="9"/>
      <c r="J1529" s="9" t="s">
        <v>194</v>
      </c>
    </row>
    <row r="1530" spans="1:10" ht="15" customHeight="1" x14ac:dyDescent="0.35">
      <c r="A1530" s="12">
        <v>2003911</v>
      </c>
      <c r="B1530" s="59" t="str">
        <f>IFERROR(VLOOKUP(Tabla1[[#This Row],[CODIGO]],INVENTARIO!A:B,2,0)," ")</f>
        <v>Válvula EFv PE 25 mm Para Tap. Tee</v>
      </c>
      <c r="C1530" s="12">
        <v>5</v>
      </c>
      <c r="D1530" s="13"/>
      <c r="E1530" s="12">
        <v>846</v>
      </c>
      <c r="F1530" s="14">
        <v>46027</v>
      </c>
      <c r="G1530" s="14"/>
      <c r="H1530" s="14"/>
      <c r="I1530" s="14"/>
      <c r="J1530" s="9" t="s">
        <v>194</v>
      </c>
    </row>
    <row r="1531" spans="1:10" ht="15" customHeight="1" x14ac:dyDescent="0.35">
      <c r="A1531" s="12">
        <v>300108</v>
      </c>
      <c r="B1531" s="59" t="str">
        <f>IFERROR(VLOOKUP(Tabla1[[#This Row],[CODIGO]],INVENTARIO!A:B,2,0)," ")</f>
        <v>Tapping Tee PE 63-25 mm</v>
      </c>
      <c r="C1531" s="12">
        <v>5</v>
      </c>
      <c r="D1531" s="13"/>
      <c r="E1531" s="12">
        <v>846</v>
      </c>
      <c r="F1531" s="14">
        <v>46027</v>
      </c>
      <c r="G1531" s="14"/>
      <c r="H1531" s="14"/>
      <c r="I1531" s="14"/>
      <c r="J1531" s="9" t="s">
        <v>194</v>
      </c>
    </row>
    <row r="1532" spans="1:10" ht="15" customHeight="1" x14ac:dyDescent="0.35">
      <c r="A1532" s="12">
        <v>2000350</v>
      </c>
      <c r="B1532" s="59" t="str">
        <f>IFERROR(VLOOKUP(Tabla1[[#This Row],[CODIGO]],INVENTARIO!A:B,2,0)," ")</f>
        <v>Codo PE 90º  25 mm EF.</v>
      </c>
      <c r="C1532" s="12">
        <v>2</v>
      </c>
      <c r="D1532" s="13"/>
      <c r="E1532" s="12">
        <v>834</v>
      </c>
      <c r="F1532" s="14">
        <v>46017</v>
      </c>
      <c r="G1532" s="14"/>
      <c r="H1532" s="14"/>
      <c r="I1532" s="14"/>
      <c r="J1532" s="9" t="s">
        <v>184</v>
      </c>
    </row>
    <row r="1533" spans="1:10" ht="15" customHeight="1" x14ac:dyDescent="0.35">
      <c r="A1533" s="12">
        <v>303368</v>
      </c>
      <c r="B1533" s="59" t="str">
        <f>IFERROR(VLOOKUP(Tabla1[[#This Row],[CODIGO]],INVENTARIO!A:B,2,0)," ")</f>
        <v>Cinta Plástica "Línea GN", 30 x 0.1</v>
      </c>
      <c r="C1533" s="12">
        <v>10</v>
      </c>
      <c r="D1533" s="13"/>
      <c r="E1533" s="12">
        <v>825</v>
      </c>
      <c r="F1533" s="14">
        <v>46013</v>
      </c>
      <c r="G1533" s="14"/>
      <c r="H1533" s="14"/>
      <c r="I1533" s="14"/>
      <c r="J1533" s="9" t="s">
        <v>189</v>
      </c>
    </row>
    <row r="1534" spans="1:10" ht="15" customHeight="1" x14ac:dyDescent="0.35">
      <c r="A1534" s="12">
        <v>2003911</v>
      </c>
      <c r="B1534" s="59" t="str">
        <f>IFERROR(VLOOKUP(Tabla1[[#This Row],[CODIGO]],INVENTARIO!A:B,2,0)," ")</f>
        <v>Válvula EFv PE 25 mm Para Tap. Tee</v>
      </c>
      <c r="C1534" s="12">
        <v>1</v>
      </c>
      <c r="D1534" s="13"/>
      <c r="E1534" s="12">
        <v>821</v>
      </c>
      <c r="F1534" s="14">
        <v>46014</v>
      </c>
      <c r="G1534" s="14"/>
      <c r="H1534" s="14"/>
      <c r="I1534" s="14"/>
      <c r="J1534" s="9" t="s">
        <v>196</v>
      </c>
    </row>
    <row r="1535" spans="1:10" ht="15" customHeight="1" x14ac:dyDescent="0.35">
      <c r="A1535" s="12">
        <v>101624</v>
      </c>
      <c r="B1535" s="59" t="str">
        <f>IFERROR(VLOOKUP(Tabla1[[#This Row],[CODIGO]],INVENTARIO!A:B,2,0)," ")</f>
        <v>Tapping Tee PE 50-25 mm</v>
      </c>
      <c r="C1535" s="12">
        <v>1</v>
      </c>
      <c r="D1535" s="13"/>
      <c r="E1535" s="12">
        <v>821</v>
      </c>
      <c r="F1535" s="14">
        <v>46014</v>
      </c>
      <c r="G1535" s="14"/>
      <c r="H1535" s="14"/>
      <c r="I1535" s="14"/>
      <c r="J1535" s="9" t="s">
        <v>196</v>
      </c>
    </row>
    <row r="1536" spans="1:10" ht="15" customHeight="1" x14ac:dyDescent="0.35">
      <c r="A1536" s="12">
        <v>303345</v>
      </c>
      <c r="B1536" s="59" t="str">
        <f>IFERROR(VLOOKUP(Tabla1[[#This Row],[CODIGO]],INVENTARIO!A:B,2,0)," ")</f>
        <v>Copla PE100 050mm EF</v>
      </c>
      <c r="C1536" s="12">
        <v>1</v>
      </c>
      <c r="D1536" s="13"/>
      <c r="E1536" s="12">
        <v>821</v>
      </c>
      <c r="F1536" s="14">
        <v>46014</v>
      </c>
      <c r="G1536" s="14"/>
      <c r="H1536" s="14"/>
      <c r="I1536" s="14"/>
      <c r="J1536" s="9" t="s">
        <v>196</v>
      </c>
    </row>
    <row r="1537" spans="1:10" ht="15" customHeight="1" x14ac:dyDescent="0.35">
      <c r="A1537" s="12">
        <v>2002262</v>
      </c>
      <c r="B1537" s="59" t="str">
        <f>IFERROR(VLOOKUP(Tabla1[[#This Row],[CODIGO]],INVENTARIO!A:B,2,0)," ")</f>
        <v>Tubería PE80 050mm Rollo</v>
      </c>
      <c r="C1537" s="12">
        <v>3</v>
      </c>
      <c r="D1537" s="13"/>
      <c r="E1537" s="12">
        <v>821</v>
      </c>
      <c r="F1537" s="14">
        <v>46014</v>
      </c>
      <c r="G1537" s="14"/>
      <c r="H1537" s="14"/>
      <c r="I1537" s="14"/>
      <c r="J1537" s="9" t="s">
        <v>196</v>
      </c>
    </row>
    <row r="1538" spans="1:10" ht="15" customHeight="1" x14ac:dyDescent="0.35">
      <c r="A1538" s="12">
        <v>300712</v>
      </c>
      <c r="B1538" s="59" t="str">
        <f>IFERROR(VLOOKUP(Tabla1[[#This Row],[CODIGO]],INVENTARIO!A:B,2,0)," ")</f>
        <v>Tapa PE  025 mm Termo F.</v>
      </c>
      <c r="C1538" s="12">
        <v>1</v>
      </c>
      <c r="D1538" s="13"/>
      <c r="E1538" s="12">
        <v>821</v>
      </c>
      <c r="F1538" s="14">
        <v>46014</v>
      </c>
      <c r="G1538" s="14"/>
      <c r="H1538" s="14"/>
      <c r="I1538" s="14"/>
      <c r="J1538" s="9" t="s">
        <v>196</v>
      </c>
    </row>
    <row r="1539" spans="1:10" ht="15" customHeight="1" x14ac:dyDescent="0.35">
      <c r="A1539" s="12">
        <v>301329</v>
      </c>
      <c r="B1539" s="59" t="str">
        <f>IFERROR(VLOOKUP(Tabla1[[#This Row],[CODIGO]],INVENTARIO!A:B,2,0)," ")</f>
        <v>Copla PE100 025mm EF</v>
      </c>
      <c r="C1539" s="12">
        <v>2</v>
      </c>
      <c r="D1539" s="13"/>
      <c r="E1539" s="12">
        <v>821</v>
      </c>
      <c r="F1539" s="14">
        <v>46014</v>
      </c>
      <c r="G1539" s="14"/>
      <c r="H1539" s="14"/>
      <c r="I1539" s="14"/>
      <c r="J1539" s="9" t="s">
        <v>196</v>
      </c>
    </row>
    <row r="1540" spans="1:10" ht="15" customHeight="1" x14ac:dyDescent="0.35">
      <c r="A1540" s="12">
        <v>2007948</v>
      </c>
      <c r="B1540" s="59" t="str">
        <f>IFERROR(VLOOKUP(Tabla1[[#This Row],[CODIGO]],INVENTARIO!A:B,2,0)," ")</f>
        <v>Tubo PVC Hidraulico 110 mm Pn6 Celeste</v>
      </c>
      <c r="C1540" s="12">
        <v>1</v>
      </c>
      <c r="D1540" s="13"/>
      <c r="E1540" s="12">
        <v>833</v>
      </c>
      <c r="F1540" s="14">
        <v>46014</v>
      </c>
      <c r="G1540" s="14"/>
      <c r="H1540" s="14"/>
      <c r="I1540" s="14"/>
      <c r="J1540" s="9" t="s">
        <v>183</v>
      </c>
    </row>
    <row r="1541" spans="1:10" ht="15" customHeight="1" x14ac:dyDescent="0.35">
      <c r="A1541" s="12">
        <v>303368</v>
      </c>
      <c r="B1541" s="59" t="str">
        <f>IFERROR(VLOOKUP(Tabla1[[#This Row],[CODIGO]],INVENTARIO!A:B,2,0)," ")</f>
        <v>Cinta Plástica "Línea GN", 30 x 0.1</v>
      </c>
      <c r="C1541" s="12">
        <v>6</v>
      </c>
      <c r="D1541" s="13"/>
      <c r="E1541" s="12">
        <v>833</v>
      </c>
      <c r="F1541" s="14">
        <v>46014</v>
      </c>
      <c r="G1541" s="14"/>
      <c r="H1541" s="14"/>
      <c r="I1541" s="14"/>
      <c r="J1541" s="9" t="s">
        <v>183</v>
      </c>
    </row>
    <row r="1542" spans="1:10" ht="15" customHeight="1" x14ac:dyDescent="0.35">
      <c r="A1542" s="12">
        <v>302184</v>
      </c>
      <c r="B1542" s="59" t="str">
        <f>IFERROR(VLOOKUP(Tabla1[[#This Row],[CODIGO]],INVENTARIO!A:B,2,0)," ")</f>
        <v>Tapa Tornillo Cambio de Codigo por: 2008481</v>
      </c>
      <c r="C1542" s="12">
        <v>1</v>
      </c>
      <c r="D1542" s="13"/>
      <c r="E1542" s="12">
        <v>833</v>
      </c>
      <c r="F1542" s="14">
        <v>46014</v>
      </c>
      <c r="G1542" s="14"/>
      <c r="H1542" s="14"/>
      <c r="I1542" s="14"/>
      <c r="J1542" s="9" t="s">
        <v>183</v>
      </c>
    </row>
    <row r="1543" spans="1:10" ht="15" customHeight="1" x14ac:dyDescent="0.35">
      <c r="A1543" s="12">
        <v>302737</v>
      </c>
      <c r="B1543" s="59" t="str">
        <f>IFERROR(VLOOKUP(Tabla1[[#This Row],[CODIGO]],INVENTARIO!A:B,2,0)," ")</f>
        <v>Válvula Bola 3/4" Hi Un Cuerpo Pn5 Arco</v>
      </c>
      <c r="C1543" s="12">
        <v>1</v>
      </c>
      <c r="D1543" s="13"/>
      <c r="E1543" s="12">
        <v>833</v>
      </c>
      <c r="F1543" s="14">
        <v>46014</v>
      </c>
      <c r="G1543" s="14"/>
      <c r="H1543" s="14"/>
      <c r="I1543" s="14"/>
      <c r="J1543" s="9" t="s">
        <v>183</v>
      </c>
    </row>
    <row r="1544" spans="1:10" ht="15" customHeight="1" x14ac:dyDescent="0.35">
      <c r="A1544" s="12">
        <v>2006391</v>
      </c>
      <c r="B1544" s="59" t="str">
        <f>IFERROR(VLOOKUP(Tabla1[[#This Row],[CODIGO]],INVENTARIO!A:B,2,0)," ")</f>
        <v>Guardallave Fierro Fundido C/Tapa</v>
      </c>
      <c r="C1544" s="12">
        <v>1</v>
      </c>
      <c r="D1544" s="13"/>
      <c r="E1544" s="12">
        <v>833</v>
      </c>
      <c r="F1544" s="14">
        <v>46014</v>
      </c>
      <c r="G1544" s="14"/>
      <c r="H1544" s="14"/>
      <c r="I1544" s="14"/>
      <c r="J1544" s="9" t="s">
        <v>183</v>
      </c>
    </row>
    <row r="1545" spans="1:10" ht="15" customHeight="1" x14ac:dyDescent="0.35">
      <c r="A1545" s="12">
        <v>301749</v>
      </c>
      <c r="B1545" s="59" t="str">
        <f>IFERROR(VLOOKUP(Tabla1[[#This Row],[CODIGO]],INVENTARIO!A:B,2,0)," ")</f>
        <v>Tubería PE80 025mm Rollo</v>
      </c>
      <c r="C1545" s="40">
        <v>5</v>
      </c>
      <c r="D1545" s="13"/>
      <c r="E1545" s="12">
        <v>833</v>
      </c>
      <c r="F1545" s="14">
        <v>46014</v>
      </c>
      <c r="G1545" s="14"/>
      <c r="H1545" s="34" t="s">
        <v>228</v>
      </c>
      <c r="I1545" s="34" t="s">
        <v>234</v>
      </c>
      <c r="J1545" s="9" t="s">
        <v>183</v>
      </c>
    </row>
    <row r="1546" spans="1:10" ht="15" customHeight="1" x14ac:dyDescent="0.35">
      <c r="A1546" s="12">
        <v>2000350</v>
      </c>
      <c r="B1546" s="59" t="str">
        <f>IFERROR(VLOOKUP(Tabla1[[#This Row],[CODIGO]],INVENTARIO!A:B,2,0)," ")</f>
        <v>Codo PE 90º  25 mm EF.</v>
      </c>
      <c r="C1546" s="12">
        <v>3</v>
      </c>
      <c r="D1546" s="13"/>
      <c r="E1546" s="12">
        <v>833</v>
      </c>
      <c r="F1546" s="14">
        <v>46014</v>
      </c>
      <c r="G1546" s="14"/>
      <c r="H1546" s="14"/>
      <c r="I1546" s="14"/>
      <c r="J1546" s="9" t="s">
        <v>183</v>
      </c>
    </row>
    <row r="1547" spans="1:10" ht="15" customHeight="1" x14ac:dyDescent="0.35">
      <c r="A1547" s="12">
        <v>2003911</v>
      </c>
      <c r="B1547" s="59" t="str">
        <f>IFERROR(VLOOKUP(Tabla1[[#This Row],[CODIGO]],INVENTARIO!A:B,2,0)," ")</f>
        <v>Válvula EFv PE 25 mm Para Tap. Tee</v>
      </c>
      <c r="C1547" s="12">
        <v>1</v>
      </c>
      <c r="D1547" s="13"/>
      <c r="E1547" s="12">
        <v>833</v>
      </c>
      <c r="F1547" s="14">
        <v>46014</v>
      </c>
      <c r="G1547" s="14"/>
      <c r="H1547" s="14"/>
      <c r="I1547" s="14"/>
      <c r="J1547" s="9" t="s">
        <v>183</v>
      </c>
    </row>
    <row r="1548" spans="1:10" ht="15" customHeight="1" x14ac:dyDescent="0.35">
      <c r="A1548" s="12">
        <v>300109</v>
      </c>
      <c r="B1548" s="59" t="str">
        <f>IFERROR(VLOOKUP(Tabla1[[#This Row],[CODIGO]],INVENTARIO!A:B,2,0)," ")</f>
        <v>Risers de Acero 3/4" Bsp x 25 mm</v>
      </c>
      <c r="C1548" s="12">
        <v>1</v>
      </c>
      <c r="D1548" s="13"/>
      <c r="E1548" s="12">
        <v>833</v>
      </c>
      <c r="F1548" s="14">
        <v>46014</v>
      </c>
      <c r="G1548" s="14"/>
      <c r="H1548" s="14"/>
      <c r="I1548" s="14"/>
      <c r="J1548" s="9" t="s">
        <v>183</v>
      </c>
    </row>
    <row r="1549" spans="1:10" ht="15" customHeight="1" x14ac:dyDescent="0.35">
      <c r="A1549" s="12">
        <v>301329</v>
      </c>
      <c r="B1549" s="59" t="str">
        <f>IFERROR(VLOOKUP(Tabla1[[#This Row],[CODIGO]],INVENTARIO!A:B,2,0)," ")</f>
        <v>Copla PE100 025mm EF</v>
      </c>
      <c r="C1549" s="12">
        <v>4</v>
      </c>
      <c r="D1549" s="13"/>
      <c r="E1549" s="12">
        <v>833</v>
      </c>
      <c r="F1549" s="14">
        <v>46014</v>
      </c>
      <c r="G1549" s="14"/>
      <c r="H1549" s="14"/>
      <c r="I1549" s="14"/>
      <c r="J1549" s="9" t="s">
        <v>183</v>
      </c>
    </row>
    <row r="1550" spans="1:10" ht="15" customHeight="1" x14ac:dyDescent="0.35">
      <c r="A1550" s="12">
        <v>301099</v>
      </c>
      <c r="B1550" s="59" t="str">
        <f>IFERROR(VLOOKUP(Tabla1[[#This Row],[CODIGO]],INVENTARIO!A:B,2,0)," ")</f>
        <v>Válvula PE100 Dn 25mm</v>
      </c>
      <c r="C1550" s="12">
        <v>1</v>
      </c>
      <c r="D1550" s="13"/>
      <c r="E1550" s="12">
        <v>833</v>
      </c>
      <c r="F1550" s="14">
        <v>46014</v>
      </c>
      <c r="G1550" s="14"/>
      <c r="H1550" s="14"/>
      <c r="I1550" s="14"/>
      <c r="J1550" s="9" t="s">
        <v>183</v>
      </c>
    </row>
    <row r="1551" spans="1:10" ht="15" customHeight="1" x14ac:dyDescent="0.35">
      <c r="A1551" s="12">
        <v>300108</v>
      </c>
      <c r="B1551" s="59" t="str">
        <f>IFERROR(VLOOKUP(Tabla1[[#This Row],[CODIGO]],INVENTARIO!A:B,2,0)," ")</f>
        <v>Tapping Tee PE 63-25 mm</v>
      </c>
      <c r="C1551" s="12">
        <v>1</v>
      </c>
      <c r="D1551" s="13"/>
      <c r="E1551" s="12">
        <v>833</v>
      </c>
      <c r="F1551" s="14">
        <v>46004</v>
      </c>
      <c r="G1551" s="14"/>
      <c r="H1551" s="14"/>
      <c r="I1551" s="14"/>
      <c r="J1551" s="9" t="s">
        <v>183</v>
      </c>
    </row>
    <row r="1552" spans="1:10" ht="15" customHeight="1" x14ac:dyDescent="0.35">
      <c r="A1552" s="12">
        <v>2007948</v>
      </c>
      <c r="B1552" s="59" t="str">
        <f>IFERROR(VLOOKUP(Tabla1[[#This Row],[CODIGO]],INVENTARIO!A:B,2,0)," ")</f>
        <v>Tubo PVC Hidraulico 110 mm Pn6 Celeste</v>
      </c>
      <c r="C1552" s="12">
        <v>1</v>
      </c>
      <c r="D1552" s="13"/>
      <c r="E1552" s="12">
        <v>805</v>
      </c>
      <c r="F1552" s="14">
        <v>45995</v>
      </c>
      <c r="G1552" s="14"/>
      <c r="H1552" s="14"/>
      <c r="I1552" s="14"/>
      <c r="J1552" s="9" t="s">
        <v>190</v>
      </c>
    </row>
    <row r="1553" spans="1:10" ht="15" customHeight="1" x14ac:dyDescent="0.35">
      <c r="A1553" s="12">
        <v>1002167</v>
      </c>
      <c r="B1553" s="59" t="str">
        <f>IFERROR(VLOOKUP(Tabla1[[#This Row],[CODIGO]],INVENTARIO!A:B,2,0)," ")</f>
        <v>Cable Trazador Cu 14 AWG Aisl. THW Roj</v>
      </c>
      <c r="C1553" s="12">
        <v>1</v>
      </c>
      <c r="D1553" s="13"/>
      <c r="E1553" s="12">
        <v>805</v>
      </c>
      <c r="F1553" s="14">
        <v>45995</v>
      </c>
      <c r="G1553" s="14"/>
      <c r="H1553" s="14"/>
      <c r="I1553" s="14"/>
      <c r="J1553" s="9" t="s">
        <v>190</v>
      </c>
    </row>
    <row r="1554" spans="1:10" ht="15" customHeight="1" x14ac:dyDescent="0.35">
      <c r="A1554" s="12">
        <v>303368</v>
      </c>
      <c r="B1554" s="59" t="str">
        <f>IFERROR(VLOOKUP(Tabla1[[#This Row],[CODIGO]],INVENTARIO!A:B,2,0)," ")</f>
        <v>Cinta Plástica "Línea GN", 30 x 0.1</v>
      </c>
      <c r="C1554" s="12">
        <v>1</v>
      </c>
      <c r="D1554" s="13"/>
      <c r="E1554" s="12">
        <v>805</v>
      </c>
      <c r="F1554" s="14">
        <v>45995</v>
      </c>
      <c r="G1554" s="14"/>
      <c r="H1554" s="14"/>
      <c r="I1554" s="14"/>
      <c r="J1554" s="9" t="s">
        <v>190</v>
      </c>
    </row>
    <row r="1555" spans="1:10" ht="15" customHeight="1" x14ac:dyDescent="0.35">
      <c r="A1555" s="12">
        <v>302184</v>
      </c>
      <c r="B1555" s="59" t="str">
        <f>IFERROR(VLOOKUP(Tabla1[[#This Row],[CODIGO]],INVENTARIO!A:B,2,0)," ")</f>
        <v>Tapa Tornillo Cambio de Codigo por: 2008481</v>
      </c>
      <c r="C1555" s="12">
        <v>1</v>
      </c>
      <c r="D1555" s="13"/>
      <c r="E1555" s="12">
        <v>805</v>
      </c>
      <c r="F1555" s="14">
        <v>45995</v>
      </c>
      <c r="G1555" s="14"/>
      <c r="H1555" s="14"/>
      <c r="I1555" s="14"/>
      <c r="J1555" s="9" t="s">
        <v>190</v>
      </c>
    </row>
    <row r="1556" spans="1:10" ht="15" customHeight="1" x14ac:dyDescent="0.35">
      <c r="A1556" s="12">
        <v>302737</v>
      </c>
      <c r="B1556" s="59" t="str">
        <f>IFERROR(VLOOKUP(Tabla1[[#This Row],[CODIGO]],INVENTARIO!A:B,2,0)," ")</f>
        <v>Válvula Bola 3/4" Hi Un Cuerpo Pn5 Arco</v>
      </c>
      <c r="C1556" s="12">
        <v>1</v>
      </c>
      <c r="D1556" s="13"/>
      <c r="E1556" s="12">
        <v>805</v>
      </c>
      <c r="F1556" s="14">
        <v>45995</v>
      </c>
      <c r="G1556" s="14"/>
      <c r="H1556" s="14"/>
      <c r="I1556" s="14"/>
      <c r="J1556" s="9" t="s">
        <v>190</v>
      </c>
    </row>
    <row r="1557" spans="1:10" ht="15" customHeight="1" x14ac:dyDescent="0.35">
      <c r="A1557" s="12">
        <v>2006391</v>
      </c>
      <c r="B1557" s="59" t="str">
        <f>IFERROR(VLOOKUP(Tabla1[[#This Row],[CODIGO]],INVENTARIO!A:B,2,0)," ")</f>
        <v>Guardallave Fierro Fundido C/Tapa</v>
      </c>
      <c r="C1557" s="12">
        <v>1</v>
      </c>
      <c r="D1557" s="13"/>
      <c r="E1557" s="12">
        <v>805</v>
      </c>
      <c r="F1557" s="14">
        <v>45995</v>
      </c>
      <c r="G1557" s="14"/>
      <c r="H1557" s="14"/>
      <c r="I1557" s="14"/>
      <c r="J1557" s="9" t="s">
        <v>190</v>
      </c>
    </row>
    <row r="1558" spans="1:10" ht="15" customHeight="1" x14ac:dyDescent="0.35">
      <c r="A1558" s="12">
        <v>301749</v>
      </c>
      <c r="B1558" s="59" t="str">
        <f>IFERROR(VLOOKUP(Tabla1[[#This Row],[CODIGO]],INVENTARIO!A:B,2,0)," ")</f>
        <v>Tubería PE80 025mm Rollo</v>
      </c>
      <c r="C1558" s="40">
        <v>1</v>
      </c>
      <c r="D1558" s="13"/>
      <c r="E1558" s="12">
        <v>805</v>
      </c>
      <c r="F1558" s="14">
        <v>45995</v>
      </c>
      <c r="G1558" s="14"/>
      <c r="H1558" s="34" t="s">
        <v>228</v>
      </c>
      <c r="I1558" s="34" t="s">
        <v>234</v>
      </c>
      <c r="J1558" s="9" t="s">
        <v>190</v>
      </c>
    </row>
    <row r="1559" spans="1:10" ht="15" customHeight="1" x14ac:dyDescent="0.35">
      <c r="A1559" s="12">
        <v>2003911</v>
      </c>
      <c r="B1559" s="59" t="str">
        <f>IFERROR(VLOOKUP(Tabla1[[#This Row],[CODIGO]],INVENTARIO!A:B,2,0)," ")</f>
        <v>Válvula EFv PE 25 mm Para Tap. Tee</v>
      </c>
      <c r="C1559" s="12">
        <v>1</v>
      </c>
      <c r="D1559" s="13"/>
      <c r="E1559" s="12">
        <v>805</v>
      </c>
      <c r="F1559" s="14">
        <v>45995</v>
      </c>
      <c r="G1559" s="14"/>
      <c r="H1559" s="14"/>
      <c r="I1559" s="14"/>
      <c r="J1559" s="9" t="s">
        <v>190</v>
      </c>
    </row>
    <row r="1560" spans="1:10" ht="15" customHeight="1" x14ac:dyDescent="0.35">
      <c r="A1560" s="12">
        <v>300109</v>
      </c>
      <c r="B1560" s="59" t="str">
        <f>IFERROR(VLOOKUP(Tabla1[[#This Row],[CODIGO]],INVENTARIO!A:B,2,0)," ")</f>
        <v>Risers de Acero 3/4" Bsp x 25 mm</v>
      </c>
      <c r="C1560" s="12">
        <v>1</v>
      </c>
      <c r="D1560" s="13"/>
      <c r="E1560" s="12">
        <v>805</v>
      </c>
      <c r="F1560" s="14">
        <v>45995</v>
      </c>
      <c r="G1560" s="14"/>
      <c r="H1560" s="14"/>
      <c r="I1560" s="14"/>
      <c r="J1560" s="9" t="s">
        <v>190</v>
      </c>
    </row>
    <row r="1561" spans="1:10" ht="15" customHeight="1" x14ac:dyDescent="0.35">
      <c r="A1561" s="12">
        <v>301329</v>
      </c>
      <c r="B1561" s="59" t="str">
        <f>IFERROR(VLOOKUP(Tabla1[[#This Row],[CODIGO]],INVENTARIO!A:B,2,0)," ")</f>
        <v>Copla PE100 025mm EF</v>
      </c>
      <c r="C1561" s="12">
        <v>4</v>
      </c>
      <c r="D1561" s="13"/>
      <c r="E1561" s="12">
        <v>805</v>
      </c>
      <c r="F1561" s="14">
        <v>45995</v>
      </c>
      <c r="G1561" s="14"/>
      <c r="H1561" s="14"/>
      <c r="I1561" s="14"/>
      <c r="J1561" s="9" t="s">
        <v>190</v>
      </c>
    </row>
    <row r="1562" spans="1:10" ht="15" customHeight="1" x14ac:dyDescent="0.35">
      <c r="A1562" s="12">
        <v>301099</v>
      </c>
      <c r="B1562" s="59" t="str">
        <f>IFERROR(VLOOKUP(Tabla1[[#This Row],[CODIGO]],INVENTARIO!A:B,2,0)," ")</f>
        <v>Válvula PE100 Dn 25mm</v>
      </c>
      <c r="C1562" s="12">
        <v>1</v>
      </c>
      <c r="D1562" s="13"/>
      <c r="E1562" s="12">
        <v>805</v>
      </c>
      <c r="F1562" s="14">
        <v>45995</v>
      </c>
      <c r="G1562" s="14"/>
      <c r="H1562" s="14"/>
      <c r="I1562" s="14"/>
      <c r="J1562" s="9" t="s">
        <v>190</v>
      </c>
    </row>
    <row r="1563" spans="1:10" ht="15" customHeight="1" x14ac:dyDescent="0.35">
      <c r="A1563" s="12">
        <v>301666</v>
      </c>
      <c r="B1563" s="59" t="str">
        <f>IFERROR(VLOOKUP(Tabla1[[#This Row],[CODIGO]],INVENTARIO!A:B,2,0)," ")</f>
        <v>Tapping Tee PE 110-25 mm</v>
      </c>
      <c r="C1563" s="12">
        <v>1</v>
      </c>
      <c r="D1563" s="13"/>
      <c r="E1563" s="12">
        <v>805</v>
      </c>
      <c r="F1563" s="14">
        <v>45995</v>
      </c>
      <c r="G1563" s="14"/>
      <c r="H1563" s="14"/>
      <c r="I1563" s="14"/>
      <c r="J1563" s="9" t="s">
        <v>190</v>
      </c>
    </row>
    <row r="1564" spans="1:10" ht="15" customHeight="1" x14ac:dyDescent="0.35">
      <c r="A1564" s="12">
        <v>2002453</v>
      </c>
      <c r="B1564" s="59" t="str">
        <f>IFERROR(VLOOKUP(Tabla1[[#This Row],[CODIGO]],INVENTARIO!A:B,2,0)," ")</f>
        <v>MRP-120-(4/1,2)-(S)-2</v>
      </c>
      <c r="C1564" s="12">
        <v>1</v>
      </c>
      <c r="D1564" s="13"/>
      <c r="E1564" s="12">
        <v>819</v>
      </c>
      <c r="F1564" s="14">
        <v>46008</v>
      </c>
      <c r="G1564" s="14"/>
      <c r="H1564" s="14"/>
      <c r="I1564" s="14"/>
      <c r="J1564" s="9" t="s">
        <v>184</v>
      </c>
    </row>
    <row r="1565" spans="1:10" ht="15" customHeight="1" x14ac:dyDescent="0.35">
      <c r="A1565" s="12">
        <v>302184</v>
      </c>
      <c r="B1565" s="59" t="str">
        <f>IFERROR(VLOOKUP(Tabla1[[#This Row],[CODIGO]],INVENTARIO!A:B,2,0)," ")</f>
        <v>Tapa Tornillo Cambio de Codigo por: 2008481</v>
      </c>
      <c r="C1565" s="12">
        <v>2</v>
      </c>
      <c r="D1565" s="13"/>
      <c r="E1565" s="12">
        <v>826</v>
      </c>
      <c r="F1565" s="14">
        <v>46009</v>
      </c>
      <c r="G1565" s="14"/>
      <c r="H1565" s="14"/>
      <c r="I1565" s="14"/>
      <c r="J1565" s="9" t="s">
        <v>196</v>
      </c>
    </row>
    <row r="1566" spans="1:10" ht="15" customHeight="1" x14ac:dyDescent="0.35">
      <c r="A1566" s="12">
        <v>302737</v>
      </c>
      <c r="B1566" s="59" t="str">
        <f>IFERROR(VLOOKUP(Tabla1[[#This Row],[CODIGO]],INVENTARIO!A:B,2,0)," ")</f>
        <v>Válvula Bola 3/4" Hi Un Cuerpo Pn5 Arco</v>
      </c>
      <c r="C1566" s="12">
        <v>2</v>
      </c>
      <c r="D1566" s="13"/>
      <c r="E1566" s="12">
        <v>826</v>
      </c>
      <c r="F1566" s="14">
        <v>46009</v>
      </c>
      <c r="G1566" s="14"/>
      <c r="H1566" s="14"/>
      <c r="I1566" s="14"/>
      <c r="J1566" s="9" t="s">
        <v>196</v>
      </c>
    </row>
    <row r="1567" spans="1:10" ht="15" customHeight="1" x14ac:dyDescent="0.35">
      <c r="A1567" s="12">
        <v>300109</v>
      </c>
      <c r="B1567" s="59" t="str">
        <f>IFERROR(VLOOKUP(Tabla1[[#This Row],[CODIGO]],INVENTARIO!A:B,2,0)," ")</f>
        <v>Risers de Acero 3/4" Bsp x 25 mm</v>
      </c>
      <c r="C1567" s="12">
        <v>2</v>
      </c>
      <c r="D1567" s="13"/>
      <c r="E1567" s="12">
        <v>826</v>
      </c>
      <c r="F1567" s="14">
        <v>46009</v>
      </c>
      <c r="G1567" s="14"/>
      <c r="H1567" s="14"/>
      <c r="I1567" s="14"/>
      <c r="J1567" s="9" t="s">
        <v>196</v>
      </c>
    </row>
    <row r="1568" spans="1:10" ht="15" customHeight="1" x14ac:dyDescent="0.35">
      <c r="A1568" s="12">
        <v>301327</v>
      </c>
      <c r="B1568" s="59" t="str">
        <f>IFERROR(VLOOKUP(Tabla1[[#This Row],[CODIGO]],INVENTARIO!A:B,2,0)," ")</f>
        <v>Tapa PE  050 mm Termo F.</v>
      </c>
      <c r="C1568" s="12">
        <v>2</v>
      </c>
      <c r="D1568" s="13"/>
      <c r="E1568" s="12">
        <v>826</v>
      </c>
      <c r="F1568" s="14">
        <v>46009</v>
      </c>
      <c r="G1568" s="14"/>
      <c r="H1568" s="14"/>
      <c r="I1568" s="14"/>
      <c r="J1568" s="9" t="s">
        <v>196</v>
      </c>
    </row>
    <row r="1569" spans="1:10" ht="15" customHeight="1" x14ac:dyDescent="0.35">
      <c r="A1569" s="12">
        <v>303345</v>
      </c>
      <c r="B1569" s="59" t="str">
        <f>IFERROR(VLOOKUP(Tabla1[[#This Row],[CODIGO]],INVENTARIO!A:B,2,0)," ")</f>
        <v>Copla PE100 050mm EF</v>
      </c>
      <c r="C1569" s="12">
        <v>2</v>
      </c>
      <c r="D1569" s="13"/>
      <c r="E1569" s="12">
        <v>826</v>
      </c>
      <c r="F1569" s="14">
        <v>46009</v>
      </c>
      <c r="G1569" s="14"/>
      <c r="H1569" s="14"/>
      <c r="I1569" s="14"/>
      <c r="J1569" s="9" t="s">
        <v>196</v>
      </c>
    </row>
    <row r="1570" spans="1:10" ht="15" customHeight="1" x14ac:dyDescent="0.35">
      <c r="A1570" s="12">
        <v>300712</v>
      </c>
      <c r="B1570" s="59" t="str">
        <f>IFERROR(VLOOKUP(Tabla1[[#This Row],[CODIGO]],INVENTARIO!A:B,2,0)," ")</f>
        <v>Tapa PE  025 mm Termo F.</v>
      </c>
      <c r="C1570" s="12">
        <v>17</v>
      </c>
      <c r="D1570" s="13"/>
      <c r="E1570" s="12">
        <v>826</v>
      </c>
      <c r="F1570" s="14">
        <v>46009</v>
      </c>
      <c r="G1570" s="14"/>
      <c r="H1570" s="14"/>
      <c r="I1570" s="14"/>
      <c r="J1570" s="9" t="s">
        <v>196</v>
      </c>
    </row>
    <row r="1571" spans="1:10" ht="15" customHeight="1" x14ac:dyDescent="0.35">
      <c r="A1571" s="12">
        <v>2000350</v>
      </c>
      <c r="B1571" s="59" t="str">
        <f>IFERROR(VLOOKUP(Tabla1[[#This Row],[CODIGO]],INVENTARIO!A:B,2,0)," ")</f>
        <v>Codo PE 90º  25 mm EF.</v>
      </c>
      <c r="C1571" s="12">
        <v>34</v>
      </c>
      <c r="D1571" s="13"/>
      <c r="E1571" s="12">
        <v>826</v>
      </c>
      <c r="F1571" s="14">
        <v>46009</v>
      </c>
      <c r="G1571" s="14"/>
      <c r="H1571" s="14"/>
      <c r="I1571" s="14"/>
      <c r="J1571" s="9" t="s">
        <v>196</v>
      </c>
    </row>
    <row r="1572" spans="1:10" ht="15" customHeight="1" x14ac:dyDescent="0.35">
      <c r="A1572" s="12">
        <v>2007948</v>
      </c>
      <c r="B1572" s="59" t="str">
        <f>IFERROR(VLOOKUP(Tabla1[[#This Row],[CODIGO]],INVENTARIO!A:B,2,0)," ")</f>
        <v>Tubo PVC Hidraulico 110 mm Pn6 Celeste</v>
      </c>
      <c r="C1572" s="12">
        <v>1</v>
      </c>
      <c r="D1572" s="13"/>
      <c r="E1572" s="12">
        <v>828</v>
      </c>
      <c r="F1572" s="14">
        <v>46010</v>
      </c>
      <c r="G1572" s="14"/>
      <c r="H1572" s="14"/>
      <c r="I1572" s="14"/>
      <c r="J1572" s="9" t="s">
        <v>192</v>
      </c>
    </row>
    <row r="1573" spans="1:10" ht="15" customHeight="1" x14ac:dyDescent="0.35">
      <c r="A1573" s="12">
        <v>303368</v>
      </c>
      <c r="B1573" s="59" t="str">
        <f>IFERROR(VLOOKUP(Tabla1[[#This Row],[CODIGO]],INVENTARIO!A:B,2,0)," ")</f>
        <v>Cinta Plástica "Línea GN", 30 x 0.1</v>
      </c>
      <c r="C1573" s="12">
        <v>4</v>
      </c>
      <c r="D1573" s="13"/>
      <c r="E1573" s="12">
        <v>828</v>
      </c>
      <c r="F1573" s="14">
        <v>46010</v>
      </c>
      <c r="G1573" s="14"/>
      <c r="H1573" s="14"/>
      <c r="I1573" s="14"/>
      <c r="J1573" s="9" t="s">
        <v>192</v>
      </c>
    </row>
    <row r="1574" spans="1:10" ht="15" customHeight="1" x14ac:dyDescent="0.35">
      <c r="A1574" s="12">
        <v>302184</v>
      </c>
      <c r="B1574" s="59" t="str">
        <f>IFERROR(VLOOKUP(Tabla1[[#This Row],[CODIGO]],INVENTARIO!A:B,2,0)," ")</f>
        <v>Tapa Tornillo Cambio de Codigo por: 2008481</v>
      </c>
      <c r="C1574" s="12">
        <v>1</v>
      </c>
      <c r="D1574" s="13"/>
      <c r="E1574" s="12">
        <v>828</v>
      </c>
      <c r="F1574" s="14">
        <v>46010</v>
      </c>
      <c r="G1574" s="14"/>
      <c r="H1574" s="14"/>
      <c r="I1574" s="14"/>
      <c r="J1574" s="9" t="s">
        <v>192</v>
      </c>
    </row>
    <row r="1575" spans="1:10" ht="15" customHeight="1" x14ac:dyDescent="0.35">
      <c r="A1575" s="12">
        <v>302737</v>
      </c>
      <c r="B1575" s="59" t="str">
        <f>IFERROR(VLOOKUP(Tabla1[[#This Row],[CODIGO]],INVENTARIO!A:B,2,0)," ")</f>
        <v>Válvula Bola 3/4" Hi Un Cuerpo Pn5 Arco</v>
      </c>
      <c r="C1575" s="12">
        <v>1</v>
      </c>
      <c r="D1575" s="13"/>
      <c r="E1575" s="12">
        <v>828</v>
      </c>
      <c r="F1575" s="14">
        <v>46010</v>
      </c>
      <c r="G1575" s="14"/>
      <c r="H1575" s="14"/>
      <c r="I1575" s="14"/>
      <c r="J1575" s="9" t="s">
        <v>192</v>
      </c>
    </row>
    <row r="1576" spans="1:10" ht="15" customHeight="1" x14ac:dyDescent="0.35">
      <c r="A1576" s="12">
        <v>2006391</v>
      </c>
      <c r="B1576" s="59" t="str">
        <f>IFERROR(VLOOKUP(Tabla1[[#This Row],[CODIGO]],INVENTARIO!A:B,2,0)," ")</f>
        <v>Guardallave Fierro Fundido C/Tapa</v>
      </c>
      <c r="C1576" s="12">
        <v>1</v>
      </c>
      <c r="D1576" s="13"/>
      <c r="E1576" s="12">
        <v>828</v>
      </c>
      <c r="F1576" s="14">
        <v>46010</v>
      </c>
      <c r="G1576" s="14"/>
      <c r="H1576" s="14"/>
      <c r="I1576" s="14"/>
      <c r="J1576" s="9" t="s">
        <v>192</v>
      </c>
    </row>
    <row r="1577" spans="1:10" ht="15" customHeight="1" x14ac:dyDescent="0.35">
      <c r="A1577" s="12">
        <v>301749</v>
      </c>
      <c r="B1577" s="59" t="str">
        <f>IFERROR(VLOOKUP(Tabla1[[#This Row],[CODIGO]],INVENTARIO!A:B,2,0)," ")</f>
        <v>Tubería PE80 025mm Rollo</v>
      </c>
      <c r="C1577" s="40">
        <v>3</v>
      </c>
      <c r="D1577" s="13"/>
      <c r="E1577" s="12">
        <v>828</v>
      </c>
      <c r="F1577" s="14">
        <v>46010</v>
      </c>
      <c r="G1577" s="14"/>
      <c r="H1577" s="34" t="s">
        <v>228</v>
      </c>
      <c r="I1577" s="34" t="s">
        <v>234</v>
      </c>
      <c r="J1577" s="9" t="s">
        <v>192</v>
      </c>
    </row>
    <row r="1578" spans="1:10" ht="15" customHeight="1" x14ac:dyDescent="0.35">
      <c r="A1578" s="12">
        <v>2003911</v>
      </c>
      <c r="B1578" s="59" t="str">
        <f>IFERROR(VLOOKUP(Tabla1[[#This Row],[CODIGO]],INVENTARIO!A:B,2,0)," ")</f>
        <v>Válvula EFv PE 25 mm Para Tap. Tee</v>
      </c>
      <c r="C1578" s="12">
        <v>1</v>
      </c>
      <c r="D1578" s="13"/>
      <c r="E1578" s="12">
        <v>828</v>
      </c>
      <c r="F1578" s="14">
        <v>46010</v>
      </c>
      <c r="G1578" s="14"/>
      <c r="H1578" s="14"/>
      <c r="I1578" s="14"/>
      <c r="J1578" s="9" t="s">
        <v>192</v>
      </c>
    </row>
    <row r="1579" spans="1:10" ht="15" customHeight="1" x14ac:dyDescent="0.35">
      <c r="A1579" s="12">
        <v>300109</v>
      </c>
      <c r="B1579" s="59" t="str">
        <f>IFERROR(VLOOKUP(Tabla1[[#This Row],[CODIGO]],INVENTARIO!A:B,2,0)," ")</f>
        <v>Risers de Acero 3/4" Bsp x 25 mm</v>
      </c>
      <c r="C1579" s="12">
        <v>1</v>
      </c>
      <c r="D1579" s="13"/>
      <c r="E1579" s="12">
        <v>828</v>
      </c>
      <c r="F1579" s="14">
        <v>46010</v>
      </c>
      <c r="G1579" s="14"/>
      <c r="H1579" s="14"/>
      <c r="I1579" s="14"/>
      <c r="J1579" s="9" t="s">
        <v>192</v>
      </c>
    </row>
    <row r="1580" spans="1:10" ht="15" customHeight="1" x14ac:dyDescent="0.35">
      <c r="A1580" s="12">
        <v>301329</v>
      </c>
      <c r="B1580" s="59" t="str">
        <f>IFERROR(VLOOKUP(Tabla1[[#This Row],[CODIGO]],INVENTARIO!A:B,2,0)," ")</f>
        <v>Copla PE100 025mm EF</v>
      </c>
      <c r="C1580" s="12">
        <v>4</v>
      </c>
      <c r="D1580" s="13"/>
      <c r="E1580" s="12">
        <v>828</v>
      </c>
      <c r="F1580" s="14">
        <v>46010</v>
      </c>
      <c r="G1580" s="14"/>
      <c r="H1580" s="14"/>
      <c r="I1580" s="14"/>
      <c r="J1580" s="9" t="s">
        <v>192</v>
      </c>
    </row>
    <row r="1581" spans="1:10" ht="15" customHeight="1" x14ac:dyDescent="0.35">
      <c r="A1581" s="12">
        <v>301099</v>
      </c>
      <c r="B1581" s="59" t="str">
        <f>IFERROR(VLOOKUP(Tabla1[[#This Row],[CODIGO]],INVENTARIO!A:B,2,0)," ")</f>
        <v>Válvula PE100 Dn 25mm</v>
      </c>
      <c r="C1581" s="12">
        <v>1</v>
      </c>
      <c r="D1581" s="13"/>
      <c r="E1581" s="12">
        <v>828</v>
      </c>
      <c r="F1581" s="14">
        <v>46010</v>
      </c>
      <c r="G1581" s="14"/>
      <c r="H1581" s="14"/>
      <c r="I1581" s="14"/>
      <c r="J1581" s="9" t="s">
        <v>192</v>
      </c>
    </row>
    <row r="1582" spans="1:10" ht="15" customHeight="1" x14ac:dyDescent="0.35">
      <c r="A1582" s="12">
        <v>101624</v>
      </c>
      <c r="B1582" s="59" t="str">
        <f>IFERROR(VLOOKUP(Tabla1[[#This Row],[CODIGO]],INVENTARIO!A:B,2,0)," ")</f>
        <v>Tapping Tee PE 50-25 mm</v>
      </c>
      <c r="C1582" s="12">
        <v>1</v>
      </c>
      <c r="D1582" s="13"/>
      <c r="E1582" s="12">
        <v>828</v>
      </c>
      <c r="F1582" s="14">
        <v>46010</v>
      </c>
      <c r="G1582" s="14"/>
      <c r="H1582" s="14"/>
      <c r="I1582" s="14"/>
      <c r="J1582" s="9" t="s">
        <v>192</v>
      </c>
    </row>
    <row r="1583" spans="1:10" ht="15" customHeight="1" x14ac:dyDescent="0.35">
      <c r="A1583" s="12">
        <v>1002167</v>
      </c>
      <c r="B1583" s="59" t="str">
        <f>IFERROR(VLOOKUP(Tabla1[[#This Row],[CODIGO]],INVENTARIO!A:B,2,0)," ")</f>
        <v>Cable Trazador Cu 14 AWG Aisl. THW Roj</v>
      </c>
      <c r="C1583" s="12">
        <v>5</v>
      </c>
      <c r="D1583" s="13"/>
      <c r="E1583" s="12">
        <v>816</v>
      </c>
      <c r="F1583" s="14">
        <v>46002</v>
      </c>
      <c r="G1583" s="14"/>
      <c r="H1583" s="14"/>
      <c r="I1583" s="14"/>
      <c r="J1583" s="9" t="s">
        <v>187</v>
      </c>
    </row>
    <row r="1584" spans="1:10" ht="15" customHeight="1" x14ac:dyDescent="0.35">
      <c r="A1584" s="12">
        <v>303368</v>
      </c>
      <c r="B1584" s="59" t="str">
        <f>IFERROR(VLOOKUP(Tabla1[[#This Row],[CODIGO]],INVENTARIO!A:B,2,0)," ")</f>
        <v>Cinta Plástica "Línea GN", 30 x 0.1</v>
      </c>
      <c r="C1584" s="12">
        <v>5</v>
      </c>
      <c r="D1584" s="13"/>
      <c r="E1584" s="12">
        <v>816</v>
      </c>
      <c r="F1584" s="14">
        <v>46002</v>
      </c>
      <c r="G1584" s="14"/>
      <c r="H1584" s="14"/>
      <c r="I1584" s="14"/>
      <c r="J1584" s="9" t="s">
        <v>187</v>
      </c>
    </row>
    <row r="1585" spans="1:10" ht="15" customHeight="1" x14ac:dyDescent="0.35">
      <c r="A1585" s="12">
        <v>2002262</v>
      </c>
      <c r="B1585" s="59" t="str">
        <f>IFERROR(VLOOKUP(Tabla1[[#This Row],[CODIGO]],INVENTARIO!A:B,2,0)," ")</f>
        <v>Tubería PE80 050mm Rollo</v>
      </c>
      <c r="C1585" s="12">
        <v>3</v>
      </c>
      <c r="D1585" s="13"/>
      <c r="E1585" s="12">
        <v>816</v>
      </c>
      <c r="F1585" s="14">
        <v>46002</v>
      </c>
      <c r="G1585" s="14"/>
      <c r="H1585" s="14"/>
      <c r="I1585" s="14"/>
      <c r="J1585" s="9" t="s">
        <v>187</v>
      </c>
    </row>
    <row r="1586" spans="1:10" ht="15" customHeight="1" x14ac:dyDescent="0.35">
      <c r="A1586" s="12">
        <v>1002167</v>
      </c>
      <c r="B1586" s="59" t="str">
        <f>IFERROR(VLOOKUP(Tabla1[[#This Row],[CODIGO]],INVENTARIO!A:B,2,0)," ")</f>
        <v>Cable Trazador Cu 14 AWG Aisl. THW Roj</v>
      </c>
      <c r="C1586" s="12">
        <v>11</v>
      </c>
      <c r="D1586" s="13"/>
      <c r="E1586" s="12">
        <v>819</v>
      </c>
      <c r="F1586" s="14">
        <v>46008</v>
      </c>
      <c r="G1586" s="14"/>
      <c r="H1586" s="14"/>
      <c r="I1586" s="14"/>
      <c r="J1586" s="9" t="s">
        <v>184</v>
      </c>
    </row>
    <row r="1587" spans="1:10" ht="15" customHeight="1" x14ac:dyDescent="0.35">
      <c r="A1587" s="12">
        <v>303368</v>
      </c>
      <c r="B1587" s="59" t="str">
        <f>IFERROR(VLOOKUP(Tabla1[[#This Row],[CODIGO]],INVENTARIO!A:B,2,0)," ")</f>
        <v>Cinta Plástica "Línea GN", 30 x 0.1</v>
      </c>
      <c r="C1587" s="12">
        <v>11</v>
      </c>
      <c r="D1587" s="13"/>
      <c r="E1587" s="12">
        <v>819</v>
      </c>
      <c r="F1587" s="14">
        <v>46008</v>
      </c>
      <c r="G1587" s="14"/>
      <c r="H1587" s="14"/>
      <c r="I1587" s="14"/>
      <c r="J1587" s="9" t="s">
        <v>184</v>
      </c>
    </row>
    <row r="1588" spans="1:10" ht="15" customHeight="1" x14ac:dyDescent="0.35">
      <c r="A1588" s="12">
        <v>2006391</v>
      </c>
      <c r="B1588" s="59" t="str">
        <f>IFERROR(VLOOKUP(Tabla1[[#This Row],[CODIGO]],INVENTARIO!A:B,2,0)," ")</f>
        <v>Guardallave Fierro Fundido C/Tapa</v>
      </c>
      <c r="C1588" s="12">
        <v>1</v>
      </c>
      <c r="D1588" s="13"/>
      <c r="E1588" s="12">
        <v>819</v>
      </c>
      <c r="F1588" s="14">
        <v>46008</v>
      </c>
      <c r="G1588" s="14"/>
      <c r="H1588" s="14"/>
      <c r="I1588" s="14"/>
      <c r="J1588" s="9" t="s">
        <v>184</v>
      </c>
    </row>
    <row r="1589" spans="1:10" ht="15" customHeight="1" x14ac:dyDescent="0.35">
      <c r="A1589" s="12">
        <v>2002262</v>
      </c>
      <c r="B1589" s="59" t="str">
        <f>IFERROR(VLOOKUP(Tabla1[[#This Row],[CODIGO]],INVENTARIO!A:B,2,0)," ")</f>
        <v>Tubería PE80 050mm Rollo</v>
      </c>
      <c r="C1589" s="12">
        <v>11</v>
      </c>
      <c r="D1589" s="13"/>
      <c r="E1589" s="12">
        <v>819</v>
      </c>
      <c r="F1589" s="14">
        <v>46008</v>
      </c>
      <c r="G1589" s="14"/>
      <c r="H1589" s="14"/>
      <c r="I1589" s="14"/>
      <c r="J1589" s="9" t="s">
        <v>184</v>
      </c>
    </row>
    <row r="1590" spans="1:10" ht="15" customHeight="1" x14ac:dyDescent="0.35">
      <c r="A1590" s="12">
        <v>2004186</v>
      </c>
      <c r="B1590" s="59" t="str">
        <f>IFERROR(VLOOKUP(Tabla1[[#This Row],[CODIGO]],INVENTARIO!A:B,2,0)," ")</f>
        <v>Tapa AX-S Composite 800x800 B125</v>
      </c>
      <c r="C1590" s="12">
        <v>0</v>
      </c>
      <c r="D1590" s="13"/>
      <c r="E1590" s="12">
        <v>819</v>
      </c>
      <c r="F1590" s="14">
        <v>46008</v>
      </c>
      <c r="G1590" s="14"/>
      <c r="H1590" s="14"/>
      <c r="I1590" s="14"/>
      <c r="J1590" s="9" t="s">
        <v>184</v>
      </c>
    </row>
    <row r="1591" spans="1:10" ht="15" customHeight="1" x14ac:dyDescent="0.35">
      <c r="A1591" s="12">
        <v>2004185</v>
      </c>
      <c r="B1591" s="59" t="str">
        <f>IFERROR(VLOOKUP(Tabla1[[#This Row],[CODIGO]],INVENTARIO!A:B,2,0)," ")</f>
        <v>Anillo Cámara Modular 800x800 H=150 E6</v>
      </c>
      <c r="C1591" s="12">
        <v>0</v>
      </c>
      <c r="D1591" s="13"/>
      <c r="E1591" s="12">
        <v>819</v>
      </c>
      <c r="F1591" s="14">
        <v>46008</v>
      </c>
      <c r="G1591" s="14"/>
      <c r="H1591" s="14"/>
      <c r="I1591" s="14"/>
      <c r="J1591" s="9" t="s">
        <v>184</v>
      </c>
    </row>
    <row r="1592" spans="1:10" ht="15" customHeight="1" x14ac:dyDescent="0.35">
      <c r="A1592" s="12">
        <v>303362</v>
      </c>
      <c r="B1592" s="59" t="str">
        <f>IFERROR(VLOOKUP(Tabla1[[#This Row],[CODIGO]],INVENTARIO!A:B,2,0)," ")</f>
        <v>Reductor PE  50-40 mm Electro F.</v>
      </c>
      <c r="C1592" s="12">
        <v>1</v>
      </c>
      <c r="D1592" s="13"/>
      <c r="E1592" s="12">
        <v>819</v>
      </c>
      <c r="F1592" s="14">
        <v>46008</v>
      </c>
      <c r="G1592" s="14"/>
      <c r="H1592" s="14"/>
      <c r="I1592" s="14"/>
      <c r="J1592" s="9" t="s">
        <v>184</v>
      </c>
    </row>
    <row r="1593" spans="1:10" ht="15" customHeight="1" x14ac:dyDescent="0.35">
      <c r="A1593" s="12">
        <v>301327</v>
      </c>
      <c r="B1593" s="59" t="str">
        <f>IFERROR(VLOOKUP(Tabla1[[#This Row],[CODIGO]],INVENTARIO!A:B,2,0)," ")</f>
        <v>Tapa PE  050 mm Termo F.</v>
      </c>
      <c r="C1593" s="12">
        <v>1</v>
      </c>
      <c r="D1593" s="13"/>
      <c r="E1593" s="12">
        <v>819</v>
      </c>
      <c r="F1593" s="14">
        <v>46008</v>
      </c>
      <c r="G1593" s="14"/>
      <c r="H1593" s="14"/>
      <c r="I1593" s="14"/>
      <c r="J1593" s="9" t="s">
        <v>184</v>
      </c>
    </row>
    <row r="1594" spans="1:10" ht="15" customHeight="1" x14ac:dyDescent="0.35">
      <c r="A1594" s="12">
        <v>302992</v>
      </c>
      <c r="B1594" s="59" t="str">
        <f>IFERROR(VLOOKUP(Tabla1[[#This Row],[CODIGO]],INVENTARIO!A:B,2,0)," ")</f>
        <v>Codo PE100 90° 050mm EF</v>
      </c>
      <c r="C1594" s="12">
        <v>1</v>
      </c>
      <c r="D1594" s="13"/>
      <c r="E1594" s="12">
        <v>819</v>
      </c>
      <c r="F1594" s="14">
        <v>46008</v>
      </c>
      <c r="G1594" s="14"/>
      <c r="H1594" s="14"/>
      <c r="I1594" s="14"/>
      <c r="J1594" s="9" t="s">
        <v>184</v>
      </c>
    </row>
    <row r="1595" spans="1:10" ht="15" customHeight="1" x14ac:dyDescent="0.35">
      <c r="A1595" s="12">
        <v>2007948</v>
      </c>
      <c r="B1595" s="59" t="str">
        <f>IFERROR(VLOOKUP(Tabla1[[#This Row],[CODIGO]],INVENTARIO!A:B,2,0)," ")</f>
        <v>Tubo PVC Hidraulico 110 mm Pn6 Celeste</v>
      </c>
      <c r="C1595" s="12">
        <v>2</v>
      </c>
      <c r="D1595" s="13"/>
      <c r="E1595" s="12">
        <v>819</v>
      </c>
      <c r="F1595" s="14">
        <v>46008</v>
      </c>
      <c r="G1595" s="14"/>
      <c r="H1595" s="14"/>
      <c r="I1595" s="14"/>
      <c r="J1595" s="9" t="s">
        <v>184</v>
      </c>
    </row>
    <row r="1596" spans="1:10" ht="15" customHeight="1" x14ac:dyDescent="0.35">
      <c r="A1596" s="12">
        <v>300414</v>
      </c>
      <c r="B1596" s="59" t="str">
        <f>IFERROR(VLOOKUP(Tabla1[[#This Row],[CODIGO]],INVENTARIO!A:B,2,0)," ")</f>
        <v>Válvula PE100 Dn 50mm</v>
      </c>
      <c r="C1596" s="12">
        <v>1</v>
      </c>
      <c r="D1596" s="13"/>
      <c r="E1596" s="12">
        <v>819</v>
      </c>
      <c r="F1596" s="14">
        <v>46008</v>
      </c>
      <c r="G1596" s="14"/>
      <c r="H1596" s="14"/>
      <c r="I1596" s="14"/>
      <c r="J1596" s="9" t="s">
        <v>184</v>
      </c>
    </row>
    <row r="1597" spans="1:10" ht="15" customHeight="1" x14ac:dyDescent="0.35">
      <c r="A1597" s="12">
        <v>303345</v>
      </c>
      <c r="B1597" s="59" t="str">
        <f>IFERROR(VLOOKUP(Tabla1[[#This Row],[CODIGO]],INVENTARIO!A:B,2,0)," ")</f>
        <v>Copla PE100 050mm EF</v>
      </c>
      <c r="C1597" s="12">
        <v>4</v>
      </c>
      <c r="D1597" s="13"/>
      <c r="E1597" s="12">
        <v>819</v>
      </c>
      <c r="F1597" s="14">
        <v>46008</v>
      </c>
      <c r="G1597" s="14"/>
      <c r="H1597" s="14"/>
      <c r="I1597" s="14"/>
      <c r="J1597" s="9" t="s">
        <v>184</v>
      </c>
    </row>
    <row r="1598" spans="1:10" ht="15" customHeight="1" x14ac:dyDescent="0.35">
      <c r="A1598" s="12">
        <v>302678</v>
      </c>
      <c r="B1598" s="59" t="str">
        <f>IFERROR(VLOOKUP(Tabla1[[#This Row],[CODIGO]],INVENTARIO!A:B,2,0)," ")</f>
        <v>Reductor PE  63-50 mm Electro F.</v>
      </c>
      <c r="C1598" s="12">
        <v>1</v>
      </c>
      <c r="D1598" s="13"/>
      <c r="E1598" s="12">
        <v>819</v>
      </c>
      <c r="F1598" s="14">
        <v>46008</v>
      </c>
      <c r="G1598" s="14"/>
      <c r="H1598" s="14"/>
      <c r="I1598" s="14"/>
      <c r="J1598" s="9" t="s">
        <v>184</v>
      </c>
    </row>
    <row r="1599" spans="1:10" ht="15" customHeight="1" x14ac:dyDescent="0.35">
      <c r="A1599" s="12">
        <v>302325</v>
      </c>
      <c r="B1599" s="59" t="str">
        <f>IFERROR(VLOOKUP(Tabla1[[#This Row],[CODIGO]],INVENTARIO!A:B,2,0)," ")</f>
        <v>Tapping Tee PE 160-63 mm</v>
      </c>
      <c r="C1599" s="12">
        <v>1</v>
      </c>
      <c r="D1599" s="13"/>
      <c r="E1599" s="12">
        <v>819</v>
      </c>
      <c r="F1599" s="14">
        <v>46008</v>
      </c>
      <c r="G1599" s="14"/>
      <c r="H1599" s="14"/>
      <c r="I1599" s="14"/>
      <c r="J1599" s="9" t="s">
        <v>184</v>
      </c>
    </row>
    <row r="1600" spans="1:10" ht="15" customHeight="1" x14ac:dyDescent="0.35">
      <c r="A1600" s="12">
        <v>2003911</v>
      </c>
      <c r="B1600" s="59" t="str">
        <f>IFERROR(VLOOKUP(Tabla1[[#This Row],[CODIGO]],INVENTARIO!A:B,2,0)," ")</f>
        <v>Válvula EFv PE 25 mm Para Tap. Tee</v>
      </c>
      <c r="C1600" s="12">
        <v>17</v>
      </c>
      <c r="D1600" s="13"/>
      <c r="E1600" s="12">
        <v>818</v>
      </c>
      <c r="F1600" s="14">
        <v>46008</v>
      </c>
      <c r="G1600" s="14"/>
      <c r="H1600" s="14"/>
      <c r="I1600" s="14"/>
      <c r="J1600" s="9" t="s">
        <v>196</v>
      </c>
    </row>
    <row r="1601" spans="1:10" ht="15" customHeight="1" x14ac:dyDescent="0.35">
      <c r="A1601" s="12">
        <v>301329</v>
      </c>
      <c r="B1601" s="59" t="str">
        <f>IFERROR(VLOOKUP(Tabla1[[#This Row],[CODIGO]],INVENTARIO!A:B,2,0)," ")</f>
        <v>Copla PE100 025mm EF</v>
      </c>
      <c r="C1601" s="12">
        <v>17</v>
      </c>
      <c r="D1601" s="13"/>
      <c r="E1601" s="12">
        <v>818</v>
      </c>
      <c r="F1601" s="14">
        <v>46008</v>
      </c>
      <c r="G1601" s="14"/>
      <c r="H1601" s="14"/>
      <c r="I1601" s="14"/>
      <c r="J1601" s="9" t="s">
        <v>196</v>
      </c>
    </row>
    <row r="1602" spans="1:10" ht="15" customHeight="1" x14ac:dyDescent="0.35">
      <c r="A1602" s="12">
        <v>303368</v>
      </c>
      <c r="B1602" s="59" t="str">
        <f>IFERROR(VLOOKUP(Tabla1[[#This Row],[CODIGO]],INVENTARIO!A:B,2,0)," ")</f>
        <v>Cinta Plástica "Línea GN", 30 x 0.1</v>
      </c>
      <c r="C1602" s="12">
        <v>100</v>
      </c>
      <c r="D1602" s="13"/>
      <c r="E1602" s="12">
        <v>818</v>
      </c>
      <c r="F1602" s="14">
        <v>46008</v>
      </c>
      <c r="G1602" s="14"/>
      <c r="H1602" s="14"/>
      <c r="I1602" s="14"/>
      <c r="J1602" s="9" t="s">
        <v>196</v>
      </c>
    </row>
    <row r="1603" spans="1:10" ht="15" customHeight="1" x14ac:dyDescent="0.35">
      <c r="A1603" s="12">
        <v>1002167</v>
      </c>
      <c r="B1603" s="59" t="str">
        <f>IFERROR(VLOOKUP(Tabla1[[#This Row],[CODIGO]],INVENTARIO!A:B,2,0)," ")</f>
        <v>Cable Trazador Cu 14 AWG Aisl. THW Roj</v>
      </c>
      <c r="C1603" s="12">
        <v>100</v>
      </c>
      <c r="D1603" s="13"/>
      <c r="E1603" s="12">
        <v>818</v>
      </c>
      <c r="F1603" s="14">
        <v>46008</v>
      </c>
      <c r="G1603" s="14"/>
      <c r="H1603" s="14"/>
      <c r="I1603" s="14"/>
      <c r="J1603" s="9" t="s">
        <v>196</v>
      </c>
    </row>
    <row r="1604" spans="1:10" ht="15" customHeight="1" x14ac:dyDescent="0.35">
      <c r="A1604" s="12">
        <v>301327</v>
      </c>
      <c r="B1604" s="59" t="str">
        <f>IFERROR(VLOOKUP(Tabla1[[#This Row],[CODIGO]],INVENTARIO!A:B,2,0)," ")</f>
        <v>Tapa PE  050 mm Termo F.</v>
      </c>
      <c r="C1604" s="12">
        <v>3</v>
      </c>
      <c r="D1604" s="13"/>
      <c r="E1604" s="12">
        <v>818</v>
      </c>
      <c r="F1604" s="14">
        <v>46008</v>
      </c>
      <c r="G1604" s="14"/>
      <c r="H1604" s="14"/>
      <c r="I1604" s="14"/>
      <c r="J1604" s="9" t="s">
        <v>196</v>
      </c>
    </row>
    <row r="1605" spans="1:10" ht="15" customHeight="1" x14ac:dyDescent="0.35">
      <c r="A1605" s="12">
        <v>400205</v>
      </c>
      <c r="B1605" s="59" t="str">
        <f>IFERROR(VLOOKUP(Tabla1[[#This Row],[CODIGO]],INVENTARIO!A:B,2,0)," ")</f>
        <v>Tee PE  50 mm Electro F.</v>
      </c>
      <c r="C1605" s="12">
        <v>1</v>
      </c>
      <c r="D1605" s="13"/>
      <c r="E1605" s="12">
        <v>818</v>
      </c>
      <c r="F1605" s="14">
        <v>46008</v>
      </c>
      <c r="G1605" s="14"/>
      <c r="H1605" s="14"/>
      <c r="I1605" s="14"/>
      <c r="J1605" s="9" t="s">
        <v>196</v>
      </c>
    </row>
    <row r="1606" spans="1:10" ht="15" customHeight="1" x14ac:dyDescent="0.35">
      <c r="A1606" s="12">
        <v>303345</v>
      </c>
      <c r="B1606" s="59" t="str">
        <f>IFERROR(VLOOKUP(Tabla1[[#This Row],[CODIGO]],INVENTARIO!A:B,2,0)," ")</f>
        <v>Copla PE100 050mm EF</v>
      </c>
      <c r="C1606" s="12">
        <v>6</v>
      </c>
      <c r="D1606" s="13"/>
      <c r="E1606" s="12">
        <v>818</v>
      </c>
      <c r="F1606" s="14">
        <v>46008</v>
      </c>
      <c r="G1606" s="14"/>
      <c r="H1606" s="14"/>
      <c r="I1606" s="14"/>
      <c r="J1606" s="9" t="s">
        <v>196</v>
      </c>
    </row>
    <row r="1607" spans="1:10" ht="15" customHeight="1" x14ac:dyDescent="0.35">
      <c r="A1607" s="12">
        <v>101624</v>
      </c>
      <c r="B1607" s="59" t="str">
        <f>IFERROR(VLOOKUP(Tabla1[[#This Row],[CODIGO]],INVENTARIO!A:B,2,0)," ")</f>
        <v>Tapping Tee PE 50-25 mm</v>
      </c>
      <c r="C1607" s="12">
        <v>17</v>
      </c>
      <c r="D1607" s="13"/>
      <c r="E1607" s="12">
        <v>818</v>
      </c>
      <c r="F1607" s="14">
        <v>46008</v>
      </c>
      <c r="G1607" s="14"/>
      <c r="H1607" s="14"/>
      <c r="I1607" s="14"/>
      <c r="J1607" s="9" t="s">
        <v>196</v>
      </c>
    </row>
    <row r="1608" spans="1:10" ht="15" customHeight="1" x14ac:dyDescent="0.35">
      <c r="A1608" s="12">
        <v>2002262</v>
      </c>
      <c r="B1608" s="59" t="str">
        <f>IFERROR(VLOOKUP(Tabla1[[#This Row],[CODIGO]],INVENTARIO!A:B,2,0)," ")</f>
        <v>Tubería PE80 050mm Rollo</v>
      </c>
      <c r="C1608" s="12">
        <v>50</v>
      </c>
      <c r="D1608" s="13"/>
      <c r="E1608" s="12">
        <v>818</v>
      </c>
      <c r="F1608" s="14">
        <v>46008</v>
      </c>
      <c r="G1608" s="9" t="s">
        <v>216</v>
      </c>
      <c r="H1608" s="9"/>
      <c r="I1608" s="9"/>
      <c r="J1608" s="9" t="s">
        <v>196</v>
      </c>
    </row>
    <row r="1609" spans="1:10" ht="15" customHeight="1" x14ac:dyDescent="0.35">
      <c r="A1609" s="12">
        <v>301749</v>
      </c>
      <c r="B1609" s="59" t="str">
        <f>IFERROR(VLOOKUP(Tabla1[[#This Row],[CODIGO]],INVENTARIO!A:B,2,0)," ")</f>
        <v>Tubería PE80 025mm Rollo</v>
      </c>
      <c r="C1609" s="40">
        <v>50</v>
      </c>
      <c r="D1609" s="13"/>
      <c r="E1609" s="12">
        <v>818</v>
      </c>
      <c r="F1609" s="14">
        <v>43086</v>
      </c>
      <c r="G1609" s="14"/>
      <c r="H1609" s="34" t="s">
        <v>226</v>
      </c>
      <c r="I1609" s="34" t="s">
        <v>234</v>
      </c>
      <c r="J1609" s="9" t="s">
        <v>196</v>
      </c>
    </row>
    <row r="1610" spans="1:10" ht="15" customHeight="1" x14ac:dyDescent="0.35">
      <c r="A1610" s="12">
        <v>303368</v>
      </c>
      <c r="B1610" s="59" t="str">
        <f>IFERROR(VLOOKUP(Tabla1[[#This Row],[CODIGO]],INVENTARIO!A:B,2,0)," ")</f>
        <v>Cinta Plástica "Línea GN", 30 x 0.1</v>
      </c>
      <c r="C1610" s="12">
        <v>100</v>
      </c>
      <c r="D1610" s="13"/>
      <c r="E1610" s="12">
        <v>812</v>
      </c>
      <c r="F1610" s="14">
        <v>46002</v>
      </c>
      <c r="G1610" s="14"/>
      <c r="H1610" s="14"/>
      <c r="I1610" s="14"/>
      <c r="J1610" s="9" t="s">
        <v>196</v>
      </c>
    </row>
    <row r="1611" spans="1:10" ht="15" customHeight="1" x14ac:dyDescent="0.35">
      <c r="A1611" s="12">
        <v>1002167</v>
      </c>
      <c r="B1611" s="59" t="str">
        <f>IFERROR(VLOOKUP(Tabla1[[#This Row],[CODIGO]],INVENTARIO!A:B,2,0)," ")</f>
        <v>Cable Trazador Cu 14 AWG Aisl. THW Roj</v>
      </c>
      <c r="C1611" s="12">
        <v>100</v>
      </c>
      <c r="D1611" s="13"/>
      <c r="E1611" s="12">
        <v>812</v>
      </c>
      <c r="F1611" s="14">
        <v>46002</v>
      </c>
      <c r="G1611" s="14"/>
      <c r="H1611" s="14"/>
      <c r="I1611" s="14"/>
      <c r="J1611" s="9" t="s">
        <v>196</v>
      </c>
    </row>
    <row r="1612" spans="1:10" ht="15" customHeight="1" x14ac:dyDescent="0.35">
      <c r="A1612" s="12">
        <v>2002262</v>
      </c>
      <c r="B1612" s="59" t="str">
        <f>IFERROR(VLOOKUP(Tabla1[[#This Row],[CODIGO]],INVENTARIO!A:B,2,0)," ")</f>
        <v>Tubería PE80 050mm Rollo</v>
      </c>
      <c r="C1612" s="12">
        <v>100</v>
      </c>
      <c r="D1612" s="13"/>
      <c r="E1612" s="12">
        <v>812</v>
      </c>
      <c r="F1612" s="14">
        <v>46002</v>
      </c>
      <c r="G1612" s="9" t="s">
        <v>216</v>
      </c>
      <c r="H1612" s="9"/>
      <c r="I1612" s="9"/>
      <c r="J1612" s="9" t="s">
        <v>196</v>
      </c>
    </row>
    <row r="1613" spans="1:10" ht="15" customHeight="1" x14ac:dyDescent="0.35">
      <c r="A1613" s="12">
        <v>303368</v>
      </c>
      <c r="B1613" s="59" t="str">
        <f>IFERROR(VLOOKUP(Tabla1[[#This Row],[CODIGO]],INVENTARIO!A:B,2,0)," ")</f>
        <v>Cinta Plástica "Línea GN", 30 x 0.1</v>
      </c>
      <c r="C1613" s="12">
        <v>5</v>
      </c>
      <c r="D1613" s="13"/>
      <c r="E1613" s="12">
        <v>807</v>
      </c>
      <c r="F1613" s="14">
        <v>45996</v>
      </c>
      <c r="G1613" s="14"/>
      <c r="H1613" s="14"/>
      <c r="I1613" s="14"/>
      <c r="J1613" s="9" t="s">
        <v>190</v>
      </c>
    </row>
    <row r="1614" spans="1:10" ht="15" customHeight="1" x14ac:dyDescent="0.35">
      <c r="A1614" s="12">
        <v>2007948</v>
      </c>
      <c r="B1614" s="59" t="str">
        <f>IFERROR(VLOOKUP(Tabla1[[#This Row],[CODIGO]],INVENTARIO!A:B,2,0)," ")</f>
        <v>Tubo PVC Hidraulico 110 mm Pn6 Celeste</v>
      </c>
      <c r="C1614" s="12">
        <v>1</v>
      </c>
      <c r="D1614" s="13"/>
      <c r="E1614" s="12">
        <v>806</v>
      </c>
      <c r="F1614" s="14">
        <v>45995</v>
      </c>
      <c r="G1614" s="14"/>
      <c r="H1614" s="14"/>
      <c r="I1614" s="14"/>
      <c r="J1614" s="9" t="s">
        <v>189</v>
      </c>
    </row>
    <row r="1615" spans="1:10" ht="15" customHeight="1" x14ac:dyDescent="0.35">
      <c r="A1615" s="12">
        <v>1002167</v>
      </c>
      <c r="B1615" s="59" t="str">
        <f>IFERROR(VLOOKUP(Tabla1[[#This Row],[CODIGO]],INVENTARIO!A:B,2,0)," ")</f>
        <v>Cable Trazador Cu 14 AWG Aisl. THW Roj</v>
      </c>
      <c r="C1615" s="12">
        <v>1</v>
      </c>
      <c r="D1615" s="13"/>
      <c r="E1615" s="12">
        <v>806</v>
      </c>
      <c r="F1615" s="14">
        <v>45995</v>
      </c>
      <c r="G1615" s="14"/>
      <c r="H1615" s="14"/>
      <c r="I1615" s="14"/>
      <c r="J1615" s="9" t="s">
        <v>189</v>
      </c>
    </row>
    <row r="1616" spans="1:10" ht="15" customHeight="1" x14ac:dyDescent="0.35">
      <c r="A1616" s="12">
        <v>303368</v>
      </c>
      <c r="B1616" s="59" t="str">
        <f>IFERROR(VLOOKUP(Tabla1[[#This Row],[CODIGO]],INVENTARIO!A:B,2,0)," ")</f>
        <v>Cinta Plástica "Línea GN", 30 x 0.1</v>
      </c>
      <c r="C1616" s="12">
        <v>1</v>
      </c>
      <c r="D1616" s="13"/>
      <c r="E1616" s="12">
        <v>806</v>
      </c>
      <c r="F1616" s="14">
        <v>45995</v>
      </c>
      <c r="G1616" s="14"/>
      <c r="H1616" s="14"/>
      <c r="I1616" s="14"/>
      <c r="J1616" s="9" t="s">
        <v>189</v>
      </c>
    </row>
    <row r="1617" spans="1:10" ht="15" customHeight="1" x14ac:dyDescent="0.35">
      <c r="A1617" s="12">
        <v>302184</v>
      </c>
      <c r="B1617" s="59" t="str">
        <f>IFERROR(VLOOKUP(Tabla1[[#This Row],[CODIGO]],INVENTARIO!A:B,2,0)," ")</f>
        <v>Tapa Tornillo Cambio de Codigo por: 2008481</v>
      </c>
      <c r="C1617" s="12">
        <v>1</v>
      </c>
      <c r="D1617" s="13"/>
      <c r="E1617" s="12">
        <v>806</v>
      </c>
      <c r="F1617" s="14">
        <v>45995</v>
      </c>
      <c r="G1617" s="14"/>
      <c r="H1617" s="14"/>
      <c r="I1617" s="14"/>
      <c r="J1617" s="9" t="s">
        <v>189</v>
      </c>
    </row>
    <row r="1618" spans="1:10" ht="15" customHeight="1" x14ac:dyDescent="0.35">
      <c r="A1618" s="12">
        <v>302737</v>
      </c>
      <c r="B1618" s="59" t="str">
        <f>IFERROR(VLOOKUP(Tabla1[[#This Row],[CODIGO]],INVENTARIO!A:B,2,0)," ")</f>
        <v>Válvula Bola 3/4" Hi Un Cuerpo Pn5 Arco</v>
      </c>
      <c r="C1618" s="12">
        <v>1</v>
      </c>
      <c r="D1618" s="13"/>
      <c r="E1618" s="12">
        <v>806</v>
      </c>
      <c r="F1618" s="14">
        <v>45995</v>
      </c>
      <c r="G1618" s="14"/>
      <c r="H1618" s="14"/>
      <c r="I1618" s="14"/>
      <c r="J1618" s="9" t="s">
        <v>189</v>
      </c>
    </row>
    <row r="1619" spans="1:10" ht="15" customHeight="1" x14ac:dyDescent="0.35">
      <c r="A1619" s="12">
        <v>2006391</v>
      </c>
      <c r="B1619" s="59" t="str">
        <f>IFERROR(VLOOKUP(Tabla1[[#This Row],[CODIGO]],INVENTARIO!A:B,2,0)," ")</f>
        <v>Guardallave Fierro Fundido C/Tapa</v>
      </c>
      <c r="C1619" s="12">
        <v>1</v>
      </c>
      <c r="D1619" s="13"/>
      <c r="E1619" s="12">
        <v>806</v>
      </c>
      <c r="F1619" s="14">
        <v>45995</v>
      </c>
      <c r="G1619" s="14"/>
      <c r="H1619" s="14"/>
      <c r="I1619" s="14"/>
      <c r="J1619" s="9" t="s">
        <v>189</v>
      </c>
    </row>
    <row r="1620" spans="1:10" ht="15" customHeight="1" x14ac:dyDescent="0.35">
      <c r="A1620" s="12">
        <v>301749</v>
      </c>
      <c r="B1620" s="59" t="str">
        <f>IFERROR(VLOOKUP(Tabla1[[#This Row],[CODIGO]],INVENTARIO!A:B,2,0)," ")</f>
        <v>Tubería PE80 025mm Rollo</v>
      </c>
      <c r="C1620" s="40">
        <v>1</v>
      </c>
      <c r="D1620" s="13"/>
      <c r="E1620" s="12">
        <v>806</v>
      </c>
      <c r="F1620" s="14">
        <v>45995</v>
      </c>
      <c r="G1620" s="14"/>
      <c r="H1620" s="34" t="s">
        <v>228</v>
      </c>
      <c r="I1620" s="34" t="s">
        <v>234</v>
      </c>
      <c r="J1620" s="9" t="s">
        <v>189</v>
      </c>
    </row>
    <row r="1621" spans="1:10" ht="15" customHeight="1" x14ac:dyDescent="0.35">
      <c r="A1621" s="12">
        <v>2003911</v>
      </c>
      <c r="B1621" s="59" t="str">
        <f>IFERROR(VLOOKUP(Tabla1[[#This Row],[CODIGO]],INVENTARIO!A:B,2,0)," ")</f>
        <v>Válvula EFv PE 25 mm Para Tap. Tee</v>
      </c>
      <c r="C1621" s="12">
        <v>1</v>
      </c>
      <c r="D1621" s="13"/>
      <c r="E1621" s="12">
        <v>806</v>
      </c>
      <c r="F1621" s="14">
        <v>45995</v>
      </c>
      <c r="G1621" s="14"/>
      <c r="H1621" s="14"/>
      <c r="I1621" s="14"/>
      <c r="J1621" s="9" t="s">
        <v>189</v>
      </c>
    </row>
    <row r="1622" spans="1:10" ht="15" customHeight="1" x14ac:dyDescent="0.35">
      <c r="A1622" s="12">
        <v>300109</v>
      </c>
      <c r="B1622" s="59" t="str">
        <f>IFERROR(VLOOKUP(Tabla1[[#This Row],[CODIGO]],INVENTARIO!A:B,2,0)," ")</f>
        <v>Risers de Acero 3/4" Bsp x 25 mm</v>
      </c>
      <c r="C1622" s="12">
        <v>1</v>
      </c>
      <c r="D1622" s="13"/>
      <c r="E1622" s="12">
        <v>806</v>
      </c>
      <c r="F1622" s="14">
        <v>45995</v>
      </c>
      <c r="G1622" s="14"/>
      <c r="H1622" s="14"/>
      <c r="I1622" s="14"/>
      <c r="J1622" s="9" t="s">
        <v>189</v>
      </c>
    </row>
    <row r="1623" spans="1:10" ht="15" customHeight="1" x14ac:dyDescent="0.35">
      <c r="A1623" s="12">
        <v>301329</v>
      </c>
      <c r="B1623" s="59" t="str">
        <f>IFERROR(VLOOKUP(Tabla1[[#This Row],[CODIGO]],INVENTARIO!A:B,2,0)," ")</f>
        <v>Copla PE100 025mm EF</v>
      </c>
      <c r="C1623" s="12">
        <v>4</v>
      </c>
      <c r="D1623" s="13"/>
      <c r="E1623" s="12">
        <v>806</v>
      </c>
      <c r="F1623" s="14">
        <v>45995</v>
      </c>
      <c r="G1623" s="14"/>
      <c r="H1623" s="14"/>
      <c r="I1623" s="14"/>
      <c r="J1623" s="9" t="s">
        <v>189</v>
      </c>
    </row>
    <row r="1624" spans="1:10" ht="15" customHeight="1" x14ac:dyDescent="0.35">
      <c r="A1624" s="12">
        <v>301099</v>
      </c>
      <c r="B1624" s="59" t="str">
        <f>IFERROR(VLOOKUP(Tabla1[[#This Row],[CODIGO]],INVENTARIO!A:B,2,0)," ")</f>
        <v>Válvula PE100 Dn 25mm</v>
      </c>
      <c r="C1624" s="12">
        <v>1</v>
      </c>
      <c r="D1624" s="13"/>
      <c r="E1624" s="12">
        <v>806</v>
      </c>
      <c r="F1624" s="14">
        <v>45995</v>
      </c>
      <c r="G1624" s="14"/>
      <c r="H1624" s="14"/>
      <c r="I1624" s="14"/>
      <c r="J1624" s="9" t="s">
        <v>189</v>
      </c>
    </row>
    <row r="1625" spans="1:10" ht="15" customHeight="1" x14ac:dyDescent="0.35">
      <c r="A1625" s="12">
        <v>101624</v>
      </c>
      <c r="B1625" s="59" t="str">
        <f>IFERROR(VLOOKUP(Tabla1[[#This Row],[CODIGO]],INVENTARIO!A:B,2,0)," ")</f>
        <v>Tapping Tee PE 50-25 mm</v>
      </c>
      <c r="C1625" s="12">
        <v>1</v>
      </c>
      <c r="D1625" s="13"/>
      <c r="E1625" s="12">
        <v>806</v>
      </c>
      <c r="F1625" s="14">
        <v>45995</v>
      </c>
      <c r="G1625" s="14"/>
      <c r="H1625" s="14"/>
      <c r="I1625" s="14"/>
      <c r="J1625" s="9" t="s">
        <v>189</v>
      </c>
    </row>
    <row r="1626" spans="1:10" ht="15" customHeight="1" x14ac:dyDescent="0.35">
      <c r="A1626" s="12">
        <v>300712</v>
      </c>
      <c r="B1626" s="59" t="str">
        <f>IFERROR(VLOOKUP(Tabla1[[#This Row],[CODIGO]],INVENTARIO!A:B,2,0)," ")</f>
        <v>Tapa PE  025 mm Termo F.</v>
      </c>
      <c r="C1626" s="12">
        <v>1</v>
      </c>
      <c r="D1626" s="13"/>
      <c r="E1626" s="12">
        <v>811</v>
      </c>
      <c r="F1626" s="14">
        <v>46000</v>
      </c>
      <c r="G1626" s="14"/>
      <c r="H1626" s="14"/>
      <c r="I1626" s="14"/>
      <c r="J1626" s="9" t="s">
        <v>187</v>
      </c>
    </row>
    <row r="1627" spans="1:10" ht="15" customHeight="1" x14ac:dyDescent="0.35">
      <c r="A1627" s="12">
        <v>301329</v>
      </c>
      <c r="B1627" s="59" t="str">
        <f>IFERROR(VLOOKUP(Tabla1[[#This Row],[CODIGO]],INVENTARIO!A:B,2,0)," ")</f>
        <v>Copla PE100 025mm EF</v>
      </c>
      <c r="C1627" s="12">
        <v>1</v>
      </c>
      <c r="D1627" s="13"/>
      <c r="E1627" s="12">
        <v>811</v>
      </c>
      <c r="F1627" s="14">
        <v>46000</v>
      </c>
      <c r="G1627" s="14"/>
      <c r="H1627" s="14"/>
      <c r="I1627" s="14"/>
      <c r="J1627" s="9" t="s">
        <v>187</v>
      </c>
    </row>
    <row r="1628" spans="1:10" ht="15" customHeight="1" x14ac:dyDescent="0.35">
      <c r="A1628" s="12">
        <v>300109</v>
      </c>
      <c r="B1628" s="59" t="str">
        <f>IFERROR(VLOOKUP(Tabla1[[#This Row],[CODIGO]],INVENTARIO!A:B,2,0)," ")</f>
        <v>Risers de Acero 3/4" Bsp x 25 mm</v>
      </c>
      <c r="C1628" s="12">
        <v>1</v>
      </c>
      <c r="D1628" s="13"/>
      <c r="E1628" s="12">
        <v>811</v>
      </c>
      <c r="F1628" s="14">
        <v>46000</v>
      </c>
      <c r="G1628" s="14"/>
      <c r="H1628" s="14"/>
      <c r="I1628" s="14"/>
      <c r="J1628" s="9" t="s">
        <v>187</v>
      </c>
    </row>
    <row r="1629" spans="1:10" ht="15" customHeight="1" x14ac:dyDescent="0.35">
      <c r="A1629" s="12">
        <v>101624</v>
      </c>
      <c r="B1629" s="59" t="str">
        <f>IFERROR(VLOOKUP(Tabla1[[#This Row],[CODIGO]],INVENTARIO!A:B,2,0)," ")</f>
        <v>Tapping Tee PE 50-25 mm</v>
      </c>
      <c r="C1629" s="12">
        <v>1</v>
      </c>
      <c r="D1629" s="13"/>
      <c r="E1629" s="12">
        <v>811</v>
      </c>
      <c r="F1629" s="14">
        <v>46000</v>
      </c>
      <c r="G1629" s="14"/>
      <c r="H1629" s="14"/>
      <c r="I1629" s="14"/>
      <c r="J1629" s="9" t="s">
        <v>187</v>
      </c>
    </row>
    <row r="1630" spans="1:10" ht="15" customHeight="1" x14ac:dyDescent="0.35">
      <c r="A1630" s="12">
        <v>301327</v>
      </c>
      <c r="B1630" s="59" t="str">
        <f>IFERROR(VLOOKUP(Tabla1[[#This Row],[CODIGO]],INVENTARIO!A:B,2,0)," ")</f>
        <v>Tapa PE  050 mm Termo F.</v>
      </c>
      <c r="C1630" s="12">
        <v>1</v>
      </c>
      <c r="D1630" s="13"/>
      <c r="E1630" s="12">
        <v>811</v>
      </c>
      <c r="F1630" s="14">
        <v>46000</v>
      </c>
      <c r="G1630" s="14"/>
      <c r="H1630" s="14"/>
      <c r="I1630" s="14"/>
      <c r="J1630" s="9" t="s">
        <v>187</v>
      </c>
    </row>
    <row r="1631" spans="1:10" ht="15" customHeight="1" x14ac:dyDescent="0.35">
      <c r="A1631" s="12">
        <v>303345</v>
      </c>
      <c r="B1631" s="59" t="str">
        <f>IFERROR(VLOOKUP(Tabla1[[#This Row],[CODIGO]],INVENTARIO!A:B,2,0)," ")</f>
        <v>Copla PE100 050mm EF</v>
      </c>
      <c r="C1631" s="12">
        <v>2</v>
      </c>
      <c r="D1631" s="13"/>
      <c r="E1631" s="12">
        <v>811</v>
      </c>
      <c r="F1631" s="14">
        <v>46000</v>
      </c>
      <c r="G1631" s="14"/>
      <c r="H1631" s="14"/>
      <c r="I1631" s="14"/>
      <c r="J1631" s="9" t="s">
        <v>187</v>
      </c>
    </row>
    <row r="1632" spans="1:10" ht="15" customHeight="1" x14ac:dyDescent="0.35">
      <c r="A1632" s="12">
        <v>302992</v>
      </c>
      <c r="B1632" s="59" t="str">
        <f>IFERROR(VLOOKUP(Tabla1[[#This Row],[CODIGO]],INVENTARIO!A:B,2,0)," ")</f>
        <v>Codo PE100 90° 050mm EF</v>
      </c>
      <c r="C1632" s="12">
        <v>2</v>
      </c>
      <c r="D1632" s="13"/>
      <c r="E1632" s="12">
        <v>811</v>
      </c>
      <c r="F1632" s="14">
        <v>46000</v>
      </c>
      <c r="G1632" s="14"/>
      <c r="H1632" s="14"/>
      <c r="I1632" s="14"/>
      <c r="J1632" s="9" t="s">
        <v>187</v>
      </c>
    </row>
    <row r="1633" spans="1:10" ht="15" customHeight="1" x14ac:dyDescent="0.35">
      <c r="A1633" s="12">
        <v>303362</v>
      </c>
      <c r="B1633" s="59" t="str">
        <f>IFERROR(VLOOKUP(Tabla1[[#This Row],[CODIGO]],INVENTARIO!A:B,2,0)," ")</f>
        <v>Reductor PE  50-40 mm Electro F.</v>
      </c>
      <c r="C1633" s="12">
        <v>1</v>
      </c>
      <c r="D1633" s="13"/>
      <c r="E1633" s="12">
        <v>811</v>
      </c>
      <c r="F1633" s="14">
        <v>46000</v>
      </c>
      <c r="G1633" s="14"/>
      <c r="H1633" s="14"/>
      <c r="I1633" s="14"/>
      <c r="J1633" s="9" t="s">
        <v>187</v>
      </c>
    </row>
    <row r="1634" spans="1:10" ht="15" customHeight="1" x14ac:dyDescent="0.35">
      <c r="A1634" s="12">
        <v>2003131</v>
      </c>
      <c r="B1634" s="59" t="str">
        <f>IFERROR(VLOOKUP(Tabla1[[#This Row],[CODIGO]],INVENTARIO!A:B,2,0)," ")</f>
        <v>Tapping Tee PE 50-40 mm</v>
      </c>
      <c r="C1634" s="12">
        <v>1</v>
      </c>
      <c r="D1634" s="13"/>
      <c r="E1634" s="12">
        <v>811</v>
      </c>
      <c r="F1634" s="14">
        <v>46000</v>
      </c>
      <c r="G1634" s="14"/>
      <c r="H1634" s="14"/>
      <c r="I1634" s="14"/>
      <c r="J1634" s="9" t="s">
        <v>187</v>
      </c>
    </row>
    <row r="1635" spans="1:10" ht="15" customHeight="1" x14ac:dyDescent="0.35">
      <c r="A1635" s="12">
        <v>2003911</v>
      </c>
      <c r="B1635" s="59" t="str">
        <f>IFERROR(VLOOKUP(Tabla1[[#This Row],[CODIGO]],INVENTARIO!A:B,2,0)," ")</f>
        <v>Válvula EFv PE 25 mm Para Tap. Tee</v>
      </c>
      <c r="C1635" s="12">
        <v>1</v>
      </c>
      <c r="D1635" s="13"/>
      <c r="E1635" s="12">
        <v>811</v>
      </c>
      <c r="F1635" s="14">
        <v>46000</v>
      </c>
      <c r="G1635" s="14"/>
      <c r="H1635" s="14"/>
      <c r="I1635" s="14"/>
      <c r="J1635" s="9" t="s">
        <v>187</v>
      </c>
    </row>
    <row r="1636" spans="1:10" ht="15" customHeight="1" x14ac:dyDescent="0.35">
      <c r="A1636" s="12">
        <v>300109</v>
      </c>
      <c r="B1636" s="59" t="str">
        <f>IFERROR(VLOOKUP(Tabla1[[#This Row],[CODIGO]],INVENTARIO!A:B,2,0)," ")</f>
        <v>Risers de Acero 3/4" Bsp x 25 mm</v>
      </c>
      <c r="C1636" s="12">
        <v>1</v>
      </c>
      <c r="D1636" s="13"/>
      <c r="E1636" s="12">
        <v>811</v>
      </c>
      <c r="F1636" s="14">
        <v>46000</v>
      </c>
      <c r="G1636" s="14"/>
      <c r="H1636" s="14"/>
      <c r="I1636" s="14"/>
      <c r="J1636" s="9" t="s">
        <v>187</v>
      </c>
    </row>
    <row r="1637" spans="1:10" ht="15" customHeight="1" x14ac:dyDescent="0.35">
      <c r="A1637" s="12">
        <v>301329</v>
      </c>
      <c r="B1637" s="59" t="str">
        <f>IFERROR(VLOOKUP(Tabla1[[#This Row],[CODIGO]],INVENTARIO!A:B,2,0)," ")</f>
        <v>Copla PE100 025mm EF</v>
      </c>
      <c r="C1637" s="12">
        <v>4</v>
      </c>
      <c r="D1637" s="13"/>
      <c r="E1637" s="12">
        <v>811</v>
      </c>
      <c r="F1637" s="14">
        <v>46000</v>
      </c>
      <c r="G1637" s="14"/>
      <c r="H1637" s="14"/>
      <c r="I1637" s="14"/>
      <c r="J1637" s="9" t="s">
        <v>187</v>
      </c>
    </row>
    <row r="1638" spans="1:10" ht="15" customHeight="1" x14ac:dyDescent="0.35">
      <c r="A1638" s="12">
        <v>301099</v>
      </c>
      <c r="B1638" s="59" t="str">
        <f>IFERROR(VLOOKUP(Tabla1[[#This Row],[CODIGO]],INVENTARIO!A:B,2,0)," ")</f>
        <v>Válvula PE100 Dn 25mm</v>
      </c>
      <c r="C1638" s="12">
        <v>1</v>
      </c>
      <c r="D1638" s="13"/>
      <c r="E1638" s="12">
        <v>811</v>
      </c>
      <c r="F1638" s="14">
        <v>46000</v>
      </c>
      <c r="G1638" s="14"/>
      <c r="H1638" s="14"/>
      <c r="I1638" s="14"/>
      <c r="J1638" s="9" t="s">
        <v>187</v>
      </c>
    </row>
    <row r="1639" spans="1:10" ht="15" customHeight="1" x14ac:dyDescent="0.35">
      <c r="A1639" s="12">
        <v>101624</v>
      </c>
      <c r="B1639" s="59" t="str">
        <f>IFERROR(VLOOKUP(Tabla1[[#This Row],[CODIGO]],INVENTARIO!A:B,2,0)," ")</f>
        <v>Tapping Tee PE 50-25 mm</v>
      </c>
      <c r="C1639" s="12">
        <v>1</v>
      </c>
      <c r="D1639" s="13"/>
      <c r="E1639" s="12">
        <v>811</v>
      </c>
      <c r="F1639" s="14">
        <v>46000</v>
      </c>
      <c r="G1639" s="14"/>
      <c r="H1639" s="14"/>
      <c r="I1639" s="14"/>
      <c r="J1639" s="9" t="s">
        <v>187</v>
      </c>
    </row>
    <row r="1640" spans="1:10" ht="15" customHeight="1" x14ac:dyDescent="0.35">
      <c r="A1640" s="12">
        <v>302737</v>
      </c>
      <c r="B1640" s="59" t="str">
        <f>IFERROR(VLOOKUP(Tabla1[[#This Row],[CODIGO]],INVENTARIO!A:B,2,0)," ")</f>
        <v>Válvula Bola 3/4" Hi Un Cuerpo Pn5 Arco</v>
      </c>
      <c r="C1640" s="12">
        <v>1</v>
      </c>
      <c r="D1640" s="13"/>
      <c r="E1640" s="12">
        <v>810</v>
      </c>
      <c r="F1640" s="14">
        <v>46000</v>
      </c>
      <c r="G1640" s="14"/>
      <c r="H1640" s="14"/>
      <c r="I1640" s="14"/>
      <c r="J1640" s="9" t="s">
        <v>187</v>
      </c>
    </row>
    <row r="1641" spans="1:10" ht="15" customHeight="1" x14ac:dyDescent="0.35">
      <c r="A1641" s="12">
        <v>302184</v>
      </c>
      <c r="B1641" s="59" t="str">
        <f>IFERROR(VLOOKUP(Tabla1[[#This Row],[CODIGO]],INVENTARIO!A:B,2,0)," ")</f>
        <v>Tapa Tornillo Cambio de Codigo por: 2008481</v>
      </c>
      <c r="C1641" s="12">
        <v>1</v>
      </c>
      <c r="D1641" s="13"/>
      <c r="E1641" s="12">
        <v>810</v>
      </c>
      <c r="F1641" s="14">
        <v>46000</v>
      </c>
      <c r="G1641" s="14"/>
      <c r="H1641" s="14"/>
      <c r="I1641" s="14"/>
      <c r="J1641" s="9" t="s">
        <v>187</v>
      </c>
    </row>
    <row r="1642" spans="1:10" ht="15" customHeight="1" x14ac:dyDescent="0.35">
      <c r="A1642" s="12">
        <v>1002167</v>
      </c>
      <c r="B1642" s="59" t="str">
        <f>IFERROR(VLOOKUP(Tabla1[[#This Row],[CODIGO]],INVENTARIO!A:B,2,0)," ")</f>
        <v>Cable Trazador Cu 14 AWG Aisl. THW Roj</v>
      </c>
      <c r="C1642" s="12">
        <v>13</v>
      </c>
      <c r="D1642" s="13"/>
      <c r="E1642" s="12">
        <v>810</v>
      </c>
      <c r="F1642" s="14">
        <v>46000</v>
      </c>
      <c r="G1642" s="14"/>
      <c r="H1642" s="14"/>
      <c r="I1642" s="14"/>
      <c r="J1642" s="9" t="s">
        <v>187</v>
      </c>
    </row>
    <row r="1643" spans="1:10" ht="15" customHeight="1" x14ac:dyDescent="0.35">
      <c r="A1643" s="12">
        <v>303368</v>
      </c>
      <c r="B1643" s="59" t="str">
        <f>IFERROR(VLOOKUP(Tabla1[[#This Row],[CODIGO]],INVENTARIO!A:B,2,0)," ")</f>
        <v>Cinta Plástica "Línea GN", 30 x 0.1</v>
      </c>
      <c r="C1643" s="12">
        <v>13</v>
      </c>
      <c r="D1643" s="13"/>
      <c r="E1643" s="12">
        <v>810</v>
      </c>
      <c r="F1643" s="14">
        <v>46000</v>
      </c>
      <c r="G1643" s="14"/>
      <c r="H1643" s="14"/>
      <c r="I1643" s="14"/>
      <c r="J1643" s="9" t="s">
        <v>187</v>
      </c>
    </row>
    <row r="1644" spans="1:10" ht="15" customHeight="1" x14ac:dyDescent="0.35">
      <c r="A1644" s="12">
        <v>303510</v>
      </c>
      <c r="B1644" s="59" t="str">
        <f>IFERROR(VLOOKUP(Tabla1[[#This Row],[CODIGO]],INVENTARIO!A:B,2,0)," ")</f>
        <v>Guardallave Hormigón 125 mm con Tapa</v>
      </c>
      <c r="C1644" s="12">
        <v>2</v>
      </c>
      <c r="D1644" s="13"/>
      <c r="E1644" s="12">
        <v>810</v>
      </c>
      <c r="F1644" s="14">
        <v>46000</v>
      </c>
      <c r="G1644" s="14"/>
      <c r="H1644" s="14"/>
      <c r="I1644" s="14"/>
      <c r="J1644" s="9" t="s">
        <v>187</v>
      </c>
    </row>
    <row r="1645" spans="1:10" ht="15" customHeight="1" x14ac:dyDescent="0.35">
      <c r="A1645" s="12">
        <v>2002262</v>
      </c>
      <c r="B1645" s="59" t="str">
        <f>IFERROR(VLOOKUP(Tabla1[[#This Row],[CODIGO]],INVENTARIO!A:B,2,0)," ")</f>
        <v>Tubería PE80 050mm Rollo</v>
      </c>
      <c r="C1645" s="12">
        <v>13</v>
      </c>
      <c r="D1645" s="13"/>
      <c r="E1645" s="12">
        <v>810</v>
      </c>
      <c r="F1645" s="14">
        <v>46000</v>
      </c>
      <c r="G1645" s="14"/>
      <c r="H1645" s="14"/>
      <c r="I1645" s="14"/>
      <c r="J1645" s="9" t="s">
        <v>187</v>
      </c>
    </row>
    <row r="1646" spans="1:10" ht="15" customHeight="1" x14ac:dyDescent="0.35">
      <c r="A1646" s="12">
        <v>1002167</v>
      </c>
      <c r="B1646" s="59" t="str">
        <f>IFERROR(VLOOKUP(Tabla1[[#This Row],[CODIGO]],INVENTARIO!A:B,2,0)," ")</f>
        <v>Cable Trazador Cu 14 AWG Aisl. THW Roj</v>
      </c>
      <c r="C1646" s="12">
        <v>3</v>
      </c>
      <c r="D1646" s="13"/>
      <c r="E1646" s="12">
        <v>810</v>
      </c>
      <c r="F1646" s="14">
        <v>46000</v>
      </c>
      <c r="G1646" s="14"/>
      <c r="H1646" s="14"/>
      <c r="I1646" s="14"/>
      <c r="J1646" s="9" t="s">
        <v>187</v>
      </c>
    </row>
    <row r="1647" spans="1:10" ht="15" customHeight="1" x14ac:dyDescent="0.35">
      <c r="A1647" s="12">
        <v>303368</v>
      </c>
      <c r="B1647" s="59" t="str">
        <f>IFERROR(VLOOKUP(Tabla1[[#This Row],[CODIGO]],INVENTARIO!A:B,2,0)," ")</f>
        <v>Cinta Plástica "Línea GN", 30 x 0.1</v>
      </c>
      <c r="C1647" s="12">
        <v>3</v>
      </c>
      <c r="D1647" s="13"/>
      <c r="E1647" s="12">
        <v>810</v>
      </c>
      <c r="F1647" s="14">
        <v>46000</v>
      </c>
      <c r="G1647" s="14"/>
      <c r="H1647" s="14"/>
      <c r="I1647" s="14"/>
      <c r="J1647" s="9" t="s">
        <v>187</v>
      </c>
    </row>
    <row r="1648" spans="1:10" ht="15" customHeight="1" x14ac:dyDescent="0.35">
      <c r="A1648" s="12">
        <v>302184</v>
      </c>
      <c r="B1648" s="59" t="str">
        <f>IFERROR(VLOOKUP(Tabla1[[#This Row],[CODIGO]],INVENTARIO!A:B,2,0)," ")</f>
        <v>Tapa Tornillo Cambio de Codigo por: 2008481</v>
      </c>
      <c r="C1648" s="12">
        <v>1</v>
      </c>
      <c r="D1648" s="13"/>
      <c r="E1648" s="12">
        <v>810</v>
      </c>
      <c r="F1648" s="14">
        <v>46000</v>
      </c>
      <c r="G1648" s="14"/>
      <c r="H1648" s="14"/>
      <c r="I1648" s="14"/>
      <c r="J1648" s="9" t="s">
        <v>187</v>
      </c>
    </row>
    <row r="1649" spans="1:10" ht="15" customHeight="1" x14ac:dyDescent="0.35">
      <c r="A1649" s="12">
        <v>302737</v>
      </c>
      <c r="B1649" s="59" t="str">
        <f>IFERROR(VLOOKUP(Tabla1[[#This Row],[CODIGO]],INVENTARIO!A:B,2,0)," ")</f>
        <v>Válvula Bola 3/4" Hi Un Cuerpo Pn5 Arco</v>
      </c>
      <c r="C1649" s="12">
        <v>1</v>
      </c>
      <c r="D1649" s="13"/>
      <c r="E1649" s="12">
        <v>810</v>
      </c>
      <c r="F1649" s="14">
        <v>46000</v>
      </c>
      <c r="G1649" s="14"/>
      <c r="H1649" s="14"/>
      <c r="I1649" s="14"/>
      <c r="J1649" s="9" t="s">
        <v>187</v>
      </c>
    </row>
    <row r="1650" spans="1:10" ht="15" customHeight="1" x14ac:dyDescent="0.35">
      <c r="A1650" s="12">
        <v>2007948</v>
      </c>
      <c r="B1650" s="59" t="str">
        <f>IFERROR(VLOOKUP(Tabla1[[#This Row],[CODIGO]],INVENTARIO!A:B,2,0)," ")</f>
        <v>Tubo PVC Hidraulico 110 mm Pn6 Celeste</v>
      </c>
      <c r="C1650" s="12">
        <v>1</v>
      </c>
      <c r="D1650" s="13"/>
      <c r="E1650" s="12">
        <v>810</v>
      </c>
      <c r="F1650" s="14">
        <v>46000</v>
      </c>
      <c r="G1650" s="14"/>
      <c r="H1650" s="14"/>
      <c r="I1650" s="14"/>
      <c r="J1650" s="9" t="s">
        <v>187</v>
      </c>
    </row>
    <row r="1651" spans="1:10" ht="15" customHeight="1" x14ac:dyDescent="0.35">
      <c r="A1651" s="12">
        <v>2006391</v>
      </c>
      <c r="B1651" s="59" t="str">
        <f>IFERROR(VLOOKUP(Tabla1[[#This Row],[CODIGO]],INVENTARIO!A:B,2,0)," ")</f>
        <v>Guardallave Fierro Fundido C/Tapa</v>
      </c>
      <c r="C1651" s="12">
        <v>1</v>
      </c>
      <c r="D1651" s="13"/>
      <c r="E1651" s="12">
        <v>810</v>
      </c>
      <c r="F1651" s="14">
        <v>46000</v>
      </c>
      <c r="G1651" s="14"/>
      <c r="H1651" s="14"/>
      <c r="I1651" s="14"/>
      <c r="J1651" s="9" t="s">
        <v>187</v>
      </c>
    </row>
    <row r="1652" spans="1:10" ht="15" customHeight="1" x14ac:dyDescent="0.35">
      <c r="A1652" s="12">
        <v>301749</v>
      </c>
      <c r="B1652" s="59" t="str">
        <f>IFERROR(VLOOKUP(Tabla1[[#This Row],[CODIGO]],INVENTARIO!A:B,2,0)," ")</f>
        <v>Tubería PE80 025mm Rollo</v>
      </c>
      <c r="C1652" s="40">
        <v>3</v>
      </c>
      <c r="D1652" s="13"/>
      <c r="E1652" s="12">
        <v>810</v>
      </c>
      <c r="F1652" s="14">
        <v>46000</v>
      </c>
      <c r="G1652" s="14"/>
      <c r="H1652" s="34" t="s">
        <v>228</v>
      </c>
      <c r="I1652" s="34" t="s">
        <v>234</v>
      </c>
      <c r="J1652" s="9" t="s">
        <v>187</v>
      </c>
    </row>
    <row r="1653" spans="1:10" ht="15" customHeight="1" x14ac:dyDescent="0.35">
      <c r="A1653" s="12">
        <v>2007948</v>
      </c>
      <c r="B1653" s="59" t="str">
        <f>IFERROR(VLOOKUP(Tabla1[[#This Row],[CODIGO]],INVENTARIO!A:B,2,0)," ")</f>
        <v>Tubo PVC Hidraulico 110 mm Pn6 Celeste</v>
      </c>
      <c r="C1653" s="12">
        <v>1</v>
      </c>
      <c r="D1653" s="13"/>
      <c r="E1653" s="12">
        <v>809</v>
      </c>
      <c r="F1653" s="14">
        <v>46000</v>
      </c>
      <c r="G1653" s="14"/>
      <c r="H1653" s="14"/>
      <c r="I1653" s="14"/>
      <c r="J1653" s="9" t="s">
        <v>186</v>
      </c>
    </row>
    <row r="1654" spans="1:10" ht="15" customHeight="1" x14ac:dyDescent="0.35">
      <c r="A1654" s="12">
        <v>1002167</v>
      </c>
      <c r="B1654" s="59" t="str">
        <f>IFERROR(VLOOKUP(Tabla1[[#This Row],[CODIGO]],INVENTARIO!A:B,2,0)," ")</f>
        <v>Cable Trazador Cu 14 AWG Aisl. THW Roj</v>
      </c>
      <c r="C1654" s="12">
        <v>1</v>
      </c>
      <c r="D1654" s="13"/>
      <c r="E1654" s="12">
        <v>809</v>
      </c>
      <c r="F1654" s="14">
        <v>46000</v>
      </c>
      <c r="G1654" s="14"/>
      <c r="H1654" s="14"/>
      <c r="I1654" s="14"/>
      <c r="J1654" s="9" t="s">
        <v>186</v>
      </c>
    </row>
    <row r="1655" spans="1:10" ht="15" customHeight="1" x14ac:dyDescent="0.35">
      <c r="A1655" s="12">
        <v>303368</v>
      </c>
      <c r="B1655" s="59" t="str">
        <f>IFERROR(VLOOKUP(Tabla1[[#This Row],[CODIGO]],INVENTARIO!A:B,2,0)," ")</f>
        <v>Cinta Plástica "Línea GN", 30 x 0.1</v>
      </c>
      <c r="C1655" s="12">
        <v>1</v>
      </c>
      <c r="D1655" s="13"/>
      <c r="E1655" s="12">
        <v>809</v>
      </c>
      <c r="F1655" s="14">
        <v>46000</v>
      </c>
      <c r="G1655" s="14"/>
      <c r="H1655" s="14"/>
      <c r="I1655" s="14"/>
      <c r="J1655" s="9" t="s">
        <v>186</v>
      </c>
    </row>
    <row r="1656" spans="1:10" ht="15" customHeight="1" x14ac:dyDescent="0.35">
      <c r="A1656" s="12">
        <v>302184</v>
      </c>
      <c r="B1656" s="59" t="str">
        <f>IFERROR(VLOOKUP(Tabla1[[#This Row],[CODIGO]],INVENTARIO!A:B,2,0)," ")</f>
        <v>Tapa Tornillo Cambio de Codigo por: 2008481</v>
      </c>
      <c r="C1656" s="12">
        <v>1</v>
      </c>
      <c r="D1656" s="13"/>
      <c r="E1656" s="12">
        <v>809</v>
      </c>
      <c r="F1656" s="14">
        <v>46000</v>
      </c>
      <c r="G1656" s="14"/>
      <c r="H1656" s="14"/>
      <c r="I1656" s="14"/>
      <c r="J1656" s="9" t="s">
        <v>186</v>
      </c>
    </row>
    <row r="1657" spans="1:10" ht="15" customHeight="1" x14ac:dyDescent="0.35">
      <c r="A1657" s="12">
        <v>302737</v>
      </c>
      <c r="B1657" s="59" t="str">
        <f>IFERROR(VLOOKUP(Tabla1[[#This Row],[CODIGO]],INVENTARIO!A:B,2,0)," ")</f>
        <v>Válvula Bola 3/4" Hi Un Cuerpo Pn5 Arco</v>
      </c>
      <c r="C1657" s="12">
        <v>1</v>
      </c>
      <c r="D1657" s="13"/>
      <c r="E1657" s="12">
        <v>809</v>
      </c>
      <c r="F1657" s="14">
        <v>46000</v>
      </c>
      <c r="G1657" s="14"/>
      <c r="H1657" s="14"/>
      <c r="I1657" s="14"/>
      <c r="J1657" s="9" t="s">
        <v>186</v>
      </c>
    </row>
    <row r="1658" spans="1:10" ht="15" customHeight="1" x14ac:dyDescent="0.35">
      <c r="A1658" s="12">
        <v>2006391</v>
      </c>
      <c r="B1658" s="59" t="str">
        <f>IFERROR(VLOOKUP(Tabla1[[#This Row],[CODIGO]],INVENTARIO!A:B,2,0)," ")</f>
        <v>Guardallave Fierro Fundido C/Tapa</v>
      </c>
      <c r="C1658" s="12">
        <v>1</v>
      </c>
      <c r="D1658" s="13"/>
      <c r="E1658" s="12">
        <v>809</v>
      </c>
      <c r="F1658" s="14">
        <v>46000</v>
      </c>
      <c r="G1658" s="14"/>
      <c r="H1658" s="14"/>
      <c r="I1658" s="14"/>
      <c r="J1658" s="9" t="s">
        <v>186</v>
      </c>
    </row>
    <row r="1659" spans="1:10" ht="15" customHeight="1" x14ac:dyDescent="0.35">
      <c r="A1659" s="12">
        <v>301749</v>
      </c>
      <c r="B1659" s="59" t="str">
        <f>IFERROR(VLOOKUP(Tabla1[[#This Row],[CODIGO]],INVENTARIO!A:B,2,0)," ")</f>
        <v>Tubería PE80 025mm Rollo</v>
      </c>
      <c r="C1659" s="40">
        <v>1</v>
      </c>
      <c r="D1659" s="13"/>
      <c r="E1659" s="12">
        <v>809</v>
      </c>
      <c r="F1659" s="14">
        <v>46000</v>
      </c>
      <c r="G1659" s="14"/>
      <c r="H1659" s="34" t="s">
        <v>228</v>
      </c>
      <c r="I1659" s="34" t="s">
        <v>234</v>
      </c>
      <c r="J1659" s="9" t="s">
        <v>186</v>
      </c>
    </row>
    <row r="1660" spans="1:10" ht="15" customHeight="1" x14ac:dyDescent="0.35">
      <c r="A1660" s="12">
        <v>2003911</v>
      </c>
      <c r="B1660" s="59" t="str">
        <f>IFERROR(VLOOKUP(Tabla1[[#This Row],[CODIGO]],INVENTARIO!A:B,2,0)," ")</f>
        <v>Válvula EFv PE 25 mm Para Tap. Tee</v>
      </c>
      <c r="C1660" s="12">
        <v>1</v>
      </c>
      <c r="D1660" s="13"/>
      <c r="E1660" s="12">
        <v>809</v>
      </c>
      <c r="F1660" s="14">
        <v>46000</v>
      </c>
      <c r="G1660" s="14"/>
      <c r="H1660" s="14"/>
      <c r="I1660" s="14"/>
      <c r="J1660" s="9" t="s">
        <v>186</v>
      </c>
    </row>
    <row r="1661" spans="1:10" ht="15" customHeight="1" x14ac:dyDescent="0.35">
      <c r="A1661" s="12">
        <v>300109</v>
      </c>
      <c r="B1661" s="59" t="str">
        <f>IFERROR(VLOOKUP(Tabla1[[#This Row],[CODIGO]],INVENTARIO!A:B,2,0)," ")</f>
        <v>Risers de Acero 3/4" Bsp x 25 mm</v>
      </c>
      <c r="C1661" s="12">
        <v>1</v>
      </c>
      <c r="D1661" s="13"/>
      <c r="E1661" s="12">
        <v>809</v>
      </c>
      <c r="F1661" s="14">
        <v>46000</v>
      </c>
      <c r="G1661" s="14"/>
      <c r="H1661" s="14"/>
      <c r="I1661" s="14"/>
      <c r="J1661" s="9" t="s">
        <v>186</v>
      </c>
    </row>
    <row r="1662" spans="1:10" ht="15" customHeight="1" x14ac:dyDescent="0.35">
      <c r="A1662" s="12">
        <v>301329</v>
      </c>
      <c r="B1662" s="59" t="str">
        <f>IFERROR(VLOOKUP(Tabla1[[#This Row],[CODIGO]],INVENTARIO!A:B,2,0)," ")</f>
        <v>Copla PE100 025mm EF</v>
      </c>
      <c r="C1662" s="12">
        <v>4</v>
      </c>
      <c r="D1662" s="13"/>
      <c r="E1662" s="12">
        <v>809</v>
      </c>
      <c r="F1662" s="14">
        <v>46000</v>
      </c>
      <c r="G1662" s="14"/>
      <c r="H1662" s="14"/>
      <c r="I1662" s="14"/>
      <c r="J1662" s="9" t="s">
        <v>186</v>
      </c>
    </row>
    <row r="1663" spans="1:10" ht="15" customHeight="1" x14ac:dyDescent="0.35">
      <c r="A1663" s="12">
        <v>301099</v>
      </c>
      <c r="B1663" s="59" t="str">
        <f>IFERROR(VLOOKUP(Tabla1[[#This Row],[CODIGO]],INVENTARIO!A:B,2,0)," ")</f>
        <v>Válvula PE100 Dn 25mm</v>
      </c>
      <c r="C1663" s="12">
        <v>1</v>
      </c>
      <c r="D1663" s="13"/>
      <c r="E1663" s="12">
        <v>809</v>
      </c>
      <c r="F1663" s="14">
        <v>46000</v>
      </c>
      <c r="G1663" s="14"/>
      <c r="H1663" s="14"/>
      <c r="I1663" s="14"/>
      <c r="J1663" s="9" t="s">
        <v>186</v>
      </c>
    </row>
    <row r="1664" spans="1:10" ht="15" customHeight="1" x14ac:dyDescent="0.35">
      <c r="A1664" s="12">
        <v>101624</v>
      </c>
      <c r="B1664" s="59" t="str">
        <f>IFERROR(VLOOKUP(Tabla1[[#This Row],[CODIGO]],INVENTARIO!A:B,2,0)," ")</f>
        <v>Tapping Tee PE 50-25 mm</v>
      </c>
      <c r="C1664" s="12">
        <v>1</v>
      </c>
      <c r="D1664" s="13"/>
      <c r="E1664" s="12">
        <v>809</v>
      </c>
      <c r="F1664" s="14">
        <v>46000</v>
      </c>
      <c r="G1664" s="14"/>
      <c r="H1664" s="14"/>
      <c r="I1664" s="14"/>
      <c r="J1664" s="9" t="s">
        <v>186</v>
      </c>
    </row>
    <row r="1665" spans="1:10" ht="15" customHeight="1" x14ac:dyDescent="0.35">
      <c r="A1665" s="12">
        <v>2000350</v>
      </c>
      <c r="B1665" s="59" t="str">
        <f>IFERROR(VLOOKUP(Tabla1[[#This Row],[CODIGO]],INVENTARIO!A:B,2,0)," ")</f>
        <v>Codo PE 90º  25 mm EF.</v>
      </c>
      <c r="C1665" s="12">
        <v>4</v>
      </c>
      <c r="D1665" s="13"/>
      <c r="E1665" s="12">
        <v>814</v>
      </c>
      <c r="F1665" s="14">
        <v>46000</v>
      </c>
      <c r="G1665" s="14"/>
      <c r="H1665" s="14"/>
      <c r="I1665" s="14"/>
      <c r="J1665" s="9" t="s">
        <v>190</v>
      </c>
    </row>
    <row r="1666" spans="1:10" ht="15" customHeight="1" x14ac:dyDescent="0.35">
      <c r="A1666" s="12">
        <v>2000350</v>
      </c>
      <c r="B1666" s="59" t="str">
        <f>IFERROR(VLOOKUP(Tabla1[[#This Row],[CODIGO]],INVENTARIO!A:B,2,0)," ")</f>
        <v>Codo PE 90º  25 mm EF.</v>
      </c>
      <c r="C1666" s="12">
        <v>2</v>
      </c>
      <c r="D1666" s="13"/>
      <c r="E1666" s="12">
        <v>815</v>
      </c>
      <c r="F1666" s="14">
        <v>46000</v>
      </c>
      <c r="G1666" s="14"/>
      <c r="H1666" s="14"/>
      <c r="I1666" s="14"/>
      <c r="J1666" s="9" t="s">
        <v>188</v>
      </c>
    </row>
    <row r="1667" spans="1:10" ht="15" customHeight="1" x14ac:dyDescent="0.35">
      <c r="A1667" s="12">
        <v>2007948</v>
      </c>
      <c r="B1667" s="59" t="str">
        <f>IFERROR(VLOOKUP(Tabla1[[#This Row],[CODIGO]],INVENTARIO!A:B,2,0)," ")</f>
        <v>Tubo PVC Hidraulico 110 mm Pn6 Celeste</v>
      </c>
      <c r="C1667" s="12">
        <v>1</v>
      </c>
      <c r="D1667" s="13"/>
      <c r="E1667" s="12">
        <v>803</v>
      </c>
      <c r="F1667" s="14">
        <v>45992</v>
      </c>
      <c r="G1667" s="14"/>
      <c r="H1667" s="14"/>
      <c r="I1667" s="14"/>
      <c r="J1667" s="9" t="s">
        <v>188</v>
      </c>
    </row>
    <row r="1668" spans="1:10" ht="15" customHeight="1" x14ac:dyDescent="0.35">
      <c r="A1668" s="12">
        <v>1002167</v>
      </c>
      <c r="B1668" s="59" t="str">
        <f>IFERROR(VLOOKUP(Tabla1[[#This Row],[CODIGO]],INVENTARIO!A:B,2,0)," ")</f>
        <v>Cable Trazador Cu 14 AWG Aisl. THW Roj</v>
      </c>
      <c r="C1668" s="12">
        <v>1</v>
      </c>
      <c r="D1668" s="13"/>
      <c r="E1668" s="12">
        <v>803</v>
      </c>
      <c r="F1668" s="14">
        <v>45992</v>
      </c>
      <c r="G1668" s="14"/>
      <c r="H1668" s="14"/>
      <c r="I1668" s="14"/>
      <c r="J1668" s="9" t="s">
        <v>188</v>
      </c>
    </row>
    <row r="1669" spans="1:10" ht="15" customHeight="1" x14ac:dyDescent="0.35">
      <c r="A1669" s="12">
        <v>303368</v>
      </c>
      <c r="B1669" s="59" t="str">
        <f>IFERROR(VLOOKUP(Tabla1[[#This Row],[CODIGO]],INVENTARIO!A:B,2,0)," ")</f>
        <v>Cinta Plástica "Línea GN", 30 x 0.1</v>
      </c>
      <c r="C1669" s="12">
        <v>1</v>
      </c>
      <c r="D1669" s="13"/>
      <c r="E1669" s="12">
        <v>803</v>
      </c>
      <c r="F1669" s="14">
        <v>45992</v>
      </c>
      <c r="G1669" s="14"/>
      <c r="H1669" s="14"/>
      <c r="I1669" s="14"/>
      <c r="J1669" s="9" t="s">
        <v>188</v>
      </c>
    </row>
    <row r="1670" spans="1:10" ht="15" customHeight="1" x14ac:dyDescent="0.35">
      <c r="A1670" s="12">
        <v>302184</v>
      </c>
      <c r="B1670" s="59" t="str">
        <f>IFERROR(VLOOKUP(Tabla1[[#This Row],[CODIGO]],INVENTARIO!A:B,2,0)," ")</f>
        <v>Tapa Tornillo Cambio de Codigo por: 2008481</v>
      </c>
      <c r="C1670" s="12">
        <v>1</v>
      </c>
      <c r="D1670" s="13"/>
      <c r="E1670" s="12">
        <v>803</v>
      </c>
      <c r="F1670" s="14">
        <v>45992</v>
      </c>
      <c r="G1670" s="14"/>
      <c r="H1670" s="14"/>
      <c r="I1670" s="14"/>
      <c r="J1670" s="9" t="s">
        <v>188</v>
      </c>
    </row>
    <row r="1671" spans="1:10" ht="15" customHeight="1" x14ac:dyDescent="0.35">
      <c r="A1671" s="12">
        <v>302737</v>
      </c>
      <c r="B1671" s="59" t="str">
        <f>IFERROR(VLOOKUP(Tabla1[[#This Row],[CODIGO]],INVENTARIO!A:B,2,0)," ")</f>
        <v>Válvula Bola 3/4" Hi Un Cuerpo Pn5 Arco</v>
      </c>
      <c r="C1671" s="12">
        <v>1</v>
      </c>
      <c r="D1671" s="13"/>
      <c r="E1671" s="12">
        <v>803</v>
      </c>
      <c r="F1671" s="14">
        <v>45992</v>
      </c>
      <c r="G1671" s="14"/>
      <c r="H1671" s="14"/>
      <c r="I1671" s="14"/>
      <c r="J1671" s="9" t="s">
        <v>188</v>
      </c>
    </row>
    <row r="1672" spans="1:10" ht="15" customHeight="1" x14ac:dyDescent="0.35">
      <c r="A1672" s="12">
        <v>2006391</v>
      </c>
      <c r="B1672" s="59" t="str">
        <f>IFERROR(VLOOKUP(Tabla1[[#This Row],[CODIGO]],INVENTARIO!A:B,2,0)," ")</f>
        <v>Guardallave Fierro Fundido C/Tapa</v>
      </c>
      <c r="C1672" s="12">
        <v>1</v>
      </c>
      <c r="D1672" s="13"/>
      <c r="E1672" s="12">
        <v>803</v>
      </c>
      <c r="F1672" s="14">
        <v>45992</v>
      </c>
      <c r="G1672" s="14"/>
      <c r="H1672" s="14"/>
      <c r="I1672" s="14"/>
      <c r="J1672" s="9" t="s">
        <v>188</v>
      </c>
    </row>
    <row r="1673" spans="1:10" ht="15" customHeight="1" x14ac:dyDescent="0.35">
      <c r="A1673" s="12">
        <v>301749</v>
      </c>
      <c r="B1673" s="59" t="str">
        <f>IFERROR(VLOOKUP(Tabla1[[#This Row],[CODIGO]],INVENTARIO!A:B,2,0)," ")</f>
        <v>Tubería PE80 025mm Rollo</v>
      </c>
      <c r="C1673" s="40">
        <v>1</v>
      </c>
      <c r="D1673" s="13"/>
      <c r="E1673" s="12">
        <v>803</v>
      </c>
      <c r="F1673" s="14">
        <v>45992</v>
      </c>
      <c r="G1673" s="14"/>
      <c r="H1673" s="34" t="s">
        <v>228</v>
      </c>
      <c r="I1673" s="34" t="s">
        <v>234</v>
      </c>
      <c r="J1673" s="9" t="s">
        <v>188</v>
      </c>
    </row>
    <row r="1674" spans="1:10" ht="15" customHeight="1" x14ac:dyDescent="0.35">
      <c r="A1674" s="12">
        <v>2003911</v>
      </c>
      <c r="B1674" s="59" t="str">
        <f>IFERROR(VLOOKUP(Tabla1[[#This Row],[CODIGO]],INVENTARIO!A:B,2,0)," ")</f>
        <v>Válvula EFv PE 25 mm Para Tap. Tee</v>
      </c>
      <c r="C1674" s="12">
        <v>1</v>
      </c>
      <c r="D1674" s="13"/>
      <c r="E1674" s="12">
        <v>803</v>
      </c>
      <c r="F1674" s="14">
        <v>45992</v>
      </c>
      <c r="G1674" s="14"/>
      <c r="H1674" s="14"/>
      <c r="I1674" s="14"/>
      <c r="J1674" s="9" t="s">
        <v>188</v>
      </c>
    </row>
    <row r="1675" spans="1:10" ht="15" customHeight="1" x14ac:dyDescent="0.35">
      <c r="A1675" s="12">
        <v>300109</v>
      </c>
      <c r="B1675" s="59" t="str">
        <f>IFERROR(VLOOKUP(Tabla1[[#This Row],[CODIGO]],INVENTARIO!A:B,2,0)," ")</f>
        <v>Risers de Acero 3/4" Bsp x 25 mm</v>
      </c>
      <c r="C1675" s="12">
        <v>1</v>
      </c>
      <c r="D1675" s="13"/>
      <c r="E1675" s="12">
        <v>803</v>
      </c>
      <c r="F1675" s="14">
        <v>45992</v>
      </c>
      <c r="G1675" s="14"/>
      <c r="H1675" s="14"/>
      <c r="I1675" s="14"/>
      <c r="J1675" s="9" t="s">
        <v>188</v>
      </c>
    </row>
    <row r="1676" spans="1:10" ht="15" customHeight="1" x14ac:dyDescent="0.35">
      <c r="A1676" s="12">
        <v>301329</v>
      </c>
      <c r="B1676" s="59" t="str">
        <f>IFERROR(VLOOKUP(Tabla1[[#This Row],[CODIGO]],INVENTARIO!A:B,2,0)," ")</f>
        <v>Copla PE100 025mm EF</v>
      </c>
      <c r="C1676" s="12">
        <v>4</v>
      </c>
      <c r="D1676" s="13"/>
      <c r="E1676" s="12">
        <v>803</v>
      </c>
      <c r="F1676" s="14">
        <v>45992</v>
      </c>
      <c r="G1676" s="14"/>
      <c r="H1676" s="14"/>
      <c r="I1676" s="14"/>
      <c r="J1676" s="9" t="s">
        <v>188</v>
      </c>
    </row>
    <row r="1677" spans="1:10" ht="15" customHeight="1" x14ac:dyDescent="0.35">
      <c r="A1677" s="12">
        <v>301099</v>
      </c>
      <c r="B1677" s="59" t="str">
        <f>IFERROR(VLOOKUP(Tabla1[[#This Row],[CODIGO]],INVENTARIO!A:B,2,0)," ")</f>
        <v>Válvula PE100 Dn 25mm</v>
      </c>
      <c r="C1677" s="12">
        <v>1</v>
      </c>
      <c r="D1677" s="13"/>
      <c r="E1677" s="12">
        <v>803</v>
      </c>
      <c r="F1677" s="14">
        <v>45992</v>
      </c>
      <c r="G1677" s="14"/>
      <c r="H1677" s="14"/>
      <c r="I1677" s="14"/>
      <c r="J1677" s="9" t="s">
        <v>188</v>
      </c>
    </row>
    <row r="1678" spans="1:10" ht="15" customHeight="1" x14ac:dyDescent="0.35">
      <c r="A1678" s="12">
        <v>301666</v>
      </c>
      <c r="B1678" s="59" t="str">
        <f>IFERROR(VLOOKUP(Tabla1[[#This Row],[CODIGO]],INVENTARIO!A:B,2,0)," ")</f>
        <v>Tapping Tee PE 110-25 mm</v>
      </c>
      <c r="C1678" s="12">
        <v>1</v>
      </c>
      <c r="D1678" s="13"/>
      <c r="E1678" s="12">
        <v>803</v>
      </c>
      <c r="F1678" s="14">
        <v>45992</v>
      </c>
      <c r="G1678" s="14"/>
      <c r="H1678" s="14"/>
      <c r="I1678" s="14"/>
      <c r="J1678" s="9" t="s">
        <v>188</v>
      </c>
    </row>
    <row r="1679" spans="1:10" ht="15" customHeight="1" x14ac:dyDescent="0.35">
      <c r="A1679" s="12">
        <v>2007948</v>
      </c>
      <c r="B1679" s="59" t="str">
        <f>IFERROR(VLOOKUP(Tabla1[[#This Row],[CODIGO]],INVENTARIO!A:B,2,0)," ")</f>
        <v>Tubo PVC Hidraulico 110 mm Pn6 Celeste</v>
      </c>
      <c r="C1679" s="12">
        <v>1</v>
      </c>
      <c r="D1679" s="13"/>
      <c r="E1679" s="12">
        <v>801</v>
      </c>
      <c r="F1679" s="14">
        <v>45987</v>
      </c>
      <c r="G1679" s="14"/>
      <c r="H1679" s="14"/>
      <c r="I1679" s="14"/>
      <c r="J1679" s="9" t="s">
        <v>191</v>
      </c>
    </row>
    <row r="1680" spans="1:10" ht="15" customHeight="1" x14ac:dyDescent="0.35">
      <c r="A1680" s="12">
        <v>1002167</v>
      </c>
      <c r="B1680" s="59" t="str">
        <f>IFERROR(VLOOKUP(Tabla1[[#This Row],[CODIGO]],INVENTARIO!A:B,2,0)," ")</f>
        <v>Cable Trazador Cu 14 AWG Aisl. THW Roj</v>
      </c>
      <c r="C1680" s="12">
        <v>3</v>
      </c>
      <c r="D1680" s="13"/>
      <c r="E1680" s="12">
        <v>801</v>
      </c>
      <c r="F1680" s="14">
        <v>45987</v>
      </c>
      <c r="G1680" s="14"/>
      <c r="H1680" s="14"/>
      <c r="I1680" s="14"/>
      <c r="J1680" s="9" t="s">
        <v>191</v>
      </c>
    </row>
    <row r="1681" spans="1:10" ht="15" customHeight="1" x14ac:dyDescent="0.35">
      <c r="A1681" s="12">
        <v>303368</v>
      </c>
      <c r="B1681" s="59" t="str">
        <f>IFERROR(VLOOKUP(Tabla1[[#This Row],[CODIGO]],INVENTARIO!A:B,2,0)," ")</f>
        <v>Cinta Plástica "Línea GN", 30 x 0.1</v>
      </c>
      <c r="C1681" s="12">
        <v>3</v>
      </c>
      <c r="D1681" s="13"/>
      <c r="E1681" s="12">
        <v>801</v>
      </c>
      <c r="F1681" s="14">
        <v>45987</v>
      </c>
      <c r="G1681" s="14"/>
      <c r="H1681" s="14"/>
      <c r="I1681" s="14"/>
      <c r="J1681" s="9" t="s">
        <v>191</v>
      </c>
    </row>
    <row r="1682" spans="1:10" ht="15" customHeight="1" x14ac:dyDescent="0.35">
      <c r="A1682" s="12">
        <v>302184</v>
      </c>
      <c r="B1682" s="59" t="str">
        <f>IFERROR(VLOOKUP(Tabla1[[#This Row],[CODIGO]],INVENTARIO!A:B,2,0)," ")</f>
        <v>Tapa Tornillo Cambio de Codigo por: 2008481</v>
      </c>
      <c r="C1682" s="12">
        <v>1</v>
      </c>
      <c r="D1682" s="13"/>
      <c r="E1682" s="12">
        <v>801</v>
      </c>
      <c r="F1682" s="14">
        <v>45987</v>
      </c>
      <c r="G1682" s="14"/>
      <c r="H1682" s="14"/>
      <c r="I1682" s="14"/>
      <c r="J1682" s="9" t="s">
        <v>191</v>
      </c>
    </row>
    <row r="1683" spans="1:10" ht="15" customHeight="1" x14ac:dyDescent="0.35">
      <c r="A1683" s="12">
        <v>302737</v>
      </c>
      <c r="B1683" s="59" t="str">
        <f>IFERROR(VLOOKUP(Tabla1[[#This Row],[CODIGO]],INVENTARIO!A:B,2,0)," ")</f>
        <v>Válvula Bola 3/4" Hi Un Cuerpo Pn5 Arco</v>
      </c>
      <c r="C1683" s="12">
        <v>1</v>
      </c>
      <c r="D1683" s="13"/>
      <c r="E1683" s="12">
        <v>801</v>
      </c>
      <c r="F1683" s="14">
        <v>45987</v>
      </c>
      <c r="G1683" s="14"/>
      <c r="H1683" s="14"/>
      <c r="I1683" s="14"/>
      <c r="J1683" s="9" t="s">
        <v>191</v>
      </c>
    </row>
    <row r="1684" spans="1:10" ht="15" customHeight="1" x14ac:dyDescent="0.35">
      <c r="A1684" s="12">
        <v>2006391</v>
      </c>
      <c r="B1684" s="59" t="str">
        <f>IFERROR(VLOOKUP(Tabla1[[#This Row],[CODIGO]],INVENTARIO!A:B,2,0)," ")</f>
        <v>Guardallave Fierro Fundido C/Tapa</v>
      </c>
      <c r="C1684" s="12">
        <v>1</v>
      </c>
      <c r="D1684" s="13"/>
      <c r="E1684" s="12">
        <v>801</v>
      </c>
      <c r="F1684" s="14">
        <v>45987</v>
      </c>
      <c r="G1684" s="14"/>
      <c r="H1684" s="14"/>
      <c r="I1684" s="14"/>
      <c r="J1684" s="9" t="s">
        <v>191</v>
      </c>
    </row>
    <row r="1685" spans="1:10" ht="15" customHeight="1" x14ac:dyDescent="0.35">
      <c r="A1685" s="12">
        <v>301749</v>
      </c>
      <c r="B1685" s="59" t="str">
        <f>IFERROR(VLOOKUP(Tabla1[[#This Row],[CODIGO]],INVENTARIO!A:B,2,0)," ")</f>
        <v>Tubería PE80 025mm Rollo</v>
      </c>
      <c r="C1685" s="40">
        <v>3</v>
      </c>
      <c r="D1685" s="13"/>
      <c r="E1685" s="12">
        <v>801</v>
      </c>
      <c r="F1685" s="14">
        <v>45987</v>
      </c>
      <c r="G1685" s="14"/>
      <c r="H1685" s="34" t="s">
        <v>228</v>
      </c>
      <c r="I1685" s="34" t="s">
        <v>234</v>
      </c>
      <c r="J1685" s="9" t="s">
        <v>191</v>
      </c>
    </row>
    <row r="1686" spans="1:10" ht="15" customHeight="1" x14ac:dyDescent="0.35">
      <c r="A1686" s="12">
        <v>2003911</v>
      </c>
      <c r="B1686" s="59" t="str">
        <f>IFERROR(VLOOKUP(Tabla1[[#This Row],[CODIGO]],INVENTARIO!A:B,2,0)," ")</f>
        <v>Válvula EFv PE 25 mm Para Tap. Tee</v>
      </c>
      <c r="C1686" s="12">
        <v>1</v>
      </c>
      <c r="D1686" s="13"/>
      <c r="E1686" s="12">
        <v>801</v>
      </c>
      <c r="F1686" s="14">
        <v>45987</v>
      </c>
      <c r="G1686" s="14"/>
      <c r="H1686" s="14"/>
      <c r="I1686" s="14"/>
      <c r="J1686" s="9" t="s">
        <v>191</v>
      </c>
    </row>
    <row r="1687" spans="1:10" ht="15" customHeight="1" x14ac:dyDescent="0.35">
      <c r="A1687" s="12">
        <v>300109</v>
      </c>
      <c r="B1687" s="59" t="str">
        <f>IFERROR(VLOOKUP(Tabla1[[#This Row],[CODIGO]],INVENTARIO!A:B,2,0)," ")</f>
        <v>Risers de Acero 3/4" Bsp x 25 mm</v>
      </c>
      <c r="C1687" s="12">
        <v>1</v>
      </c>
      <c r="D1687" s="13"/>
      <c r="E1687" s="12">
        <v>801</v>
      </c>
      <c r="F1687" s="14">
        <v>45987</v>
      </c>
      <c r="G1687" s="14"/>
      <c r="H1687" s="14"/>
      <c r="I1687" s="14"/>
      <c r="J1687" s="9" t="s">
        <v>191</v>
      </c>
    </row>
    <row r="1688" spans="1:10" ht="15" customHeight="1" x14ac:dyDescent="0.35">
      <c r="A1688" s="12">
        <v>301329</v>
      </c>
      <c r="B1688" s="59" t="str">
        <f>IFERROR(VLOOKUP(Tabla1[[#This Row],[CODIGO]],INVENTARIO!A:B,2,0)," ")</f>
        <v>Copla PE100 025mm EF</v>
      </c>
      <c r="C1688" s="12">
        <v>4</v>
      </c>
      <c r="D1688" s="13"/>
      <c r="E1688" s="12">
        <v>801</v>
      </c>
      <c r="F1688" s="14">
        <v>45987</v>
      </c>
      <c r="G1688" s="14"/>
      <c r="H1688" s="14"/>
      <c r="I1688" s="14"/>
      <c r="J1688" s="9" t="s">
        <v>191</v>
      </c>
    </row>
    <row r="1689" spans="1:10" ht="15" customHeight="1" x14ac:dyDescent="0.35">
      <c r="A1689" s="12">
        <v>301099</v>
      </c>
      <c r="B1689" s="59" t="str">
        <f>IFERROR(VLOOKUP(Tabla1[[#This Row],[CODIGO]],INVENTARIO!A:B,2,0)," ")</f>
        <v>Válvula PE100 Dn 25mm</v>
      </c>
      <c r="C1689" s="12">
        <v>1</v>
      </c>
      <c r="D1689" s="13"/>
      <c r="E1689" s="12">
        <v>801</v>
      </c>
      <c r="F1689" s="14">
        <v>45987</v>
      </c>
      <c r="G1689" s="14"/>
      <c r="H1689" s="14"/>
      <c r="I1689" s="14"/>
      <c r="J1689" s="9" t="s">
        <v>191</v>
      </c>
    </row>
    <row r="1690" spans="1:10" ht="15" customHeight="1" x14ac:dyDescent="0.35">
      <c r="A1690" s="12">
        <v>101624</v>
      </c>
      <c r="B1690" s="59" t="str">
        <f>IFERROR(VLOOKUP(Tabla1[[#This Row],[CODIGO]],INVENTARIO!A:B,2,0)," ")</f>
        <v>Tapping Tee PE 50-25 mm</v>
      </c>
      <c r="C1690" s="12">
        <v>1</v>
      </c>
      <c r="D1690" s="13"/>
      <c r="E1690" s="12">
        <v>801</v>
      </c>
      <c r="F1690" s="14">
        <v>45987</v>
      </c>
      <c r="G1690" s="14"/>
      <c r="H1690" s="14"/>
      <c r="I1690" s="14"/>
      <c r="J1690" s="9" t="s">
        <v>191</v>
      </c>
    </row>
    <row r="1691" spans="1:10" ht="15" customHeight="1" x14ac:dyDescent="0.35">
      <c r="A1691" s="25"/>
      <c r="B1691" s="60"/>
      <c r="C1691" s="25"/>
      <c r="D1691" s="26"/>
      <c r="E1691" s="23"/>
      <c r="F1691" s="27"/>
      <c r="G1691" s="41"/>
      <c r="H1691" s="41"/>
      <c r="I1691" s="41"/>
      <c r="J1691" s="23"/>
    </row>
    <row r="1692" spans="1:10" ht="15" customHeight="1" x14ac:dyDescent="0.35">
      <c r="A1692" s="25"/>
      <c r="B1692" s="95"/>
      <c r="C1692" s="96"/>
      <c r="D1692" s="26"/>
      <c r="E1692" s="23"/>
      <c r="F1692" s="27"/>
      <c r="G1692" s="41"/>
      <c r="H1692" s="41"/>
      <c r="I1692" s="41"/>
      <c r="J1692" s="23"/>
    </row>
    <row r="1693" spans="1:10" ht="15" customHeight="1" x14ac:dyDescent="0.35">
      <c r="A1693" s="25"/>
      <c r="B1693" s="60"/>
      <c r="C1693" s="25"/>
      <c r="D1693" s="26"/>
      <c r="E1693" s="23"/>
      <c r="F1693" s="27"/>
      <c r="G1693" s="41"/>
      <c r="H1693" s="41"/>
      <c r="I1693" s="41"/>
      <c r="J1693" s="23"/>
    </row>
    <row r="1694" spans="1:10" ht="15" customHeight="1" x14ac:dyDescent="0.35">
      <c r="A1694" s="25"/>
      <c r="B1694" s="60"/>
      <c r="C1694" s="25"/>
      <c r="D1694" s="26"/>
      <c r="E1694" s="23"/>
      <c r="F1694" s="27"/>
      <c r="G1694" s="41"/>
      <c r="H1694" s="41"/>
      <c r="I1694" s="41"/>
      <c r="J1694" s="23"/>
    </row>
    <row r="1695" spans="1:10" ht="15" customHeight="1" x14ac:dyDescent="0.35">
      <c r="A1695" s="25"/>
      <c r="B1695" s="60"/>
      <c r="C1695" s="25"/>
      <c r="D1695" s="26"/>
      <c r="E1695" s="23"/>
      <c r="F1695" s="27"/>
      <c r="G1695" s="41"/>
      <c r="H1695" s="41"/>
      <c r="I1695" s="41"/>
      <c r="J1695" s="23"/>
    </row>
    <row r="1696" spans="1:10" ht="15" customHeight="1" x14ac:dyDescent="0.35">
      <c r="A1696" s="25"/>
      <c r="B1696" s="60"/>
      <c r="C1696" s="25"/>
      <c r="D1696" s="26"/>
      <c r="E1696" s="23"/>
      <c r="F1696" s="27"/>
      <c r="G1696" s="41"/>
      <c r="H1696" s="41"/>
      <c r="I1696" s="41"/>
      <c r="J1696" s="23"/>
    </row>
    <row r="1697" spans="1:10" ht="15" customHeight="1" x14ac:dyDescent="0.35">
      <c r="A1697" s="25"/>
      <c r="B1697" s="60"/>
      <c r="C1697" s="25"/>
      <c r="D1697" s="26"/>
      <c r="E1697" s="23"/>
      <c r="F1697" s="27"/>
      <c r="G1697" s="41"/>
      <c r="H1697" s="41"/>
      <c r="I1697" s="41"/>
      <c r="J1697" s="23"/>
    </row>
    <row r="1698" spans="1:10" ht="15" customHeight="1" x14ac:dyDescent="0.35">
      <c r="A1698" s="25"/>
      <c r="B1698" s="60"/>
      <c r="C1698" s="25"/>
      <c r="D1698" s="26"/>
      <c r="E1698" s="23"/>
      <c r="F1698" s="27"/>
      <c r="G1698" s="41"/>
      <c r="H1698" s="41"/>
      <c r="I1698" s="41"/>
      <c r="J1698" s="23"/>
    </row>
    <row r="1699" spans="1:10" ht="15" customHeight="1" x14ac:dyDescent="0.35">
      <c r="A1699" s="25"/>
      <c r="B1699" s="60"/>
      <c r="C1699" s="25"/>
      <c r="D1699" s="26"/>
      <c r="E1699" s="23"/>
      <c r="F1699" s="27"/>
      <c r="G1699" s="41"/>
      <c r="H1699" s="41"/>
      <c r="I1699" s="41"/>
      <c r="J1699" s="23"/>
    </row>
    <row r="1700" spans="1:10" ht="15" customHeight="1" x14ac:dyDescent="0.35">
      <c r="A1700" s="25"/>
      <c r="B1700" s="60"/>
      <c r="C1700" s="25"/>
      <c r="D1700" s="26"/>
      <c r="E1700" s="23"/>
      <c r="F1700" s="27"/>
      <c r="G1700" s="41"/>
      <c r="H1700" s="41"/>
      <c r="I1700" s="41"/>
      <c r="J1700" s="23"/>
    </row>
    <row r="1701" spans="1:10" ht="15" customHeight="1" x14ac:dyDescent="0.35">
      <c r="A1701" s="25"/>
      <c r="B1701" s="60"/>
      <c r="C1701" s="25"/>
      <c r="D1701" s="26"/>
      <c r="E1701" s="23"/>
      <c r="F1701" s="27"/>
      <c r="G1701" s="41"/>
      <c r="H1701" s="41"/>
      <c r="I1701" s="41"/>
      <c r="J1701" s="23"/>
    </row>
    <row r="1702" spans="1:10" ht="15" customHeight="1" x14ac:dyDescent="0.35">
      <c r="A1702" s="25"/>
      <c r="B1702" s="60"/>
      <c r="C1702" s="25"/>
      <c r="D1702" s="26"/>
      <c r="E1702" s="23"/>
      <c r="F1702" s="27"/>
      <c r="G1702" s="41"/>
      <c r="H1702" s="41"/>
      <c r="I1702" s="41"/>
      <c r="J1702" s="23"/>
    </row>
    <row r="1703" spans="1:10" ht="15" customHeight="1" x14ac:dyDescent="0.35">
      <c r="A1703" s="25"/>
      <c r="B1703" s="60"/>
      <c r="C1703" s="25"/>
      <c r="D1703" s="26"/>
      <c r="E1703" s="23"/>
      <c r="F1703" s="27"/>
      <c r="G1703" s="41"/>
      <c r="H1703" s="41"/>
      <c r="I1703" s="41"/>
      <c r="J1703" s="23"/>
    </row>
    <row r="1704" spans="1:10" ht="15" customHeight="1" x14ac:dyDescent="0.35">
      <c r="A1704" s="25"/>
      <c r="B1704" s="60"/>
      <c r="C1704" s="25"/>
      <c r="D1704" s="26"/>
      <c r="E1704" s="23"/>
      <c r="F1704" s="27"/>
      <c r="G1704" s="41"/>
      <c r="H1704" s="41"/>
      <c r="I1704" s="41"/>
      <c r="J1704" s="23"/>
    </row>
    <row r="1705" spans="1:10" ht="15" customHeight="1" x14ac:dyDescent="0.35">
      <c r="A1705" s="25"/>
      <c r="B1705" s="60"/>
      <c r="C1705" s="25"/>
      <c r="D1705" s="26"/>
      <c r="E1705" s="23"/>
      <c r="F1705" s="27"/>
      <c r="G1705" s="41"/>
      <c r="H1705" s="41"/>
      <c r="I1705" s="41"/>
      <c r="J1705" s="23"/>
    </row>
    <row r="1706" spans="1:10" ht="15" customHeight="1" x14ac:dyDescent="0.35">
      <c r="A1706" s="25"/>
      <c r="B1706" s="60"/>
      <c r="C1706" s="25"/>
      <c r="D1706" s="26"/>
      <c r="E1706" s="23"/>
      <c r="F1706" s="27"/>
      <c r="G1706" s="41"/>
      <c r="H1706" s="41"/>
      <c r="I1706" s="41"/>
      <c r="J1706" s="23"/>
    </row>
    <row r="1707" spans="1:10" ht="15" customHeight="1" x14ac:dyDescent="0.35">
      <c r="A1707" s="25"/>
      <c r="B1707" s="60"/>
      <c r="C1707" s="25"/>
      <c r="D1707" s="26"/>
      <c r="E1707" s="23"/>
      <c r="F1707" s="27"/>
      <c r="G1707" s="41"/>
      <c r="H1707" s="41"/>
      <c r="I1707" s="41"/>
      <c r="J1707" s="23"/>
    </row>
    <row r="1708" spans="1:10" ht="15" customHeight="1" x14ac:dyDescent="0.35">
      <c r="A1708" s="25"/>
      <c r="B1708" s="60"/>
      <c r="C1708" s="25"/>
      <c r="D1708" s="26"/>
      <c r="E1708" s="23"/>
      <c r="F1708" s="27"/>
      <c r="G1708" s="41"/>
      <c r="H1708" s="41"/>
      <c r="I1708" s="41"/>
      <c r="J1708" s="23"/>
    </row>
    <row r="1709" spans="1:10" ht="15" customHeight="1" x14ac:dyDescent="0.35">
      <c r="A1709" s="25"/>
      <c r="B1709" s="60"/>
      <c r="C1709" s="25"/>
      <c r="D1709" s="26"/>
      <c r="E1709" s="23"/>
      <c r="F1709" s="27"/>
      <c r="G1709" s="41"/>
      <c r="H1709" s="41"/>
      <c r="I1709" s="41"/>
      <c r="J1709" s="23"/>
    </row>
    <row r="1710" spans="1:10" ht="15" customHeight="1" x14ac:dyDescent="0.35">
      <c r="A1710" s="25"/>
      <c r="B1710" s="60"/>
      <c r="C1710" s="25"/>
      <c r="D1710" s="26"/>
      <c r="E1710" s="23"/>
      <c r="F1710" s="27"/>
      <c r="G1710" s="41"/>
      <c r="H1710" s="41"/>
      <c r="I1710" s="41"/>
      <c r="J1710" s="23"/>
    </row>
    <row r="1711" spans="1:10" ht="15" customHeight="1" x14ac:dyDescent="0.35">
      <c r="A1711" s="25"/>
      <c r="B1711" s="60"/>
      <c r="C1711" s="25"/>
      <c r="D1711" s="26"/>
      <c r="E1711" s="23"/>
      <c r="F1711" s="27"/>
      <c r="G1711" s="41"/>
      <c r="H1711" s="41"/>
      <c r="I1711" s="41"/>
      <c r="J1711" s="23"/>
    </row>
    <row r="1712" spans="1:10" ht="15" customHeight="1" x14ac:dyDescent="0.35">
      <c r="A1712" s="25"/>
      <c r="B1712" s="60"/>
      <c r="C1712" s="25"/>
      <c r="D1712" s="26"/>
      <c r="E1712" s="23"/>
      <c r="F1712" s="27"/>
      <c r="G1712" s="41"/>
      <c r="H1712" s="41"/>
      <c r="I1712" s="41"/>
      <c r="J1712" s="23"/>
    </row>
    <row r="1713" spans="1:10" ht="15" customHeight="1" x14ac:dyDescent="0.35">
      <c r="A1713" s="25"/>
      <c r="B1713" s="60"/>
      <c r="C1713" s="25"/>
      <c r="D1713" s="26"/>
      <c r="E1713" s="23"/>
      <c r="F1713" s="27"/>
      <c r="G1713" s="41"/>
      <c r="H1713" s="41"/>
      <c r="I1713" s="41"/>
      <c r="J1713" s="23"/>
    </row>
    <row r="1714" spans="1:10" ht="15" customHeight="1" x14ac:dyDescent="0.35">
      <c r="A1714" s="25"/>
      <c r="B1714" s="60"/>
      <c r="C1714" s="25"/>
      <c r="D1714" s="26"/>
      <c r="E1714" s="23"/>
      <c r="F1714" s="27"/>
      <c r="G1714" s="41"/>
      <c r="H1714" s="41"/>
      <c r="I1714" s="41"/>
      <c r="J1714" s="23"/>
    </row>
    <row r="1715" spans="1:10" ht="15" customHeight="1" x14ac:dyDescent="0.35">
      <c r="A1715" s="25"/>
      <c r="B1715" s="60"/>
      <c r="C1715" s="25"/>
      <c r="D1715" s="26"/>
      <c r="E1715" s="23"/>
      <c r="F1715" s="27"/>
      <c r="G1715" s="41"/>
      <c r="H1715" s="41"/>
      <c r="I1715" s="41"/>
      <c r="J1715" s="23"/>
    </row>
    <row r="1716" spans="1:10" ht="15" customHeight="1" x14ac:dyDescent="0.35">
      <c r="A1716" s="25"/>
      <c r="B1716" s="60"/>
      <c r="C1716" s="25"/>
      <c r="D1716" s="26"/>
      <c r="E1716" s="23"/>
      <c r="F1716" s="27"/>
      <c r="G1716" s="41"/>
      <c r="H1716" s="41"/>
      <c r="I1716" s="41"/>
      <c r="J1716" s="23"/>
    </row>
    <row r="1717" spans="1:10" ht="15" customHeight="1" x14ac:dyDescent="0.35">
      <c r="A1717" s="25"/>
      <c r="B1717" s="60"/>
      <c r="C1717" s="25"/>
      <c r="D1717" s="26"/>
      <c r="E1717" s="23"/>
      <c r="F1717" s="27"/>
      <c r="G1717" s="41"/>
      <c r="H1717" s="41"/>
      <c r="I1717" s="41"/>
      <c r="J1717" s="23"/>
    </row>
    <row r="1718" spans="1:10" ht="15" customHeight="1" x14ac:dyDescent="0.35">
      <c r="A1718" s="25"/>
      <c r="B1718" s="60"/>
      <c r="C1718" s="25"/>
      <c r="D1718" s="26"/>
      <c r="E1718" s="23"/>
      <c r="F1718" s="27"/>
      <c r="G1718" s="41"/>
      <c r="H1718" s="41"/>
      <c r="I1718" s="41"/>
      <c r="J1718" s="23"/>
    </row>
    <row r="1719" spans="1:10" ht="15" customHeight="1" x14ac:dyDescent="0.35">
      <c r="A1719" s="25"/>
      <c r="B1719" s="60"/>
      <c r="C1719" s="25"/>
      <c r="D1719" s="26"/>
      <c r="E1719" s="23"/>
      <c r="F1719" s="27"/>
      <c r="G1719" s="41"/>
      <c r="H1719" s="41"/>
      <c r="I1719" s="41"/>
      <c r="J1719" s="23"/>
    </row>
    <row r="1720" spans="1:10" ht="15" customHeight="1" x14ac:dyDescent="0.35">
      <c r="A1720" s="25"/>
      <c r="B1720" s="60"/>
      <c r="C1720" s="25"/>
      <c r="D1720" s="26"/>
      <c r="E1720" s="23"/>
      <c r="F1720" s="27"/>
      <c r="G1720" s="41"/>
      <c r="H1720" s="41"/>
      <c r="I1720" s="41"/>
      <c r="J1720" s="23"/>
    </row>
    <row r="1721" spans="1:10" ht="15" customHeight="1" x14ac:dyDescent="0.35">
      <c r="A1721" s="25"/>
      <c r="B1721" s="60"/>
      <c r="C1721" s="25"/>
      <c r="D1721" s="26"/>
      <c r="E1721" s="23"/>
      <c r="F1721" s="27"/>
      <c r="G1721" s="41"/>
      <c r="H1721" s="41"/>
      <c r="I1721" s="41"/>
      <c r="J1721" s="23"/>
    </row>
    <row r="1722" spans="1:10" ht="15" customHeight="1" x14ac:dyDescent="0.35">
      <c r="A1722" s="25"/>
      <c r="B1722" s="60"/>
      <c r="C1722" s="25"/>
      <c r="D1722" s="26"/>
      <c r="E1722" s="23"/>
      <c r="F1722" s="27"/>
      <c r="G1722" s="41"/>
      <c r="H1722" s="41"/>
      <c r="I1722" s="41"/>
      <c r="J1722" s="23"/>
    </row>
    <row r="1723" spans="1:10" ht="15" customHeight="1" x14ac:dyDescent="0.35">
      <c r="A1723" s="25"/>
      <c r="B1723" s="60"/>
      <c r="C1723" s="25"/>
      <c r="D1723" s="26"/>
      <c r="E1723" s="23"/>
      <c r="F1723" s="27"/>
      <c r="G1723" s="41"/>
      <c r="H1723" s="41"/>
      <c r="I1723" s="41"/>
      <c r="J1723" s="23"/>
    </row>
    <row r="1724" spans="1:10" ht="15" customHeight="1" x14ac:dyDescent="0.35">
      <c r="A1724" s="25"/>
      <c r="B1724" s="60"/>
      <c r="C1724" s="25"/>
      <c r="D1724" s="26"/>
      <c r="E1724" s="23"/>
      <c r="F1724" s="27"/>
      <c r="G1724" s="41"/>
      <c r="H1724" s="41"/>
      <c r="I1724" s="41"/>
      <c r="J1724" s="23"/>
    </row>
    <row r="1725" spans="1:10" ht="15" customHeight="1" x14ac:dyDescent="0.35">
      <c r="A1725" s="25"/>
      <c r="B1725" s="60"/>
      <c r="C1725" s="25"/>
      <c r="D1725" s="26"/>
      <c r="E1725" s="23"/>
      <c r="F1725" s="27"/>
      <c r="G1725" s="41"/>
      <c r="H1725" s="41"/>
      <c r="I1725" s="41"/>
      <c r="J1725" s="23"/>
    </row>
    <row r="1726" spans="1:10" ht="15" customHeight="1" x14ac:dyDescent="0.35">
      <c r="A1726" s="25"/>
      <c r="B1726" s="60"/>
      <c r="C1726" s="25"/>
      <c r="D1726" s="26"/>
      <c r="E1726" s="23"/>
      <c r="F1726" s="27"/>
      <c r="G1726" s="41"/>
      <c r="H1726" s="41"/>
      <c r="I1726" s="41"/>
      <c r="J1726" s="23"/>
    </row>
    <row r="1727" spans="1:10" ht="15" customHeight="1" x14ac:dyDescent="0.35">
      <c r="A1727" s="25"/>
      <c r="B1727" s="60"/>
      <c r="C1727" s="25"/>
      <c r="D1727" s="26"/>
      <c r="E1727" s="23"/>
      <c r="F1727" s="27"/>
      <c r="G1727" s="41"/>
      <c r="H1727" s="41"/>
      <c r="I1727" s="41"/>
      <c r="J1727" s="23"/>
    </row>
    <row r="1728" spans="1:10" ht="15" customHeight="1" x14ac:dyDescent="0.35">
      <c r="A1728" s="25"/>
      <c r="B1728" s="60"/>
      <c r="C1728" s="25"/>
      <c r="D1728" s="26"/>
      <c r="E1728" s="23"/>
      <c r="F1728" s="27"/>
      <c r="G1728" s="41"/>
      <c r="H1728" s="41"/>
      <c r="I1728" s="41"/>
      <c r="J1728" s="23"/>
    </row>
    <row r="1729" spans="1:10" ht="15" customHeight="1" x14ac:dyDescent="0.35">
      <c r="A1729" s="25"/>
      <c r="B1729" s="60"/>
      <c r="C1729" s="25"/>
      <c r="D1729" s="26"/>
      <c r="E1729" s="23"/>
      <c r="F1729" s="27"/>
      <c r="G1729" s="41"/>
      <c r="H1729" s="41"/>
      <c r="I1729" s="41"/>
      <c r="J1729" s="23"/>
    </row>
    <row r="1730" spans="1:10" ht="15" customHeight="1" x14ac:dyDescent="0.35">
      <c r="A1730" s="25"/>
      <c r="B1730" s="60"/>
      <c r="C1730" s="25"/>
      <c r="D1730" s="26"/>
      <c r="E1730" s="23"/>
      <c r="F1730" s="27"/>
      <c r="G1730" s="41"/>
      <c r="H1730" s="41"/>
      <c r="I1730" s="41"/>
      <c r="J1730" s="23"/>
    </row>
    <row r="1731" spans="1:10" ht="15" customHeight="1" x14ac:dyDescent="0.35">
      <c r="A1731" s="25"/>
      <c r="B1731" s="60"/>
      <c r="C1731" s="25"/>
      <c r="D1731" s="26"/>
      <c r="E1731" s="23"/>
      <c r="F1731" s="27"/>
      <c r="G1731" s="41"/>
      <c r="H1731" s="41"/>
      <c r="I1731" s="41"/>
      <c r="J1731" s="23"/>
    </row>
    <row r="1732" spans="1:10" ht="15" customHeight="1" x14ac:dyDescent="0.35">
      <c r="A1732" s="25"/>
      <c r="B1732" s="60"/>
      <c r="C1732" s="25"/>
      <c r="D1732" s="26"/>
      <c r="E1732" s="23"/>
      <c r="F1732" s="27"/>
      <c r="G1732" s="41"/>
      <c r="H1732" s="41"/>
      <c r="I1732" s="41"/>
      <c r="J1732" s="23"/>
    </row>
    <row r="1733" spans="1:10" ht="15" customHeight="1" x14ac:dyDescent="0.35">
      <c r="A1733" s="25"/>
      <c r="B1733" s="60"/>
      <c r="C1733" s="25"/>
      <c r="D1733" s="26"/>
      <c r="E1733" s="23"/>
      <c r="F1733" s="27"/>
      <c r="G1733" s="41"/>
      <c r="H1733" s="41"/>
      <c r="I1733" s="41"/>
      <c r="J1733" s="23"/>
    </row>
    <row r="1734" spans="1:10" ht="15" customHeight="1" x14ac:dyDescent="0.35">
      <c r="A1734" s="25"/>
      <c r="B1734" s="60"/>
      <c r="C1734" s="25"/>
      <c r="D1734" s="26"/>
      <c r="E1734" s="23"/>
      <c r="F1734" s="27"/>
      <c r="G1734" s="41"/>
      <c r="H1734" s="41"/>
      <c r="I1734" s="41"/>
      <c r="J1734" s="23"/>
    </row>
    <row r="1735" spans="1:10" ht="15" customHeight="1" x14ac:dyDescent="0.35">
      <c r="A1735" s="25"/>
      <c r="B1735" s="60"/>
      <c r="C1735" s="25"/>
      <c r="D1735" s="26"/>
      <c r="E1735" s="23"/>
      <c r="F1735" s="27"/>
      <c r="G1735" s="41"/>
      <c r="H1735" s="41"/>
      <c r="I1735" s="41"/>
      <c r="J1735" s="23"/>
    </row>
    <row r="1736" spans="1:10" ht="15" customHeight="1" x14ac:dyDescent="0.35">
      <c r="A1736" s="25"/>
      <c r="B1736" s="60"/>
      <c r="C1736" s="25"/>
      <c r="D1736" s="26"/>
      <c r="E1736" s="23"/>
      <c r="F1736" s="27"/>
      <c r="G1736" s="41"/>
      <c r="H1736" s="41"/>
      <c r="I1736" s="41"/>
      <c r="J1736" s="23"/>
    </row>
    <row r="1737" spans="1:10" ht="15" customHeight="1" x14ac:dyDescent="0.35">
      <c r="A1737" s="25"/>
      <c r="B1737" s="60"/>
      <c r="C1737" s="25"/>
      <c r="D1737" s="26"/>
      <c r="E1737" s="23"/>
      <c r="F1737" s="27"/>
      <c r="G1737" s="41"/>
      <c r="H1737" s="41"/>
      <c r="I1737" s="41"/>
      <c r="J1737" s="23"/>
    </row>
    <row r="1738" spans="1:10" ht="15" customHeight="1" x14ac:dyDescent="0.35">
      <c r="A1738" s="25"/>
      <c r="B1738" s="60"/>
      <c r="C1738" s="25"/>
      <c r="D1738" s="26"/>
      <c r="E1738" s="23"/>
      <c r="F1738" s="27"/>
      <c r="G1738" s="41"/>
      <c r="H1738" s="41"/>
      <c r="I1738" s="41"/>
      <c r="J1738" s="23"/>
    </row>
    <row r="1739" spans="1:10" ht="15" customHeight="1" x14ac:dyDescent="0.35">
      <c r="A1739" s="25"/>
      <c r="B1739" s="60"/>
      <c r="C1739" s="25"/>
      <c r="D1739" s="26"/>
      <c r="E1739" s="23"/>
      <c r="F1739" s="27"/>
      <c r="G1739" s="41"/>
      <c r="H1739" s="41"/>
      <c r="I1739" s="41"/>
      <c r="J1739" s="23"/>
    </row>
    <row r="1740" spans="1:10" ht="15" customHeight="1" x14ac:dyDescent="0.35">
      <c r="A1740" s="25"/>
      <c r="B1740" s="60"/>
      <c r="C1740" s="25"/>
      <c r="D1740" s="26"/>
      <c r="E1740" s="23"/>
      <c r="F1740" s="27"/>
      <c r="G1740" s="41"/>
      <c r="H1740" s="41"/>
      <c r="I1740" s="41"/>
      <c r="J1740" s="23"/>
    </row>
    <row r="1741" spans="1:10" ht="15" customHeight="1" x14ac:dyDescent="0.35">
      <c r="A1741" s="25"/>
      <c r="B1741" s="60"/>
      <c r="C1741" s="25"/>
      <c r="D1741" s="26"/>
      <c r="E1741" s="23"/>
      <c r="F1741" s="27"/>
      <c r="G1741" s="41"/>
      <c r="H1741" s="41"/>
      <c r="I1741" s="41"/>
      <c r="J1741" s="23"/>
    </row>
    <row r="1742" spans="1:10" ht="15" customHeight="1" x14ac:dyDescent="0.35">
      <c r="A1742" s="25"/>
      <c r="B1742" s="60"/>
      <c r="C1742" s="25"/>
      <c r="D1742" s="26"/>
      <c r="E1742" s="23"/>
      <c r="F1742" s="27"/>
      <c r="G1742" s="41"/>
      <c r="H1742" s="41"/>
      <c r="I1742" s="41"/>
      <c r="J1742" s="23"/>
    </row>
    <row r="1743" spans="1:10" ht="15" customHeight="1" x14ac:dyDescent="0.35">
      <c r="A1743" s="25"/>
      <c r="B1743" s="60"/>
      <c r="C1743" s="25"/>
      <c r="D1743" s="26"/>
      <c r="E1743" s="23"/>
      <c r="F1743" s="27"/>
      <c r="G1743" s="41"/>
      <c r="H1743" s="41"/>
      <c r="I1743" s="41"/>
      <c r="J1743" s="23"/>
    </row>
    <row r="1744" spans="1:10" ht="15" customHeight="1" x14ac:dyDescent="0.35">
      <c r="A1744" s="25"/>
      <c r="B1744" s="60"/>
      <c r="C1744" s="25"/>
      <c r="D1744" s="26"/>
      <c r="E1744" s="23"/>
      <c r="F1744" s="27"/>
      <c r="G1744" s="41"/>
      <c r="H1744" s="41"/>
      <c r="I1744" s="41"/>
      <c r="J1744" s="23"/>
    </row>
    <row r="1745" spans="1:10" ht="15" customHeight="1" x14ac:dyDescent="0.35">
      <c r="A1745" s="25"/>
      <c r="B1745" s="60"/>
      <c r="C1745" s="25"/>
      <c r="D1745" s="26"/>
      <c r="E1745" s="23"/>
      <c r="F1745" s="27"/>
      <c r="G1745" s="41"/>
      <c r="H1745" s="41"/>
      <c r="I1745" s="41"/>
      <c r="J1745" s="23"/>
    </row>
    <row r="1746" spans="1:10" ht="15" customHeight="1" x14ac:dyDescent="0.35">
      <c r="A1746" s="25"/>
      <c r="B1746" s="60"/>
      <c r="C1746" s="25"/>
      <c r="D1746" s="26"/>
      <c r="E1746" s="23"/>
      <c r="F1746" s="27"/>
      <c r="G1746" s="41"/>
      <c r="H1746" s="41"/>
      <c r="I1746" s="41"/>
      <c r="J1746" s="23"/>
    </row>
    <row r="1747" spans="1:10" ht="15" customHeight="1" x14ac:dyDescent="0.35">
      <c r="A1747" s="25"/>
      <c r="B1747" s="60"/>
      <c r="C1747" s="25"/>
      <c r="D1747" s="26"/>
      <c r="E1747" s="23"/>
      <c r="F1747" s="27"/>
      <c r="G1747" s="41"/>
      <c r="H1747" s="41"/>
      <c r="I1747" s="41"/>
      <c r="J1747" s="23"/>
    </row>
    <row r="1748" spans="1:10" ht="15" customHeight="1" x14ac:dyDescent="0.35">
      <c r="A1748" s="25"/>
      <c r="B1748" s="60"/>
      <c r="C1748" s="25"/>
      <c r="D1748" s="26"/>
      <c r="E1748" s="23"/>
      <c r="F1748" s="27"/>
      <c r="G1748" s="41"/>
      <c r="H1748" s="41"/>
      <c r="I1748" s="41"/>
      <c r="J1748" s="23"/>
    </row>
    <row r="1749" spans="1:10" ht="15" customHeight="1" x14ac:dyDescent="0.35">
      <c r="A1749" s="25"/>
      <c r="B1749" s="60"/>
      <c r="C1749" s="25"/>
      <c r="D1749" s="26"/>
      <c r="E1749" s="23"/>
      <c r="F1749" s="27"/>
      <c r="G1749" s="41"/>
      <c r="H1749" s="41"/>
      <c r="I1749" s="41"/>
      <c r="J1749" s="23"/>
    </row>
    <row r="1750" spans="1:10" ht="15" customHeight="1" x14ac:dyDescent="0.35">
      <c r="A1750" s="25"/>
      <c r="B1750" s="60"/>
      <c r="C1750" s="25"/>
      <c r="D1750" s="26"/>
      <c r="E1750" s="23"/>
      <c r="F1750" s="27"/>
      <c r="G1750" s="41"/>
      <c r="H1750" s="41"/>
      <c r="I1750" s="41"/>
      <c r="J1750" s="23"/>
    </row>
    <row r="1751" spans="1:10" ht="15" customHeight="1" x14ac:dyDescent="0.35">
      <c r="A1751" s="25"/>
      <c r="B1751" s="60"/>
      <c r="C1751" s="25"/>
      <c r="D1751" s="26"/>
      <c r="E1751" s="23"/>
      <c r="F1751" s="27"/>
      <c r="G1751" s="41"/>
      <c r="H1751" s="41"/>
      <c r="I1751" s="41"/>
      <c r="J1751" s="23"/>
    </row>
    <row r="1752" spans="1:10" ht="15" customHeight="1" x14ac:dyDescent="0.35">
      <c r="A1752" s="25"/>
      <c r="B1752" s="60"/>
      <c r="C1752" s="25"/>
      <c r="D1752" s="26"/>
      <c r="E1752" s="23"/>
      <c r="F1752" s="27"/>
      <c r="G1752" s="41"/>
      <c r="H1752" s="41"/>
      <c r="I1752" s="41"/>
      <c r="J1752" s="23"/>
    </row>
    <row r="1753" spans="1:10" ht="15" customHeight="1" x14ac:dyDescent="0.35">
      <c r="A1753" s="25"/>
      <c r="B1753" s="60"/>
      <c r="C1753" s="25"/>
      <c r="D1753" s="26"/>
      <c r="E1753" s="23"/>
      <c r="F1753" s="27"/>
      <c r="G1753" s="41"/>
      <c r="H1753" s="41"/>
      <c r="I1753" s="41"/>
      <c r="J1753" s="23"/>
    </row>
    <row r="1754" spans="1:10" ht="15" customHeight="1" x14ac:dyDescent="0.35">
      <c r="A1754" s="25"/>
      <c r="B1754" s="60"/>
      <c r="C1754" s="25"/>
      <c r="D1754" s="26"/>
      <c r="E1754" s="23"/>
      <c r="F1754" s="27"/>
      <c r="G1754" s="41"/>
      <c r="H1754" s="41"/>
      <c r="I1754" s="41"/>
      <c r="J1754" s="23"/>
    </row>
    <row r="1755" spans="1:10" ht="15" customHeight="1" x14ac:dyDescent="0.35">
      <c r="A1755" s="25"/>
      <c r="B1755" s="60"/>
      <c r="C1755" s="25"/>
      <c r="D1755" s="26"/>
      <c r="E1755" s="23"/>
      <c r="F1755" s="27"/>
      <c r="G1755" s="41"/>
      <c r="H1755" s="41"/>
      <c r="I1755" s="41"/>
      <c r="J1755" s="23"/>
    </row>
    <row r="1756" spans="1:10" ht="15" customHeight="1" x14ac:dyDescent="0.35">
      <c r="A1756" s="25"/>
      <c r="B1756" s="60"/>
      <c r="C1756" s="25"/>
      <c r="D1756" s="26"/>
      <c r="E1756" s="23"/>
      <c r="F1756" s="27"/>
      <c r="G1756" s="41"/>
      <c r="H1756" s="41"/>
      <c r="I1756" s="41"/>
      <c r="J1756" s="23"/>
    </row>
    <row r="1757" spans="1:10" ht="15" customHeight="1" x14ac:dyDescent="0.35">
      <c r="A1757" s="25"/>
      <c r="B1757" s="60"/>
      <c r="C1757" s="25"/>
      <c r="D1757" s="26"/>
      <c r="E1757" s="23"/>
      <c r="F1757" s="27"/>
      <c r="G1757" s="41"/>
      <c r="H1757" s="41"/>
      <c r="I1757" s="41"/>
      <c r="J1757" s="23"/>
    </row>
    <row r="1758" spans="1:10" ht="15" customHeight="1" x14ac:dyDescent="0.35">
      <c r="A1758" s="25"/>
      <c r="B1758" s="60"/>
      <c r="C1758" s="25"/>
      <c r="D1758" s="26"/>
      <c r="E1758" s="23"/>
      <c r="F1758" s="27"/>
      <c r="G1758" s="41"/>
      <c r="H1758" s="41"/>
      <c r="I1758" s="41"/>
      <c r="J1758" s="23"/>
    </row>
    <row r="1759" spans="1:10" ht="15" customHeight="1" x14ac:dyDescent="0.35">
      <c r="A1759" s="25"/>
      <c r="B1759" s="60"/>
      <c r="C1759" s="25"/>
      <c r="D1759" s="26"/>
      <c r="E1759" s="23"/>
      <c r="F1759" s="27"/>
      <c r="G1759" s="41"/>
      <c r="H1759" s="41"/>
      <c r="I1759" s="41"/>
      <c r="J1759" s="23"/>
    </row>
    <row r="1760" spans="1:10" ht="15" customHeight="1" x14ac:dyDescent="0.35">
      <c r="A1760" s="25"/>
      <c r="B1760" s="60"/>
      <c r="C1760" s="25"/>
      <c r="D1760" s="26"/>
      <c r="E1760" s="23"/>
      <c r="F1760" s="27"/>
      <c r="G1760" s="41"/>
      <c r="H1760" s="41"/>
      <c r="I1760" s="41"/>
      <c r="J1760" s="23"/>
    </row>
    <row r="1761" spans="1:10" ht="15" customHeight="1" x14ac:dyDescent="0.35">
      <c r="A1761" s="25"/>
      <c r="B1761" s="60"/>
      <c r="C1761" s="25"/>
      <c r="D1761" s="26"/>
      <c r="E1761" s="23"/>
      <c r="F1761" s="27"/>
      <c r="G1761" s="41"/>
      <c r="H1761" s="41"/>
      <c r="I1761" s="41"/>
      <c r="J1761" s="23"/>
    </row>
    <row r="1762" spans="1:10" ht="15" customHeight="1" x14ac:dyDescent="0.35">
      <c r="A1762" s="25"/>
      <c r="B1762" s="60"/>
      <c r="C1762" s="25"/>
      <c r="D1762" s="26"/>
      <c r="E1762" s="23"/>
      <c r="F1762" s="27"/>
      <c r="G1762" s="41"/>
      <c r="H1762" s="41"/>
      <c r="I1762" s="41"/>
      <c r="J1762" s="23"/>
    </row>
    <row r="1763" spans="1:10" ht="15" customHeight="1" x14ac:dyDescent="0.35">
      <c r="A1763" s="25"/>
      <c r="B1763" s="60"/>
      <c r="C1763" s="25"/>
      <c r="D1763" s="26"/>
      <c r="E1763" s="23"/>
      <c r="F1763" s="27"/>
      <c r="G1763" s="41"/>
      <c r="H1763" s="41"/>
      <c r="I1763" s="41"/>
      <c r="J1763" s="23"/>
    </row>
    <row r="1764" spans="1:10" ht="15" customHeight="1" x14ac:dyDescent="0.35">
      <c r="A1764" s="25"/>
      <c r="B1764" s="60"/>
      <c r="C1764" s="25"/>
      <c r="D1764" s="26"/>
      <c r="E1764" s="23"/>
      <c r="F1764" s="27"/>
      <c r="G1764" s="41"/>
      <c r="H1764" s="41"/>
      <c r="I1764" s="41"/>
      <c r="J1764" s="23"/>
    </row>
    <row r="1765" spans="1:10" ht="15" customHeight="1" x14ac:dyDescent="0.35">
      <c r="A1765" s="25"/>
      <c r="B1765" s="60"/>
      <c r="C1765" s="25"/>
      <c r="D1765" s="26"/>
      <c r="E1765" s="23"/>
      <c r="F1765" s="27"/>
      <c r="G1765" s="41"/>
      <c r="H1765" s="41"/>
      <c r="I1765" s="41"/>
      <c r="J1765" s="23"/>
    </row>
    <row r="1766" spans="1:10" ht="15" customHeight="1" x14ac:dyDescent="0.35">
      <c r="A1766" s="25"/>
      <c r="B1766" s="60"/>
      <c r="C1766" s="25"/>
      <c r="D1766" s="26"/>
      <c r="E1766" s="23"/>
      <c r="F1766" s="27"/>
      <c r="G1766" s="41"/>
      <c r="H1766" s="41"/>
      <c r="I1766" s="41"/>
      <c r="J1766" s="23"/>
    </row>
    <row r="1767" spans="1:10" ht="15" customHeight="1" x14ac:dyDescent="0.35">
      <c r="A1767" s="25"/>
      <c r="B1767" s="60"/>
      <c r="C1767" s="25"/>
      <c r="D1767" s="26"/>
      <c r="E1767" s="23"/>
      <c r="F1767" s="27"/>
      <c r="G1767" s="41"/>
      <c r="H1767" s="41"/>
      <c r="I1767" s="41"/>
      <c r="J1767" s="23"/>
    </row>
    <row r="1768" spans="1:10" ht="15" customHeight="1" x14ac:dyDescent="0.35">
      <c r="A1768" s="25"/>
      <c r="B1768" s="60"/>
      <c r="C1768" s="25"/>
      <c r="D1768" s="26"/>
      <c r="E1768" s="23"/>
      <c r="F1768" s="27"/>
      <c r="G1768" s="41"/>
      <c r="H1768" s="41"/>
      <c r="I1768" s="41"/>
      <c r="J1768" s="23"/>
    </row>
    <row r="1769" spans="1:10" ht="15" customHeight="1" x14ac:dyDescent="0.35">
      <c r="A1769" s="25"/>
      <c r="B1769" s="60"/>
      <c r="C1769" s="25"/>
      <c r="D1769" s="26"/>
      <c r="E1769" s="23"/>
      <c r="F1769" s="27"/>
      <c r="G1769" s="41"/>
      <c r="H1769" s="41"/>
      <c r="I1769" s="41"/>
      <c r="J1769" s="23"/>
    </row>
    <row r="1770" spans="1:10" ht="15" customHeight="1" x14ac:dyDescent="0.35">
      <c r="A1770" s="25"/>
      <c r="B1770" s="60"/>
      <c r="C1770" s="25"/>
      <c r="D1770" s="26"/>
      <c r="E1770" s="23"/>
      <c r="F1770" s="27"/>
      <c r="G1770" s="41"/>
      <c r="H1770" s="41"/>
      <c r="I1770" s="41"/>
      <c r="J1770" s="23"/>
    </row>
    <row r="1771" spans="1:10" ht="15" customHeight="1" x14ac:dyDescent="0.35">
      <c r="A1771" s="25"/>
      <c r="B1771" s="60"/>
      <c r="C1771" s="25"/>
      <c r="D1771" s="26"/>
      <c r="E1771" s="23"/>
      <c r="F1771" s="27"/>
      <c r="G1771" s="41"/>
      <c r="H1771" s="41"/>
      <c r="I1771" s="41"/>
      <c r="J1771" s="23"/>
    </row>
    <row r="1772" spans="1:10" ht="15" customHeight="1" x14ac:dyDescent="0.35">
      <c r="A1772" s="25"/>
      <c r="B1772" s="60"/>
      <c r="C1772" s="25"/>
      <c r="D1772" s="26"/>
      <c r="E1772" s="23"/>
      <c r="F1772" s="27"/>
      <c r="G1772" s="41"/>
      <c r="H1772" s="41"/>
      <c r="I1772" s="41"/>
      <c r="J1772" s="23"/>
    </row>
    <row r="1773" spans="1:10" ht="15" customHeight="1" x14ac:dyDescent="0.35">
      <c r="A1773" s="25"/>
      <c r="B1773" s="60"/>
      <c r="C1773" s="25"/>
      <c r="D1773" s="26"/>
      <c r="E1773" s="23"/>
      <c r="F1773" s="27"/>
      <c r="G1773" s="41"/>
      <c r="H1773" s="41"/>
      <c r="I1773" s="41"/>
      <c r="J1773" s="23"/>
    </row>
    <row r="1774" spans="1:10" ht="15" customHeight="1" x14ac:dyDescent="0.35">
      <c r="A1774" s="25"/>
      <c r="B1774" s="60"/>
      <c r="C1774" s="25"/>
      <c r="D1774" s="26"/>
      <c r="E1774" s="23"/>
      <c r="F1774" s="27"/>
      <c r="G1774" s="41"/>
      <c r="H1774" s="41"/>
      <c r="I1774" s="41"/>
      <c r="J1774" s="23"/>
    </row>
    <row r="1775" spans="1:10" ht="15" customHeight="1" x14ac:dyDescent="0.35">
      <c r="A1775" s="25"/>
      <c r="B1775" s="60"/>
      <c r="C1775" s="25"/>
      <c r="D1775" s="26"/>
      <c r="E1775" s="23"/>
      <c r="F1775" s="27"/>
      <c r="G1775" s="41"/>
      <c r="H1775" s="41"/>
      <c r="I1775" s="41"/>
      <c r="J1775" s="23"/>
    </row>
    <row r="1776" spans="1:10" ht="15" customHeight="1" x14ac:dyDescent="0.35">
      <c r="A1776" s="25"/>
      <c r="B1776" s="60"/>
      <c r="C1776" s="25"/>
      <c r="D1776" s="26"/>
      <c r="E1776" s="23"/>
      <c r="F1776" s="27"/>
      <c r="G1776" s="41"/>
      <c r="H1776" s="41"/>
      <c r="I1776" s="41"/>
      <c r="J1776" s="23"/>
    </row>
    <row r="1777" spans="1:10" ht="15" customHeight="1" x14ac:dyDescent="0.35">
      <c r="A1777" s="25"/>
      <c r="B1777" s="60"/>
      <c r="C1777" s="25"/>
      <c r="D1777" s="26"/>
      <c r="E1777" s="23"/>
      <c r="F1777" s="27"/>
      <c r="G1777" s="41"/>
      <c r="H1777" s="41"/>
      <c r="I1777" s="41"/>
      <c r="J1777" s="23"/>
    </row>
    <row r="1778" spans="1:10" ht="15" customHeight="1" x14ac:dyDescent="0.35">
      <c r="A1778" s="25"/>
      <c r="B1778" s="60"/>
      <c r="C1778" s="25"/>
      <c r="D1778" s="26"/>
      <c r="E1778" s="23"/>
      <c r="F1778" s="27"/>
      <c r="G1778" s="41"/>
      <c r="H1778" s="41"/>
      <c r="I1778" s="41"/>
      <c r="J1778" s="23"/>
    </row>
    <row r="1779" spans="1:10" ht="15" customHeight="1" x14ac:dyDescent="0.35">
      <c r="A1779" s="25"/>
      <c r="B1779" s="60"/>
      <c r="C1779" s="25"/>
      <c r="D1779" s="26"/>
      <c r="E1779" s="23"/>
      <c r="F1779" s="27"/>
      <c r="G1779" s="41"/>
      <c r="H1779" s="41"/>
      <c r="I1779" s="41"/>
      <c r="J1779" s="23"/>
    </row>
    <row r="1780" spans="1:10" ht="15" customHeight="1" x14ac:dyDescent="0.35">
      <c r="A1780" s="25"/>
      <c r="B1780" s="60"/>
      <c r="C1780" s="25"/>
      <c r="D1780" s="26"/>
      <c r="E1780" s="23"/>
      <c r="F1780" s="27"/>
      <c r="G1780" s="41"/>
      <c r="H1780" s="41"/>
      <c r="I1780" s="41"/>
      <c r="J1780" s="23"/>
    </row>
    <row r="1781" spans="1:10" ht="15" customHeight="1" x14ac:dyDescent="0.35">
      <c r="A1781" s="25"/>
      <c r="B1781" s="60"/>
      <c r="C1781" s="25"/>
      <c r="D1781" s="26"/>
      <c r="E1781" s="23"/>
      <c r="F1781" s="27"/>
      <c r="G1781" s="41"/>
      <c r="H1781" s="41"/>
      <c r="I1781" s="41"/>
      <c r="J1781" s="23"/>
    </row>
    <row r="1782" spans="1:10" ht="15" customHeight="1" x14ac:dyDescent="0.35">
      <c r="A1782" s="25"/>
      <c r="B1782" s="60"/>
      <c r="C1782" s="25"/>
      <c r="D1782" s="26"/>
      <c r="E1782" s="23"/>
      <c r="F1782" s="27"/>
      <c r="G1782" s="41"/>
      <c r="H1782" s="41"/>
      <c r="I1782" s="41"/>
      <c r="J1782" s="23"/>
    </row>
    <row r="1783" spans="1:10" ht="15" customHeight="1" x14ac:dyDescent="0.35">
      <c r="A1783" s="25"/>
      <c r="B1783" s="60"/>
      <c r="C1783" s="25"/>
      <c r="D1783" s="26"/>
      <c r="E1783" s="23"/>
      <c r="F1783" s="27"/>
      <c r="G1783" s="41"/>
      <c r="H1783" s="41"/>
      <c r="I1783" s="41"/>
      <c r="J1783" s="23"/>
    </row>
    <row r="1784" spans="1:10" ht="15" customHeight="1" x14ac:dyDescent="0.35">
      <c r="A1784" s="25"/>
      <c r="B1784" s="60"/>
      <c r="C1784" s="25"/>
      <c r="D1784" s="26"/>
      <c r="E1784" s="23"/>
      <c r="F1784" s="27"/>
      <c r="G1784" s="41"/>
      <c r="H1784" s="41"/>
      <c r="I1784" s="41"/>
      <c r="J1784" s="23"/>
    </row>
    <row r="1785" spans="1:10" ht="15" customHeight="1" x14ac:dyDescent="0.35">
      <c r="A1785" s="25"/>
      <c r="B1785" s="60"/>
      <c r="C1785" s="25"/>
      <c r="D1785" s="26"/>
      <c r="E1785" s="23"/>
      <c r="F1785" s="27"/>
      <c r="G1785" s="41"/>
      <c r="H1785" s="41"/>
      <c r="I1785" s="41"/>
      <c r="J1785" s="23"/>
    </row>
    <row r="1786" spans="1:10" ht="15" customHeight="1" x14ac:dyDescent="0.35">
      <c r="A1786" s="25"/>
      <c r="B1786" s="60"/>
      <c r="C1786" s="25"/>
      <c r="D1786" s="26"/>
      <c r="E1786" s="23"/>
      <c r="F1786" s="27"/>
      <c r="G1786" s="41"/>
      <c r="H1786" s="41"/>
      <c r="I1786" s="41"/>
      <c r="J1786" s="23"/>
    </row>
    <row r="1787" spans="1:10" ht="15" customHeight="1" x14ac:dyDescent="0.35">
      <c r="A1787" s="25"/>
      <c r="B1787" s="60"/>
      <c r="C1787" s="25"/>
      <c r="D1787" s="26"/>
      <c r="E1787" s="23"/>
      <c r="F1787" s="27"/>
      <c r="G1787" s="41"/>
      <c r="H1787" s="41"/>
      <c r="I1787" s="41"/>
      <c r="J1787" s="23"/>
    </row>
    <row r="1788" spans="1:10" ht="15" customHeight="1" x14ac:dyDescent="0.35">
      <c r="A1788" s="25"/>
      <c r="B1788" s="60"/>
      <c r="C1788" s="25"/>
      <c r="D1788" s="26"/>
      <c r="E1788" s="23"/>
      <c r="F1788" s="27"/>
      <c r="G1788" s="41"/>
      <c r="H1788" s="41"/>
      <c r="I1788" s="41"/>
      <c r="J1788" s="23"/>
    </row>
    <row r="1789" spans="1:10" ht="15" customHeight="1" x14ac:dyDescent="0.35">
      <c r="A1789" s="25"/>
      <c r="B1789" s="60"/>
      <c r="C1789" s="25"/>
      <c r="D1789" s="26"/>
      <c r="E1789" s="23"/>
      <c r="F1789" s="27"/>
      <c r="G1789" s="41"/>
      <c r="H1789" s="41"/>
      <c r="I1789" s="41"/>
      <c r="J1789" s="23"/>
    </row>
    <row r="1790" spans="1:10" ht="15" customHeight="1" x14ac:dyDescent="0.35">
      <c r="A1790" s="25"/>
      <c r="B1790" s="60"/>
      <c r="C1790" s="25"/>
      <c r="D1790" s="26"/>
      <c r="E1790" s="23"/>
      <c r="F1790" s="27"/>
      <c r="G1790" s="41"/>
      <c r="H1790" s="41"/>
      <c r="I1790" s="41"/>
      <c r="J1790" s="23"/>
    </row>
    <row r="1791" spans="1:10" ht="15" customHeight="1" x14ac:dyDescent="0.35">
      <c r="A1791" s="25"/>
      <c r="B1791" s="60"/>
      <c r="C1791" s="25"/>
      <c r="D1791" s="26"/>
      <c r="E1791" s="23"/>
      <c r="F1791" s="27"/>
      <c r="G1791" s="41"/>
      <c r="H1791" s="41"/>
      <c r="I1791" s="41"/>
      <c r="J1791" s="23"/>
    </row>
    <row r="1792" spans="1:10" ht="15" customHeight="1" x14ac:dyDescent="0.35">
      <c r="A1792" s="25"/>
      <c r="B1792" s="60"/>
      <c r="C1792" s="25"/>
      <c r="D1792" s="26"/>
      <c r="E1792" s="23"/>
      <c r="F1792" s="27"/>
      <c r="G1792" s="41"/>
      <c r="H1792" s="41"/>
      <c r="I1792" s="41"/>
      <c r="J1792" s="23"/>
    </row>
    <row r="1793" spans="1:10" ht="15" customHeight="1" x14ac:dyDescent="0.35">
      <c r="A1793" s="25"/>
      <c r="B1793" s="60"/>
      <c r="C1793" s="25"/>
      <c r="D1793" s="26"/>
      <c r="E1793" s="23"/>
      <c r="F1793" s="27"/>
      <c r="G1793" s="41"/>
      <c r="H1793" s="41"/>
      <c r="I1793" s="41"/>
      <c r="J1793" s="23"/>
    </row>
    <row r="1794" spans="1:10" ht="15" customHeight="1" x14ac:dyDescent="0.35">
      <c r="A1794" s="25"/>
      <c r="B1794" s="60"/>
      <c r="C1794" s="25"/>
      <c r="D1794" s="26"/>
      <c r="E1794" s="23"/>
      <c r="F1794" s="27"/>
      <c r="G1794" s="41"/>
      <c r="H1794" s="41"/>
      <c r="I1794" s="41"/>
      <c r="J1794" s="23"/>
    </row>
    <row r="1795" spans="1:10" ht="15" customHeight="1" x14ac:dyDescent="0.35">
      <c r="A1795" s="25"/>
      <c r="B1795" s="60"/>
      <c r="C1795" s="25"/>
      <c r="D1795" s="26"/>
      <c r="E1795" s="23"/>
      <c r="F1795" s="27"/>
      <c r="G1795" s="41"/>
      <c r="H1795" s="41"/>
      <c r="I1795" s="41"/>
      <c r="J1795" s="23"/>
    </row>
    <row r="1796" spans="1:10" ht="15" customHeight="1" x14ac:dyDescent="0.35">
      <c r="A1796" s="25"/>
      <c r="B1796" s="60"/>
      <c r="C1796" s="25"/>
      <c r="D1796" s="26"/>
      <c r="E1796" s="23"/>
      <c r="F1796" s="27"/>
      <c r="G1796" s="41"/>
      <c r="H1796" s="41"/>
      <c r="I1796" s="41"/>
      <c r="J1796" s="23"/>
    </row>
    <row r="1797" spans="1:10" ht="15" customHeight="1" x14ac:dyDescent="0.35">
      <c r="A1797" s="25"/>
      <c r="B1797" s="60"/>
      <c r="C1797" s="25"/>
      <c r="D1797" s="26"/>
      <c r="E1797" s="23"/>
      <c r="F1797" s="27"/>
      <c r="G1797" s="41"/>
      <c r="H1797" s="41"/>
      <c r="I1797" s="41"/>
      <c r="J1797" s="23"/>
    </row>
    <row r="1798" spans="1:10" ht="15" customHeight="1" x14ac:dyDescent="0.35">
      <c r="A1798" s="25"/>
      <c r="B1798" s="60"/>
      <c r="C1798" s="25"/>
      <c r="D1798" s="26"/>
      <c r="E1798" s="23"/>
      <c r="F1798" s="27"/>
      <c r="G1798" s="41"/>
      <c r="H1798" s="41"/>
      <c r="I1798" s="41"/>
      <c r="J1798" s="23"/>
    </row>
    <row r="1799" spans="1:10" ht="15" customHeight="1" x14ac:dyDescent="0.35">
      <c r="A1799" s="25"/>
      <c r="B1799" s="60"/>
      <c r="C1799" s="25"/>
      <c r="D1799" s="26"/>
      <c r="E1799" s="23"/>
      <c r="F1799" s="27"/>
      <c r="G1799" s="41"/>
      <c r="H1799" s="41"/>
      <c r="I1799" s="41"/>
      <c r="J1799" s="23"/>
    </row>
    <row r="1800" spans="1:10" ht="15" customHeight="1" x14ac:dyDescent="0.35">
      <c r="A1800" s="25"/>
      <c r="B1800" s="60"/>
      <c r="C1800" s="25"/>
      <c r="D1800" s="26"/>
      <c r="E1800" s="23"/>
      <c r="F1800" s="27"/>
      <c r="G1800" s="41"/>
      <c r="H1800" s="41"/>
      <c r="I1800" s="41"/>
      <c r="J1800" s="23"/>
    </row>
    <row r="1801" spans="1:10" ht="15" customHeight="1" x14ac:dyDescent="0.35">
      <c r="A1801" s="25"/>
      <c r="B1801" s="60"/>
      <c r="C1801" s="25"/>
      <c r="D1801" s="26"/>
      <c r="E1801" s="23"/>
      <c r="F1801" s="27"/>
      <c r="G1801" s="41"/>
      <c r="H1801" s="41"/>
      <c r="I1801" s="41"/>
      <c r="J1801" s="23"/>
    </row>
    <row r="1802" spans="1:10" ht="15" customHeight="1" x14ac:dyDescent="0.35">
      <c r="A1802" s="25"/>
      <c r="B1802" s="60"/>
      <c r="C1802" s="25"/>
      <c r="D1802" s="26"/>
      <c r="E1802" s="23"/>
      <c r="F1802" s="27"/>
      <c r="G1802" s="41"/>
      <c r="H1802" s="41"/>
      <c r="I1802" s="41"/>
      <c r="J1802" s="23"/>
    </row>
    <row r="1803" spans="1:10" ht="15" customHeight="1" x14ac:dyDescent="0.35">
      <c r="A1803" s="25"/>
      <c r="B1803" s="60"/>
      <c r="C1803" s="25"/>
      <c r="D1803" s="26"/>
      <c r="E1803" s="23"/>
      <c r="F1803" s="27"/>
      <c r="G1803" s="41"/>
      <c r="H1803" s="41"/>
      <c r="I1803" s="41"/>
      <c r="J1803" s="23"/>
    </row>
    <row r="1804" spans="1:10" ht="15" customHeight="1" x14ac:dyDescent="0.35">
      <c r="A1804" s="25"/>
      <c r="B1804" s="60"/>
      <c r="C1804" s="25"/>
      <c r="D1804" s="26"/>
      <c r="E1804" s="23"/>
      <c r="F1804" s="27"/>
      <c r="G1804" s="41"/>
      <c r="H1804" s="41"/>
      <c r="I1804" s="41"/>
      <c r="J1804" s="23"/>
    </row>
    <row r="1805" spans="1:10" ht="15" customHeight="1" x14ac:dyDescent="0.35">
      <c r="A1805" s="25"/>
      <c r="B1805" s="60"/>
      <c r="C1805" s="25"/>
      <c r="D1805" s="26"/>
      <c r="E1805" s="23"/>
      <c r="F1805" s="27"/>
      <c r="G1805" s="41"/>
      <c r="H1805" s="41"/>
      <c r="I1805" s="41"/>
      <c r="J1805" s="23"/>
    </row>
    <row r="1806" spans="1:10" ht="15" customHeight="1" x14ac:dyDescent="0.35">
      <c r="A1806" s="25"/>
      <c r="B1806" s="60"/>
      <c r="C1806" s="25"/>
      <c r="D1806" s="26"/>
      <c r="E1806" s="23"/>
      <c r="F1806" s="27"/>
      <c r="G1806" s="41"/>
      <c r="H1806" s="41"/>
      <c r="I1806" s="41"/>
      <c r="J1806" s="23"/>
    </row>
    <row r="1807" spans="1:10" ht="15" customHeight="1" x14ac:dyDescent="0.35">
      <c r="A1807" s="25"/>
      <c r="B1807" s="60"/>
      <c r="C1807" s="25"/>
      <c r="D1807" s="26"/>
      <c r="E1807" s="23"/>
      <c r="F1807" s="27"/>
      <c r="G1807" s="41"/>
      <c r="H1807" s="41"/>
      <c r="I1807" s="41"/>
      <c r="J1807" s="23"/>
    </row>
    <row r="1808" spans="1:10" ht="15" customHeight="1" x14ac:dyDescent="0.35">
      <c r="A1808" s="25"/>
      <c r="B1808" s="60"/>
      <c r="C1808" s="25"/>
      <c r="D1808" s="26"/>
      <c r="E1808" s="23"/>
      <c r="F1808" s="27"/>
      <c r="G1808" s="41"/>
      <c r="H1808" s="41"/>
      <c r="I1808" s="41"/>
      <c r="J1808" s="23"/>
    </row>
    <row r="1809" spans="1:10" ht="15" customHeight="1" x14ac:dyDescent="0.35">
      <c r="A1809" s="25"/>
      <c r="B1809" s="60"/>
      <c r="C1809" s="25"/>
      <c r="D1809" s="26"/>
      <c r="E1809" s="23"/>
      <c r="F1809" s="27"/>
      <c r="G1809" s="41"/>
      <c r="H1809" s="41"/>
      <c r="I1809" s="41"/>
      <c r="J1809" s="23"/>
    </row>
    <row r="1810" spans="1:10" ht="15" customHeight="1" x14ac:dyDescent="0.35">
      <c r="A1810" s="25"/>
      <c r="B1810" s="60"/>
      <c r="C1810" s="25"/>
      <c r="D1810" s="26"/>
      <c r="E1810" s="23"/>
      <c r="F1810" s="27"/>
      <c r="G1810" s="41"/>
      <c r="H1810" s="41"/>
      <c r="I1810" s="41"/>
      <c r="J1810" s="23"/>
    </row>
    <row r="1811" spans="1:10" ht="15" customHeight="1" x14ac:dyDescent="0.35">
      <c r="A1811" s="25"/>
      <c r="B1811" s="60"/>
      <c r="C1811" s="25"/>
      <c r="D1811" s="26"/>
      <c r="E1811" s="23"/>
      <c r="F1811" s="27"/>
      <c r="G1811" s="41"/>
      <c r="H1811" s="41"/>
      <c r="I1811" s="41"/>
      <c r="J1811" s="23"/>
    </row>
    <row r="1812" spans="1:10" ht="15" customHeight="1" x14ac:dyDescent="0.35">
      <c r="A1812" s="25"/>
      <c r="B1812" s="60"/>
      <c r="C1812" s="25"/>
      <c r="D1812" s="26"/>
      <c r="E1812" s="23"/>
      <c r="F1812" s="27"/>
      <c r="G1812" s="41"/>
      <c r="H1812" s="41"/>
      <c r="I1812" s="41"/>
      <c r="J1812" s="23"/>
    </row>
    <row r="1813" spans="1:10" ht="15" customHeight="1" x14ac:dyDescent="0.35">
      <c r="A1813" s="25"/>
      <c r="B1813" s="60"/>
      <c r="C1813" s="25"/>
      <c r="D1813" s="26"/>
      <c r="E1813" s="23"/>
      <c r="F1813" s="27"/>
      <c r="G1813" s="41"/>
      <c r="H1813" s="41"/>
      <c r="I1813" s="41"/>
      <c r="J1813" s="23"/>
    </row>
    <row r="1814" spans="1:10" ht="15" customHeight="1" x14ac:dyDescent="0.35">
      <c r="A1814" s="25"/>
      <c r="B1814" s="60"/>
      <c r="C1814" s="25"/>
      <c r="D1814" s="26"/>
      <c r="E1814" s="23"/>
      <c r="F1814" s="27"/>
      <c r="G1814" s="41"/>
      <c r="H1814" s="41"/>
      <c r="I1814" s="41"/>
      <c r="J1814" s="23"/>
    </row>
    <row r="1815" spans="1:10" ht="15" customHeight="1" x14ac:dyDescent="0.35">
      <c r="A1815" s="25"/>
      <c r="B1815" s="60"/>
      <c r="C1815" s="25"/>
      <c r="D1815" s="26"/>
      <c r="E1815" s="23"/>
      <c r="F1815" s="27"/>
      <c r="G1815" s="41"/>
      <c r="H1815" s="41"/>
      <c r="I1815" s="41"/>
      <c r="J1815" s="23"/>
    </row>
    <row r="1816" spans="1:10" ht="15" customHeight="1" x14ac:dyDescent="0.35">
      <c r="A1816" s="25"/>
      <c r="B1816" s="60"/>
      <c r="C1816" s="25"/>
      <c r="D1816" s="26"/>
      <c r="E1816" s="23"/>
      <c r="F1816" s="27"/>
      <c r="G1816" s="41"/>
      <c r="H1816" s="41"/>
      <c r="I1816" s="41"/>
      <c r="J1816" s="23"/>
    </row>
    <row r="1817" spans="1:10" ht="15" customHeight="1" x14ac:dyDescent="0.35">
      <c r="A1817" s="25"/>
      <c r="B1817" s="60"/>
      <c r="C1817" s="25"/>
      <c r="D1817" s="26"/>
      <c r="E1817" s="23"/>
      <c r="F1817" s="27"/>
      <c r="G1817" s="41"/>
      <c r="H1817" s="41"/>
      <c r="I1817" s="41"/>
      <c r="J1817" s="23"/>
    </row>
    <row r="1818" spans="1:10" ht="15" customHeight="1" x14ac:dyDescent="0.35">
      <c r="A1818" s="25"/>
      <c r="B1818" s="60"/>
      <c r="C1818" s="25"/>
      <c r="D1818" s="26"/>
      <c r="E1818" s="23"/>
      <c r="F1818" s="27"/>
      <c r="G1818" s="41"/>
      <c r="H1818" s="41"/>
      <c r="I1818" s="41"/>
      <c r="J1818" s="23"/>
    </row>
    <row r="1819" spans="1:10" ht="15" customHeight="1" x14ac:dyDescent="0.35">
      <c r="A1819" s="25"/>
      <c r="B1819" s="60"/>
      <c r="C1819" s="25"/>
      <c r="D1819" s="26"/>
      <c r="E1819" s="23"/>
      <c r="F1819" s="27"/>
      <c r="G1819" s="41"/>
      <c r="H1819" s="41"/>
      <c r="I1819" s="41"/>
      <c r="J1819" s="23"/>
    </row>
    <row r="1820" spans="1:10" ht="15" customHeight="1" x14ac:dyDescent="0.35">
      <c r="A1820" s="25"/>
      <c r="B1820" s="60"/>
      <c r="C1820" s="25"/>
      <c r="D1820" s="26"/>
      <c r="E1820" s="23"/>
      <c r="F1820" s="27"/>
      <c r="G1820" s="41"/>
      <c r="H1820" s="41"/>
      <c r="I1820" s="41"/>
      <c r="J1820" s="23"/>
    </row>
    <row r="1821" spans="1:10" ht="15" customHeight="1" x14ac:dyDescent="0.35">
      <c r="A1821" s="25"/>
      <c r="B1821" s="60"/>
      <c r="C1821" s="25"/>
      <c r="D1821" s="26"/>
      <c r="E1821" s="23"/>
      <c r="F1821" s="27"/>
      <c r="G1821" s="41"/>
      <c r="H1821" s="41"/>
      <c r="I1821" s="41"/>
      <c r="J1821" s="23"/>
    </row>
    <row r="1822" spans="1:10" ht="15" customHeight="1" x14ac:dyDescent="0.35">
      <c r="A1822" s="25"/>
      <c r="B1822" s="60"/>
      <c r="C1822" s="25"/>
      <c r="D1822" s="26"/>
      <c r="E1822" s="23"/>
      <c r="F1822" s="27"/>
      <c r="G1822" s="41"/>
      <c r="H1822" s="41"/>
      <c r="I1822" s="41"/>
      <c r="J1822" s="23"/>
    </row>
    <row r="1823" spans="1:10" ht="15" customHeight="1" x14ac:dyDescent="0.35">
      <c r="A1823" s="25"/>
      <c r="B1823" s="60"/>
      <c r="C1823" s="25"/>
      <c r="D1823" s="26"/>
      <c r="E1823" s="23"/>
      <c r="F1823" s="27"/>
      <c r="G1823" s="41"/>
      <c r="H1823" s="41"/>
      <c r="I1823" s="41"/>
      <c r="J1823" s="23"/>
    </row>
    <row r="1824" spans="1:10" ht="15" customHeight="1" x14ac:dyDescent="0.35">
      <c r="A1824" s="25"/>
      <c r="B1824" s="60"/>
      <c r="C1824" s="25"/>
      <c r="D1824" s="26"/>
      <c r="E1824" s="23"/>
      <c r="F1824" s="27"/>
      <c r="G1824" s="41"/>
      <c r="H1824" s="41"/>
      <c r="I1824" s="41"/>
      <c r="J1824" s="23"/>
    </row>
    <row r="1825" spans="1:10" ht="15" customHeight="1" x14ac:dyDescent="0.35">
      <c r="A1825" s="25"/>
      <c r="B1825" s="60"/>
      <c r="C1825" s="25"/>
      <c r="D1825" s="26"/>
      <c r="E1825" s="23"/>
      <c r="F1825" s="27"/>
      <c r="G1825" s="41"/>
      <c r="H1825" s="41"/>
      <c r="I1825" s="41"/>
      <c r="J1825" s="23"/>
    </row>
    <row r="1826" spans="1:10" ht="15" customHeight="1" x14ac:dyDescent="0.35">
      <c r="A1826" s="25"/>
      <c r="B1826" s="60"/>
      <c r="C1826" s="25"/>
      <c r="D1826" s="26"/>
      <c r="E1826" s="23"/>
      <c r="F1826" s="27"/>
      <c r="G1826" s="41"/>
      <c r="H1826" s="41"/>
      <c r="I1826" s="41"/>
      <c r="J1826" s="23"/>
    </row>
    <row r="1827" spans="1:10" ht="15" customHeight="1" x14ac:dyDescent="0.35">
      <c r="A1827" s="25"/>
      <c r="B1827" s="60"/>
      <c r="C1827" s="25"/>
      <c r="D1827" s="26"/>
      <c r="E1827" s="23"/>
      <c r="F1827" s="27"/>
      <c r="G1827" s="41"/>
      <c r="H1827" s="41"/>
      <c r="I1827" s="41"/>
      <c r="J1827" s="23"/>
    </row>
    <row r="1828" spans="1:10" ht="15" customHeight="1" x14ac:dyDescent="0.35">
      <c r="A1828" s="25"/>
      <c r="B1828" s="60"/>
      <c r="C1828" s="25"/>
      <c r="D1828" s="26"/>
      <c r="E1828" s="23"/>
      <c r="F1828" s="27"/>
      <c r="G1828" s="41"/>
      <c r="H1828" s="41"/>
      <c r="I1828" s="41"/>
      <c r="J1828" s="23"/>
    </row>
    <row r="1829" spans="1:10" ht="15" customHeight="1" x14ac:dyDescent="0.35">
      <c r="A1829" s="25"/>
      <c r="B1829" s="60"/>
      <c r="C1829" s="25"/>
      <c r="D1829" s="26"/>
      <c r="E1829" s="23"/>
      <c r="F1829" s="27"/>
      <c r="G1829" s="41"/>
      <c r="H1829" s="41"/>
      <c r="I1829" s="41"/>
      <c r="J1829" s="23"/>
    </row>
    <row r="1830" spans="1:10" ht="15" customHeight="1" x14ac:dyDescent="0.35">
      <c r="A1830" s="25"/>
      <c r="B1830" s="60"/>
      <c r="C1830" s="25"/>
      <c r="D1830" s="26"/>
      <c r="E1830" s="23"/>
      <c r="F1830" s="27"/>
      <c r="G1830" s="41"/>
      <c r="H1830" s="41"/>
      <c r="I1830" s="41"/>
      <c r="J1830" s="23"/>
    </row>
    <row r="1831" spans="1:10" ht="15" customHeight="1" x14ac:dyDescent="0.35">
      <c r="A1831" s="25"/>
      <c r="B1831" s="60"/>
      <c r="C1831" s="25"/>
      <c r="D1831" s="26"/>
      <c r="E1831" s="23"/>
      <c r="F1831" s="27"/>
      <c r="G1831" s="41"/>
      <c r="H1831" s="41"/>
      <c r="I1831" s="41"/>
      <c r="J1831" s="23"/>
    </row>
    <row r="1832" spans="1:10" ht="15" customHeight="1" x14ac:dyDescent="0.35">
      <c r="A1832" s="25"/>
      <c r="B1832" s="60"/>
      <c r="C1832" s="25"/>
      <c r="D1832" s="26"/>
      <c r="E1832" s="23"/>
      <c r="F1832" s="27"/>
      <c r="G1832" s="41"/>
      <c r="H1832" s="41"/>
      <c r="I1832" s="41"/>
      <c r="J1832" s="23"/>
    </row>
    <row r="1833" spans="1:10" ht="15" customHeight="1" x14ac:dyDescent="0.35">
      <c r="A1833" s="25"/>
      <c r="B1833" s="60"/>
      <c r="C1833" s="25"/>
      <c r="D1833" s="26"/>
      <c r="E1833" s="23"/>
      <c r="F1833" s="27"/>
      <c r="G1833" s="41"/>
      <c r="H1833" s="41"/>
      <c r="I1833" s="41"/>
      <c r="J1833" s="23"/>
    </row>
    <row r="1834" spans="1:10" ht="15" customHeight="1" x14ac:dyDescent="0.35">
      <c r="A1834" s="25"/>
      <c r="B1834" s="60"/>
      <c r="C1834" s="25"/>
      <c r="D1834" s="26"/>
      <c r="E1834" s="23"/>
      <c r="F1834" s="27"/>
      <c r="G1834" s="41"/>
      <c r="H1834" s="41"/>
      <c r="I1834" s="41"/>
      <c r="J1834" s="23"/>
    </row>
    <row r="1835" spans="1:10" ht="15" customHeight="1" x14ac:dyDescent="0.35">
      <c r="A1835" s="25"/>
      <c r="B1835" s="60"/>
      <c r="C1835" s="25"/>
      <c r="D1835" s="26"/>
      <c r="E1835" s="23"/>
      <c r="F1835" s="27"/>
      <c r="G1835" s="41"/>
      <c r="H1835" s="41"/>
      <c r="I1835" s="41"/>
      <c r="J1835" s="23"/>
    </row>
    <row r="1836" spans="1:10" ht="15" customHeight="1" x14ac:dyDescent="0.35">
      <c r="A1836" s="25"/>
      <c r="B1836" s="60"/>
      <c r="C1836" s="25"/>
      <c r="D1836" s="26"/>
      <c r="E1836" s="23"/>
      <c r="F1836" s="27"/>
      <c r="G1836" s="41"/>
      <c r="H1836" s="41"/>
      <c r="I1836" s="41"/>
      <c r="J1836" s="23"/>
    </row>
    <row r="1837" spans="1:10" ht="15" customHeight="1" x14ac:dyDescent="0.35">
      <c r="A1837" s="25"/>
      <c r="B1837" s="60"/>
      <c r="C1837" s="25"/>
      <c r="D1837" s="26"/>
      <c r="E1837" s="23"/>
      <c r="F1837" s="27"/>
      <c r="G1837" s="41"/>
      <c r="H1837" s="41"/>
      <c r="I1837" s="41"/>
      <c r="J1837" s="23"/>
    </row>
    <row r="1838" spans="1:10" ht="15" customHeight="1" x14ac:dyDescent="0.35">
      <c r="A1838" s="25"/>
      <c r="B1838" s="60"/>
      <c r="C1838" s="25"/>
      <c r="D1838" s="26"/>
      <c r="E1838" s="23"/>
      <c r="F1838" s="27"/>
      <c r="G1838" s="41"/>
      <c r="H1838" s="41"/>
      <c r="I1838" s="41"/>
      <c r="J1838" s="23"/>
    </row>
    <row r="1839" spans="1:10" ht="15" customHeight="1" x14ac:dyDescent="0.35">
      <c r="A1839" s="25"/>
      <c r="B1839" s="60"/>
      <c r="C1839" s="25"/>
      <c r="D1839" s="26"/>
      <c r="E1839" s="23"/>
      <c r="F1839" s="27"/>
      <c r="G1839" s="41"/>
      <c r="H1839" s="41"/>
      <c r="I1839" s="41"/>
      <c r="J1839" s="23"/>
    </row>
    <row r="1840" spans="1:10" ht="15" customHeight="1" x14ac:dyDescent="0.35">
      <c r="A1840" s="25"/>
      <c r="B1840" s="60"/>
      <c r="C1840" s="25"/>
      <c r="D1840" s="26"/>
      <c r="E1840" s="23"/>
      <c r="F1840" s="27"/>
      <c r="G1840" s="41"/>
      <c r="H1840" s="41"/>
      <c r="I1840" s="41"/>
      <c r="J1840" s="23"/>
    </row>
    <row r="1841" spans="1:10" ht="15" customHeight="1" x14ac:dyDescent="0.35">
      <c r="A1841" s="25"/>
      <c r="B1841" s="60"/>
      <c r="C1841" s="25"/>
      <c r="D1841" s="26"/>
      <c r="E1841" s="23"/>
      <c r="F1841" s="27"/>
      <c r="G1841" s="41"/>
      <c r="H1841" s="41"/>
      <c r="I1841" s="41"/>
      <c r="J1841" s="23"/>
    </row>
    <row r="1842" spans="1:10" ht="15" customHeight="1" x14ac:dyDescent="0.35">
      <c r="A1842" s="25"/>
      <c r="B1842" s="60"/>
      <c r="C1842" s="25"/>
      <c r="D1842" s="26"/>
      <c r="E1842" s="23"/>
      <c r="F1842" s="27"/>
      <c r="G1842" s="41"/>
      <c r="H1842" s="41"/>
      <c r="I1842" s="41"/>
      <c r="J1842" s="23"/>
    </row>
    <row r="1843" spans="1:10" ht="15" customHeight="1" x14ac:dyDescent="0.35">
      <c r="A1843" s="25"/>
      <c r="B1843" s="60"/>
      <c r="C1843" s="25"/>
      <c r="D1843" s="26"/>
      <c r="E1843" s="23"/>
      <c r="F1843" s="27"/>
      <c r="G1843" s="41"/>
      <c r="H1843" s="41"/>
      <c r="I1843" s="41"/>
      <c r="J1843" s="23"/>
    </row>
    <row r="1844" spans="1:10" ht="15" customHeight="1" x14ac:dyDescent="0.35">
      <c r="A1844" s="25"/>
      <c r="B1844" s="60"/>
      <c r="C1844" s="25"/>
      <c r="D1844" s="26"/>
      <c r="E1844" s="23"/>
      <c r="F1844" s="27"/>
      <c r="G1844" s="41"/>
      <c r="H1844" s="41"/>
      <c r="I1844" s="41"/>
      <c r="J1844" s="23"/>
    </row>
    <row r="1845" spans="1:10" ht="15" customHeight="1" x14ac:dyDescent="0.35">
      <c r="A1845" s="25"/>
      <c r="B1845" s="60"/>
      <c r="C1845" s="25"/>
      <c r="D1845" s="26"/>
      <c r="E1845" s="23"/>
      <c r="F1845" s="27"/>
      <c r="G1845" s="41"/>
      <c r="H1845" s="41"/>
      <c r="I1845" s="41"/>
      <c r="J1845" s="23"/>
    </row>
    <row r="1846" spans="1:10" ht="15" customHeight="1" x14ac:dyDescent="0.35">
      <c r="A1846" s="25"/>
      <c r="B1846" s="60"/>
      <c r="C1846" s="25"/>
      <c r="D1846" s="26"/>
      <c r="E1846" s="23"/>
      <c r="F1846" s="27"/>
      <c r="G1846" s="41"/>
      <c r="H1846" s="41"/>
      <c r="I1846" s="41"/>
      <c r="J1846" s="23"/>
    </row>
    <row r="1847" spans="1:10" ht="15" customHeight="1" x14ac:dyDescent="0.35">
      <c r="A1847" s="25"/>
      <c r="B1847" s="60"/>
      <c r="C1847" s="25"/>
      <c r="D1847" s="26"/>
      <c r="E1847" s="23"/>
      <c r="F1847" s="27"/>
      <c r="G1847" s="41"/>
      <c r="H1847" s="41"/>
      <c r="I1847" s="41"/>
      <c r="J1847" s="23"/>
    </row>
    <row r="1848" spans="1:10" ht="15" customHeight="1" x14ac:dyDescent="0.35">
      <c r="A1848" s="25"/>
      <c r="B1848" s="60"/>
      <c r="C1848" s="25"/>
      <c r="D1848" s="26"/>
      <c r="E1848" s="23"/>
      <c r="F1848" s="27"/>
      <c r="G1848" s="41"/>
      <c r="H1848" s="41"/>
      <c r="I1848" s="41"/>
      <c r="J1848" s="23"/>
    </row>
    <row r="1849" spans="1:10" ht="15" customHeight="1" x14ac:dyDescent="0.35">
      <c r="A1849" s="25"/>
      <c r="B1849" s="60"/>
      <c r="C1849" s="25"/>
      <c r="D1849" s="26"/>
      <c r="E1849" s="23"/>
      <c r="F1849" s="27"/>
      <c r="G1849" s="41"/>
      <c r="H1849" s="41"/>
      <c r="I1849" s="41"/>
      <c r="J1849" s="23"/>
    </row>
    <row r="1850" spans="1:10" ht="15" customHeight="1" x14ac:dyDescent="0.35">
      <c r="A1850" s="25"/>
      <c r="B1850" s="60"/>
      <c r="C1850" s="25"/>
      <c r="D1850" s="26"/>
      <c r="E1850" s="23"/>
      <c r="F1850" s="27"/>
      <c r="G1850" s="41"/>
      <c r="H1850" s="41"/>
      <c r="I1850" s="41"/>
      <c r="J1850" s="23"/>
    </row>
    <row r="1851" spans="1:10" ht="15" customHeight="1" x14ac:dyDescent="0.35">
      <c r="A1851" s="25"/>
      <c r="B1851" s="60"/>
      <c r="C1851" s="25"/>
      <c r="D1851" s="26"/>
      <c r="E1851" s="23"/>
      <c r="F1851" s="27"/>
      <c r="G1851" s="41"/>
      <c r="H1851" s="41"/>
      <c r="I1851" s="41"/>
      <c r="J1851" s="23"/>
    </row>
    <row r="1852" spans="1:10" ht="15" customHeight="1" x14ac:dyDescent="0.35">
      <c r="A1852" s="25"/>
      <c r="B1852" s="60"/>
      <c r="C1852" s="25"/>
      <c r="D1852" s="26"/>
      <c r="E1852" s="23"/>
      <c r="F1852" s="27"/>
      <c r="G1852" s="41"/>
      <c r="H1852" s="41"/>
      <c r="I1852" s="41"/>
      <c r="J1852" s="23"/>
    </row>
    <row r="1853" spans="1:10" ht="15" customHeight="1" x14ac:dyDescent="0.35">
      <c r="A1853" s="25"/>
      <c r="B1853" s="60"/>
      <c r="C1853" s="25"/>
      <c r="D1853" s="26"/>
      <c r="E1853" s="23"/>
      <c r="F1853" s="27"/>
      <c r="G1853" s="41"/>
      <c r="H1853" s="41"/>
      <c r="I1853" s="41"/>
      <c r="J1853" s="23"/>
    </row>
    <row r="1854" spans="1:10" ht="15" customHeight="1" x14ac:dyDescent="0.35">
      <c r="A1854" s="25"/>
      <c r="B1854" s="60"/>
      <c r="C1854" s="25"/>
      <c r="D1854" s="26"/>
      <c r="E1854" s="23"/>
      <c r="F1854" s="27"/>
      <c r="G1854" s="41"/>
      <c r="H1854" s="41"/>
      <c r="I1854" s="41"/>
      <c r="J1854" s="23"/>
    </row>
    <row r="1855" spans="1:10" ht="15" customHeight="1" x14ac:dyDescent="0.35">
      <c r="A1855" s="25"/>
      <c r="B1855" s="60"/>
      <c r="C1855" s="25"/>
      <c r="D1855" s="26"/>
      <c r="E1855" s="23"/>
      <c r="F1855" s="27"/>
      <c r="G1855" s="41"/>
      <c r="H1855" s="41"/>
      <c r="I1855" s="41"/>
      <c r="J1855" s="23"/>
    </row>
    <row r="1856" spans="1:10" ht="15" customHeight="1" x14ac:dyDescent="0.35">
      <c r="A1856" s="25"/>
      <c r="B1856" s="60"/>
      <c r="C1856" s="25"/>
      <c r="D1856" s="26"/>
      <c r="E1856" s="23"/>
      <c r="F1856" s="27"/>
      <c r="G1856" s="41"/>
      <c r="H1856" s="41"/>
      <c r="I1856" s="41"/>
      <c r="J1856" s="23"/>
    </row>
    <row r="1857" spans="1:10" ht="15" customHeight="1" x14ac:dyDescent="0.35">
      <c r="A1857" s="25"/>
      <c r="B1857" s="60"/>
      <c r="C1857" s="25"/>
      <c r="D1857" s="26"/>
      <c r="E1857" s="23"/>
      <c r="F1857" s="27"/>
      <c r="G1857" s="41"/>
      <c r="H1857" s="41"/>
      <c r="I1857" s="41"/>
      <c r="J1857" s="23"/>
    </row>
    <row r="1858" spans="1:10" ht="15" customHeight="1" x14ac:dyDescent="0.35">
      <c r="A1858" s="25"/>
      <c r="B1858" s="60"/>
      <c r="C1858" s="25"/>
      <c r="D1858" s="26"/>
      <c r="E1858" s="23"/>
      <c r="F1858" s="27"/>
      <c r="G1858" s="41"/>
      <c r="H1858" s="41"/>
      <c r="I1858" s="41"/>
      <c r="J1858" s="23"/>
    </row>
    <row r="1859" spans="1:10" ht="15" customHeight="1" x14ac:dyDescent="0.35">
      <c r="A1859" s="25"/>
      <c r="B1859" s="60"/>
      <c r="C1859" s="25"/>
      <c r="D1859" s="26"/>
      <c r="E1859" s="23"/>
      <c r="F1859" s="27"/>
      <c r="G1859" s="41"/>
      <c r="H1859" s="41"/>
      <c r="I1859" s="41"/>
      <c r="J1859" s="23"/>
    </row>
    <row r="1860" spans="1:10" ht="15" customHeight="1" x14ac:dyDescent="0.35">
      <c r="A1860" s="25"/>
      <c r="B1860" s="60"/>
      <c r="C1860" s="25"/>
      <c r="D1860" s="26"/>
      <c r="E1860" s="23"/>
      <c r="F1860" s="27"/>
      <c r="G1860" s="41"/>
      <c r="H1860" s="41"/>
      <c r="I1860" s="41"/>
      <c r="J1860" s="23"/>
    </row>
    <row r="1861" spans="1:10" ht="15" customHeight="1" x14ac:dyDescent="0.35">
      <c r="A1861" s="25"/>
      <c r="B1861" s="60"/>
      <c r="C1861" s="25"/>
      <c r="D1861" s="26"/>
      <c r="E1861" s="23"/>
      <c r="F1861" s="27"/>
      <c r="G1861" s="41"/>
      <c r="H1861" s="41"/>
      <c r="I1861" s="41"/>
      <c r="J1861" s="23"/>
    </row>
    <row r="1862" spans="1:10" ht="15" customHeight="1" x14ac:dyDescent="0.35">
      <c r="A1862" s="25"/>
      <c r="B1862" s="60"/>
      <c r="C1862" s="25"/>
      <c r="D1862" s="26"/>
      <c r="E1862" s="23"/>
      <c r="F1862" s="27"/>
      <c r="G1862" s="41"/>
      <c r="H1862" s="41"/>
      <c r="I1862" s="41"/>
      <c r="J1862" s="23"/>
    </row>
    <row r="1863" spans="1:10" ht="15" customHeight="1" x14ac:dyDescent="0.35">
      <c r="A1863" s="25"/>
      <c r="B1863" s="60"/>
      <c r="C1863" s="25"/>
      <c r="D1863" s="26"/>
      <c r="E1863" s="23"/>
      <c r="F1863" s="27"/>
      <c r="G1863" s="41"/>
      <c r="H1863" s="41"/>
      <c r="I1863" s="41"/>
      <c r="J1863" s="23"/>
    </row>
    <row r="1864" spans="1:10" ht="15" customHeight="1" x14ac:dyDescent="0.35">
      <c r="A1864" s="25"/>
      <c r="B1864" s="60"/>
      <c r="C1864" s="25"/>
      <c r="D1864" s="26"/>
      <c r="E1864" s="23"/>
      <c r="F1864" s="27"/>
      <c r="G1864" s="41"/>
      <c r="H1864" s="41"/>
      <c r="I1864" s="41"/>
      <c r="J1864" s="23"/>
    </row>
    <row r="1865" spans="1:10" ht="15" customHeight="1" x14ac:dyDescent="0.35">
      <c r="A1865" s="25"/>
      <c r="B1865" s="60"/>
      <c r="C1865" s="25"/>
      <c r="D1865" s="26"/>
      <c r="E1865" s="23"/>
      <c r="F1865" s="27"/>
      <c r="G1865" s="41"/>
      <c r="H1865" s="41"/>
      <c r="I1865" s="41"/>
      <c r="J1865" s="23"/>
    </row>
    <row r="1866" spans="1:10" ht="15" customHeight="1" x14ac:dyDescent="0.35">
      <c r="A1866" s="25"/>
      <c r="B1866" s="60"/>
      <c r="C1866" s="25"/>
      <c r="D1866" s="26"/>
      <c r="E1866" s="23"/>
      <c r="F1866" s="27"/>
      <c r="G1866" s="41"/>
      <c r="H1866" s="41"/>
      <c r="I1866" s="41"/>
      <c r="J1866" s="23"/>
    </row>
    <row r="1867" spans="1:10" ht="15" customHeight="1" x14ac:dyDescent="0.35">
      <c r="A1867" s="25"/>
      <c r="B1867" s="60"/>
      <c r="C1867" s="25"/>
      <c r="D1867" s="26"/>
      <c r="E1867" s="23"/>
      <c r="F1867" s="27"/>
      <c r="G1867" s="41"/>
      <c r="H1867" s="41"/>
      <c r="I1867" s="41"/>
      <c r="J1867" s="23"/>
    </row>
    <row r="1868" spans="1:10" ht="15" customHeight="1" x14ac:dyDescent="0.35">
      <c r="A1868" s="25"/>
      <c r="B1868" s="60"/>
      <c r="C1868" s="25"/>
      <c r="D1868" s="26"/>
      <c r="E1868" s="23"/>
      <c r="F1868" s="27"/>
      <c r="G1868" s="41"/>
      <c r="H1868" s="41"/>
      <c r="I1868" s="41"/>
      <c r="J1868" s="23"/>
    </row>
    <row r="1869" spans="1:10" ht="15" customHeight="1" x14ac:dyDescent="0.35">
      <c r="A1869" s="25"/>
      <c r="B1869" s="60"/>
      <c r="C1869" s="25"/>
      <c r="D1869" s="26"/>
      <c r="E1869" s="23"/>
      <c r="F1869" s="27"/>
      <c r="G1869" s="41"/>
      <c r="H1869" s="41"/>
      <c r="I1869" s="41"/>
      <c r="J1869" s="23"/>
    </row>
    <row r="1870" spans="1:10" ht="15" customHeight="1" x14ac:dyDescent="0.35">
      <c r="A1870" s="25"/>
      <c r="B1870" s="60"/>
      <c r="C1870" s="25"/>
      <c r="D1870" s="26"/>
      <c r="E1870" s="23"/>
      <c r="F1870" s="27"/>
      <c r="G1870" s="41"/>
      <c r="H1870" s="41"/>
      <c r="I1870" s="41"/>
      <c r="J1870" s="23"/>
    </row>
    <row r="1871" spans="1:10" ht="15" customHeight="1" x14ac:dyDescent="0.35">
      <c r="A1871" s="25"/>
      <c r="B1871" s="60"/>
      <c r="C1871" s="25"/>
      <c r="D1871" s="26"/>
      <c r="E1871" s="23"/>
      <c r="F1871" s="27"/>
      <c r="G1871" s="41"/>
      <c r="H1871" s="41"/>
      <c r="I1871" s="41"/>
      <c r="J1871" s="23"/>
    </row>
    <row r="1872" spans="1:10" ht="15" customHeight="1" x14ac:dyDescent="0.35">
      <c r="A1872" s="25"/>
      <c r="B1872" s="60"/>
      <c r="C1872" s="25"/>
      <c r="D1872" s="26"/>
      <c r="E1872" s="23"/>
      <c r="F1872" s="27"/>
      <c r="G1872" s="41"/>
      <c r="H1872" s="41"/>
      <c r="I1872" s="41"/>
      <c r="J1872" s="23"/>
    </row>
    <row r="1873" spans="1:10" ht="15" customHeight="1" x14ac:dyDescent="0.35">
      <c r="A1873" s="25"/>
      <c r="B1873" s="60"/>
      <c r="C1873" s="25"/>
      <c r="D1873" s="26"/>
      <c r="E1873" s="23"/>
      <c r="F1873" s="27"/>
      <c r="G1873" s="41"/>
      <c r="H1873" s="41"/>
      <c r="I1873" s="41"/>
      <c r="J1873" s="23"/>
    </row>
    <row r="1874" spans="1:10" ht="15" customHeight="1" x14ac:dyDescent="0.35">
      <c r="A1874" s="25"/>
      <c r="B1874" s="60"/>
      <c r="C1874" s="25"/>
      <c r="D1874" s="26"/>
      <c r="E1874" s="23"/>
      <c r="F1874" s="27"/>
      <c r="G1874" s="41"/>
      <c r="H1874" s="41"/>
      <c r="I1874" s="41"/>
      <c r="J1874" s="23"/>
    </row>
    <row r="1875" spans="1:10" ht="15" customHeight="1" x14ac:dyDescent="0.35">
      <c r="A1875" s="25"/>
      <c r="B1875" s="60"/>
      <c r="C1875" s="25"/>
      <c r="D1875" s="26"/>
      <c r="E1875" s="23"/>
      <c r="F1875" s="27"/>
      <c r="G1875" s="41"/>
      <c r="H1875" s="41"/>
      <c r="I1875" s="41"/>
      <c r="J1875" s="23"/>
    </row>
    <row r="1876" spans="1:10" ht="15" customHeight="1" x14ac:dyDescent="0.35">
      <c r="A1876" s="25"/>
      <c r="B1876" s="60"/>
      <c r="C1876" s="25"/>
      <c r="D1876" s="26"/>
      <c r="E1876" s="23"/>
      <c r="F1876" s="27"/>
      <c r="G1876" s="41"/>
      <c r="H1876" s="41"/>
      <c r="I1876" s="41"/>
      <c r="J1876" s="23"/>
    </row>
    <row r="1877" spans="1:10" ht="15" customHeight="1" x14ac:dyDescent="0.35">
      <c r="A1877" s="25"/>
      <c r="B1877" s="60"/>
      <c r="C1877" s="25"/>
      <c r="D1877" s="26"/>
      <c r="E1877" s="23"/>
      <c r="F1877" s="27"/>
      <c r="G1877" s="41"/>
      <c r="H1877" s="41"/>
      <c r="I1877" s="41"/>
      <c r="J1877" s="23"/>
    </row>
    <row r="1878" spans="1:10" ht="15" customHeight="1" x14ac:dyDescent="0.35">
      <c r="A1878" s="25"/>
      <c r="B1878" s="60"/>
      <c r="C1878" s="25"/>
      <c r="D1878" s="26"/>
      <c r="E1878" s="23"/>
      <c r="F1878" s="27"/>
      <c r="G1878" s="41"/>
      <c r="H1878" s="41"/>
      <c r="I1878" s="41"/>
      <c r="J1878" s="23"/>
    </row>
    <row r="1879" spans="1:10" ht="15" customHeight="1" x14ac:dyDescent="0.35">
      <c r="A1879" s="25"/>
      <c r="B1879" s="60"/>
      <c r="C1879" s="25"/>
      <c r="D1879" s="26"/>
      <c r="E1879" s="23"/>
      <c r="F1879" s="27"/>
      <c r="G1879" s="41"/>
      <c r="H1879" s="41"/>
      <c r="I1879" s="41"/>
      <c r="J1879" s="23"/>
    </row>
    <row r="1880" spans="1:10" ht="15" customHeight="1" x14ac:dyDescent="0.35">
      <c r="A1880" s="25"/>
      <c r="B1880" s="60"/>
      <c r="C1880" s="25"/>
      <c r="D1880" s="26"/>
      <c r="E1880" s="23"/>
      <c r="F1880" s="27"/>
      <c r="G1880" s="41"/>
      <c r="H1880" s="41"/>
      <c r="I1880" s="41"/>
      <c r="J1880" s="23"/>
    </row>
    <row r="1881" spans="1:10" ht="15" customHeight="1" x14ac:dyDescent="0.35">
      <c r="A1881" s="25"/>
      <c r="B1881" s="60"/>
      <c r="C1881" s="25"/>
      <c r="D1881" s="26"/>
      <c r="E1881" s="23"/>
      <c r="F1881" s="27"/>
      <c r="G1881" s="41"/>
      <c r="H1881" s="41"/>
      <c r="I1881" s="41"/>
      <c r="J1881" s="23"/>
    </row>
    <row r="1882" spans="1:10" ht="15" customHeight="1" x14ac:dyDescent="0.35">
      <c r="A1882" s="25"/>
      <c r="B1882" s="60"/>
      <c r="C1882" s="25"/>
      <c r="D1882" s="26"/>
      <c r="E1882" s="23"/>
      <c r="F1882" s="27"/>
      <c r="G1882" s="41"/>
      <c r="H1882" s="41"/>
      <c r="I1882" s="41"/>
      <c r="J1882" s="23"/>
    </row>
    <row r="1883" spans="1:10" ht="15" customHeight="1" x14ac:dyDescent="0.35">
      <c r="A1883" s="25"/>
      <c r="B1883" s="60"/>
      <c r="C1883" s="25"/>
      <c r="D1883" s="26"/>
      <c r="E1883" s="23"/>
      <c r="F1883" s="27"/>
      <c r="G1883" s="41"/>
      <c r="H1883" s="41"/>
      <c r="I1883" s="41"/>
      <c r="J1883" s="23"/>
    </row>
    <row r="1884" spans="1:10" ht="15" customHeight="1" x14ac:dyDescent="0.35">
      <c r="A1884" s="25"/>
      <c r="B1884" s="60"/>
      <c r="C1884" s="25"/>
      <c r="D1884" s="26"/>
      <c r="E1884" s="23"/>
      <c r="F1884" s="27"/>
      <c r="G1884" s="41"/>
      <c r="H1884" s="41"/>
      <c r="I1884" s="41"/>
      <c r="J1884" s="23"/>
    </row>
    <row r="1885" spans="1:10" ht="15" customHeight="1" x14ac:dyDescent="0.35">
      <c r="A1885" s="25"/>
      <c r="B1885" s="60"/>
      <c r="C1885" s="25"/>
      <c r="D1885" s="26"/>
      <c r="E1885" s="23"/>
      <c r="F1885" s="27"/>
      <c r="G1885" s="41"/>
      <c r="H1885" s="41"/>
      <c r="I1885" s="41"/>
      <c r="J1885" s="23"/>
    </row>
    <row r="1886" spans="1:10" ht="15" customHeight="1" x14ac:dyDescent="0.35">
      <c r="A1886" s="25"/>
      <c r="B1886" s="60"/>
      <c r="C1886" s="25"/>
      <c r="D1886" s="26"/>
      <c r="E1886" s="23"/>
      <c r="F1886" s="27"/>
      <c r="G1886" s="41"/>
      <c r="H1886" s="41"/>
      <c r="I1886" s="41"/>
      <c r="J1886" s="23"/>
    </row>
    <row r="1887" spans="1:10" ht="15" customHeight="1" x14ac:dyDescent="0.35">
      <c r="A1887" s="25"/>
      <c r="B1887" s="60"/>
      <c r="C1887" s="25"/>
      <c r="D1887" s="26"/>
      <c r="E1887" s="23"/>
      <c r="F1887" s="27"/>
      <c r="G1887" s="41"/>
      <c r="H1887" s="41"/>
      <c r="I1887" s="41"/>
      <c r="J1887" s="23"/>
    </row>
    <row r="1888" spans="1:10" ht="15" customHeight="1" x14ac:dyDescent="0.35">
      <c r="A1888" s="25"/>
      <c r="B1888" s="60"/>
      <c r="C1888" s="25"/>
      <c r="D1888" s="26"/>
      <c r="E1888" s="23"/>
      <c r="F1888" s="27"/>
      <c r="G1888" s="41"/>
      <c r="H1888" s="41"/>
      <c r="I1888" s="41"/>
      <c r="J1888" s="23"/>
    </row>
    <row r="1889" spans="1:10" ht="15" customHeight="1" x14ac:dyDescent="0.35">
      <c r="A1889" s="25"/>
      <c r="B1889" s="60"/>
      <c r="C1889" s="25"/>
      <c r="D1889" s="26"/>
      <c r="E1889" s="23"/>
      <c r="F1889" s="27"/>
      <c r="G1889" s="41"/>
      <c r="H1889" s="41"/>
      <c r="I1889" s="41"/>
      <c r="J1889" s="23"/>
    </row>
    <row r="1890" spans="1:10" ht="15" customHeight="1" x14ac:dyDescent="0.35">
      <c r="A1890" s="25"/>
      <c r="B1890" s="60"/>
      <c r="C1890" s="25"/>
      <c r="D1890" s="26"/>
      <c r="E1890" s="23"/>
      <c r="F1890" s="27"/>
      <c r="G1890" s="41"/>
      <c r="H1890" s="41"/>
      <c r="I1890" s="41"/>
      <c r="J1890" s="23"/>
    </row>
    <row r="1891" spans="1:10" ht="15" customHeight="1" x14ac:dyDescent="0.35">
      <c r="A1891" s="25"/>
      <c r="B1891" s="60"/>
      <c r="C1891" s="25"/>
      <c r="D1891" s="26"/>
      <c r="E1891" s="23"/>
      <c r="F1891" s="27"/>
      <c r="G1891" s="41"/>
      <c r="H1891" s="41"/>
      <c r="I1891" s="41"/>
      <c r="J1891" s="23"/>
    </row>
    <row r="1892" spans="1:10" ht="15" customHeight="1" x14ac:dyDescent="0.35">
      <c r="A1892" s="25"/>
      <c r="B1892" s="60"/>
      <c r="C1892" s="25"/>
      <c r="D1892" s="26"/>
      <c r="E1892" s="23"/>
      <c r="F1892" s="27"/>
      <c r="G1892" s="41"/>
      <c r="H1892" s="41"/>
      <c r="I1892" s="41"/>
      <c r="J1892" s="23"/>
    </row>
    <row r="1893" spans="1:10" ht="15" customHeight="1" x14ac:dyDescent="0.35">
      <c r="A1893" s="25"/>
      <c r="B1893" s="60"/>
      <c r="C1893" s="25"/>
      <c r="D1893" s="26"/>
      <c r="E1893" s="23"/>
      <c r="F1893" s="27"/>
      <c r="G1893" s="41"/>
      <c r="H1893" s="41"/>
      <c r="I1893" s="41"/>
      <c r="J1893" s="23"/>
    </row>
    <row r="1894" spans="1:10" ht="15" customHeight="1" x14ac:dyDescent="0.35">
      <c r="A1894" s="25"/>
      <c r="B1894" s="60"/>
      <c r="C1894" s="25"/>
      <c r="D1894" s="26"/>
      <c r="E1894" s="23"/>
      <c r="F1894" s="27"/>
      <c r="G1894" s="41"/>
      <c r="H1894" s="41"/>
      <c r="I1894" s="41"/>
      <c r="J1894" s="23"/>
    </row>
    <row r="1895" spans="1:10" ht="15" customHeight="1" x14ac:dyDescent="0.35">
      <c r="A1895" s="25"/>
      <c r="B1895" s="60"/>
      <c r="C1895" s="25"/>
      <c r="D1895" s="26"/>
      <c r="E1895" s="23"/>
      <c r="F1895" s="27"/>
      <c r="G1895" s="41"/>
      <c r="H1895" s="41"/>
      <c r="I1895" s="41"/>
      <c r="J1895" s="23"/>
    </row>
    <row r="1896" spans="1:10" ht="15" customHeight="1" x14ac:dyDescent="0.35">
      <c r="A1896" s="25"/>
      <c r="B1896" s="60"/>
      <c r="C1896" s="25"/>
      <c r="D1896" s="26"/>
      <c r="E1896" s="23"/>
      <c r="F1896" s="27"/>
      <c r="G1896" s="41"/>
      <c r="H1896" s="41"/>
      <c r="I1896" s="41"/>
      <c r="J1896" s="23"/>
    </row>
    <row r="1897" spans="1:10" ht="15" customHeight="1" x14ac:dyDescent="0.35">
      <c r="A1897" s="25"/>
      <c r="B1897" s="60"/>
      <c r="C1897" s="25"/>
      <c r="D1897" s="26"/>
      <c r="E1897" s="23"/>
      <c r="F1897" s="27"/>
      <c r="G1897" s="41"/>
      <c r="H1897" s="41"/>
      <c r="I1897" s="41"/>
      <c r="J1897" s="23"/>
    </row>
    <row r="1898" spans="1:10" ht="15" customHeight="1" x14ac:dyDescent="0.35">
      <c r="A1898" s="25"/>
      <c r="B1898" s="60"/>
      <c r="C1898" s="25"/>
      <c r="D1898" s="26"/>
      <c r="E1898" s="23"/>
      <c r="F1898" s="27"/>
      <c r="G1898" s="41"/>
      <c r="H1898" s="41"/>
      <c r="I1898" s="41"/>
      <c r="J1898" s="23"/>
    </row>
    <row r="1899" spans="1:10" ht="15" customHeight="1" x14ac:dyDescent="0.35">
      <c r="A1899" s="25"/>
      <c r="B1899" s="60"/>
      <c r="C1899" s="25"/>
      <c r="D1899" s="26"/>
      <c r="E1899" s="23"/>
      <c r="F1899" s="27"/>
      <c r="G1899" s="41"/>
      <c r="H1899" s="41"/>
      <c r="I1899" s="41"/>
      <c r="J1899" s="23"/>
    </row>
    <row r="1900" spans="1:10" ht="15" customHeight="1" x14ac:dyDescent="0.35">
      <c r="A1900" s="25"/>
      <c r="B1900" s="60"/>
      <c r="C1900" s="25"/>
      <c r="D1900" s="26"/>
      <c r="E1900" s="23"/>
      <c r="F1900" s="27"/>
      <c r="G1900" s="41"/>
      <c r="H1900" s="41"/>
      <c r="I1900" s="41"/>
      <c r="J1900" s="23"/>
    </row>
    <row r="1901" spans="1:10" ht="15" customHeight="1" x14ac:dyDescent="0.35">
      <c r="A1901" s="25"/>
      <c r="B1901" s="60"/>
      <c r="C1901" s="25"/>
      <c r="D1901" s="26"/>
      <c r="E1901" s="23"/>
      <c r="F1901" s="27"/>
      <c r="G1901" s="41"/>
      <c r="H1901" s="41"/>
      <c r="I1901" s="41"/>
      <c r="J1901" s="23"/>
    </row>
    <row r="1902" spans="1:10" ht="15" customHeight="1" x14ac:dyDescent="0.35">
      <c r="A1902" s="25"/>
      <c r="B1902" s="60"/>
      <c r="C1902" s="25"/>
      <c r="D1902" s="26"/>
      <c r="E1902" s="23"/>
      <c r="F1902" s="27"/>
      <c r="G1902" s="41"/>
      <c r="H1902" s="41"/>
      <c r="I1902" s="41"/>
      <c r="J1902" s="23"/>
    </row>
    <row r="1903" spans="1:10" ht="15" customHeight="1" x14ac:dyDescent="0.35">
      <c r="A1903" s="25"/>
      <c r="B1903" s="60"/>
      <c r="C1903" s="25"/>
      <c r="D1903" s="26"/>
      <c r="E1903" s="23"/>
      <c r="F1903" s="27"/>
      <c r="G1903" s="41"/>
      <c r="H1903" s="41"/>
      <c r="I1903" s="41"/>
      <c r="J1903" s="23"/>
    </row>
    <row r="1904" spans="1:10" ht="15" customHeight="1" x14ac:dyDescent="0.35">
      <c r="A1904" s="25"/>
      <c r="B1904" s="60"/>
      <c r="C1904" s="25"/>
      <c r="D1904" s="26"/>
      <c r="E1904" s="23"/>
      <c r="F1904" s="27"/>
      <c r="G1904" s="41"/>
      <c r="H1904" s="41"/>
      <c r="I1904" s="41"/>
      <c r="J1904" s="23"/>
    </row>
    <row r="1905" spans="1:10" ht="15" customHeight="1" x14ac:dyDescent="0.35">
      <c r="A1905" s="25"/>
      <c r="B1905" s="60"/>
      <c r="C1905" s="25"/>
      <c r="D1905" s="26"/>
      <c r="E1905" s="23"/>
      <c r="F1905" s="27"/>
      <c r="G1905" s="41"/>
      <c r="H1905" s="41"/>
      <c r="I1905" s="41"/>
      <c r="J1905" s="23"/>
    </row>
    <row r="1906" spans="1:10" ht="15" customHeight="1" x14ac:dyDescent="0.35">
      <c r="A1906" s="25"/>
      <c r="B1906" s="60"/>
      <c r="C1906" s="25"/>
      <c r="D1906" s="26"/>
      <c r="E1906" s="23"/>
      <c r="F1906" s="27"/>
      <c r="G1906" s="41"/>
      <c r="H1906" s="41"/>
      <c r="I1906" s="41"/>
      <c r="J1906" s="23"/>
    </row>
    <row r="1907" spans="1:10" ht="15" customHeight="1" x14ac:dyDescent="0.35">
      <c r="A1907" s="25"/>
      <c r="B1907" s="60"/>
      <c r="C1907" s="25"/>
      <c r="D1907" s="26"/>
      <c r="E1907" s="23"/>
      <c r="F1907" s="27"/>
      <c r="G1907" s="41"/>
      <c r="H1907" s="41"/>
      <c r="I1907" s="41"/>
      <c r="J1907" s="23"/>
    </row>
    <row r="1908" spans="1:10" ht="15" customHeight="1" x14ac:dyDescent="0.35">
      <c r="A1908" s="25"/>
      <c r="B1908" s="60"/>
      <c r="C1908" s="25"/>
      <c r="D1908" s="26"/>
      <c r="E1908" s="23"/>
      <c r="F1908" s="27"/>
      <c r="G1908" s="41"/>
      <c r="H1908" s="41"/>
      <c r="I1908" s="41"/>
      <c r="J1908" s="23"/>
    </row>
    <row r="1909" spans="1:10" ht="15" customHeight="1" x14ac:dyDescent="0.35">
      <c r="A1909" s="23"/>
      <c r="B1909" s="61"/>
      <c r="C1909" s="23"/>
      <c r="D1909" s="26"/>
      <c r="E1909" s="23"/>
      <c r="F1909" s="27"/>
      <c r="G1909" s="41"/>
      <c r="H1909" s="41"/>
      <c r="I1909" s="41"/>
      <c r="J1909" s="23"/>
    </row>
    <row r="1910" spans="1:10" ht="15" customHeight="1" x14ac:dyDescent="0.35">
      <c r="A1910" s="23"/>
      <c r="B1910" s="61"/>
      <c r="C1910" s="23"/>
      <c r="D1910" s="26"/>
      <c r="E1910" s="23"/>
      <c r="F1910" s="27"/>
      <c r="G1910" s="41"/>
      <c r="H1910" s="41"/>
      <c r="I1910" s="41"/>
      <c r="J1910" s="23"/>
    </row>
    <row r="1911" spans="1:10" ht="15" customHeight="1" x14ac:dyDescent="0.35">
      <c r="A1911" s="23"/>
      <c r="B1911" s="61"/>
      <c r="C1911" s="23"/>
      <c r="D1911" s="26"/>
      <c r="E1911" s="23"/>
      <c r="F1911" s="27"/>
      <c r="G1911" s="41"/>
      <c r="H1911" s="41"/>
      <c r="I1911" s="41"/>
      <c r="J1911" s="23"/>
    </row>
    <row r="1912" spans="1:10" ht="15" customHeight="1" x14ac:dyDescent="0.35">
      <c r="A1912" s="23"/>
      <c r="B1912" s="61"/>
      <c r="C1912" s="23"/>
      <c r="D1912" s="26"/>
      <c r="E1912" s="23"/>
      <c r="F1912" s="27"/>
      <c r="G1912" s="41"/>
      <c r="H1912" s="41"/>
      <c r="I1912" s="41"/>
      <c r="J1912" s="23"/>
    </row>
    <row r="1913" spans="1:10" ht="15" customHeight="1" x14ac:dyDescent="0.35">
      <c r="A1913" s="23"/>
      <c r="B1913" s="61"/>
      <c r="C1913" s="23"/>
      <c r="D1913" s="26"/>
      <c r="E1913" s="23"/>
      <c r="F1913" s="27"/>
      <c r="G1913" s="41"/>
      <c r="H1913" s="41"/>
      <c r="I1913" s="41"/>
      <c r="J1913" s="23"/>
    </row>
    <row r="1914" spans="1:10" ht="15" customHeight="1" x14ac:dyDescent="0.35">
      <c r="A1914" s="23"/>
      <c r="B1914" s="61"/>
      <c r="C1914" s="23"/>
      <c r="D1914" s="26"/>
      <c r="E1914" s="23"/>
      <c r="F1914" s="27"/>
      <c r="G1914" s="41"/>
      <c r="H1914" s="41"/>
      <c r="I1914" s="41"/>
      <c r="J1914" s="23"/>
    </row>
    <row r="1915" spans="1:10" ht="15" customHeight="1" x14ac:dyDescent="0.35">
      <c r="A1915" s="23"/>
      <c r="B1915" s="61"/>
      <c r="C1915" s="23"/>
      <c r="D1915" s="26"/>
      <c r="E1915" s="23"/>
      <c r="F1915" s="27"/>
      <c r="G1915" s="41"/>
      <c r="H1915" s="41"/>
      <c r="I1915" s="41"/>
      <c r="J1915" s="23"/>
    </row>
    <row r="1916" spans="1:10" ht="15" customHeight="1" x14ac:dyDescent="0.35">
      <c r="A1916" s="23"/>
      <c r="B1916" s="61"/>
      <c r="C1916" s="23"/>
      <c r="D1916" s="26"/>
      <c r="E1916" s="23"/>
      <c r="F1916" s="27"/>
      <c r="G1916" s="41"/>
      <c r="H1916" s="41"/>
      <c r="I1916" s="41"/>
      <c r="J1916" s="23"/>
    </row>
    <row r="1917" spans="1:10" ht="15" customHeight="1" x14ac:dyDescent="0.35">
      <c r="A1917" s="23"/>
      <c r="B1917" s="61"/>
      <c r="C1917" s="23"/>
      <c r="D1917" s="26"/>
      <c r="E1917" s="23"/>
      <c r="F1917" s="27"/>
      <c r="G1917" s="41"/>
      <c r="H1917" s="41"/>
      <c r="I1917" s="41"/>
      <c r="J1917" s="23"/>
    </row>
    <row r="1918" spans="1:10" ht="15" customHeight="1" x14ac:dyDescent="0.35">
      <c r="A1918" s="23"/>
      <c r="B1918" s="61"/>
      <c r="C1918" s="23"/>
      <c r="D1918" s="26"/>
      <c r="E1918" s="23"/>
      <c r="F1918" s="27"/>
      <c r="G1918" s="41"/>
      <c r="H1918" s="41"/>
      <c r="I1918" s="41"/>
      <c r="J1918" s="23"/>
    </row>
    <row r="1919" spans="1:10" ht="15" customHeight="1" x14ac:dyDescent="0.35">
      <c r="A1919" s="23"/>
      <c r="B1919" s="61"/>
      <c r="C1919" s="23"/>
      <c r="D1919" s="26"/>
      <c r="E1919" s="23"/>
      <c r="F1919" s="27"/>
      <c r="G1919" s="41"/>
      <c r="H1919" s="41"/>
      <c r="I1919" s="41"/>
      <c r="J1919" s="23"/>
    </row>
    <row r="1920" spans="1:10" ht="15" customHeight="1" x14ac:dyDescent="0.35">
      <c r="A1920" s="23"/>
      <c r="B1920" s="61"/>
      <c r="C1920" s="23"/>
      <c r="D1920" s="26"/>
      <c r="E1920" s="23"/>
      <c r="F1920" s="27"/>
      <c r="G1920" s="41"/>
      <c r="H1920" s="41"/>
      <c r="I1920" s="41"/>
      <c r="J1920" s="23"/>
    </row>
    <row r="1921" spans="1:10" ht="15" customHeight="1" x14ac:dyDescent="0.35">
      <c r="A1921" s="23"/>
      <c r="B1921" s="61"/>
      <c r="C1921" s="23"/>
      <c r="D1921" s="26"/>
      <c r="E1921" s="23"/>
      <c r="F1921" s="27"/>
      <c r="G1921" s="41"/>
      <c r="H1921" s="41"/>
      <c r="I1921" s="41"/>
      <c r="J1921" s="23"/>
    </row>
    <row r="1922" spans="1:10" ht="15" customHeight="1" x14ac:dyDescent="0.35">
      <c r="A1922" s="23"/>
      <c r="B1922" s="61"/>
      <c r="C1922" s="23"/>
      <c r="D1922" s="26"/>
      <c r="E1922" s="23"/>
      <c r="F1922" s="27"/>
      <c r="G1922" s="41"/>
      <c r="H1922" s="41"/>
      <c r="I1922" s="41"/>
      <c r="J1922" s="23"/>
    </row>
    <row r="1923" spans="1:10" ht="15" customHeight="1" x14ac:dyDescent="0.35">
      <c r="A1923" s="23"/>
      <c r="B1923" s="61"/>
      <c r="C1923" s="23"/>
      <c r="D1923" s="26"/>
      <c r="E1923" s="23"/>
      <c r="F1923" s="27"/>
      <c r="G1923" s="41"/>
      <c r="H1923" s="41"/>
      <c r="I1923" s="41"/>
      <c r="J1923" s="23"/>
    </row>
    <row r="1924" spans="1:10" ht="15" customHeight="1" x14ac:dyDescent="0.35">
      <c r="A1924" s="23"/>
      <c r="B1924" s="61"/>
      <c r="C1924" s="23"/>
      <c r="D1924" s="26"/>
      <c r="E1924" s="23"/>
      <c r="F1924" s="27"/>
      <c r="G1924" s="41"/>
      <c r="H1924" s="41"/>
      <c r="I1924" s="41"/>
      <c r="J1924" s="23"/>
    </row>
    <row r="1925" spans="1:10" ht="15" customHeight="1" x14ac:dyDescent="0.35">
      <c r="A1925" s="23"/>
      <c r="B1925" s="61"/>
      <c r="C1925" s="23"/>
      <c r="D1925" s="26"/>
      <c r="E1925" s="23"/>
      <c r="F1925" s="27"/>
      <c r="G1925" s="41"/>
      <c r="H1925" s="41"/>
      <c r="I1925" s="41"/>
      <c r="J1925" s="23"/>
    </row>
    <row r="1926" spans="1:10" ht="15" customHeight="1" x14ac:dyDescent="0.35">
      <c r="A1926" s="23"/>
      <c r="B1926" s="61"/>
      <c r="C1926" s="23"/>
      <c r="D1926" s="26"/>
      <c r="E1926" s="23"/>
      <c r="F1926" s="27"/>
      <c r="G1926" s="41"/>
      <c r="H1926" s="41"/>
      <c r="I1926" s="41"/>
      <c r="J1926" s="23"/>
    </row>
    <row r="1927" spans="1:10" ht="15" customHeight="1" x14ac:dyDescent="0.35">
      <c r="A1927" s="23"/>
      <c r="B1927" s="61"/>
      <c r="C1927" s="23"/>
      <c r="D1927" s="26"/>
      <c r="E1927" s="23"/>
      <c r="F1927" s="27"/>
      <c r="G1927" s="41"/>
      <c r="H1927" s="41"/>
      <c r="I1927" s="41"/>
      <c r="J1927" s="23"/>
    </row>
    <row r="1928" spans="1:10" ht="15" customHeight="1" x14ac:dyDescent="0.35">
      <c r="A1928" s="23"/>
      <c r="B1928" s="61"/>
      <c r="C1928" s="23"/>
      <c r="D1928" s="26"/>
      <c r="E1928" s="23"/>
      <c r="F1928" s="27"/>
      <c r="G1928" s="41"/>
      <c r="H1928" s="41"/>
      <c r="I1928" s="41"/>
      <c r="J1928" s="23"/>
    </row>
    <row r="1929" spans="1:10" ht="15" customHeight="1" x14ac:dyDescent="0.35">
      <c r="A1929" s="23"/>
      <c r="B1929" s="61"/>
      <c r="C1929" s="23"/>
      <c r="D1929" s="26"/>
      <c r="E1929" s="23"/>
      <c r="F1929" s="27"/>
      <c r="G1929" s="41"/>
      <c r="H1929" s="41"/>
      <c r="I1929" s="41"/>
      <c r="J1929" s="23"/>
    </row>
    <row r="1930" spans="1:10" ht="15" customHeight="1" x14ac:dyDescent="0.35">
      <c r="A1930" s="23"/>
      <c r="B1930" s="61"/>
      <c r="C1930" s="23"/>
      <c r="D1930" s="26"/>
      <c r="E1930" s="23"/>
      <c r="F1930" s="27"/>
      <c r="G1930" s="41"/>
      <c r="H1930" s="41"/>
      <c r="I1930" s="41"/>
      <c r="J1930" s="23"/>
    </row>
    <row r="1931" spans="1:10" ht="15" customHeight="1" x14ac:dyDescent="0.35">
      <c r="A1931" s="23"/>
      <c r="B1931" s="61"/>
      <c r="C1931" s="23"/>
      <c r="D1931" s="26"/>
      <c r="E1931" s="23"/>
      <c r="F1931" s="27"/>
      <c r="G1931" s="41"/>
      <c r="H1931" s="41"/>
      <c r="I1931" s="41"/>
      <c r="J1931" s="23"/>
    </row>
    <row r="1932" spans="1:10" ht="15" customHeight="1" x14ac:dyDescent="0.35">
      <c r="A1932" s="23"/>
      <c r="B1932" s="61"/>
      <c r="C1932" s="23"/>
      <c r="D1932" s="26"/>
      <c r="E1932" s="23"/>
      <c r="F1932" s="27"/>
      <c r="G1932" s="41"/>
      <c r="H1932" s="41"/>
      <c r="I1932" s="41"/>
      <c r="J1932" s="23"/>
    </row>
    <row r="1933" spans="1:10" ht="15" customHeight="1" x14ac:dyDescent="0.35">
      <c r="A1933" s="23"/>
      <c r="B1933" s="61"/>
      <c r="C1933" s="23"/>
      <c r="D1933" s="26"/>
      <c r="E1933" s="23"/>
      <c r="F1933" s="27"/>
      <c r="G1933" s="41"/>
      <c r="H1933" s="41"/>
      <c r="I1933" s="41"/>
      <c r="J1933" s="23"/>
    </row>
    <row r="1934" spans="1:10" ht="15" customHeight="1" x14ac:dyDescent="0.35">
      <c r="A1934" s="23"/>
      <c r="B1934" s="61"/>
      <c r="C1934" s="23"/>
      <c r="D1934" s="26"/>
      <c r="E1934" s="23"/>
      <c r="F1934" s="27"/>
      <c r="G1934" s="41"/>
      <c r="H1934" s="41"/>
      <c r="I1934" s="41"/>
      <c r="J1934" s="23"/>
    </row>
    <row r="1935" spans="1:10" ht="15" customHeight="1" x14ac:dyDescent="0.35">
      <c r="A1935" s="23"/>
      <c r="B1935" s="61"/>
      <c r="C1935" s="23"/>
      <c r="D1935" s="26"/>
      <c r="E1935" s="23"/>
      <c r="F1935" s="27"/>
      <c r="G1935" s="41"/>
      <c r="H1935" s="41"/>
      <c r="I1935" s="41"/>
      <c r="J1935" s="23"/>
    </row>
    <row r="1936" spans="1:10" ht="15" customHeight="1" x14ac:dyDescent="0.35">
      <c r="A1936" s="23"/>
      <c r="B1936" s="61"/>
      <c r="C1936" s="23"/>
      <c r="D1936" s="26"/>
      <c r="E1936" s="23"/>
      <c r="F1936" s="27"/>
      <c r="G1936" s="41"/>
      <c r="H1936" s="41"/>
      <c r="I1936" s="41"/>
      <c r="J1936" s="23"/>
    </row>
    <row r="1937" spans="1:10" ht="15" customHeight="1" x14ac:dyDescent="0.35">
      <c r="A1937" s="23"/>
      <c r="B1937" s="61"/>
      <c r="C1937" s="23"/>
      <c r="D1937" s="26"/>
      <c r="E1937" s="23"/>
      <c r="F1937" s="27"/>
      <c r="G1937" s="41"/>
      <c r="H1937" s="41"/>
      <c r="I1937" s="41"/>
      <c r="J1937" s="23"/>
    </row>
    <row r="1938" spans="1:10" ht="15" customHeight="1" x14ac:dyDescent="0.35">
      <c r="A1938" s="23"/>
      <c r="B1938" s="61"/>
      <c r="C1938" s="23"/>
      <c r="D1938" s="26"/>
      <c r="E1938" s="23"/>
      <c r="F1938" s="27"/>
      <c r="G1938" s="41"/>
      <c r="H1938" s="41"/>
      <c r="I1938" s="41"/>
      <c r="J1938" s="23"/>
    </row>
    <row r="1939" spans="1:10" ht="15" customHeight="1" x14ac:dyDescent="0.35">
      <c r="A1939" s="23"/>
      <c r="B1939" s="61"/>
      <c r="C1939" s="23"/>
      <c r="D1939" s="26"/>
      <c r="E1939" s="23"/>
      <c r="F1939" s="27"/>
      <c r="G1939" s="41"/>
      <c r="H1939" s="41"/>
      <c r="I1939" s="41"/>
      <c r="J1939" s="23"/>
    </row>
    <row r="1940" spans="1:10" ht="15" customHeight="1" x14ac:dyDescent="0.35">
      <c r="A1940" s="23"/>
      <c r="B1940" s="61"/>
      <c r="C1940" s="23"/>
      <c r="D1940" s="26"/>
      <c r="E1940" s="23"/>
      <c r="F1940" s="27"/>
      <c r="G1940" s="41"/>
      <c r="H1940" s="41"/>
      <c r="I1940" s="41"/>
      <c r="J1940" s="23"/>
    </row>
    <row r="1941" spans="1:10" ht="15" customHeight="1" x14ac:dyDescent="0.35">
      <c r="A1941" s="23"/>
      <c r="B1941" s="61"/>
      <c r="C1941" s="23"/>
      <c r="D1941" s="26"/>
      <c r="E1941" s="23"/>
      <c r="F1941" s="27"/>
      <c r="G1941" s="41"/>
      <c r="H1941" s="41"/>
      <c r="I1941" s="41"/>
      <c r="J1941" s="23"/>
    </row>
    <row r="1942" spans="1:10" ht="15" customHeight="1" x14ac:dyDescent="0.35">
      <c r="A1942" s="23"/>
      <c r="B1942" s="61"/>
      <c r="C1942" s="23"/>
      <c r="D1942" s="26"/>
      <c r="E1942" s="23"/>
      <c r="F1942" s="27"/>
      <c r="G1942" s="41"/>
      <c r="H1942" s="41"/>
      <c r="I1942" s="41"/>
      <c r="J1942" s="23"/>
    </row>
    <row r="1943" spans="1:10" ht="15" customHeight="1" x14ac:dyDescent="0.35">
      <c r="A1943" s="23"/>
      <c r="B1943" s="61"/>
      <c r="C1943" s="23"/>
      <c r="D1943" s="26"/>
      <c r="E1943" s="23"/>
      <c r="F1943" s="27"/>
      <c r="G1943" s="41"/>
      <c r="H1943" s="41"/>
      <c r="I1943" s="41"/>
      <c r="J1943" s="23"/>
    </row>
    <row r="1944" spans="1:10" ht="15" customHeight="1" x14ac:dyDescent="0.35">
      <c r="A1944" s="23"/>
      <c r="B1944" s="61"/>
      <c r="C1944" s="23"/>
      <c r="D1944" s="26"/>
      <c r="E1944" s="23"/>
      <c r="F1944" s="27"/>
      <c r="G1944" s="41"/>
      <c r="H1944" s="41"/>
      <c r="I1944" s="41"/>
      <c r="J1944" s="23"/>
    </row>
    <row r="1945" spans="1:10" ht="15" customHeight="1" x14ac:dyDescent="0.35">
      <c r="A1945" s="23"/>
      <c r="B1945" s="61"/>
      <c r="C1945" s="23"/>
      <c r="D1945" s="26"/>
      <c r="E1945" s="23"/>
      <c r="F1945" s="27"/>
      <c r="G1945" s="41"/>
      <c r="H1945" s="41"/>
      <c r="I1945" s="41"/>
      <c r="J1945" s="23"/>
    </row>
    <row r="1946" spans="1:10" ht="15" customHeight="1" x14ac:dyDescent="0.35">
      <c r="A1946" s="23"/>
      <c r="B1946" s="61"/>
      <c r="C1946" s="23"/>
      <c r="D1946" s="26"/>
      <c r="E1946" s="23"/>
      <c r="F1946" s="27"/>
      <c r="G1946" s="41"/>
      <c r="H1946" s="41"/>
      <c r="I1946" s="41"/>
      <c r="J1946" s="23"/>
    </row>
    <row r="1947" spans="1:10" ht="15" customHeight="1" x14ac:dyDescent="0.35">
      <c r="A1947" s="23"/>
      <c r="B1947" s="61"/>
      <c r="C1947" s="23"/>
      <c r="D1947" s="26"/>
      <c r="E1947" s="23"/>
      <c r="F1947" s="27"/>
      <c r="G1947" s="41"/>
      <c r="H1947" s="41"/>
      <c r="I1947" s="41"/>
      <c r="J1947" s="23"/>
    </row>
    <row r="1948" spans="1:10" ht="15" customHeight="1" x14ac:dyDescent="0.35">
      <c r="A1948" s="23"/>
      <c r="B1948" s="61"/>
      <c r="C1948" s="23"/>
      <c r="D1948" s="26"/>
      <c r="E1948" s="23"/>
      <c r="F1948" s="27"/>
      <c r="G1948" s="41"/>
      <c r="H1948" s="41"/>
      <c r="I1948" s="41"/>
      <c r="J1948" s="23"/>
    </row>
    <row r="1949" spans="1:10" ht="15" customHeight="1" x14ac:dyDescent="0.35">
      <c r="A1949" s="23"/>
      <c r="B1949" s="61"/>
      <c r="C1949" s="23"/>
      <c r="D1949" s="26"/>
      <c r="E1949" s="23"/>
      <c r="F1949" s="27"/>
      <c r="G1949" s="41"/>
      <c r="H1949" s="41"/>
      <c r="I1949" s="41"/>
      <c r="J1949" s="23"/>
    </row>
    <row r="1950" spans="1:10" ht="15" customHeight="1" x14ac:dyDescent="0.35">
      <c r="A1950" s="23"/>
      <c r="B1950" s="61"/>
      <c r="C1950" s="23"/>
      <c r="D1950" s="26"/>
      <c r="E1950" s="23"/>
      <c r="F1950" s="27"/>
      <c r="G1950" s="41"/>
      <c r="H1950" s="41"/>
      <c r="I1950" s="41"/>
      <c r="J1950" s="23"/>
    </row>
    <row r="1951" spans="1:10" ht="15" customHeight="1" x14ac:dyDescent="0.35">
      <c r="A1951" s="23"/>
      <c r="B1951" s="61"/>
      <c r="C1951" s="23"/>
      <c r="D1951" s="26"/>
      <c r="E1951" s="23"/>
      <c r="F1951" s="27"/>
      <c r="G1951" s="41"/>
      <c r="H1951" s="41"/>
      <c r="I1951" s="41"/>
      <c r="J1951" s="23"/>
    </row>
    <row r="1952" spans="1:10" ht="15" customHeight="1" x14ac:dyDescent="0.35">
      <c r="A1952" s="23"/>
      <c r="B1952" s="61"/>
      <c r="C1952" s="23"/>
      <c r="D1952" s="26"/>
      <c r="E1952" s="23"/>
      <c r="F1952" s="27"/>
      <c r="G1952" s="41"/>
      <c r="H1952" s="41"/>
      <c r="I1952" s="41"/>
      <c r="J1952" s="23"/>
    </row>
    <row r="1953" spans="1:10" ht="15" customHeight="1" x14ac:dyDescent="0.35">
      <c r="A1953" s="23"/>
      <c r="B1953" s="61"/>
      <c r="C1953" s="23"/>
      <c r="D1953" s="26"/>
      <c r="E1953" s="23"/>
      <c r="F1953" s="27"/>
      <c r="G1953" s="41"/>
      <c r="H1953" s="41"/>
      <c r="I1953" s="41"/>
      <c r="J1953" s="23"/>
    </row>
    <row r="1954" spans="1:10" ht="15" customHeight="1" x14ac:dyDescent="0.35">
      <c r="A1954" s="23"/>
      <c r="B1954" s="61"/>
      <c r="C1954" s="23"/>
      <c r="D1954" s="26"/>
      <c r="E1954" s="23"/>
      <c r="F1954" s="27"/>
      <c r="G1954" s="41"/>
      <c r="H1954" s="41"/>
      <c r="I1954" s="41"/>
      <c r="J1954" s="23"/>
    </row>
    <row r="1955" spans="1:10" ht="15" customHeight="1" x14ac:dyDescent="0.35">
      <c r="A1955" s="23"/>
      <c r="B1955" s="61"/>
      <c r="C1955" s="23"/>
      <c r="D1955" s="26"/>
      <c r="E1955" s="23"/>
      <c r="F1955" s="27"/>
      <c r="G1955" s="41"/>
      <c r="H1955" s="41"/>
      <c r="I1955" s="41"/>
      <c r="J1955" s="23"/>
    </row>
    <row r="1956" spans="1:10" ht="15" customHeight="1" x14ac:dyDescent="0.35">
      <c r="A1956" s="23"/>
      <c r="B1956" s="61"/>
      <c r="C1956" s="23"/>
      <c r="D1956" s="26"/>
      <c r="E1956" s="23"/>
      <c r="F1956" s="27"/>
      <c r="G1956" s="41"/>
      <c r="H1956" s="41"/>
      <c r="I1956" s="41"/>
      <c r="J1956" s="23"/>
    </row>
    <row r="1957" spans="1:10" ht="15" customHeight="1" x14ac:dyDescent="0.35">
      <c r="A1957" s="23"/>
      <c r="B1957" s="61"/>
      <c r="C1957" s="23"/>
      <c r="D1957" s="26"/>
      <c r="E1957" s="23"/>
      <c r="F1957" s="27"/>
      <c r="G1957" s="41"/>
      <c r="H1957" s="41"/>
      <c r="I1957" s="41"/>
      <c r="J1957" s="23"/>
    </row>
    <row r="1958" spans="1:10" ht="15" customHeight="1" x14ac:dyDescent="0.35">
      <c r="A1958" s="23"/>
      <c r="B1958" s="61"/>
      <c r="C1958" s="23"/>
      <c r="D1958" s="26"/>
      <c r="E1958" s="23"/>
      <c r="F1958" s="27"/>
      <c r="G1958" s="41"/>
      <c r="H1958" s="41"/>
      <c r="I1958" s="41"/>
      <c r="J1958" s="23"/>
    </row>
    <row r="1959" spans="1:10" ht="15" customHeight="1" x14ac:dyDescent="0.35">
      <c r="A1959" s="23"/>
      <c r="B1959" s="61"/>
      <c r="C1959" s="23"/>
      <c r="D1959" s="26"/>
      <c r="E1959" s="23"/>
      <c r="F1959" s="27"/>
      <c r="G1959" s="41"/>
      <c r="H1959" s="41"/>
      <c r="I1959" s="41"/>
      <c r="J1959" s="23"/>
    </row>
    <row r="1960" spans="1:10" ht="15" customHeight="1" x14ac:dyDescent="0.35">
      <c r="A1960" s="23"/>
      <c r="B1960" s="61"/>
      <c r="C1960" s="23"/>
      <c r="D1960" s="26"/>
      <c r="E1960" s="23"/>
      <c r="F1960" s="27"/>
      <c r="G1960" s="41"/>
      <c r="H1960" s="41"/>
      <c r="I1960" s="41"/>
      <c r="J1960" s="23"/>
    </row>
    <row r="1961" spans="1:10" ht="15" customHeight="1" x14ac:dyDescent="0.35">
      <c r="A1961" s="23"/>
      <c r="B1961" s="61"/>
      <c r="C1961" s="23"/>
      <c r="D1961" s="26"/>
      <c r="E1961" s="23"/>
      <c r="F1961" s="27"/>
      <c r="G1961" s="41"/>
      <c r="H1961" s="41"/>
      <c r="I1961" s="41"/>
      <c r="J1961" s="23"/>
    </row>
    <row r="1962" spans="1:10" ht="15" customHeight="1" x14ac:dyDescent="0.35">
      <c r="A1962" s="23"/>
      <c r="B1962" s="61"/>
      <c r="C1962" s="23"/>
      <c r="D1962" s="26"/>
      <c r="E1962" s="23"/>
      <c r="F1962" s="27"/>
      <c r="G1962" s="41"/>
      <c r="H1962" s="41"/>
      <c r="I1962" s="41"/>
      <c r="J1962" s="23"/>
    </row>
    <row r="1963" spans="1:10" ht="15" customHeight="1" x14ac:dyDescent="0.35">
      <c r="A1963" s="23"/>
      <c r="B1963" s="61"/>
      <c r="C1963" s="23"/>
      <c r="D1963" s="26"/>
      <c r="E1963" s="23"/>
      <c r="F1963" s="27"/>
      <c r="G1963" s="41"/>
      <c r="H1963" s="41"/>
      <c r="I1963" s="41"/>
      <c r="J1963" s="23"/>
    </row>
    <row r="1964" spans="1:10" ht="15" customHeight="1" x14ac:dyDescent="0.35">
      <c r="A1964" s="23"/>
      <c r="B1964" s="61"/>
      <c r="C1964" s="23"/>
      <c r="D1964" s="26"/>
      <c r="E1964" s="23"/>
      <c r="F1964" s="27"/>
      <c r="G1964" s="41"/>
      <c r="H1964" s="41"/>
      <c r="I1964" s="41"/>
      <c r="J1964" s="23"/>
    </row>
    <row r="1965" spans="1:10" ht="15" customHeight="1" x14ac:dyDescent="0.35">
      <c r="A1965" s="23"/>
      <c r="B1965" s="61"/>
      <c r="C1965" s="23"/>
      <c r="D1965" s="26"/>
      <c r="E1965" s="23"/>
      <c r="F1965" s="27"/>
      <c r="G1965" s="41"/>
      <c r="H1965" s="41"/>
      <c r="I1965" s="41"/>
      <c r="J1965" s="23"/>
    </row>
    <row r="1966" spans="1:10" ht="15" customHeight="1" x14ac:dyDescent="0.35">
      <c r="A1966" s="23"/>
      <c r="B1966" s="61"/>
      <c r="C1966" s="23"/>
      <c r="D1966" s="26"/>
      <c r="E1966" s="23"/>
      <c r="F1966" s="27"/>
      <c r="G1966" s="41"/>
      <c r="H1966" s="41"/>
      <c r="I1966" s="41"/>
      <c r="J1966" s="23"/>
    </row>
    <row r="1967" spans="1:10" ht="15" customHeight="1" x14ac:dyDescent="0.35">
      <c r="A1967" s="23"/>
      <c r="B1967" s="61"/>
      <c r="C1967" s="23"/>
      <c r="D1967" s="26"/>
      <c r="E1967" s="23"/>
      <c r="F1967" s="27"/>
      <c r="G1967" s="41"/>
      <c r="H1967" s="41"/>
      <c r="I1967" s="41"/>
      <c r="J1967" s="23"/>
    </row>
    <row r="1968" spans="1:10" ht="15" customHeight="1" x14ac:dyDescent="0.35">
      <c r="A1968" s="23"/>
      <c r="B1968" s="61"/>
      <c r="C1968" s="23"/>
      <c r="D1968" s="26"/>
      <c r="E1968" s="23"/>
      <c r="F1968" s="27"/>
      <c r="G1968" s="41"/>
      <c r="H1968" s="41"/>
      <c r="I1968" s="41"/>
      <c r="J1968" s="23"/>
    </row>
    <row r="1969" spans="1:10" ht="15" customHeight="1" x14ac:dyDescent="0.35">
      <c r="A1969" s="23"/>
      <c r="B1969" s="61"/>
      <c r="C1969" s="23"/>
      <c r="D1969" s="26"/>
      <c r="E1969" s="23"/>
      <c r="F1969" s="27"/>
      <c r="G1969" s="41"/>
      <c r="H1969" s="41"/>
      <c r="I1969" s="41"/>
      <c r="J1969" s="23"/>
    </row>
    <row r="1970" spans="1:10" ht="15" customHeight="1" x14ac:dyDescent="0.35">
      <c r="A1970" s="23"/>
      <c r="B1970" s="61"/>
      <c r="C1970" s="23"/>
      <c r="D1970" s="26"/>
      <c r="E1970" s="23"/>
      <c r="F1970" s="27"/>
      <c r="G1970" s="41"/>
      <c r="H1970" s="41"/>
      <c r="I1970" s="41"/>
      <c r="J1970" s="23"/>
    </row>
    <row r="1971" spans="1:10" ht="15" customHeight="1" x14ac:dyDescent="0.35">
      <c r="A1971" s="23"/>
      <c r="B1971" s="61"/>
      <c r="C1971" s="23"/>
      <c r="D1971" s="26"/>
      <c r="E1971" s="23"/>
      <c r="F1971" s="27"/>
      <c r="G1971" s="41"/>
      <c r="H1971" s="41"/>
      <c r="I1971" s="41"/>
      <c r="J1971" s="23"/>
    </row>
    <row r="1972" spans="1:10" ht="15" customHeight="1" x14ac:dyDescent="0.35">
      <c r="A1972" s="23"/>
      <c r="B1972" s="61"/>
      <c r="C1972" s="23"/>
      <c r="D1972" s="26"/>
      <c r="E1972" s="23"/>
      <c r="F1972" s="27"/>
      <c r="G1972" s="41"/>
      <c r="H1972" s="41"/>
      <c r="I1972" s="41"/>
      <c r="J1972" s="23"/>
    </row>
    <row r="1973" spans="1:10" ht="15" customHeight="1" x14ac:dyDescent="0.35">
      <c r="A1973" s="23"/>
      <c r="B1973" s="61"/>
      <c r="C1973" s="23"/>
      <c r="D1973" s="26"/>
      <c r="E1973" s="23"/>
      <c r="F1973" s="27"/>
      <c r="G1973" s="41"/>
      <c r="H1973" s="41"/>
      <c r="I1973" s="41"/>
      <c r="J1973" s="23"/>
    </row>
    <row r="1974" spans="1:10" ht="15" customHeight="1" x14ac:dyDescent="0.35">
      <c r="A1974" s="23"/>
      <c r="B1974" s="61"/>
      <c r="C1974" s="23"/>
      <c r="D1974" s="26"/>
      <c r="E1974" s="23"/>
      <c r="F1974" s="27"/>
      <c r="G1974" s="41"/>
      <c r="H1974" s="41"/>
      <c r="I1974" s="41"/>
      <c r="J1974" s="23"/>
    </row>
    <row r="1975" spans="1:10" ht="15" customHeight="1" x14ac:dyDescent="0.35">
      <c r="A1975" s="23"/>
      <c r="B1975" s="61"/>
      <c r="C1975" s="23"/>
      <c r="D1975" s="26"/>
      <c r="E1975" s="23"/>
      <c r="F1975" s="27"/>
      <c r="G1975" s="41"/>
      <c r="H1975" s="41"/>
      <c r="I1975" s="41"/>
      <c r="J1975" s="23"/>
    </row>
    <row r="1976" spans="1:10" ht="15" customHeight="1" x14ac:dyDescent="0.35">
      <c r="A1976" s="23"/>
      <c r="B1976" s="61"/>
      <c r="C1976" s="23"/>
      <c r="D1976" s="26"/>
      <c r="E1976" s="23"/>
      <c r="F1976" s="27"/>
      <c r="G1976" s="41"/>
      <c r="H1976" s="41"/>
      <c r="I1976" s="41"/>
      <c r="J1976" s="23"/>
    </row>
    <row r="1977" spans="1:10" ht="15" customHeight="1" x14ac:dyDescent="0.35">
      <c r="A1977" s="23"/>
      <c r="B1977" s="61"/>
      <c r="C1977" s="23"/>
      <c r="D1977" s="26"/>
      <c r="E1977" s="23"/>
      <c r="F1977" s="27"/>
      <c r="G1977" s="41"/>
      <c r="H1977" s="41"/>
      <c r="I1977" s="41"/>
      <c r="J1977" s="23"/>
    </row>
    <row r="1978" spans="1:10" ht="15" customHeight="1" x14ac:dyDescent="0.35">
      <c r="A1978" s="23"/>
      <c r="B1978" s="61"/>
      <c r="C1978" s="23"/>
      <c r="D1978" s="26"/>
      <c r="E1978" s="23"/>
      <c r="F1978" s="27"/>
      <c r="G1978" s="41"/>
      <c r="H1978" s="41"/>
      <c r="I1978" s="41"/>
      <c r="J1978" s="23"/>
    </row>
    <row r="1979" spans="1:10" ht="15" customHeight="1" x14ac:dyDescent="0.35">
      <c r="A1979" s="23"/>
      <c r="B1979" s="61"/>
      <c r="C1979" s="23"/>
      <c r="D1979" s="26"/>
      <c r="E1979" s="23"/>
      <c r="F1979" s="27"/>
      <c r="G1979" s="41"/>
      <c r="H1979" s="41"/>
      <c r="I1979" s="41"/>
      <c r="J1979" s="23"/>
    </row>
    <row r="1980" spans="1:10" ht="15" customHeight="1" x14ac:dyDescent="0.35">
      <c r="A1980" s="23"/>
      <c r="B1980" s="61"/>
      <c r="C1980" s="23"/>
      <c r="D1980" s="26"/>
      <c r="E1980" s="23"/>
      <c r="F1980" s="27"/>
      <c r="G1980" s="41"/>
      <c r="H1980" s="41"/>
      <c r="I1980" s="41"/>
      <c r="J1980" s="23"/>
    </row>
    <row r="1981" spans="1:10" ht="15" customHeight="1" x14ac:dyDescent="0.35">
      <c r="A1981" s="23"/>
      <c r="B1981" s="61"/>
      <c r="C1981" s="23"/>
      <c r="D1981" s="26"/>
      <c r="E1981" s="23"/>
      <c r="F1981" s="27"/>
      <c r="G1981" s="41"/>
      <c r="H1981" s="41"/>
      <c r="I1981" s="41"/>
      <c r="J1981" s="23"/>
    </row>
    <row r="1982" spans="1:10" ht="15" customHeight="1" x14ac:dyDescent="0.35">
      <c r="A1982" s="23"/>
      <c r="B1982" s="61"/>
      <c r="C1982" s="23"/>
      <c r="D1982" s="26"/>
      <c r="E1982" s="23"/>
      <c r="F1982" s="27"/>
      <c r="G1982" s="41"/>
      <c r="H1982" s="41"/>
      <c r="I1982" s="41"/>
      <c r="J1982" s="23"/>
    </row>
    <row r="1983" spans="1:10" ht="15" customHeight="1" x14ac:dyDescent="0.35">
      <c r="A1983" s="23"/>
      <c r="B1983" s="61"/>
      <c r="C1983" s="23"/>
      <c r="D1983" s="26"/>
      <c r="E1983" s="23"/>
      <c r="F1983" s="27"/>
      <c r="G1983" s="41"/>
      <c r="H1983" s="41"/>
      <c r="I1983" s="41"/>
      <c r="J1983" s="23"/>
    </row>
    <row r="1984" spans="1:10" ht="15" customHeight="1" x14ac:dyDescent="0.35">
      <c r="A1984" s="23"/>
      <c r="B1984" s="61"/>
      <c r="C1984" s="23"/>
      <c r="D1984" s="26"/>
      <c r="E1984" s="23"/>
      <c r="F1984" s="27"/>
      <c r="G1984" s="41"/>
      <c r="H1984" s="41"/>
      <c r="I1984" s="41"/>
      <c r="J1984" s="23"/>
    </row>
    <row r="1985" spans="1:10" ht="15" customHeight="1" x14ac:dyDescent="0.35">
      <c r="A1985" s="23"/>
      <c r="B1985" s="61"/>
      <c r="C1985" s="23"/>
      <c r="D1985" s="26"/>
      <c r="E1985" s="23"/>
      <c r="F1985" s="27"/>
      <c r="G1985" s="41"/>
      <c r="H1985" s="41"/>
      <c r="I1985" s="41"/>
      <c r="J1985" s="23"/>
    </row>
    <row r="1986" spans="1:10" ht="15" customHeight="1" x14ac:dyDescent="0.35">
      <c r="A1986" s="23"/>
      <c r="B1986" s="61"/>
      <c r="C1986" s="23"/>
      <c r="D1986" s="26"/>
      <c r="E1986" s="23"/>
      <c r="F1986" s="27"/>
      <c r="G1986" s="41"/>
      <c r="H1986" s="41"/>
      <c r="I1986" s="41"/>
      <c r="J1986" s="23"/>
    </row>
    <row r="1987" spans="1:10" ht="15" customHeight="1" x14ac:dyDescent="0.35">
      <c r="A1987" s="23"/>
      <c r="B1987" s="61"/>
      <c r="C1987" s="23"/>
      <c r="D1987" s="26"/>
      <c r="E1987" s="23"/>
      <c r="F1987" s="27"/>
      <c r="G1987" s="41"/>
      <c r="H1987" s="41"/>
      <c r="I1987" s="41"/>
      <c r="J1987" s="23"/>
    </row>
    <row r="1988" spans="1:10" ht="15" customHeight="1" x14ac:dyDescent="0.35">
      <c r="A1988" s="23"/>
      <c r="B1988" s="61"/>
      <c r="C1988" s="23"/>
      <c r="D1988" s="26"/>
      <c r="E1988" s="23"/>
      <c r="F1988" s="27"/>
      <c r="G1988" s="41"/>
      <c r="H1988" s="41"/>
      <c r="I1988" s="41"/>
      <c r="J1988" s="23"/>
    </row>
    <row r="1989" spans="1:10" ht="15" customHeight="1" x14ac:dyDescent="0.35">
      <c r="A1989" s="23"/>
      <c r="B1989" s="61"/>
      <c r="C1989" s="23"/>
      <c r="D1989" s="26"/>
      <c r="E1989" s="23"/>
      <c r="F1989" s="27"/>
      <c r="G1989" s="41"/>
      <c r="H1989" s="41"/>
      <c r="I1989" s="41"/>
      <c r="J1989" s="23"/>
    </row>
    <row r="1990" spans="1:10" ht="15" customHeight="1" x14ac:dyDescent="0.35">
      <c r="A1990" s="23"/>
      <c r="B1990" s="61"/>
      <c r="C1990" s="23"/>
      <c r="D1990" s="26"/>
      <c r="E1990" s="23"/>
      <c r="F1990" s="27"/>
      <c r="G1990" s="41"/>
      <c r="H1990" s="41"/>
      <c r="I1990" s="41"/>
      <c r="J1990" s="23"/>
    </row>
    <row r="1991" spans="1:10" ht="15" customHeight="1" x14ac:dyDescent="0.35">
      <c r="A1991" s="23"/>
      <c r="B1991" s="61"/>
      <c r="C1991" s="23"/>
      <c r="D1991" s="26"/>
      <c r="E1991" s="23"/>
      <c r="F1991" s="27"/>
      <c r="G1991" s="41"/>
      <c r="H1991" s="41"/>
      <c r="I1991" s="41"/>
      <c r="J1991" s="23"/>
    </row>
    <row r="1992" spans="1:10" ht="15" customHeight="1" x14ac:dyDescent="0.35">
      <c r="A1992" s="23"/>
      <c r="B1992" s="61"/>
      <c r="C1992" s="23"/>
      <c r="D1992" s="26"/>
      <c r="E1992" s="23"/>
      <c r="F1992" s="27"/>
      <c r="G1992" s="41"/>
      <c r="H1992" s="41"/>
      <c r="I1992" s="41"/>
      <c r="J1992" s="23"/>
    </row>
    <row r="1993" spans="1:10" ht="15" customHeight="1" x14ac:dyDescent="0.35">
      <c r="A1993" s="23"/>
      <c r="B1993" s="61"/>
      <c r="C1993" s="23"/>
      <c r="D1993" s="26"/>
      <c r="E1993" s="23"/>
      <c r="F1993" s="27"/>
      <c r="G1993" s="41"/>
      <c r="H1993" s="41"/>
      <c r="I1993" s="41"/>
      <c r="J1993" s="23"/>
    </row>
    <row r="1994" spans="1:10" ht="15" customHeight="1" x14ac:dyDescent="0.35">
      <c r="A1994" s="23"/>
      <c r="B1994" s="61"/>
      <c r="C1994" s="23"/>
      <c r="D1994" s="26"/>
      <c r="E1994" s="23"/>
      <c r="F1994" s="27"/>
      <c r="G1994" s="41"/>
      <c r="H1994" s="41"/>
      <c r="I1994" s="41"/>
      <c r="J1994" s="23"/>
    </row>
    <row r="1995" spans="1:10" ht="15" customHeight="1" x14ac:dyDescent="0.35">
      <c r="A1995" s="23"/>
      <c r="B1995" s="61"/>
      <c r="C1995" s="23"/>
      <c r="D1995" s="26"/>
      <c r="E1995" s="23"/>
      <c r="F1995" s="27"/>
      <c r="G1995" s="41"/>
      <c r="H1995" s="41"/>
      <c r="I1995" s="41"/>
      <c r="J1995" s="23"/>
    </row>
    <row r="1996" spans="1:10" ht="15" customHeight="1" x14ac:dyDescent="0.35">
      <c r="A1996" s="23"/>
      <c r="B1996" s="61"/>
      <c r="C1996" s="23"/>
      <c r="D1996" s="26"/>
      <c r="E1996" s="23"/>
      <c r="F1996" s="27"/>
      <c r="G1996" s="41"/>
      <c r="H1996" s="41"/>
      <c r="I1996" s="41"/>
      <c r="J1996" s="23"/>
    </row>
    <row r="1997" spans="1:10" ht="15" customHeight="1" x14ac:dyDescent="0.35">
      <c r="A1997" s="23"/>
      <c r="B1997" s="61"/>
      <c r="C1997" s="23"/>
      <c r="D1997" s="26"/>
      <c r="E1997" s="23"/>
      <c r="F1997" s="27"/>
      <c r="G1997" s="41"/>
      <c r="H1997" s="41"/>
      <c r="I1997" s="41"/>
      <c r="J1997" s="23"/>
    </row>
    <row r="1998" spans="1:10" ht="15" customHeight="1" x14ac:dyDescent="0.35">
      <c r="A1998" s="23"/>
      <c r="B1998" s="61"/>
      <c r="C1998" s="23"/>
      <c r="D1998" s="26"/>
      <c r="E1998" s="23"/>
      <c r="F1998" s="27"/>
      <c r="G1998" s="41"/>
      <c r="H1998" s="41"/>
      <c r="I1998" s="41"/>
      <c r="J1998" s="23"/>
    </row>
    <row r="1999" spans="1:10" ht="15" customHeight="1" x14ac:dyDescent="0.35">
      <c r="A1999" s="23"/>
      <c r="B1999" s="61"/>
      <c r="C1999" s="23"/>
      <c r="D1999" s="26"/>
      <c r="E1999" s="23"/>
      <c r="F1999" s="27"/>
      <c r="G1999" s="41"/>
      <c r="H1999" s="41"/>
      <c r="I1999" s="41"/>
      <c r="J1999" s="23"/>
    </row>
    <row r="2000" spans="1:10" ht="15" customHeight="1" x14ac:dyDescent="0.35">
      <c r="A2000" s="23"/>
      <c r="B2000" s="61"/>
      <c r="C2000" s="23"/>
      <c r="D2000" s="26"/>
      <c r="E2000" s="23"/>
      <c r="F2000" s="27"/>
      <c r="G2000" s="41"/>
      <c r="H2000" s="41"/>
      <c r="I2000" s="41"/>
      <c r="J2000" s="23"/>
    </row>
    <row r="2001" spans="1:10" ht="15" customHeight="1" x14ac:dyDescent="0.35">
      <c r="A2001" s="23"/>
      <c r="B2001" s="61"/>
      <c r="C2001" s="23"/>
      <c r="D2001" s="26"/>
      <c r="E2001" s="23"/>
      <c r="F2001" s="27"/>
      <c r="G2001" s="41"/>
      <c r="H2001" s="41"/>
      <c r="I2001" s="41"/>
      <c r="J2001" s="23"/>
    </row>
    <row r="2002" spans="1:10" ht="15" customHeight="1" x14ac:dyDescent="0.35">
      <c r="A2002" s="23"/>
      <c r="B2002" s="61"/>
      <c r="C2002" s="23"/>
      <c r="D2002" s="26"/>
      <c r="E2002" s="23"/>
      <c r="F2002" s="27"/>
      <c r="G2002" s="41"/>
      <c r="H2002" s="41"/>
      <c r="I2002" s="41"/>
      <c r="J2002" s="23"/>
    </row>
    <row r="2003" spans="1:10" ht="15" customHeight="1" x14ac:dyDescent="0.35">
      <c r="A2003" s="23"/>
      <c r="B2003" s="61"/>
      <c r="C2003" s="23"/>
      <c r="D2003" s="26"/>
      <c r="E2003" s="23"/>
      <c r="F2003" s="27"/>
      <c r="G2003" s="41"/>
      <c r="H2003" s="41"/>
      <c r="I2003" s="41"/>
      <c r="J2003" s="23"/>
    </row>
    <row r="2004" spans="1:10" ht="15" customHeight="1" x14ac:dyDescent="0.35">
      <c r="A2004" s="23"/>
      <c r="B2004" s="61"/>
      <c r="C2004" s="23"/>
      <c r="D2004" s="26"/>
      <c r="E2004" s="23"/>
      <c r="F2004" s="27"/>
      <c r="G2004" s="41"/>
      <c r="H2004" s="41"/>
      <c r="I2004" s="41"/>
      <c r="J2004" s="23"/>
    </row>
    <row r="2005" spans="1:10" ht="15" customHeight="1" x14ac:dyDescent="0.35">
      <c r="A2005" s="23"/>
      <c r="B2005" s="61"/>
      <c r="C2005" s="23"/>
      <c r="D2005" s="26"/>
      <c r="E2005" s="23"/>
      <c r="F2005" s="27"/>
      <c r="G2005" s="41"/>
      <c r="H2005" s="41"/>
      <c r="I2005" s="41"/>
      <c r="J2005" s="23"/>
    </row>
    <row r="2006" spans="1:10" ht="15" customHeight="1" x14ac:dyDescent="0.35">
      <c r="A2006" s="23"/>
      <c r="B2006" s="61"/>
      <c r="C2006" s="23"/>
      <c r="D2006" s="26"/>
      <c r="E2006" s="23"/>
      <c r="F2006" s="27"/>
      <c r="G2006" s="41"/>
      <c r="H2006" s="41"/>
      <c r="I2006" s="41"/>
      <c r="J2006" s="23"/>
    </row>
    <row r="2007" spans="1:10" ht="15" customHeight="1" x14ac:dyDescent="0.35">
      <c r="A2007" s="23"/>
      <c r="B2007" s="61"/>
      <c r="C2007" s="23"/>
      <c r="D2007" s="26"/>
      <c r="E2007" s="23"/>
      <c r="F2007" s="27"/>
      <c r="G2007" s="41"/>
      <c r="H2007" s="41"/>
      <c r="I2007" s="41"/>
      <c r="J2007" s="23"/>
    </row>
    <row r="2008" spans="1:10" ht="15" customHeight="1" x14ac:dyDescent="0.35">
      <c r="A2008" s="23"/>
      <c r="B2008" s="61"/>
      <c r="C2008" s="23"/>
      <c r="D2008" s="26"/>
      <c r="E2008" s="23"/>
      <c r="F2008" s="27"/>
      <c r="G2008" s="41"/>
      <c r="H2008" s="41"/>
      <c r="I2008" s="41"/>
      <c r="J2008" s="23"/>
    </row>
    <row r="2009" spans="1:10" ht="15" customHeight="1" x14ac:dyDescent="0.35">
      <c r="A2009" s="23"/>
      <c r="B2009" s="61"/>
      <c r="C2009" s="23"/>
      <c r="D2009" s="26"/>
      <c r="E2009" s="23"/>
      <c r="F2009" s="27"/>
      <c r="G2009" s="41"/>
      <c r="H2009" s="41"/>
      <c r="I2009" s="41"/>
      <c r="J2009" s="23"/>
    </row>
    <row r="2010" spans="1:10" ht="15" customHeight="1" x14ac:dyDescent="0.35">
      <c r="A2010" s="23"/>
      <c r="B2010" s="61"/>
      <c r="C2010" s="23"/>
      <c r="D2010" s="26"/>
      <c r="E2010" s="23"/>
      <c r="F2010" s="27"/>
      <c r="G2010" s="41"/>
      <c r="H2010" s="41"/>
      <c r="I2010" s="41"/>
      <c r="J2010" s="23"/>
    </row>
    <row r="2011" spans="1:10" ht="15" customHeight="1" x14ac:dyDescent="0.35">
      <c r="A2011" s="23"/>
      <c r="B2011" s="61"/>
      <c r="C2011" s="23"/>
      <c r="D2011" s="26"/>
      <c r="E2011" s="23"/>
      <c r="F2011" s="27"/>
      <c r="G2011" s="41"/>
      <c r="H2011" s="41"/>
      <c r="I2011" s="41"/>
      <c r="J2011" s="23"/>
    </row>
    <row r="2012" spans="1:10" ht="15" customHeight="1" x14ac:dyDescent="0.35">
      <c r="A2012" s="23"/>
      <c r="B2012" s="61"/>
      <c r="C2012" s="23"/>
      <c r="D2012" s="26"/>
      <c r="E2012" s="23"/>
      <c r="F2012" s="27"/>
      <c r="G2012" s="41"/>
      <c r="H2012" s="41"/>
      <c r="I2012" s="41"/>
      <c r="J2012" s="23"/>
    </row>
    <row r="2013" spans="1:10" ht="15" customHeight="1" x14ac:dyDescent="0.35">
      <c r="A2013" s="23"/>
      <c r="B2013" s="61"/>
      <c r="C2013" s="23"/>
      <c r="D2013" s="26"/>
      <c r="E2013" s="23"/>
      <c r="F2013" s="27"/>
      <c r="G2013" s="41"/>
      <c r="H2013" s="41"/>
      <c r="I2013" s="41"/>
      <c r="J2013" s="23"/>
    </row>
    <row r="2014" spans="1:10" ht="15" customHeight="1" x14ac:dyDescent="0.35">
      <c r="A2014" s="23"/>
      <c r="B2014" s="61"/>
      <c r="C2014" s="23"/>
      <c r="D2014" s="26"/>
      <c r="E2014" s="23"/>
      <c r="F2014" s="27"/>
      <c r="G2014" s="41"/>
      <c r="H2014" s="41"/>
      <c r="I2014" s="41"/>
      <c r="J2014" s="23"/>
    </row>
    <row r="2015" spans="1:10" ht="15" customHeight="1" x14ac:dyDescent="0.35">
      <c r="A2015" s="23"/>
      <c r="B2015" s="61"/>
      <c r="C2015" s="23"/>
      <c r="D2015" s="26"/>
      <c r="E2015" s="23"/>
      <c r="F2015" s="27"/>
      <c r="G2015" s="41"/>
      <c r="H2015" s="41"/>
      <c r="I2015" s="41"/>
      <c r="J2015" s="23"/>
    </row>
    <row r="2016" spans="1:10" ht="15" customHeight="1" x14ac:dyDescent="0.35">
      <c r="A2016" s="23"/>
      <c r="B2016" s="61"/>
      <c r="C2016" s="23"/>
      <c r="D2016" s="26"/>
      <c r="E2016" s="23"/>
      <c r="F2016" s="27"/>
      <c r="G2016" s="41"/>
      <c r="H2016" s="41"/>
      <c r="I2016" s="41"/>
      <c r="J2016" s="23"/>
    </row>
    <row r="2017" spans="1:10" ht="15" customHeight="1" x14ac:dyDescent="0.35">
      <c r="A2017" s="23"/>
      <c r="B2017" s="61"/>
      <c r="C2017" s="23"/>
      <c r="D2017" s="26"/>
      <c r="E2017" s="23"/>
      <c r="F2017" s="27"/>
      <c r="G2017" s="41"/>
      <c r="H2017" s="41"/>
      <c r="I2017" s="41"/>
      <c r="J2017" s="23"/>
    </row>
    <row r="2018" spans="1:10" ht="15" customHeight="1" x14ac:dyDescent="0.35">
      <c r="A2018" s="23"/>
      <c r="B2018" s="61"/>
      <c r="C2018" s="23"/>
      <c r="D2018" s="26"/>
      <c r="E2018" s="23"/>
      <c r="F2018" s="27"/>
      <c r="G2018" s="41"/>
      <c r="H2018" s="41"/>
      <c r="I2018" s="41"/>
      <c r="J2018" s="23"/>
    </row>
    <row r="2019" spans="1:10" ht="15" customHeight="1" x14ac:dyDescent="0.35">
      <c r="A2019" s="23"/>
      <c r="B2019" s="61"/>
      <c r="C2019" s="23"/>
      <c r="D2019" s="26"/>
      <c r="E2019" s="23"/>
      <c r="F2019" s="27"/>
      <c r="G2019" s="41"/>
      <c r="H2019" s="41"/>
      <c r="I2019" s="41"/>
      <c r="J2019" s="23"/>
    </row>
    <row r="2020" spans="1:10" ht="15" customHeight="1" x14ac:dyDescent="0.35">
      <c r="A2020" s="23"/>
      <c r="B2020" s="61"/>
      <c r="C2020" s="23"/>
      <c r="D2020" s="26"/>
      <c r="E2020" s="23"/>
      <c r="F2020" s="27"/>
      <c r="G2020" s="41"/>
      <c r="H2020" s="41"/>
      <c r="I2020" s="41"/>
      <c r="J2020" s="23"/>
    </row>
    <row r="2021" spans="1:10" ht="15" customHeight="1" x14ac:dyDescent="0.35">
      <c r="A2021" s="23"/>
      <c r="B2021" s="61"/>
      <c r="C2021" s="23"/>
      <c r="D2021" s="26"/>
      <c r="E2021" s="23"/>
      <c r="F2021" s="27"/>
      <c r="G2021" s="41"/>
      <c r="H2021" s="41"/>
      <c r="I2021" s="41"/>
      <c r="J2021" s="23"/>
    </row>
    <row r="2022" spans="1:10" ht="15" customHeight="1" x14ac:dyDescent="0.35">
      <c r="A2022" s="23"/>
      <c r="B2022" s="61"/>
      <c r="C2022" s="23"/>
      <c r="D2022" s="26"/>
      <c r="E2022" s="23"/>
      <c r="F2022" s="27"/>
      <c r="G2022" s="41"/>
      <c r="H2022" s="41"/>
      <c r="I2022" s="41"/>
      <c r="J2022" s="23"/>
    </row>
    <row r="2023" spans="1:10" ht="15" customHeight="1" x14ac:dyDescent="0.35">
      <c r="A2023" s="23"/>
      <c r="B2023" s="61"/>
      <c r="C2023" s="23"/>
      <c r="D2023" s="26"/>
      <c r="E2023" s="23"/>
      <c r="F2023" s="27"/>
      <c r="G2023" s="41"/>
      <c r="H2023" s="41"/>
      <c r="I2023" s="41"/>
      <c r="J2023" s="23"/>
    </row>
    <row r="2024" spans="1:10" ht="15" customHeight="1" x14ac:dyDescent="0.35">
      <c r="A2024" s="23"/>
      <c r="B2024" s="61"/>
      <c r="C2024" s="23"/>
      <c r="D2024" s="26"/>
      <c r="E2024" s="23"/>
      <c r="F2024" s="27"/>
      <c r="G2024" s="41"/>
      <c r="H2024" s="41"/>
      <c r="I2024" s="41"/>
      <c r="J2024" s="23"/>
    </row>
    <row r="2025" spans="1:10" ht="15" customHeight="1" x14ac:dyDescent="0.35">
      <c r="A2025" s="23"/>
      <c r="B2025" s="61"/>
      <c r="C2025" s="23"/>
      <c r="D2025" s="26"/>
      <c r="E2025" s="23"/>
      <c r="F2025" s="27"/>
      <c r="G2025" s="41"/>
      <c r="H2025" s="41"/>
      <c r="I2025" s="41"/>
      <c r="J2025" s="23"/>
    </row>
    <row r="2026" spans="1:10" ht="15" customHeight="1" x14ac:dyDescent="0.35">
      <c r="A2026" s="23"/>
      <c r="B2026" s="61"/>
      <c r="C2026" s="23"/>
      <c r="D2026" s="26"/>
      <c r="E2026" s="23"/>
      <c r="F2026" s="27"/>
      <c r="G2026" s="41"/>
      <c r="H2026" s="41"/>
      <c r="I2026" s="41"/>
      <c r="J2026" s="23"/>
    </row>
    <row r="2027" spans="1:10" ht="15" customHeight="1" x14ac:dyDescent="0.35">
      <c r="A2027" s="23"/>
      <c r="B2027" s="61"/>
      <c r="C2027" s="23"/>
      <c r="D2027" s="26"/>
      <c r="E2027" s="23"/>
      <c r="F2027" s="27"/>
      <c r="G2027" s="41"/>
      <c r="H2027" s="41"/>
      <c r="I2027" s="41"/>
      <c r="J2027" s="23"/>
    </row>
    <row r="2028" spans="1:10" ht="15" customHeight="1" x14ac:dyDescent="0.35">
      <c r="A2028" s="23"/>
      <c r="B2028" s="61"/>
      <c r="C2028" s="23"/>
      <c r="D2028" s="26"/>
      <c r="E2028" s="23"/>
      <c r="F2028" s="27"/>
      <c r="G2028" s="41"/>
      <c r="H2028" s="41"/>
      <c r="I2028" s="41"/>
      <c r="J2028" s="23"/>
    </row>
    <row r="2029" spans="1:10" ht="15" customHeight="1" x14ac:dyDescent="0.35">
      <c r="A2029" s="23"/>
      <c r="B2029" s="61"/>
      <c r="C2029" s="23"/>
      <c r="D2029" s="26"/>
      <c r="E2029" s="23"/>
      <c r="F2029" s="27"/>
      <c r="G2029" s="41"/>
      <c r="H2029" s="41"/>
      <c r="I2029" s="41"/>
      <c r="J2029" s="23"/>
    </row>
    <row r="2030" spans="1:10" ht="15" customHeight="1" x14ac:dyDescent="0.35">
      <c r="A2030" s="23"/>
      <c r="B2030" s="61"/>
      <c r="C2030" s="23"/>
      <c r="D2030" s="26"/>
      <c r="E2030" s="23"/>
      <c r="F2030" s="27"/>
      <c r="G2030" s="41"/>
      <c r="H2030" s="41"/>
      <c r="I2030" s="41"/>
      <c r="J2030" s="23"/>
    </row>
    <row r="2031" spans="1:10" ht="15" customHeight="1" x14ac:dyDescent="0.35">
      <c r="A2031" s="23"/>
      <c r="B2031" s="61"/>
      <c r="C2031" s="23"/>
      <c r="D2031" s="26"/>
      <c r="E2031" s="23"/>
      <c r="F2031" s="27"/>
      <c r="G2031" s="41"/>
      <c r="H2031" s="41"/>
      <c r="I2031" s="41"/>
      <c r="J2031" s="23"/>
    </row>
    <row r="2032" spans="1:10" ht="15" customHeight="1" x14ac:dyDescent="0.35">
      <c r="A2032" s="23"/>
      <c r="B2032" s="61"/>
      <c r="C2032" s="23"/>
      <c r="D2032" s="26"/>
      <c r="E2032" s="23"/>
      <c r="F2032" s="27"/>
      <c r="G2032" s="41"/>
      <c r="H2032" s="41"/>
      <c r="I2032" s="41"/>
      <c r="J2032" s="23"/>
    </row>
    <row r="2033" spans="1:10" ht="15" customHeight="1" x14ac:dyDescent="0.35">
      <c r="A2033" s="23"/>
      <c r="B2033" s="61"/>
      <c r="C2033" s="23"/>
      <c r="D2033" s="26"/>
      <c r="E2033" s="23"/>
      <c r="F2033" s="27"/>
      <c r="G2033" s="41"/>
      <c r="H2033" s="41"/>
      <c r="I2033" s="41"/>
      <c r="J2033" s="23"/>
    </row>
    <row r="2034" spans="1:10" ht="15" customHeight="1" x14ac:dyDescent="0.35">
      <c r="A2034" s="23"/>
      <c r="B2034" s="61"/>
      <c r="C2034" s="23"/>
      <c r="D2034" s="26"/>
      <c r="E2034" s="23"/>
      <c r="F2034" s="27"/>
      <c r="G2034" s="41"/>
      <c r="H2034" s="41"/>
      <c r="I2034" s="41"/>
      <c r="J2034" s="23"/>
    </row>
    <row r="2035" spans="1:10" ht="15" customHeight="1" x14ac:dyDescent="0.35">
      <c r="A2035" s="23"/>
      <c r="B2035" s="61"/>
      <c r="C2035" s="23"/>
      <c r="D2035" s="26"/>
      <c r="E2035" s="23"/>
      <c r="F2035" s="27"/>
      <c r="G2035" s="41"/>
      <c r="H2035" s="41"/>
      <c r="I2035" s="41"/>
      <c r="J2035" s="23"/>
    </row>
    <row r="2036" spans="1:10" ht="15" customHeight="1" x14ac:dyDescent="0.35">
      <c r="A2036" s="23"/>
      <c r="B2036" s="61"/>
      <c r="C2036" s="23"/>
      <c r="D2036" s="26"/>
      <c r="E2036" s="23"/>
      <c r="F2036" s="27"/>
      <c r="G2036" s="41"/>
      <c r="H2036" s="41"/>
      <c r="I2036" s="41"/>
      <c r="J2036" s="23"/>
    </row>
    <row r="2037" spans="1:10" ht="15" customHeight="1" x14ac:dyDescent="0.35">
      <c r="A2037" s="23"/>
      <c r="B2037" s="61"/>
      <c r="C2037" s="23"/>
      <c r="D2037" s="26"/>
      <c r="E2037" s="23"/>
      <c r="F2037" s="27"/>
      <c r="G2037" s="41"/>
      <c r="H2037" s="41"/>
      <c r="I2037" s="41"/>
      <c r="J2037" s="23"/>
    </row>
    <row r="2038" spans="1:10" ht="15" customHeight="1" x14ac:dyDescent="0.35">
      <c r="A2038" s="23"/>
      <c r="B2038" s="61"/>
      <c r="C2038" s="23"/>
      <c r="D2038" s="26"/>
      <c r="E2038" s="23"/>
      <c r="F2038" s="27"/>
      <c r="G2038" s="41"/>
      <c r="H2038" s="41"/>
      <c r="I2038" s="41"/>
      <c r="J2038" s="23"/>
    </row>
    <row r="2039" spans="1:10" ht="15" customHeight="1" x14ac:dyDescent="0.35">
      <c r="A2039" s="23"/>
      <c r="B2039" s="61"/>
      <c r="C2039" s="23"/>
      <c r="D2039" s="26"/>
      <c r="E2039" s="23"/>
      <c r="F2039" s="27"/>
      <c r="G2039" s="41"/>
      <c r="H2039" s="41"/>
      <c r="I2039" s="41"/>
      <c r="J2039" s="23"/>
    </row>
    <row r="2040" spans="1:10" ht="15" customHeight="1" x14ac:dyDescent="0.35">
      <c r="A2040" s="23"/>
      <c r="B2040" s="61"/>
      <c r="C2040" s="23"/>
      <c r="D2040" s="26"/>
      <c r="E2040" s="23"/>
      <c r="F2040" s="27"/>
      <c r="G2040" s="41"/>
      <c r="H2040" s="41"/>
      <c r="I2040" s="41"/>
      <c r="J2040" s="23"/>
    </row>
    <row r="2041" spans="1:10" ht="15" customHeight="1" x14ac:dyDescent="0.35">
      <c r="A2041" s="23"/>
      <c r="B2041" s="61"/>
      <c r="C2041" s="23"/>
      <c r="D2041" s="26"/>
      <c r="E2041" s="23"/>
      <c r="F2041" s="27"/>
      <c r="G2041" s="41"/>
      <c r="H2041" s="41"/>
      <c r="I2041" s="41"/>
      <c r="J2041" s="23"/>
    </row>
    <row r="2042" spans="1:10" ht="15" customHeight="1" x14ac:dyDescent="0.35">
      <c r="A2042" s="23"/>
      <c r="B2042" s="61"/>
      <c r="C2042" s="23"/>
      <c r="D2042" s="26"/>
      <c r="E2042" s="23"/>
      <c r="F2042" s="27"/>
      <c r="G2042" s="41"/>
      <c r="H2042" s="41"/>
      <c r="I2042" s="41"/>
      <c r="J2042" s="23"/>
    </row>
    <row r="2043" spans="1:10" ht="15" customHeight="1" x14ac:dyDescent="0.35">
      <c r="A2043" s="23"/>
      <c r="B2043" s="61"/>
      <c r="C2043" s="23"/>
      <c r="D2043" s="26"/>
      <c r="E2043" s="23"/>
      <c r="F2043" s="27"/>
      <c r="G2043" s="41"/>
      <c r="H2043" s="41"/>
      <c r="I2043" s="41"/>
      <c r="J2043" s="23"/>
    </row>
    <row r="2044" spans="1:10" ht="15" customHeight="1" x14ac:dyDescent="0.35">
      <c r="A2044" s="23"/>
      <c r="B2044" s="61"/>
      <c r="C2044" s="23"/>
      <c r="D2044" s="26"/>
      <c r="E2044" s="23"/>
      <c r="F2044" s="27"/>
      <c r="G2044" s="41"/>
      <c r="H2044" s="41"/>
      <c r="I2044" s="41"/>
      <c r="J2044" s="23"/>
    </row>
    <row r="2045" spans="1:10" ht="15" customHeight="1" x14ac:dyDescent="0.35">
      <c r="A2045" s="23"/>
      <c r="B2045" s="61"/>
      <c r="C2045" s="23"/>
      <c r="D2045" s="26"/>
      <c r="E2045" s="23"/>
      <c r="F2045" s="27"/>
      <c r="G2045" s="41"/>
      <c r="H2045" s="41"/>
      <c r="I2045" s="41"/>
      <c r="J2045" s="23"/>
    </row>
    <row r="2046" spans="1:10" ht="15" customHeight="1" x14ac:dyDescent="0.35">
      <c r="A2046" s="23"/>
      <c r="B2046" s="61"/>
      <c r="C2046" s="23"/>
      <c r="D2046" s="26"/>
      <c r="E2046" s="23"/>
      <c r="F2046" s="27"/>
      <c r="G2046" s="41"/>
      <c r="H2046" s="41"/>
      <c r="I2046" s="41"/>
      <c r="J2046" s="23"/>
    </row>
    <row r="2047" spans="1:10" ht="15" customHeight="1" x14ac:dyDescent="0.35">
      <c r="A2047" s="23"/>
      <c r="B2047" s="61"/>
      <c r="C2047" s="23"/>
      <c r="D2047" s="26"/>
      <c r="E2047" s="23"/>
      <c r="F2047" s="27"/>
      <c r="G2047" s="41"/>
      <c r="H2047" s="41"/>
      <c r="I2047" s="41"/>
      <c r="J2047" s="23"/>
    </row>
    <row r="2048" spans="1:10" ht="15" customHeight="1" x14ac:dyDescent="0.35">
      <c r="A2048" s="23"/>
      <c r="B2048" s="61"/>
      <c r="C2048" s="23"/>
      <c r="D2048" s="26"/>
      <c r="E2048" s="23"/>
      <c r="F2048" s="27"/>
      <c r="G2048" s="41"/>
      <c r="H2048" s="41"/>
      <c r="I2048" s="41"/>
      <c r="J2048" s="23"/>
    </row>
    <row r="2049" spans="1:10" ht="15" customHeight="1" x14ac:dyDescent="0.35">
      <c r="A2049" s="23"/>
      <c r="B2049" s="61"/>
      <c r="C2049" s="23"/>
      <c r="D2049" s="26"/>
      <c r="E2049" s="23"/>
      <c r="F2049" s="27"/>
      <c r="G2049" s="41"/>
      <c r="H2049" s="41"/>
      <c r="I2049" s="41"/>
      <c r="J2049" s="23"/>
    </row>
    <row r="2050" spans="1:10" ht="15" customHeight="1" x14ac:dyDescent="0.35">
      <c r="A2050" s="23"/>
      <c r="B2050" s="61"/>
      <c r="C2050" s="23"/>
      <c r="D2050" s="26"/>
      <c r="E2050" s="23"/>
      <c r="F2050" s="27"/>
      <c r="G2050" s="41"/>
      <c r="H2050" s="41"/>
      <c r="I2050" s="41"/>
      <c r="J2050" s="23"/>
    </row>
    <row r="2051" spans="1:10" ht="15" customHeight="1" x14ac:dyDescent="0.35">
      <c r="A2051" s="23"/>
      <c r="B2051" s="61"/>
      <c r="C2051" s="23"/>
      <c r="D2051" s="26"/>
      <c r="E2051" s="23"/>
      <c r="F2051" s="27"/>
      <c r="G2051" s="41"/>
      <c r="H2051" s="41"/>
      <c r="I2051" s="41"/>
      <c r="J2051" s="23"/>
    </row>
    <row r="2052" spans="1:10" ht="15" customHeight="1" x14ac:dyDescent="0.35">
      <c r="A2052" s="23"/>
      <c r="B2052" s="61"/>
      <c r="C2052" s="23"/>
      <c r="D2052" s="26"/>
      <c r="E2052" s="23"/>
      <c r="F2052" s="27"/>
      <c r="G2052" s="41"/>
      <c r="H2052" s="41"/>
      <c r="I2052" s="41"/>
      <c r="J2052" s="23"/>
    </row>
    <row r="2053" spans="1:10" ht="15" customHeight="1" x14ac:dyDescent="0.35">
      <c r="A2053" s="23"/>
      <c r="B2053" s="61"/>
      <c r="C2053" s="23"/>
      <c r="D2053" s="26"/>
      <c r="E2053" s="23"/>
      <c r="F2053" s="27"/>
      <c r="G2053" s="41"/>
      <c r="H2053" s="41"/>
      <c r="I2053" s="41"/>
      <c r="J2053" s="23"/>
    </row>
    <row r="2054" spans="1:10" ht="15" customHeight="1" x14ac:dyDescent="0.35">
      <c r="A2054" s="23"/>
      <c r="B2054" s="61"/>
      <c r="C2054" s="23"/>
      <c r="D2054" s="26"/>
      <c r="E2054" s="23"/>
      <c r="F2054" s="27"/>
      <c r="G2054" s="41"/>
      <c r="H2054" s="41"/>
      <c r="I2054" s="41"/>
      <c r="J2054" s="23"/>
    </row>
    <row r="2055" spans="1:10" ht="15" customHeight="1" x14ac:dyDescent="0.35">
      <c r="A2055" s="23"/>
      <c r="B2055" s="61"/>
      <c r="C2055" s="23"/>
      <c r="D2055" s="26"/>
      <c r="E2055" s="23"/>
      <c r="F2055" s="27"/>
      <c r="G2055" s="41"/>
      <c r="H2055" s="41"/>
      <c r="I2055" s="41"/>
      <c r="J2055" s="23"/>
    </row>
    <row r="2056" spans="1:10" ht="15" customHeight="1" x14ac:dyDescent="0.35">
      <c r="A2056" s="23"/>
      <c r="B2056" s="61"/>
      <c r="C2056" s="23"/>
      <c r="D2056" s="26"/>
      <c r="E2056" s="23"/>
      <c r="F2056" s="27"/>
      <c r="G2056" s="41"/>
      <c r="H2056" s="41"/>
      <c r="I2056" s="41"/>
      <c r="J2056" s="23"/>
    </row>
    <row r="2057" spans="1:10" ht="15" customHeight="1" x14ac:dyDescent="0.35">
      <c r="A2057" s="23"/>
      <c r="B2057" s="61"/>
      <c r="C2057" s="23"/>
      <c r="D2057" s="26"/>
      <c r="E2057" s="23"/>
      <c r="F2057" s="27"/>
      <c r="G2057" s="41"/>
      <c r="H2057" s="41"/>
      <c r="I2057" s="41"/>
      <c r="J2057" s="23"/>
    </row>
    <row r="2058" spans="1:10" ht="15" customHeight="1" x14ac:dyDescent="0.35">
      <c r="A2058" s="23"/>
      <c r="B2058" s="61"/>
      <c r="C2058" s="23"/>
      <c r="D2058" s="26"/>
      <c r="E2058" s="23"/>
      <c r="F2058" s="27"/>
      <c r="G2058" s="41"/>
      <c r="H2058" s="41"/>
      <c r="I2058" s="41"/>
      <c r="J2058" s="23"/>
    </row>
    <row r="2059" spans="1:10" ht="15" customHeight="1" x14ac:dyDescent="0.35">
      <c r="A2059" s="23"/>
      <c r="B2059" s="61"/>
      <c r="C2059" s="23"/>
      <c r="D2059" s="26"/>
      <c r="E2059" s="23"/>
      <c r="F2059" s="27"/>
      <c r="G2059" s="41"/>
      <c r="H2059" s="41"/>
      <c r="I2059" s="41"/>
      <c r="J2059" s="23"/>
    </row>
    <row r="2060" spans="1:10" ht="15" customHeight="1" x14ac:dyDescent="0.35">
      <c r="A2060" s="23"/>
      <c r="B2060" s="61"/>
      <c r="C2060" s="23"/>
      <c r="D2060" s="26"/>
      <c r="E2060" s="23"/>
      <c r="F2060" s="27"/>
      <c r="G2060" s="41"/>
      <c r="H2060" s="41"/>
      <c r="I2060" s="41"/>
      <c r="J2060" s="23"/>
    </row>
    <row r="2061" spans="1:10" ht="15" customHeight="1" x14ac:dyDescent="0.35">
      <c r="A2061" s="23"/>
      <c r="B2061" s="61"/>
      <c r="C2061" s="23"/>
      <c r="D2061" s="26"/>
      <c r="E2061" s="23"/>
      <c r="F2061" s="27"/>
      <c r="G2061" s="41"/>
      <c r="H2061" s="41"/>
      <c r="I2061" s="41"/>
      <c r="J2061" s="23"/>
    </row>
    <row r="2062" spans="1:10" ht="15" customHeight="1" x14ac:dyDescent="0.35">
      <c r="A2062" s="23"/>
      <c r="B2062" s="61"/>
      <c r="C2062" s="23"/>
      <c r="D2062" s="26"/>
      <c r="E2062" s="23"/>
      <c r="F2062" s="27"/>
      <c r="G2062" s="41"/>
      <c r="H2062" s="41"/>
      <c r="I2062" s="41"/>
      <c r="J2062" s="23"/>
    </row>
    <row r="2063" spans="1:10" ht="15" customHeight="1" x14ac:dyDescent="0.35">
      <c r="A2063" s="23"/>
      <c r="B2063" s="61"/>
      <c r="C2063" s="23"/>
      <c r="D2063" s="26"/>
      <c r="E2063" s="23"/>
      <c r="F2063" s="27"/>
      <c r="G2063" s="41"/>
      <c r="H2063" s="41"/>
      <c r="I2063" s="41"/>
      <c r="J2063" s="23"/>
    </row>
    <row r="2064" spans="1:10" ht="15" customHeight="1" x14ac:dyDescent="0.35">
      <c r="A2064" s="23"/>
      <c r="B2064" s="61"/>
      <c r="C2064" s="23"/>
      <c r="D2064" s="26"/>
      <c r="E2064" s="23"/>
      <c r="F2064" s="27"/>
      <c r="G2064" s="41"/>
      <c r="H2064" s="41"/>
      <c r="I2064" s="41"/>
      <c r="J2064" s="23"/>
    </row>
    <row r="2065" spans="1:10" ht="15" customHeight="1" x14ac:dyDescent="0.35">
      <c r="A2065" s="23"/>
      <c r="B2065" s="61"/>
      <c r="C2065" s="23"/>
      <c r="D2065" s="26"/>
      <c r="E2065" s="23"/>
      <c r="F2065" s="27"/>
      <c r="G2065" s="41"/>
      <c r="H2065" s="41"/>
      <c r="I2065" s="41"/>
      <c r="J2065" s="23"/>
    </row>
    <row r="2066" spans="1:10" ht="15" customHeight="1" x14ac:dyDescent="0.35">
      <c r="A2066" s="23"/>
      <c r="B2066" s="61"/>
      <c r="C2066" s="23"/>
      <c r="D2066" s="26"/>
      <c r="E2066" s="23"/>
      <c r="F2066" s="27"/>
      <c r="G2066" s="41"/>
      <c r="H2066" s="41"/>
      <c r="I2066" s="41"/>
      <c r="J2066" s="23"/>
    </row>
    <row r="2067" spans="1:10" ht="15" customHeight="1" x14ac:dyDescent="0.35">
      <c r="A2067" s="23"/>
      <c r="B2067" s="61"/>
      <c r="C2067" s="23"/>
      <c r="D2067" s="26"/>
      <c r="E2067" s="23"/>
      <c r="F2067" s="27"/>
      <c r="G2067" s="41"/>
      <c r="H2067" s="41"/>
      <c r="I2067" s="41"/>
      <c r="J2067" s="23"/>
    </row>
    <row r="2068" spans="1:10" ht="15" customHeight="1" x14ac:dyDescent="0.35">
      <c r="A2068" s="23"/>
      <c r="B2068" s="61"/>
      <c r="C2068" s="23"/>
      <c r="D2068" s="26"/>
      <c r="E2068" s="23"/>
      <c r="F2068" s="27"/>
      <c r="G2068" s="41"/>
      <c r="H2068" s="41"/>
      <c r="I2068" s="41"/>
      <c r="J2068" s="23"/>
    </row>
    <row r="2069" spans="1:10" ht="15" customHeight="1" x14ac:dyDescent="0.35">
      <c r="A2069" s="23"/>
      <c r="B2069" s="61"/>
      <c r="C2069" s="23"/>
      <c r="D2069" s="26"/>
      <c r="E2069" s="23"/>
      <c r="F2069" s="27"/>
      <c r="G2069" s="41"/>
      <c r="H2069" s="41"/>
      <c r="I2069" s="41"/>
      <c r="J2069" s="23"/>
    </row>
    <row r="2070" spans="1:10" ht="15" customHeight="1" x14ac:dyDescent="0.35">
      <c r="A2070" s="23"/>
      <c r="B2070" s="61"/>
      <c r="C2070" s="23"/>
      <c r="D2070" s="26"/>
      <c r="E2070" s="23"/>
      <c r="F2070" s="27"/>
      <c r="G2070" s="41"/>
      <c r="H2070" s="41"/>
      <c r="I2070" s="41"/>
      <c r="J2070" s="23"/>
    </row>
    <row r="2071" spans="1:10" ht="15" customHeight="1" x14ac:dyDescent="0.35">
      <c r="A2071" s="23"/>
      <c r="B2071" s="61"/>
      <c r="C2071" s="23"/>
      <c r="D2071" s="26"/>
      <c r="E2071" s="23"/>
      <c r="F2071" s="27"/>
      <c r="G2071" s="41"/>
      <c r="H2071" s="41"/>
      <c r="I2071" s="41"/>
      <c r="J2071" s="23"/>
    </row>
    <row r="2072" spans="1:10" ht="15" customHeight="1" x14ac:dyDescent="0.35">
      <c r="A2072" s="23"/>
      <c r="B2072" s="61"/>
      <c r="C2072" s="23"/>
      <c r="D2072" s="26"/>
      <c r="E2072" s="23"/>
      <c r="F2072" s="27"/>
      <c r="G2072" s="41"/>
      <c r="H2072" s="41"/>
      <c r="I2072" s="41"/>
      <c r="J2072" s="23"/>
    </row>
    <row r="2073" spans="1:10" ht="15" customHeight="1" x14ac:dyDescent="0.35">
      <c r="A2073" s="23"/>
      <c r="B2073" s="61"/>
      <c r="C2073" s="23"/>
      <c r="D2073" s="26"/>
      <c r="E2073" s="23"/>
      <c r="F2073" s="27"/>
      <c r="G2073" s="41"/>
      <c r="H2073" s="41"/>
      <c r="I2073" s="41"/>
      <c r="J2073" s="23"/>
    </row>
    <row r="2074" spans="1:10" ht="15" customHeight="1" x14ac:dyDescent="0.35">
      <c r="A2074" s="23"/>
      <c r="B2074" s="61"/>
      <c r="C2074" s="23"/>
      <c r="D2074" s="26"/>
      <c r="E2074" s="23"/>
      <c r="F2074" s="27"/>
      <c r="G2074" s="41"/>
      <c r="H2074" s="41"/>
      <c r="I2074" s="41"/>
      <c r="J2074" s="23"/>
    </row>
    <row r="2075" spans="1:10" ht="15" customHeight="1" x14ac:dyDescent="0.35">
      <c r="A2075" s="23"/>
      <c r="B2075" s="61"/>
      <c r="C2075" s="23"/>
      <c r="D2075" s="26"/>
      <c r="E2075" s="23"/>
      <c r="F2075" s="27"/>
      <c r="G2075" s="41"/>
      <c r="H2075" s="41"/>
      <c r="I2075" s="41"/>
      <c r="J2075" s="23"/>
    </row>
    <row r="2076" spans="1:10" ht="15" customHeight="1" x14ac:dyDescent="0.35">
      <c r="A2076" s="23"/>
      <c r="B2076" s="61"/>
      <c r="C2076" s="23"/>
      <c r="D2076" s="26"/>
      <c r="E2076" s="23"/>
      <c r="F2076" s="27"/>
      <c r="G2076" s="41"/>
      <c r="H2076" s="41"/>
      <c r="I2076" s="41"/>
      <c r="J2076" s="23"/>
    </row>
    <row r="2077" spans="1:10" ht="15" customHeight="1" x14ac:dyDescent="0.35">
      <c r="A2077" s="23"/>
      <c r="B2077" s="61"/>
      <c r="C2077" s="23"/>
      <c r="D2077" s="26"/>
      <c r="E2077" s="23"/>
      <c r="F2077" s="27"/>
      <c r="G2077" s="41"/>
      <c r="H2077" s="41"/>
      <c r="I2077" s="41"/>
      <c r="J2077" s="23"/>
    </row>
    <row r="2078" spans="1:10" ht="15" customHeight="1" x14ac:dyDescent="0.35">
      <c r="A2078" s="23"/>
      <c r="B2078" s="61"/>
      <c r="C2078" s="23"/>
      <c r="D2078" s="26"/>
      <c r="E2078" s="23"/>
      <c r="F2078" s="27"/>
      <c r="G2078" s="41"/>
      <c r="H2078" s="41"/>
      <c r="I2078" s="41"/>
      <c r="J2078" s="23"/>
    </row>
    <row r="2079" spans="1:10" ht="15" customHeight="1" x14ac:dyDescent="0.35">
      <c r="A2079" s="23"/>
      <c r="B2079" s="61"/>
      <c r="C2079" s="23"/>
      <c r="D2079" s="26"/>
      <c r="E2079" s="23"/>
      <c r="F2079" s="27"/>
      <c r="G2079" s="41"/>
      <c r="H2079" s="41"/>
      <c r="I2079" s="41"/>
      <c r="J2079" s="23"/>
    </row>
    <row r="2080" spans="1:10" ht="15" customHeight="1" x14ac:dyDescent="0.35">
      <c r="A2080" s="23"/>
      <c r="B2080" s="61"/>
      <c r="C2080" s="23"/>
      <c r="D2080" s="26"/>
      <c r="E2080" s="23"/>
      <c r="F2080" s="27"/>
      <c r="G2080" s="41"/>
      <c r="H2080" s="41"/>
      <c r="I2080" s="41"/>
      <c r="J2080" s="23"/>
    </row>
    <row r="2081" spans="1:10" ht="15" customHeight="1" x14ac:dyDescent="0.35">
      <c r="A2081" s="23"/>
      <c r="B2081" s="61"/>
      <c r="C2081" s="23"/>
      <c r="D2081" s="26"/>
      <c r="E2081" s="23"/>
      <c r="F2081" s="27"/>
      <c r="G2081" s="41"/>
      <c r="H2081" s="41"/>
      <c r="I2081" s="41"/>
      <c r="J2081" s="23"/>
    </row>
    <row r="2082" spans="1:10" ht="15" customHeight="1" x14ac:dyDescent="0.35">
      <c r="A2082" s="23"/>
      <c r="B2082" s="61"/>
      <c r="C2082" s="23"/>
      <c r="D2082" s="26"/>
      <c r="E2082" s="23"/>
      <c r="F2082" s="27"/>
      <c r="G2082" s="41"/>
      <c r="H2082" s="41"/>
      <c r="I2082" s="41"/>
      <c r="J2082" s="23"/>
    </row>
    <row r="2083" spans="1:10" ht="15" customHeight="1" x14ac:dyDescent="0.35">
      <c r="A2083" s="23"/>
      <c r="B2083" s="61"/>
      <c r="C2083" s="23"/>
      <c r="D2083" s="26"/>
      <c r="E2083" s="23"/>
      <c r="F2083" s="27"/>
      <c r="G2083" s="41"/>
      <c r="H2083" s="41"/>
      <c r="I2083" s="41"/>
      <c r="J2083" s="23"/>
    </row>
    <row r="2084" spans="1:10" ht="15" customHeight="1" x14ac:dyDescent="0.35">
      <c r="A2084" s="23"/>
      <c r="B2084" s="61"/>
      <c r="C2084" s="23"/>
      <c r="D2084" s="26"/>
      <c r="E2084" s="23"/>
      <c r="F2084" s="27"/>
      <c r="G2084" s="41"/>
      <c r="H2084" s="41"/>
      <c r="I2084" s="41"/>
      <c r="J2084" s="23"/>
    </row>
    <row r="2085" spans="1:10" ht="15" customHeight="1" x14ac:dyDescent="0.35">
      <c r="A2085" s="23"/>
      <c r="B2085" s="61"/>
      <c r="C2085" s="23"/>
      <c r="D2085" s="26"/>
      <c r="E2085" s="23"/>
      <c r="F2085" s="27"/>
      <c r="G2085" s="41"/>
      <c r="H2085" s="41"/>
      <c r="I2085" s="41"/>
      <c r="J2085" s="23"/>
    </row>
    <row r="2086" spans="1:10" ht="15" customHeight="1" x14ac:dyDescent="0.35">
      <c r="A2086" s="23"/>
      <c r="B2086" s="61"/>
      <c r="C2086" s="23"/>
      <c r="D2086" s="26"/>
      <c r="E2086" s="23"/>
      <c r="F2086" s="27"/>
      <c r="G2086" s="41"/>
      <c r="H2086" s="41"/>
      <c r="I2086" s="41"/>
      <c r="J2086" s="23"/>
    </row>
    <row r="2087" spans="1:10" ht="15" customHeight="1" x14ac:dyDescent="0.35">
      <c r="A2087" s="23"/>
      <c r="B2087" s="61"/>
      <c r="C2087" s="23"/>
      <c r="D2087" s="26"/>
      <c r="E2087" s="23"/>
      <c r="F2087" s="27"/>
      <c r="G2087" s="41"/>
      <c r="H2087" s="41"/>
      <c r="I2087" s="41"/>
      <c r="J2087" s="23"/>
    </row>
    <row r="2088" spans="1:10" ht="15" customHeight="1" x14ac:dyDescent="0.35">
      <c r="A2088" s="23"/>
      <c r="B2088" s="61"/>
      <c r="C2088" s="23"/>
      <c r="D2088" s="26"/>
      <c r="E2088" s="23"/>
      <c r="F2088" s="27"/>
      <c r="G2088" s="41"/>
      <c r="H2088" s="41"/>
      <c r="I2088" s="41"/>
      <c r="J2088" s="23"/>
    </row>
    <row r="2089" spans="1:10" ht="15" customHeight="1" x14ac:dyDescent="0.35">
      <c r="A2089" s="23"/>
      <c r="B2089" s="61"/>
      <c r="C2089" s="23"/>
      <c r="D2089" s="26"/>
      <c r="E2089" s="23"/>
      <c r="F2089" s="27"/>
      <c r="G2089" s="41"/>
      <c r="H2089" s="41"/>
      <c r="I2089" s="41"/>
      <c r="J2089" s="23"/>
    </row>
    <row r="2090" spans="1:10" ht="15" customHeight="1" x14ac:dyDescent="0.35">
      <c r="A2090" s="23"/>
      <c r="B2090" s="61"/>
      <c r="C2090" s="23"/>
      <c r="D2090" s="26"/>
      <c r="E2090" s="23"/>
      <c r="F2090" s="27"/>
      <c r="G2090" s="41"/>
      <c r="H2090" s="41"/>
      <c r="I2090" s="41"/>
      <c r="J2090" s="23"/>
    </row>
    <row r="2091" spans="1:10" ht="15" customHeight="1" x14ac:dyDescent="0.35">
      <c r="A2091" s="23"/>
      <c r="B2091" s="61"/>
      <c r="C2091" s="23"/>
      <c r="D2091" s="26"/>
      <c r="E2091" s="23"/>
      <c r="F2091" s="27"/>
      <c r="G2091" s="41"/>
      <c r="H2091" s="41"/>
      <c r="I2091" s="41"/>
      <c r="J2091" s="23"/>
    </row>
    <row r="2092" spans="1:10" ht="15" customHeight="1" x14ac:dyDescent="0.35">
      <c r="A2092" s="23"/>
      <c r="B2092" s="61"/>
      <c r="C2092" s="23"/>
      <c r="D2092" s="26"/>
      <c r="E2092" s="23"/>
      <c r="F2092" s="27"/>
      <c r="G2092" s="41"/>
      <c r="H2092" s="41"/>
      <c r="I2092" s="41"/>
      <c r="J2092" s="23"/>
    </row>
    <row r="2093" spans="1:10" ht="15" customHeight="1" x14ac:dyDescent="0.35">
      <c r="A2093" s="23"/>
      <c r="B2093" s="61"/>
      <c r="C2093" s="23"/>
      <c r="D2093" s="26"/>
      <c r="E2093" s="23"/>
      <c r="F2093" s="27"/>
      <c r="G2093" s="41"/>
      <c r="H2093" s="41"/>
      <c r="I2093" s="41"/>
      <c r="J2093" s="23"/>
    </row>
    <row r="2094" spans="1:10" ht="15" customHeight="1" x14ac:dyDescent="0.35">
      <c r="A2094" s="23"/>
      <c r="B2094" s="61"/>
      <c r="C2094" s="23"/>
      <c r="D2094" s="26"/>
      <c r="E2094" s="23"/>
      <c r="F2094" s="27"/>
      <c r="G2094" s="41"/>
      <c r="H2094" s="41"/>
      <c r="I2094" s="41"/>
      <c r="J2094" s="23"/>
    </row>
    <row r="2095" spans="1:10" ht="15" customHeight="1" x14ac:dyDescent="0.35">
      <c r="A2095" s="23"/>
      <c r="B2095" s="61"/>
      <c r="C2095" s="23"/>
      <c r="D2095" s="26"/>
      <c r="E2095" s="23"/>
      <c r="F2095" s="27"/>
      <c r="G2095" s="41"/>
      <c r="H2095" s="41"/>
      <c r="I2095" s="41"/>
      <c r="J2095" s="23"/>
    </row>
    <row r="2096" spans="1:10" ht="15" customHeight="1" x14ac:dyDescent="0.35">
      <c r="A2096" s="23"/>
      <c r="B2096" s="61"/>
      <c r="C2096" s="23"/>
      <c r="D2096" s="26"/>
      <c r="E2096" s="23"/>
      <c r="F2096" s="27"/>
      <c r="G2096" s="41"/>
      <c r="H2096" s="41"/>
      <c r="I2096" s="41"/>
      <c r="J2096" s="23"/>
    </row>
    <row r="2097" spans="1:10" ht="15" customHeight="1" x14ac:dyDescent="0.35">
      <c r="A2097" s="23"/>
      <c r="B2097" s="61"/>
      <c r="C2097" s="23"/>
      <c r="D2097" s="26"/>
      <c r="E2097" s="23"/>
      <c r="F2097" s="27"/>
      <c r="G2097" s="41"/>
      <c r="H2097" s="41"/>
      <c r="I2097" s="41"/>
      <c r="J2097" s="23"/>
    </row>
    <row r="2098" spans="1:10" ht="15" customHeight="1" x14ac:dyDescent="0.35">
      <c r="A2098" s="23"/>
      <c r="B2098" s="61"/>
      <c r="C2098" s="23"/>
      <c r="D2098" s="26"/>
      <c r="E2098" s="23"/>
      <c r="F2098" s="27"/>
      <c r="G2098" s="41"/>
      <c r="H2098" s="41"/>
      <c r="I2098" s="41"/>
      <c r="J2098" s="23"/>
    </row>
    <row r="2099" spans="1:10" ht="15" customHeight="1" x14ac:dyDescent="0.35">
      <c r="A2099" s="23"/>
      <c r="B2099" s="61"/>
      <c r="C2099" s="23"/>
      <c r="D2099" s="26"/>
      <c r="E2099" s="23"/>
      <c r="F2099" s="27"/>
      <c r="G2099" s="41"/>
      <c r="H2099" s="41"/>
      <c r="I2099" s="41"/>
      <c r="J2099" s="23"/>
    </row>
    <row r="2100" spans="1:10" ht="15" customHeight="1" x14ac:dyDescent="0.35">
      <c r="A2100" s="23"/>
      <c r="B2100" s="61"/>
      <c r="C2100" s="23"/>
      <c r="D2100" s="26"/>
      <c r="E2100" s="23"/>
      <c r="F2100" s="27"/>
      <c r="G2100" s="41"/>
      <c r="H2100" s="41"/>
      <c r="I2100" s="41"/>
      <c r="J2100" s="23"/>
    </row>
    <row r="2101" spans="1:10" ht="15" customHeight="1" x14ac:dyDescent="0.35">
      <c r="A2101" s="23"/>
      <c r="B2101" s="61"/>
      <c r="C2101" s="23"/>
      <c r="D2101" s="26"/>
      <c r="E2101" s="23"/>
      <c r="F2101" s="27"/>
      <c r="G2101" s="41"/>
      <c r="H2101" s="41"/>
      <c r="I2101" s="41"/>
      <c r="J2101" s="23"/>
    </row>
    <row r="2102" spans="1:10" ht="15" customHeight="1" x14ac:dyDescent="0.35">
      <c r="A2102" s="23"/>
      <c r="B2102" s="61"/>
      <c r="C2102" s="23"/>
      <c r="D2102" s="26"/>
      <c r="E2102" s="23"/>
      <c r="F2102" s="27"/>
      <c r="G2102" s="41"/>
      <c r="H2102" s="41"/>
      <c r="I2102" s="41"/>
      <c r="J2102" s="23"/>
    </row>
    <row r="2103" spans="1:10" ht="15" customHeight="1" x14ac:dyDescent="0.35">
      <c r="A2103" s="23"/>
      <c r="B2103" s="61"/>
      <c r="C2103" s="23"/>
      <c r="D2103" s="26"/>
      <c r="E2103" s="23"/>
      <c r="F2103" s="27"/>
      <c r="G2103" s="41"/>
      <c r="H2103" s="41"/>
      <c r="I2103" s="41"/>
      <c r="J2103" s="23"/>
    </row>
    <row r="2104" spans="1:10" ht="15" customHeight="1" x14ac:dyDescent="0.35">
      <c r="A2104" s="23"/>
      <c r="B2104" s="61"/>
      <c r="C2104" s="23"/>
      <c r="D2104" s="26"/>
      <c r="E2104" s="23"/>
      <c r="F2104" s="27"/>
      <c r="G2104" s="41"/>
      <c r="H2104" s="41"/>
      <c r="I2104" s="41"/>
      <c r="J2104" s="23"/>
    </row>
    <row r="2105" spans="1:10" ht="15" customHeight="1" x14ac:dyDescent="0.35">
      <c r="A2105" s="23"/>
      <c r="B2105" s="61"/>
      <c r="C2105" s="23"/>
      <c r="D2105" s="26"/>
      <c r="E2105" s="23"/>
      <c r="F2105" s="27"/>
      <c r="G2105" s="41"/>
      <c r="H2105" s="41"/>
      <c r="I2105" s="41"/>
      <c r="J2105" s="23"/>
    </row>
    <row r="2106" spans="1:10" ht="15" customHeight="1" x14ac:dyDescent="0.35">
      <c r="A2106" s="23"/>
      <c r="B2106" s="61"/>
      <c r="C2106" s="23"/>
      <c r="D2106" s="26"/>
      <c r="E2106" s="23"/>
      <c r="F2106" s="27"/>
      <c r="G2106" s="41"/>
      <c r="H2106" s="41"/>
      <c r="I2106" s="41"/>
      <c r="J2106" s="23"/>
    </row>
    <row r="2107" spans="1:10" ht="15" customHeight="1" x14ac:dyDescent="0.35">
      <c r="A2107" s="23"/>
      <c r="B2107" s="61"/>
      <c r="C2107" s="23"/>
      <c r="D2107" s="26"/>
      <c r="E2107" s="23"/>
      <c r="F2107" s="27"/>
      <c r="G2107" s="41"/>
      <c r="H2107" s="41"/>
      <c r="I2107" s="41"/>
      <c r="J2107" s="23"/>
    </row>
    <row r="2108" spans="1:10" ht="15" customHeight="1" x14ac:dyDescent="0.35">
      <c r="A2108" s="23"/>
      <c r="B2108" s="61"/>
      <c r="C2108" s="23"/>
      <c r="D2108" s="26"/>
      <c r="E2108" s="23"/>
      <c r="F2108" s="27"/>
      <c r="G2108" s="41"/>
      <c r="H2108" s="41"/>
      <c r="I2108" s="41"/>
      <c r="J2108" s="23"/>
    </row>
    <row r="2109" spans="1:10" ht="15" customHeight="1" x14ac:dyDescent="0.35">
      <c r="A2109" s="23"/>
      <c r="B2109" s="61"/>
      <c r="C2109" s="23"/>
      <c r="D2109" s="26"/>
      <c r="E2109" s="23"/>
      <c r="F2109" s="27"/>
      <c r="G2109" s="41"/>
      <c r="H2109" s="41"/>
      <c r="I2109" s="41"/>
      <c r="J2109" s="23"/>
    </row>
    <row r="2110" spans="1:10" ht="15" customHeight="1" x14ac:dyDescent="0.35">
      <c r="A2110" s="23"/>
      <c r="B2110" s="61"/>
      <c r="C2110" s="23"/>
      <c r="D2110" s="26"/>
      <c r="E2110" s="23"/>
      <c r="F2110" s="27"/>
      <c r="G2110" s="41"/>
      <c r="H2110" s="41"/>
      <c r="I2110" s="41"/>
      <c r="J2110" s="23"/>
    </row>
    <row r="2111" spans="1:10" ht="15" customHeight="1" x14ac:dyDescent="0.35">
      <c r="A2111" s="23"/>
      <c r="B2111" s="61"/>
      <c r="C2111" s="23"/>
      <c r="D2111" s="26"/>
      <c r="E2111" s="23"/>
      <c r="F2111" s="27"/>
      <c r="G2111" s="41"/>
      <c r="H2111" s="41"/>
      <c r="I2111" s="41"/>
      <c r="J2111" s="23"/>
    </row>
    <row r="2112" spans="1:10" ht="15" customHeight="1" x14ac:dyDescent="0.35">
      <c r="A2112" s="23"/>
      <c r="B2112" s="61"/>
      <c r="C2112" s="23"/>
      <c r="D2112" s="26"/>
      <c r="E2112" s="23"/>
      <c r="F2112" s="27"/>
      <c r="G2112" s="41"/>
      <c r="H2112" s="41"/>
      <c r="I2112" s="41"/>
      <c r="J2112" s="23"/>
    </row>
    <row r="2113" spans="1:10" ht="15" customHeight="1" x14ac:dyDescent="0.35">
      <c r="A2113" s="23"/>
      <c r="B2113" s="61"/>
      <c r="C2113" s="23"/>
      <c r="D2113" s="26"/>
      <c r="E2113" s="23"/>
      <c r="F2113" s="27"/>
      <c r="G2113" s="41"/>
      <c r="H2113" s="41"/>
      <c r="I2113" s="41"/>
      <c r="J2113" s="23"/>
    </row>
    <row r="2114" spans="1:10" ht="15" customHeight="1" x14ac:dyDescent="0.35">
      <c r="A2114" s="23"/>
      <c r="B2114" s="61"/>
      <c r="C2114" s="23"/>
      <c r="D2114" s="26"/>
      <c r="E2114" s="23"/>
      <c r="F2114" s="27"/>
      <c r="G2114" s="41"/>
      <c r="H2114" s="41"/>
      <c r="I2114" s="41"/>
      <c r="J2114" s="23"/>
    </row>
    <row r="2115" spans="1:10" ht="15" customHeight="1" x14ac:dyDescent="0.35">
      <c r="A2115" s="23"/>
      <c r="B2115" s="61"/>
      <c r="C2115" s="23"/>
      <c r="D2115" s="26"/>
      <c r="E2115" s="23"/>
      <c r="F2115" s="27"/>
      <c r="G2115" s="41"/>
      <c r="H2115" s="41"/>
      <c r="I2115" s="41"/>
      <c r="J2115" s="23"/>
    </row>
    <row r="2116" spans="1:10" ht="15" customHeight="1" x14ac:dyDescent="0.35">
      <c r="A2116" s="23"/>
      <c r="B2116" s="61"/>
      <c r="C2116" s="23"/>
      <c r="D2116" s="26"/>
      <c r="E2116" s="23"/>
      <c r="F2116" s="27"/>
      <c r="G2116" s="41"/>
      <c r="H2116" s="41"/>
      <c r="I2116" s="41"/>
      <c r="J2116" s="23"/>
    </row>
    <row r="2117" spans="1:10" ht="15" customHeight="1" x14ac:dyDescent="0.35">
      <c r="A2117" s="23"/>
      <c r="B2117" s="61"/>
      <c r="C2117" s="23"/>
      <c r="D2117" s="26"/>
      <c r="E2117" s="23"/>
      <c r="F2117" s="27"/>
      <c r="G2117" s="41"/>
      <c r="H2117" s="41"/>
      <c r="I2117" s="41"/>
      <c r="J2117" s="23"/>
    </row>
    <row r="2118" spans="1:10" ht="15" customHeight="1" x14ac:dyDescent="0.35">
      <c r="A2118" s="23"/>
      <c r="B2118" s="61"/>
      <c r="C2118" s="23"/>
      <c r="D2118" s="26"/>
      <c r="E2118" s="23"/>
      <c r="F2118" s="27"/>
      <c r="G2118" s="41"/>
      <c r="H2118" s="41"/>
      <c r="I2118" s="41"/>
      <c r="J2118" s="23"/>
    </row>
    <row r="2119" spans="1:10" ht="15" customHeight="1" x14ac:dyDescent="0.35">
      <c r="A2119" s="23"/>
      <c r="B2119" s="61"/>
      <c r="C2119" s="23"/>
      <c r="D2119" s="26"/>
      <c r="E2119" s="23"/>
      <c r="F2119" s="27"/>
      <c r="G2119" s="41"/>
      <c r="H2119" s="41"/>
      <c r="I2119" s="41"/>
      <c r="J2119" s="23"/>
    </row>
    <row r="2120" spans="1:10" ht="15" customHeight="1" x14ac:dyDescent="0.35">
      <c r="A2120" s="23"/>
      <c r="B2120" s="61"/>
      <c r="C2120" s="23"/>
      <c r="D2120" s="26"/>
      <c r="E2120" s="23"/>
      <c r="F2120" s="27"/>
      <c r="G2120" s="41"/>
      <c r="H2120" s="41"/>
      <c r="I2120" s="41"/>
      <c r="J2120" s="23"/>
    </row>
    <row r="2121" spans="1:10" ht="15" customHeight="1" x14ac:dyDescent="0.35">
      <c r="A2121" s="23"/>
      <c r="B2121" s="61"/>
      <c r="C2121" s="23"/>
      <c r="D2121" s="26"/>
      <c r="E2121" s="23"/>
      <c r="F2121" s="27"/>
      <c r="G2121" s="41"/>
      <c r="H2121" s="41"/>
      <c r="I2121" s="41"/>
      <c r="J2121" s="23"/>
    </row>
    <row r="2122" spans="1:10" ht="15" customHeight="1" x14ac:dyDescent="0.35">
      <c r="A2122" s="23"/>
      <c r="B2122" s="61"/>
      <c r="C2122" s="23"/>
      <c r="D2122" s="26"/>
      <c r="E2122" s="23"/>
      <c r="F2122" s="27"/>
      <c r="G2122" s="41"/>
      <c r="H2122" s="41"/>
      <c r="I2122" s="41"/>
      <c r="J2122" s="23"/>
    </row>
    <row r="2123" spans="1:10" ht="15" customHeight="1" x14ac:dyDescent="0.35">
      <c r="A2123" s="23"/>
      <c r="B2123" s="61"/>
      <c r="C2123" s="23"/>
      <c r="D2123" s="26"/>
      <c r="E2123" s="23"/>
      <c r="F2123" s="27"/>
      <c r="G2123" s="41"/>
      <c r="H2123" s="41"/>
      <c r="I2123" s="41"/>
      <c r="J2123" s="23"/>
    </row>
    <row r="2124" spans="1:10" ht="15" customHeight="1" x14ac:dyDescent="0.35">
      <c r="A2124" s="23"/>
      <c r="B2124" s="61"/>
      <c r="C2124" s="23"/>
      <c r="D2124" s="26"/>
      <c r="E2124" s="23"/>
      <c r="F2124" s="27"/>
      <c r="G2124" s="41"/>
      <c r="H2124" s="41"/>
      <c r="I2124" s="41"/>
      <c r="J2124" s="23"/>
    </row>
    <row r="2125" spans="1:10" ht="15" customHeight="1" x14ac:dyDescent="0.35">
      <c r="A2125" s="23"/>
      <c r="B2125" s="61"/>
      <c r="C2125" s="23"/>
      <c r="D2125" s="26"/>
      <c r="E2125" s="23"/>
      <c r="F2125" s="27"/>
      <c r="G2125" s="41"/>
      <c r="H2125" s="41"/>
      <c r="I2125" s="41"/>
      <c r="J2125" s="23"/>
    </row>
    <row r="2126" spans="1:10" ht="15" customHeight="1" x14ac:dyDescent="0.35">
      <c r="A2126" s="23"/>
      <c r="B2126" s="61"/>
      <c r="C2126" s="23"/>
      <c r="D2126" s="26"/>
      <c r="E2126" s="23"/>
      <c r="F2126" s="27"/>
      <c r="G2126" s="41"/>
      <c r="H2126" s="41"/>
      <c r="I2126" s="41"/>
      <c r="J2126" s="23"/>
    </row>
    <row r="2127" spans="1:10" ht="15" customHeight="1" x14ac:dyDescent="0.35">
      <c r="A2127" s="23"/>
      <c r="B2127" s="61"/>
      <c r="C2127" s="23"/>
      <c r="D2127" s="26"/>
      <c r="E2127" s="23"/>
      <c r="F2127" s="27"/>
      <c r="G2127" s="41"/>
      <c r="H2127" s="41"/>
      <c r="I2127" s="41"/>
      <c r="J2127" s="23"/>
    </row>
    <row r="2128" spans="1:10" ht="15" customHeight="1" x14ac:dyDescent="0.35">
      <c r="A2128" s="23"/>
      <c r="B2128" s="61"/>
      <c r="C2128" s="23"/>
      <c r="D2128" s="26"/>
      <c r="E2128" s="23"/>
      <c r="F2128" s="27"/>
      <c r="G2128" s="41"/>
      <c r="H2128" s="41"/>
      <c r="I2128" s="41"/>
      <c r="J2128" s="23"/>
    </row>
    <row r="2129" spans="1:10" ht="15" customHeight="1" x14ac:dyDescent="0.35">
      <c r="A2129" s="23"/>
      <c r="B2129" s="61"/>
      <c r="C2129" s="23"/>
      <c r="D2129" s="26"/>
      <c r="E2129" s="23"/>
      <c r="F2129" s="27"/>
      <c r="G2129" s="41"/>
      <c r="H2129" s="41"/>
      <c r="I2129" s="41"/>
      <c r="J2129" s="23"/>
    </row>
    <row r="2130" spans="1:10" ht="15" customHeight="1" x14ac:dyDescent="0.35">
      <c r="A2130" s="23"/>
      <c r="B2130" s="61"/>
      <c r="C2130" s="23"/>
      <c r="D2130" s="26"/>
      <c r="E2130" s="23"/>
      <c r="F2130" s="27"/>
      <c r="G2130" s="41"/>
      <c r="H2130" s="41"/>
      <c r="I2130" s="41"/>
      <c r="J2130" s="23"/>
    </row>
    <row r="2131" spans="1:10" ht="15" customHeight="1" x14ac:dyDescent="0.35">
      <c r="A2131" s="23"/>
      <c r="B2131" s="61"/>
      <c r="C2131" s="23"/>
      <c r="D2131" s="26"/>
      <c r="E2131" s="23"/>
      <c r="F2131" s="27"/>
      <c r="G2131" s="41"/>
      <c r="H2131" s="41"/>
      <c r="I2131" s="41"/>
      <c r="J2131" s="23"/>
    </row>
    <row r="2132" spans="1:10" ht="15" customHeight="1" x14ac:dyDescent="0.35">
      <c r="A2132" s="23"/>
      <c r="B2132" s="61"/>
      <c r="C2132" s="23"/>
      <c r="D2132" s="26"/>
      <c r="E2132" s="23"/>
      <c r="F2132" s="27"/>
      <c r="G2132" s="41"/>
      <c r="H2132" s="41"/>
      <c r="I2132" s="41"/>
      <c r="J2132" s="23"/>
    </row>
    <row r="2133" spans="1:10" ht="15" customHeight="1" x14ac:dyDescent="0.35">
      <c r="A2133" s="23"/>
      <c r="B2133" s="61"/>
      <c r="C2133" s="23"/>
      <c r="D2133" s="26"/>
      <c r="E2133" s="23"/>
      <c r="F2133" s="27"/>
      <c r="G2133" s="41"/>
      <c r="H2133" s="41"/>
      <c r="I2133" s="41"/>
      <c r="J2133" s="23"/>
    </row>
    <row r="2134" spans="1:10" ht="15" customHeight="1" x14ac:dyDescent="0.35">
      <c r="A2134" s="23"/>
      <c r="B2134" s="61"/>
      <c r="C2134" s="23"/>
      <c r="D2134" s="26"/>
      <c r="E2134" s="23"/>
      <c r="F2134" s="27"/>
      <c r="G2134" s="41"/>
      <c r="H2134" s="41"/>
      <c r="I2134" s="41"/>
      <c r="J2134" s="23"/>
    </row>
    <row r="2135" spans="1:10" ht="15" customHeight="1" x14ac:dyDescent="0.35">
      <c r="A2135" s="23"/>
      <c r="B2135" s="61"/>
      <c r="C2135" s="23"/>
      <c r="D2135" s="26"/>
      <c r="E2135" s="23"/>
      <c r="F2135" s="27"/>
      <c r="G2135" s="41"/>
      <c r="H2135" s="41"/>
      <c r="I2135" s="41"/>
      <c r="J2135" s="23"/>
    </row>
    <row r="2136" spans="1:10" ht="15" customHeight="1" x14ac:dyDescent="0.35">
      <c r="A2136" s="23"/>
      <c r="B2136" s="61"/>
      <c r="C2136" s="23"/>
      <c r="D2136" s="26"/>
      <c r="E2136" s="23"/>
      <c r="F2136" s="27"/>
      <c r="G2136" s="41"/>
      <c r="H2136" s="41"/>
      <c r="I2136" s="41"/>
      <c r="J2136" s="23"/>
    </row>
    <row r="2137" spans="1:10" ht="15" customHeight="1" x14ac:dyDescent="0.35">
      <c r="A2137" s="23"/>
      <c r="B2137" s="61"/>
      <c r="C2137" s="23"/>
      <c r="D2137" s="26"/>
      <c r="E2137" s="23"/>
      <c r="F2137" s="27"/>
      <c r="G2137" s="41"/>
      <c r="H2137" s="41"/>
      <c r="I2137" s="41"/>
      <c r="J2137" s="23"/>
    </row>
    <row r="2138" spans="1:10" ht="15" customHeight="1" x14ac:dyDescent="0.35">
      <c r="A2138" s="23"/>
      <c r="B2138" s="61"/>
      <c r="C2138" s="23"/>
      <c r="D2138" s="26"/>
      <c r="E2138" s="23"/>
      <c r="F2138" s="27"/>
      <c r="G2138" s="41"/>
      <c r="H2138" s="41"/>
      <c r="I2138" s="41"/>
      <c r="J2138" s="23"/>
    </row>
    <row r="2139" spans="1:10" ht="15" customHeight="1" x14ac:dyDescent="0.35">
      <c r="A2139" s="23"/>
      <c r="B2139" s="61"/>
      <c r="C2139" s="23"/>
      <c r="D2139" s="26"/>
      <c r="E2139" s="23"/>
      <c r="F2139" s="27"/>
      <c r="G2139" s="41"/>
      <c r="H2139" s="41"/>
      <c r="I2139" s="41"/>
      <c r="J2139" s="23"/>
    </row>
    <row r="2140" spans="1:10" ht="15" customHeight="1" x14ac:dyDescent="0.35">
      <c r="A2140" s="23"/>
      <c r="B2140" s="61"/>
      <c r="C2140" s="23"/>
      <c r="D2140" s="26"/>
      <c r="E2140" s="23"/>
      <c r="F2140" s="27"/>
      <c r="G2140" s="41"/>
      <c r="H2140" s="41"/>
      <c r="I2140" s="41"/>
      <c r="J2140" s="23"/>
    </row>
    <row r="2141" spans="1:10" ht="15" customHeight="1" x14ac:dyDescent="0.35">
      <c r="A2141" s="23"/>
      <c r="B2141" s="61"/>
      <c r="C2141" s="23"/>
      <c r="D2141" s="26"/>
      <c r="E2141" s="23"/>
      <c r="F2141" s="27"/>
      <c r="G2141" s="41"/>
      <c r="H2141" s="41"/>
      <c r="I2141" s="41"/>
      <c r="J2141" s="23"/>
    </row>
    <row r="2142" spans="1:10" ht="15" customHeight="1" x14ac:dyDescent="0.35">
      <c r="A2142" s="23"/>
      <c r="B2142" s="61"/>
      <c r="C2142" s="23"/>
      <c r="D2142" s="26"/>
      <c r="E2142" s="23"/>
      <c r="F2142" s="27"/>
      <c r="G2142" s="41"/>
      <c r="H2142" s="41"/>
      <c r="I2142" s="41"/>
      <c r="J2142" s="23"/>
    </row>
    <row r="2143" spans="1:10" ht="15" customHeight="1" x14ac:dyDescent="0.35">
      <c r="A2143" s="23"/>
      <c r="B2143" s="61"/>
      <c r="C2143" s="23"/>
      <c r="D2143" s="26"/>
      <c r="E2143" s="23"/>
      <c r="F2143" s="27"/>
      <c r="G2143" s="41"/>
      <c r="H2143" s="41"/>
      <c r="I2143" s="41"/>
      <c r="J2143" s="23"/>
    </row>
    <row r="2144" spans="1:10" ht="15" customHeight="1" x14ac:dyDescent="0.35">
      <c r="A2144" s="23"/>
      <c r="B2144" s="61"/>
      <c r="C2144" s="23"/>
      <c r="D2144" s="26"/>
      <c r="E2144" s="23"/>
      <c r="F2144" s="27"/>
      <c r="G2144" s="41"/>
      <c r="H2144" s="41"/>
      <c r="I2144" s="41"/>
      <c r="J2144" s="23"/>
    </row>
    <row r="2145" spans="1:10" ht="15" customHeight="1" x14ac:dyDescent="0.35">
      <c r="A2145" s="23"/>
      <c r="B2145" s="61"/>
      <c r="C2145" s="23"/>
      <c r="D2145" s="26"/>
      <c r="E2145" s="23"/>
      <c r="F2145" s="27"/>
      <c r="G2145" s="41"/>
      <c r="H2145" s="41"/>
      <c r="I2145" s="41"/>
      <c r="J2145" s="23"/>
    </row>
    <row r="2146" spans="1:10" ht="15" customHeight="1" x14ac:dyDescent="0.35">
      <c r="A2146" s="23"/>
      <c r="B2146" s="61"/>
      <c r="C2146" s="23"/>
      <c r="D2146" s="26"/>
      <c r="E2146" s="23"/>
      <c r="F2146" s="27"/>
      <c r="G2146" s="41"/>
      <c r="H2146" s="41"/>
      <c r="I2146" s="41"/>
      <c r="J2146" s="23"/>
    </row>
    <row r="2147" spans="1:10" ht="15" customHeight="1" x14ac:dyDescent="0.35">
      <c r="A2147" s="23"/>
      <c r="B2147" s="61"/>
      <c r="C2147" s="23"/>
      <c r="D2147" s="26"/>
      <c r="E2147" s="23"/>
      <c r="F2147" s="27"/>
      <c r="G2147" s="41"/>
      <c r="H2147" s="41"/>
      <c r="I2147" s="41"/>
      <c r="J2147" s="23"/>
    </row>
    <row r="2148" spans="1:10" ht="15" customHeight="1" x14ac:dyDescent="0.35">
      <c r="A2148" s="23"/>
      <c r="B2148" s="61"/>
      <c r="C2148" s="23"/>
      <c r="D2148" s="26"/>
      <c r="E2148" s="23"/>
      <c r="F2148" s="27"/>
      <c r="G2148" s="41"/>
      <c r="H2148" s="41"/>
      <c r="I2148" s="41"/>
      <c r="J2148" s="23"/>
    </row>
    <row r="2149" spans="1:10" ht="15" customHeight="1" x14ac:dyDescent="0.35">
      <c r="A2149" s="23"/>
      <c r="B2149" s="61"/>
      <c r="C2149" s="23"/>
      <c r="D2149" s="26"/>
      <c r="E2149" s="23"/>
      <c r="F2149" s="27"/>
      <c r="G2149" s="41"/>
      <c r="H2149" s="41"/>
      <c r="I2149" s="41"/>
      <c r="J2149" s="23"/>
    </row>
    <row r="2150" spans="1:10" ht="15" customHeight="1" x14ac:dyDescent="0.35">
      <c r="A2150" s="23"/>
      <c r="B2150" s="61"/>
      <c r="C2150" s="23"/>
      <c r="D2150" s="26"/>
      <c r="E2150" s="23"/>
      <c r="F2150" s="27"/>
      <c r="G2150" s="41"/>
      <c r="H2150" s="41"/>
      <c r="I2150" s="41"/>
      <c r="J2150" s="23"/>
    </row>
    <row r="2151" spans="1:10" ht="15" customHeight="1" x14ac:dyDescent="0.35">
      <c r="A2151" s="23"/>
      <c r="B2151" s="61"/>
      <c r="C2151" s="23"/>
      <c r="D2151" s="26"/>
      <c r="E2151" s="23"/>
      <c r="F2151" s="27"/>
      <c r="G2151" s="41"/>
      <c r="H2151" s="41"/>
      <c r="I2151" s="41"/>
      <c r="J2151" s="23"/>
    </row>
    <row r="2152" spans="1:10" ht="15" customHeight="1" x14ac:dyDescent="0.35">
      <c r="A2152" s="23"/>
      <c r="B2152" s="61"/>
      <c r="C2152" s="23"/>
      <c r="D2152" s="26"/>
      <c r="E2152" s="23"/>
      <c r="F2152" s="27"/>
      <c r="G2152" s="41"/>
      <c r="H2152" s="41"/>
      <c r="I2152" s="41"/>
      <c r="J2152" s="23"/>
    </row>
    <row r="2153" spans="1:10" ht="15" customHeight="1" x14ac:dyDescent="0.35">
      <c r="A2153" s="23"/>
      <c r="B2153" s="61"/>
      <c r="C2153" s="23"/>
      <c r="D2153" s="26"/>
      <c r="E2153" s="23"/>
      <c r="F2153" s="27"/>
      <c r="G2153" s="41"/>
      <c r="H2153" s="41"/>
      <c r="I2153" s="41"/>
      <c r="J2153" s="23"/>
    </row>
    <row r="2154" spans="1:10" ht="15" customHeight="1" x14ac:dyDescent="0.35">
      <c r="A2154" s="23"/>
      <c r="B2154" s="61"/>
      <c r="C2154" s="23"/>
      <c r="D2154" s="26"/>
      <c r="E2154" s="23"/>
      <c r="F2154" s="27"/>
      <c r="G2154" s="41"/>
      <c r="H2154" s="41"/>
      <c r="I2154" s="41"/>
      <c r="J2154" s="23"/>
    </row>
    <row r="2155" spans="1:10" ht="15" customHeight="1" x14ac:dyDescent="0.35">
      <c r="A2155" s="23"/>
      <c r="B2155" s="61"/>
      <c r="C2155" s="23"/>
      <c r="D2155" s="26"/>
      <c r="E2155" s="23"/>
      <c r="F2155" s="27"/>
      <c r="G2155" s="41"/>
      <c r="H2155" s="41"/>
      <c r="I2155" s="41"/>
      <c r="J2155" s="23"/>
    </row>
    <row r="2156" spans="1:10" ht="15" customHeight="1" x14ac:dyDescent="0.35">
      <c r="A2156" s="23"/>
      <c r="B2156" s="61"/>
      <c r="C2156" s="23"/>
      <c r="D2156" s="26"/>
      <c r="E2156" s="23"/>
      <c r="F2156" s="27"/>
      <c r="G2156" s="41"/>
      <c r="H2156" s="41"/>
      <c r="I2156" s="41"/>
      <c r="J2156" s="23"/>
    </row>
    <row r="2157" spans="1:10" ht="15" customHeight="1" x14ac:dyDescent="0.35">
      <c r="A2157" s="23"/>
      <c r="B2157" s="61"/>
      <c r="C2157" s="23"/>
      <c r="D2157" s="26"/>
      <c r="E2157" s="23"/>
      <c r="F2157" s="27"/>
      <c r="G2157" s="41"/>
      <c r="H2157" s="41"/>
      <c r="I2157" s="41"/>
      <c r="J2157" s="23"/>
    </row>
    <row r="2158" spans="1:10" ht="15" customHeight="1" x14ac:dyDescent="0.35">
      <c r="A2158" s="23"/>
      <c r="B2158" s="61"/>
      <c r="C2158" s="23"/>
      <c r="D2158" s="26"/>
      <c r="E2158" s="23"/>
      <c r="F2158" s="27"/>
      <c r="G2158" s="41"/>
      <c r="H2158" s="41"/>
      <c r="I2158" s="41"/>
      <c r="J2158" s="23"/>
    </row>
    <row r="2159" spans="1:10" ht="15" customHeight="1" x14ac:dyDescent="0.35">
      <c r="A2159" s="23"/>
      <c r="B2159" s="61"/>
      <c r="C2159" s="23"/>
      <c r="D2159" s="26"/>
      <c r="E2159" s="23"/>
      <c r="F2159" s="27"/>
      <c r="G2159" s="41"/>
      <c r="H2159" s="41"/>
      <c r="I2159" s="41"/>
      <c r="J2159" s="23"/>
    </row>
    <row r="2160" spans="1:10" ht="15" customHeight="1" x14ac:dyDescent="0.35">
      <c r="A2160" s="23"/>
      <c r="B2160" s="61"/>
      <c r="C2160" s="23"/>
      <c r="D2160" s="26"/>
      <c r="E2160" s="23"/>
      <c r="F2160" s="27"/>
      <c r="G2160" s="41"/>
      <c r="H2160" s="41"/>
      <c r="I2160" s="41"/>
      <c r="J2160" s="23"/>
    </row>
    <row r="2161" spans="1:10" ht="15" customHeight="1" x14ac:dyDescent="0.35">
      <c r="A2161" s="23"/>
      <c r="B2161" s="61"/>
      <c r="C2161" s="23"/>
      <c r="D2161" s="26"/>
      <c r="E2161" s="23"/>
      <c r="F2161" s="27"/>
      <c r="G2161" s="41"/>
      <c r="H2161" s="41"/>
      <c r="I2161" s="41"/>
      <c r="J2161" s="23"/>
    </row>
    <row r="2162" spans="1:10" ht="15" customHeight="1" x14ac:dyDescent="0.35">
      <c r="A2162" s="23"/>
      <c r="B2162" s="61"/>
      <c r="C2162" s="23"/>
      <c r="D2162" s="26"/>
      <c r="E2162" s="23"/>
      <c r="F2162" s="27"/>
      <c r="G2162" s="41"/>
      <c r="H2162" s="41"/>
      <c r="I2162" s="41"/>
      <c r="J2162" s="23"/>
    </row>
    <row r="2163" spans="1:10" ht="15" customHeight="1" x14ac:dyDescent="0.35">
      <c r="A2163" s="23"/>
      <c r="B2163" s="61"/>
      <c r="C2163" s="23"/>
      <c r="D2163" s="26"/>
      <c r="E2163" s="23"/>
      <c r="F2163" s="27"/>
      <c r="G2163" s="41"/>
      <c r="H2163" s="41"/>
      <c r="I2163" s="41"/>
      <c r="J2163" s="23"/>
    </row>
    <row r="2164" spans="1:10" ht="15" customHeight="1" x14ac:dyDescent="0.35">
      <c r="A2164" s="23"/>
      <c r="B2164" s="61"/>
      <c r="C2164" s="23"/>
      <c r="D2164" s="26"/>
      <c r="E2164" s="23"/>
      <c r="F2164" s="27"/>
      <c r="G2164" s="41"/>
      <c r="H2164" s="41"/>
      <c r="I2164" s="41"/>
      <c r="J2164" s="23"/>
    </row>
    <row r="2165" spans="1:10" ht="15" customHeight="1" x14ac:dyDescent="0.35">
      <c r="A2165" s="23"/>
      <c r="B2165" s="61"/>
      <c r="C2165" s="23"/>
      <c r="D2165" s="26"/>
      <c r="E2165" s="23"/>
      <c r="F2165" s="27"/>
      <c r="G2165" s="41"/>
      <c r="H2165" s="41"/>
      <c r="I2165" s="41"/>
      <c r="J2165" s="23"/>
    </row>
    <row r="2166" spans="1:10" ht="15" customHeight="1" x14ac:dyDescent="0.35">
      <c r="A2166" s="23"/>
      <c r="B2166" s="61"/>
      <c r="C2166" s="23"/>
      <c r="D2166" s="26"/>
      <c r="E2166" s="23"/>
      <c r="F2166" s="27"/>
      <c r="G2166" s="41"/>
      <c r="H2166" s="41"/>
      <c r="I2166" s="41"/>
      <c r="J2166" s="23"/>
    </row>
    <row r="2167" spans="1:10" ht="15" customHeight="1" x14ac:dyDescent="0.35">
      <c r="A2167" s="23"/>
      <c r="B2167" s="61"/>
      <c r="C2167" s="23"/>
      <c r="D2167" s="26"/>
      <c r="E2167" s="23"/>
      <c r="F2167" s="27"/>
      <c r="G2167" s="41"/>
      <c r="H2167" s="41"/>
      <c r="I2167" s="41"/>
      <c r="J2167" s="23"/>
    </row>
    <row r="2168" spans="1:10" ht="15" customHeight="1" x14ac:dyDescent="0.35">
      <c r="A2168" s="23"/>
      <c r="B2168" s="61"/>
      <c r="C2168" s="23"/>
      <c r="D2168" s="26"/>
      <c r="E2168" s="23"/>
      <c r="F2168" s="27"/>
      <c r="G2168" s="41"/>
      <c r="H2168" s="41"/>
      <c r="I2168" s="41"/>
      <c r="J2168" s="23"/>
    </row>
    <row r="2169" spans="1:10" ht="15" customHeight="1" x14ac:dyDescent="0.35">
      <c r="A2169" s="23"/>
      <c r="B2169" s="61"/>
      <c r="C2169" s="23"/>
      <c r="D2169" s="26"/>
      <c r="E2169" s="23"/>
      <c r="F2169" s="27"/>
      <c r="G2169" s="41"/>
      <c r="H2169" s="41"/>
      <c r="I2169" s="41"/>
      <c r="J2169" s="23"/>
    </row>
    <row r="2170" spans="1:10" ht="15" customHeight="1" x14ac:dyDescent="0.35">
      <c r="A2170" s="23"/>
      <c r="B2170" s="61"/>
      <c r="C2170" s="23"/>
      <c r="D2170" s="26"/>
      <c r="E2170" s="23"/>
      <c r="F2170" s="27"/>
      <c r="G2170" s="41"/>
      <c r="H2170" s="41"/>
      <c r="I2170" s="41"/>
      <c r="J2170" s="23"/>
    </row>
    <row r="2171" spans="1:10" ht="15" customHeight="1" x14ac:dyDescent="0.35">
      <c r="A2171" s="23"/>
      <c r="B2171" s="61"/>
      <c r="C2171" s="23"/>
      <c r="D2171" s="26"/>
      <c r="E2171" s="23"/>
      <c r="F2171" s="27"/>
      <c r="G2171" s="41"/>
      <c r="H2171" s="41"/>
      <c r="I2171" s="41"/>
      <c r="J2171" s="23"/>
    </row>
    <row r="2172" spans="1:10" ht="15" customHeight="1" x14ac:dyDescent="0.35">
      <c r="A2172" s="23"/>
      <c r="B2172" s="61"/>
      <c r="C2172" s="23"/>
      <c r="D2172" s="26"/>
      <c r="E2172" s="23"/>
      <c r="F2172" s="27"/>
      <c r="G2172" s="41"/>
      <c r="H2172" s="41"/>
      <c r="I2172" s="41"/>
      <c r="J2172" s="23"/>
    </row>
    <row r="2173" spans="1:10" ht="15" customHeight="1" x14ac:dyDescent="0.35">
      <c r="A2173" s="23"/>
      <c r="B2173" s="61"/>
      <c r="C2173" s="23"/>
      <c r="D2173" s="26"/>
      <c r="E2173" s="23"/>
      <c r="F2173" s="27"/>
      <c r="G2173" s="41"/>
      <c r="H2173" s="41"/>
      <c r="I2173" s="41"/>
      <c r="J2173" s="23"/>
    </row>
    <row r="2174" spans="1:10" ht="15" customHeight="1" x14ac:dyDescent="0.35">
      <c r="A2174" s="23"/>
      <c r="B2174" s="61"/>
      <c r="C2174" s="23"/>
      <c r="D2174" s="26"/>
      <c r="E2174" s="23"/>
      <c r="F2174" s="27"/>
      <c r="G2174" s="41"/>
      <c r="H2174" s="41"/>
      <c r="I2174" s="41"/>
      <c r="J2174" s="23"/>
    </row>
    <row r="2175" spans="1:10" ht="15" customHeight="1" x14ac:dyDescent="0.35">
      <c r="A2175" s="23"/>
      <c r="B2175" s="61"/>
      <c r="C2175" s="23"/>
      <c r="D2175" s="26"/>
      <c r="E2175" s="23"/>
      <c r="F2175" s="27"/>
      <c r="G2175" s="41"/>
      <c r="H2175" s="41"/>
      <c r="I2175" s="41"/>
      <c r="J2175" s="23"/>
    </row>
    <row r="2176" spans="1:10" ht="15" customHeight="1" x14ac:dyDescent="0.35">
      <c r="A2176" s="23"/>
      <c r="B2176" s="61"/>
      <c r="C2176" s="23"/>
      <c r="D2176" s="26"/>
      <c r="E2176" s="23"/>
      <c r="F2176" s="27"/>
      <c r="G2176" s="41"/>
      <c r="H2176" s="41"/>
      <c r="I2176" s="41"/>
      <c r="J2176" s="23"/>
    </row>
    <row r="2177" spans="1:10" ht="15" customHeight="1" x14ac:dyDescent="0.35">
      <c r="A2177" s="23"/>
      <c r="B2177" s="61"/>
      <c r="C2177" s="23"/>
      <c r="D2177" s="26"/>
      <c r="E2177" s="23"/>
      <c r="F2177" s="27"/>
      <c r="G2177" s="41"/>
      <c r="H2177" s="41"/>
      <c r="I2177" s="41"/>
      <c r="J2177" s="23"/>
    </row>
    <row r="2178" spans="1:10" ht="15" customHeight="1" x14ac:dyDescent="0.35">
      <c r="A2178" s="23"/>
      <c r="B2178" s="61"/>
      <c r="C2178" s="23"/>
      <c r="D2178" s="26"/>
      <c r="E2178" s="23"/>
      <c r="F2178" s="27"/>
      <c r="G2178" s="41"/>
      <c r="H2178" s="41"/>
      <c r="I2178" s="41"/>
      <c r="J2178" s="23"/>
    </row>
    <row r="2179" spans="1:10" ht="15" customHeight="1" x14ac:dyDescent="0.35">
      <c r="A2179" s="23"/>
      <c r="B2179" s="61"/>
      <c r="C2179" s="23"/>
      <c r="D2179" s="26"/>
      <c r="E2179" s="23"/>
      <c r="F2179" s="27"/>
      <c r="G2179" s="41"/>
      <c r="H2179" s="41"/>
      <c r="I2179" s="41"/>
      <c r="J2179" s="23"/>
    </row>
    <row r="2180" spans="1:10" ht="15" customHeight="1" x14ac:dyDescent="0.35">
      <c r="A2180" s="23"/>
      <c r="B2180" s="61"/>
      <c r="C2180" s="23"/>
      <c r="D2180" s="26"/>
      <c r="E2180" s="23"/>
      <c r="F2180" s="27"/>
      <c r="G2180" s="41"/>
      <c r="H2180" s="41"/>
      <c r="I2180" s="41"/>
      <c r="J2180" s="23"/>
    </row>
    <row r="2181" spans="1:10" ht="15" customHeight="1" x14ac:dyDescent="0.35">
      <c r="A2181" s="23"/>
      <c r="B2181" s="61"/>
      <c r="C2181" s="23"/>
      <c r="D2181" s="26"/>
      <c r="E2181" s="23"/>
      <c r="F2181" s="27"/>
      <c r="G2181" s="41"/>
      <c r="H2181" s="41"/>
      <c r="I2181" s="41"/>
      <c r="J2181" s="23"/>
    </row>
    <row r="2182" spans="1:10" ht="15" customHeight="1" x14ac:dyDescent="0.35">
      <c r="A2182" s="23"/>
      <c r="B2182" s="61"/>
      <c r="C2182" s="23"/>
      <c r="D2182" s="26"/>
      <c r="E2182" s="23"/>
      <c r="F2182" s="27"/>
      <c r="G2182" s="41"/>
      <c r="H2182" s="41"/>
      <c r="I2182" s="41"/>
      <c r="J2182" s="23"/>
    </row>
    <row r="2183" spans="1:10" ht="15" customHeight="1" x14ac:dyDescent="0.35">
      <c r="A2183" s="23"/>
      <c r="B2183" s="61"/>
      <c r="C2183" s="23"/>
      <c r="D2183" s="26"/>
      <c r="E2183" s="23"/>
      <c r="F2183" s="27"/>
      <c r="G2183" s="41"/>
      <c r="H2183" s="41"/>
      <c r="I2183" s="41"/>
      <c r="J2183" s="23"/>
    </row>
    <row r="2184" spans="1:10" ht="15" customHeight="1" x14ac:dyDescent="0.35">
      <c r="A2184" s="23"/>
      <c r="B2184" s="61"/>
      <c r="C2184" s="23"/>
      <c r="D2184" s="26"/>
      <c r="E2184" s="23"/>
      <c r="F2184" s="27"/>
      <c r="G2184" s="41"/>
      <c r="H2184" s="41"/>
      <c r="I2184" s="41"/>
      <c r="J2184" s="23"/>
    </row>
    <row r="2185" spans="1:10" ht="15" customHeight="1" x14ac:dyDescent="0.35">
      <c r="A2185" s="23"/>
      <c r="B2185" s="61"/>
      <c r="C2185" s="23"/>
      <c r="D2185" s="26"/>
      <c r="E2185" s="23"/>
      <c r="F2185" s="27"/>
      <c r="G2185" s="41"/>
      <c r="H2185" s="41"/>
      <c r="I2185" s="41"/>
      <c r="J2185" s="23"/>
    </row>
    <row r="2186" spans="1:10" ht="15" customHeight="1" x14ac:dyDescent="0.35">
      <c r="A2186" s="23"/>
      <c r="B2186" s="61"/>
      <c r="C2186" s="23"/>
      <c r="D2186" s="26"/>
      <c r="E2186" s="23"/>
      <c r="F2186" s="27"/>
      <c r="G2186" s="41"/>
      <c r="H2186" s="41"/>
      <c r="I2186" s="41"/>
      <c r="J2186" s="23"/>
    </row>
    <row r="2187" spans="1:10" ht="15" customHeight="1" x14ac:dyDescent="0.35">
      <c r="A2187" s="23"/>
      <c r="B2187" s="61"/>
      <c r="C2187" s="23"/>
      <c r="D2187" s="26"/>
      <c r="E2187" s="23"/>
      <c r="F2187" s="27"/>
      <c r="G2187" s="41"/>
      <c r="H2187" s="41"/>
      <c r="I2187" s="41"/>
      <c r="J2187" s="23"/>
    </row>
    <row r="2188" spans="1:10" ht="15" customHeight="1" x14ac:dyDescent="0.35">
      <c r="A2188" s="23"/>
      <c r="B2188" s="61"/>
      <c r="C2188" s="23"/>
      <c r="D2188" s="26"/>
      <c r="E2188" s="23"/>
      <c r="F2188" s="27"/>
      <c r="G2188" s="41"/>
      <c r="H2188" s="41"/>
      <c r="I2188" s="41"/>
      <c r="J2188" s="23"/>
    </row>
    <row r="2189" spans="1:10" ht="15" customHeight="1" x14ac:dyDescent="0.35">
      <c r="A2189" s="23"/>
      <c r="B2189" s="61"/>
      <c r="C2189" s="23"/>
      <c r="D2189" s="26"/>
      <c r="E2189" s="23"/>
      <c r="F2189" s="27"/>
      <c r="G2189" s="41"/>
      <c r="H2189" s="41"/>
      <c r="I2189" s="41"/>
      <c r="J2189" s="23"/>
    </row>
    <row r="2190" spans="1:10" ht="15" customHeight="1" x14ac:dyDescent="0.35">
      <c r="A2190" s="23"/>
      <c r="B2190" s="61"/>
      <c r="C2190" s="23"/>
      <c r="D2190" s="26"/>
      <c r="E2190" s="23"/>
      <c r="F2190" s="27"/>
      <c r="G2190" s="41"/>
      <c r="H2190" s="41"/>
      <c r="I2190" s="41"/>
      <c r="J2190" s="23"/>
    </row>
    <row r="2191" spans="1:10" ht="15" customHeight="1" x14ac:dyDescent="0.35">
      <c r="A2191" s="23"/>
      <c r="B2191" s="61"/>
      <c r="C2191" s="23"/>
      <c r="D2191" s="26"/>
      <c r="E2191" s="23"/>
      <c r="F2191" s="27"/>
      <c r="G2191" s="41"/>
      <c r="H2191" s="41"/>
      <c r="I2191" s="41"/>
      <c r="J2191" s="23"/>
    </row>
    <row r="2192" spans="1:10" ht="15" customHeight="1" x14ac:dyDescent="0.35">
      <c r="A2192" s="23"/>
      <c r="B2192" s="61"/>
      <c r="C2192" s="23"/>
      <c r="D2192" s="26"/>
      <c r="E2192" s="23"/>
      <c r="F2192" s="27"/>
      <c r="G2192" s="41"/>
      <c r="H2192" s="41"/>
      <c r="I2192" s="41"/>
      <c r="J2192" s="23"/>
    </row>
    <row r="2193" spans="1:10" ht="15" customHeight="1" x14ac:dyDescent="0.35">
      <c r="A2193" s="23"/>
      <c r="B2193" s="61"/>
      <c r="C2193" s="23"/>
      <c r="D2193" s="26"/>
      <c r="E2193" s="23"/>
      <c r="F2193" s="27"/>
      <c r="G2193" s="41"/>
      <c r="H2193" s="41"/>
      <c r="I2193" s="41"/>
      <c r="J2193" s="23"/>
    </row>
    <row r="2194" spans="1:10" ht="15" customHeight="1" x14ac:dyDescent="0.35">
      <c r="A2194" s="23"/>
      <c r="B2194" s="61"/>
      <c r="C2194" s="23"/>
      <c r="D2194" s="26"/>
      <c r="E2194" s="23"/>
      <c r="F2194" s="27"/>
      <c r="G2194" s="41"/>
      <c r="H2194" s="41"/>
      <c r="I2194" s="41"/>
      <c r="J2194" s="23"/>
    </row>
    <row r="2195" spans="1:10" ht="15" customHeight="1" x14ac:dyDescent="0.35">
      <c r="A2195" s="23"/>
      <c r="B2195" s="61"/>
      <c r="C2195" s="23"/>
      <c r="D2195" s="26"/>
      <c r="E2195" s="23"/>
      <c r="F2195" s="27"/>
      <c r="G2195" s="41"/>
      <c r="H2195" s="41"/>
      <c r="I2195" s="41"/>
      <c r="J2195" s="23"/>
    </row>
    <row r="2196" spans="1:10" ht="15" customHeight="1" x14ac:dyDescent="0.35">
      <c r="A2196" s="23"/>
      <c r="B2196" s="61"/>
      <c r="C2196" s="23"/>
      <c r="D2196" s="26"/>
      <c r="E2196" s="23"/>
      <c r="F2196" s="27"/>
      <c r="G2196" s="41"/>
      <c r="H2196" s="41"/>
      <c r="I2196" s="41"/>
      <c r="J2196" s="23"/>
    </row>
    <row r="2197" spans="1:10" ht="15" customHeight="1" x14ac:dyDescent="0.35">
      <c r="A2197" s="23"/>
      <c r="B2197" s="61"/>
      <c r="C2197" s="23"/>
      <c r="D2197" s="26"/>
      <c r="E2197" s="23"/>
      <c r="F2197" s="27"/>
      <c r="G2197" s="41"/>
      <c r="H2197" s="41"/>
      <c r="I2197" s="41"/>
      <c r="J2197" s="23"/>
    </row>
    <row r="2198" spans="1:10" ht="15" customHeight="1" x14ac:dyDescent="0.35">
      <c r="A2198" s="23"/>
      <c r="B2198" s="61"/>
      <c r="C2198" s="23"/>
      <c r="D2198" s="26"/>
      <c r="E2198" s="23"/>
      <c r="F2198" s="27"/>
      <c r="G2198" s="41"/>
      <c r="H2198" s="41"/>
      <c r="I2198" s="41"/>
      <c r="J2198" s="23"/>
    </row>
    <row r="2199" spans="1:10" ht="15" customHeight="1" x14ac:dyDescent="0.35">
      <c r="A2199" s="23"/>
      <c r="B2199" s="61"/>
      <c r="C2199" s="23"/>
      <c r="D2199" s="26"/>
      <c r="E2199" s="23"/>
      <c r="F2199" s="27"/>
      <c r="G2199" s="41"/>
      <c r="H2199" s="41"/>
      <c r="I2199" s="41"/>
      <c r="J2199" s="23"/>
    </row>
    <row r="2200" spans="1:10" ht="15" customHeight="1" x14ac:dyDescent="0.35">
      <c r="A2200" s="23"/>
      <c r="B2200" s="61"/>
      <c r="C2200" s="23"/>
      <c r="D2200" s="26"/>
      <c r="E2200" s="23"/>
      <c r="F2200" s="27"/>
      <c r="G2200" s="41"/>
      <c r="H2200" s="41"/>
      <c r="I2200" s="41"/>
      <c r="J2200" s="23"/>
    </row>
    <row r="2201" spans="1:10" ht="15" customHeight="1" x14ac:dyDescent="0.35">
      <c r="A2201" s="23"/>
      <c r="B2201" s="61"/>
      <c r="C2201" s="23"/>
      <c r="D2201" s="26"/>
      <c r="E2201" s="23"/>
      <c r="F2201" s="27"/>
      <c r="G2201" s="41"/>
      <c r="H2201" s="41"/>
      <c r="I2201" s="41"/>
      <c r="J2201" s="23"/>
    </row>
    <row r="2202" spans="1:10" ht="15" customHeight="1" x14ac:dyDescent="0.35">
      <c r="A2202" s="23"/>
      <c r="B2202" s="61"/>
      <c r="C2202" s="23"/>
      <c r="D2202" s="26"/>
      <c r="E2202" s="23"/>
      <c r="F2202" s="27"/>
      <c r="G2202" s="41"/>
      <c r="H2202" s="41"/>
      <c r="I2202" s="41"/>
      <c r="J2202" s="23"/>
    </row>
    <row r="2203" spans="1:10" ht="15" customHeight="1" x14ac:dyDescent="0.35">
      <c r="A2203" s="23"/>
      <c r="B2203" s="61"/>
      <c r="C2203" s="23"/>
      <c r="D2203" s="26"/>
      <c r="E2203" s="23"/>
      <c r="F2203" s="27"/>
      <c r="G2203" s="41"/>
      <c r="H2203" s="41"/>
      <c r="I2203" s="41"/>
      <c r="J2203" s="23"/>
    </row>
    <row r="2204" spans="1:10" ht="15" customHeight="1" x14ac:dyDescent="0.35">
      <c r="A2204" s="23"/>
      <c r="B2204" s="61"/>
      <c r="C2204" s="23"/>
      <c r="D2204" s="26"/>
      <c r="E2204" s="23"/>
      <c r="F2204" s="27"/>
      <c r="G2204" s="41"/>
      <c r="H2204" s="41"/>
      <c r="I2204" s="41"/>
      <c r="J2204" s="23"/>
    </row>
    <row r="2205" spans="1:10" ht="15" customHeight="1" x14ac:dyDescent="0.35">
      <c r="A2205" s="23"/>
      <c r="B2205" s="61"/>
      <c r="C2205" s="23"/>
      <c r="D2205" s="26"/>
      <c r="E2205" s="23"/>
      <c r="F2205" s="27"/>
      <c r="G2205" s="41"/>
      <c r="H2205" s="41"/>
      <c r="I2205" s="41"/>
      <c r="J2205" s="23"/>
    </row>
    <row r="2206" spans="1:10" ht="15" customHeight="1" x14ac:dyDescent="0.35">
      <c r="A2206" s="23"/>
      <c r="B2206" s="61"/>
      <c r="C2206" s="23"/>
      <c r="D2206" s="26"/>
      <c r="E2206" s="23"/>
      <c r="F2206" s="27"/>
      <c r="G2206" s="41"/>
      <c r="H2206" s="41"/>
      <c r="I2206" s="41"/>
      <c r="J2206" s="23"/>
    </row>
    <row r="2207" spans="1:10" ht="15" customHeight="1" x14ac:dyDescent="0.35">
      <c r="A2207" s="23"/>
      <c r="B2207" s="61"/>
      <c r="C2207" s="23"/>
      <c r="D2207" s="26"/>
      <c r="E2207" s="23"/>
      <c r="F2207" s="27"/>
      <c r="G2207" s="41"/>
      <c r="H2207" s="41"/>
      <c r="I2207" s="41"/>
      <c r="J2207" s="23"/>
    </row>
    <row r="2208" spans="1:10" ht="15" customHeight="1" x14ac:dyDescent="0.35">
      <c r="A2208" s="23"/>
      <c r="B2208" s="61"/>
      <c r="C2208" s="23"/>
      <c r="D2208" s="26"/>
      <c r="E2208" s="23"/>
      <c r="F2208" s="27"/>
      <c r="G2208" s="41"/>
      <c r="H2208" s="41"/>
      <c r="I2208" s="41"/>
      <c r="J2208" s="23"/>
    </row>
    <row r="2209" spans="1:10" ht="15" customHeight="1" x14ac:dyDescent="0.35">
      <c r="A2209" s="23"/>
      <c r="B2209" s="61"/>
      <c r="C2209" s="23"/>
      <c r="D2209" s="26"/>
      <c r="E2209" s="23"/>
      <c r="F2209" s="27"/>
      <c r="G2209" s="41"/>
      <c r="H2209" s="41"/>
      <c r="I2209" s="41"/>
      <c r="J2209" s="23"/>
    </row>
    <row r="2210" spans="1:10" ht="15" customHeight="1" x14ac:dyDescent="0.35">
      <c r="A2210" s="23"/>
      <c r="B2210" s="61"/>
      <c r="C2210" s="23"/>
      <c r="D2210" s="26"/>
      <c r="E2210" s="23"/>
      <c r="F2210" s="27"/>
      <c r="G2210" s="41"/>
      <c r="H2210" s="41"/>
      <c r="I2210" s="41"/>
      <c r="J2210" s="23"/>
    </row>
    <row r="2211" spans="1:10" ht="15" customHeight="1" x14ac:dyDescent="0.35">
      <c r="A2211" s="23"/>
      <c r="B2211" s="61"/>
      <c r="C2211" s="23"/>
      <c r="D2211" s="26"/>
      <c r="E2211" s="23"/>
      <c r="F2211" s="27"/>
      <c r="G2211" s="41"/>
      <c r="H2211" s="41"/>
      <c r="I2211" s="41"/>
      <c r="J2211" s="23"/>
    </row>
    <row r="2212" spans="1:10" ht="15" customHeight="1" x14ac:dyDescent="0.35">
      <c r="A2212" s="23"/>
      <c r="B2212" s="61"/>
      <c r="C2212" s="23"/>
      <c r="D2212" s="26"/>
      <c r="E2212" s="23"/>
      <c r="F2212" s="27"/>
      <c r="G2212" s="41"/>
      <c r="H2212" s="41"/>
      <c r="I2212" s="41"/>
      <c r="J2212" s="23"/>
    </row>
    <row r="2213" spans="1:10" ht="15" customHeight="1" x14ac:dyDescent="0.35">
      <c r="A2213" s="23"/>
      <c r="B2213" s="61"/>
      <c r="C2213" s="23"/>
      <c r="D2213" s="26"/>
      <c r="E2213" s="23"/>
      <c r="F2213" s="27"/>
      <c r="G2213" s="41"/>
      <c r="H2213" s="41"/>
      <c r="I2213" s="41"/>
      <c r="J2213" s="23"/>
    </row>
    <row r="2214" spans="1:10" ht="15" customHeight="1" x14ac:dyDescent="0.35">
      <c r="A2214" s="23"/>
      <c r="B2214" s="61"/>
      <c r="C2214" s="23"/>
      <c r="D2214" s="26"/>
      <c r="E2214" s="23"/>
      <c r="F2214" s="27"/>
      <c r="G2214" s="41"/>
      <c r="H2214" s="41"/>
      <c r="I2214" s="41"/>
      <c r="J2214" s="23"/>
    </row>
    <row r="2215" spans="1:10" ht="15" customHeight="1" x14ac:dyDescent="0.35">
      <c r="A2215" s="23"/>
      <c r="B2215" s="61"/>
      <c r="C2215" s="23"/>
      <c r="D2215" s="26"/>
      <c r="E2215" s="23"/>
      <c r="F2215" s="27"/>
      <c r="G2215" s="41"/>
      <c r="H2215" s="41"/>
      <c r="I2215" s="41"/>
      <c r="J2215" s="23"/>
    </row>
    <row r="2216" spans="1:10" ht="15" customHeight="1" x14ac:dyDescent="0.35">
      <c r="A2216" s="23"/>
      <c r="B2216" s="61"/>
      <c r="C2216" s="23"/>
      <c r="D2216" s="26"/>
      <c r="E2216" s="23"/>
      <c r="F2216" s="27"/>
      <c r="G2216" s="41"/>
      <c r="H2216" s="41"/>
      <c r="I2216" s="41"/>
      <c r="J2216" s="23"/>
    </row>
    <row r="2217" spans="1:10" ht="15" customHeight="1" x14ac:dyDescent="0.35">
      <c r="A2217" s="23"/>
      <c r="B2217" s="61"/>
      <c r="C2217" s="23"/>
      <c r="D2217" s="26"/>
      <c r="E2217" s="23"/>
      <c r="F2217" s="27"/>
      <c r="G2217" s="41"/>
      <c r="H2217" s="41"/>
      <c r="I2217" s="41"/>
      <c r="J2217" s="23"/>
    </row>
    <row r="2218" spans="1:10" ht="15" customHeight="1" x14ac:dyDescent="0.35">
      <c r="A2218" s="23"/>
      <c r="B2218" s="61"/>
      <c r="C2218" s="23"/>
      <c r="D2218" s="26"/>
      <c r="E2218" s="23"/>
      <c r="F2218" s="27"/>
      <c r="G2218" s="41"/>
      <c r="H2218" s="41"/>
      <c r="I2218" s="41"/>
      <c r="J2218" s="23"/>
    </row>
    <row r="2219" spans="1:10" ht="15" customHeight="1" x14ac:dyDescent="0.35">
      <c r="A2219" s="23"/>
      <c r="B2219" s="61"/>
      <c r="C2219" s="23"/>
      <c r="D2219" s="26"/>
      <c r="E2219" s="23"/>
      <c r="F2219" s="27"/>
      <c r="G2219" s="41"/>
      <c r="H2219" s="41"/>
      <c r="I2219" s="41"/>
      <c r="J2219" s="23"/>
    </row>
    <row r="2220" spans="1:10" ht="15" customHeight="1" x14ac:dyDescent="0.35">
      <c r="A2220" s="23"/>
      <c r="B2220" s="61"/>
      <c r="C2220" s="23"/>
      <c r="D2220" s="26"/>
      <c r="E2220" s="23"/>
      <c r="F2220" s="27"/>
      <c r="G2220" s="41"/>
      <c r="H2220" s="41"/>
      <c r="I2220" s="41"/>
      <c r="J2220" s="23"/>
    </row>
    <row r="2221" spans="1:10" ht="15" customHeight="1" x14ac:dyDescent="0.35">
      <c r="A2221" s="23"/>
      <c r="B2221" s="61"/>
      <c r="C2221" s="23"/>
      <c r="D2221" s="26"/>
      <c r="E2221" s="23"/>
      <c r="F2221" s="27"/>
      <c r="G2221" s="41"/>
      <c r="H2221" s="41"/>
      <c r="I2221" s="41"/>
      <c r="J2221" s="23"/>
    </row>
    <row r="2222" spans="1:10" ht="15" customHeight="1" x14ac:dyDescent="0.35">
      <c r="A2222" s="23"/>
      <c r="B2222" s="61"/>
      <c r="C2222" s="23"/>
      <c r="D2222" s="26"/>
      <c r="E2222" s="23"/>
      <c r="F2222" s="27"/>
      <c r="G2222" s="41"/>
      <c r="H2222" s="41"/>
      <c r="I2222" s="41"/>
      <c r="J2222" s="23"/>
    </row>
    <row r="2223" spans="1:10" ht="15" customHeight="1" x14ac:dyDescent="0.35">
      <c r="A2223" s="23"/>
      <c r="B2223" s="61"/>
      <c r="C2223" s="23"/>
      <c r="D2223" s="26"/>
      <c r="E2223" s="23"/>
      <c r="F2223" s="27"/>
      <c r="G2223" s="41"/>
      <c r="H2223" s="41"/>
      <c r="I2223" s="41"/>
      <c r="J2223" s="23"/>
    </row>
    <row r="2224" spans="1:10" ht="15" customHeight="1" x14ac:dyDescent="0.35">
      <c r="A2224" s="23"/>
      <c r="B2224" s="61"/>
      <c r="C2224" s="23"/>
      <c r="D2224" s="26"/>
      <c r="E2224" s="23"/>
      <c r="F2224" s="27"/>
      <c r="G2224" s="41"/>
      <c r="H2224" s="41"/>
      <c r="I2224" s="41"/>
      <c r="J2224" s="23"/>
    </row>
    <row r="2225" spans="1:10" ht="15" customHeight="1" x14ac:dyDescent="0.35">
      <c r="A2225" s="23"/>
      <c r="B2225" s="61"/>
      <c r="C2225" s="23"/>
      <c r="D2225" s="26"/>
      <c r="E2225" s="23"/>
      <c r="F2225" s="27"/>
      <c r="G2225" s="41"/>
      <c r="H2225" s="41"/>
      <c r="I2225" s="41"/>
      <c r="J2225" s="23"/>
    </row>
    <row r="2226" spans="1:10" ht="15" customHeight="1" x14ac:dyDescent="0.35">
      <c r="A2226" s="23"/>
      <c r="B2226" s="61"/>
      <c r="C2226" s="23"/>
      <c r="D2226" s="26"/>
      <c r="E2226" s="23"/>
      <c r="F2226" s="27"/>
      <c r="G2226" s="41"/>
      <c r="H2226" s="41"/>
      <c r="I2226" s="41"/>
      <c r="J2226" s="23"/>
    </row>
    <row r="2227" spans="1:10" ht="15" customHeight="1" x14ac:dyDescent="0.35">
      <c r="A2227" s="23"/>
      <c r="B2227" s="61"/>
      <c r="C2227" s="23"/>
      <c r="D2227" s="26"/>
      <c r="E2227" s="23"/>
      <c r="F2227" s="27"/>
      <c r="G2227" s="41"/>
      <c r="H2227" s="41"/>
      <c r="I2227" s="41"/>
      <c r="J2227" s="23"/>
    </row>
    <row r="2228" spans="1:10" ht="15" customHeight="1" x14ac:dyDescent="0.35">
      <c r="A2228" s="23"/>
      <c r="B2228" s="61"/>
      <c r="C2228" s="23"/>
      <c r="D2228" s="26"/>
      <c r="E2228" s="23"/>
      <c r="F2228" s="27"/>
      <c r="G2228" s="41"/>
      <c r="H2228" s="41"/>
      <c r="I2228" s="41"/>
      <c r="J2228" s="23"/>
    </row>
    <row r="2229" spans="1:10" ht="15" customHeight="1" x14ac:dyDescent="0.35">
      <c r="A2229" s="23"/>
      <c r="B2229" s="61"/>
      <c r="C2229" s="23"/>
      <c r="D2229" s="26"/>
      <c r="E2229" s="23"/>
      <c r="F2229" s="27"/>
      <c r="G2229" s="41"/>
      <c r="H2229" s="41"/>
      <c r="I2229" s="41"/>
      <c r="J2229" s="23"/>
    </row>
    <row r="2230" spans="1:10" ht="15" customHeight="1" x14ac:dyDescent="0.35">
      <c r="A2230" s="23"/>
      <c r="B2230" s="61"/>
      <c r="C2230" s="23"/>
      <c r="D2230" s="26"/>
      <c r="E2230" s="23"/>
      <c r="F2230" s="27"/>
      <c r="G2230" s="41"/>
      <c r="H2230" s="41"/>
      <c r="I2230" s="41"/>
      <c r="J2230" s="23"/>
    </row>
    <row r="2231" spans="1:10" ht="15" customHeight="1" x14ac:dyDescent="0.35">
      <c r="A2231" s="23"/>
      <c r="B2231" s="61"/>
      <c r="C2231" s="23"/>
      <c r="D2231" s="26"/>
      <c r="E2231" s="23"/>
      <c r="F2231" s="27"/>
      <c r="G2231" s="41"/>
      <c r="H2231" s="41"/>
      <c r="I2231" s="41"/>
      <c r="J2231" s="23"/>
    </row>
    <row r="2232" spans="1:10" ht="15" customHeight="1" x14ac:dyDescent="0.35">
      <c r="A2232" s="23"/>
      <c r="B2232" s="61"/>
      <c r="C2232" s="23"/>
      <c r="D2232" s="26"/>
      <c r="E2232" s="23"/>
      <c r="F2232" s="27"/>
      <c r="G2232" s="41"/>
      <c r="H2232" s="41"/>
      <c r="I2232" s="41"/>
      <c r="J2232" s="23"/>
    </row>
    <row r="2233" spans="1:10" ht="15" customHeight="1" x14ac:dyDescent="0.35">
      <c r="A2233" s="23"/>
      <c r="B2233" s="61"/>
      <c r="C2233" s="23"/>
      <c r="D2233" s="26"/>
      <c r="E2233" s="23"/>
      <c r="F2233" s="27"/>
      <c r="G2233" s="41"/>
      <c r="H2233" s="41"/>
      <c r="I2233" s="41"/>
      <c r="J2233" s="23"/>
    </row>
    <row r="2234" spans="1:10" ht="15" customHeight="1" x14ac:dyDescent="0.35">
      <c r="A2234" s="23"/>
      <c r="B2234" s="61"/>
      <c r="C2234" s="23"/>
      <c r="D2234" s="26"/>
      <c r="E2234" s="23"/>
      <c r="F2234" s="27"/>
      <c r="G2234" s="41"/>
      <c r="H2234" s="41"/>
      <c r="I2234" s="41"/>
      <c r="J2234" s="23"/>
    </row>
    <row r="2235" spans="1:10" ht="15" customHeight="1" x14ac:dyDescent="0.35">
      <c r="A2235" s="23"/>
      <c r="B2235" s="61"/>
      <c r="C2235" s="23"/>
      <c r="D2235" s="26"/>
      <c r="E2235" s="23"/>
      <c r="F2235" s="27"/>
      <c r="G2235" s="41"/>
      <c r="H2235" s="41"/>
      <c r="I2235" s="41"/>
      <c r="J2235" s="23"/>
    </row>
    <row r="2236" spans="1:10" ht="15" customHeight="1" x14ac:dyDescent="0.35">
      <c r="A2236" s="23"/>
      <c r="B2236" s="61"/>
      <c r="C2236" s="23"/>
      <c r="D2236" s="26"/>
      <c r="E2236" s="23"/>
      <c r="F2236" s="27"/>
      <c r="G2236" s="41"/>
      <c r="H2236" s="41"/>
      <c r="I2236" s="41"/>
      <c r="J2236" s="23"/>
    </row>
    <row r="2237" spans="1:10" ht="15" customHeight="1" x14ac:dyDescent="0.35">
      <c r="A2237" s="23"/>
      <c r="B2237" s="61"/>
      <c r="C2237" s="23"/>
      <c r="D2237" s="26"/>
      <c r="E2237" s="23"/>
      <c r="F2237" s="27"/>
      <c r="G2237" s="41"/>
      <c r="H2237" s="41"/>
      <c r="I2237" s="41"/>
      <c r="J2237" s="23"/>
    </row>
    <row r="2238" spans="1:10" ht="15" customHeight="1" x14ac:dyDescent="0.35">
      <c r="A2238" s="23"/>
      <c r="B2238" s="61"/>
      <c r="C2238" s="23"/>
      <c r="D2238" s="26"/>
      <c r="E2238" s="23"/>
      <c r="F2238" s="27"/>
      <c r="G2238" s="41"/>
      <c r="H2238" s="41"/>
      <c r="I2238" s="41"/>
      <c r="J2238" s="23"/>
    </row>
    <row r="2239" spans="1:10" ht="15" customHeight="1" x14ac:dyDescent="0.35">
      <c r="A2239" s="23"/>
      <c r="B2239" s="61"/>
      <c r="C2239" s="23"/>
      <c r="D2239" s="26"/>
      <c r="E2239" s="23"/>
      <c r="F2239" s="27"/>
      <c r="G2239" s="41"/>
      <c r="H2239" s="41"/>
      <c r="I2239" s="41"/>
      <c r="J2239" s="23"/>
    </row>
    <row r="2240" spans="1:10" ht="15" customHeight="1" x14ac:dyDescent="0.35">
      <c r="A2240" s="23"/>
      <c r="B2240" s="61"/>
      <c r="C2240" s="23"/>
      <c r="D2240" s="26"/>
      <c r="E2240" s="23"/>
      <c r="F2240" s="27"/>
      <c r="G2240" s="41"/>
      <c r="H2240" s="41"/>
      <c r="I2240" s="41"/>
      <c r="J2240" s="23"/>
    </row>
    <row r="2241" spans="1:10" ht="15" customHeight="1" x14ac:dyDescent="0.35">
      <c r="A2241" s="23"/>
      <c r="B2241" s="61"/>
      <c r="C2241" s="23"/>
      <c r="D2241" s="26"/>
      <c r="E2241" s="23"/>
      <c r="F2241" s="27"/>
      <c r="G2241" s="41"/>
      <c r="H2241" s="41"/>
      <c r="I2241" s="41"/>
      <c r="J2241" s="23"/>
    </row>
    <row r="2242" spans="1:10" ht="15" customHeight="1" x14ac:dyDescent="0.35">
      <c r="A2242" s="23"/>
      <c r="B2242" s="61"/>
      <c r="C2242" s="23"/>
      <c r="D2242" s="26"/>
      <c r="E2242" s="23"/>
      <c r="F2242" s="27"/>
      <c r="G2242" s="41"/>
      <c r="H2242" s="41"/>
      <c r="I2242" s="41"/>
      <c r="J2242" s="23"/>
    </row>
    <row r="2243" spans="1:10" ht="15" customHeight="1" x14ac:dyDescent="0.35">
      <c r="A2243" s="23"/>
      <c r="B2243" s="61"/>
      <c r="C2243" s="23"/>
      <c r="D2243" s="26"/>
      <c r="E2243" s="23"/>
      <c r="F2243" s="27"/>
      <c r="G2243" s="41"/>
      <c r="H2243" s="41"/>
      <c r="I2243" s="41"/>
      <c r="J2243" s="23"/>
    </row>
    <row r="2244" spans="1:10" ht="15" customHeight="1" x14ac:dyDescent="0.35">
      <c r="A2244" s="23"/>
      <c r="B2244" s="61"/>
      <c r="C2244" s="23"/>
      <c r="D2244" s="26"/>
      <c r="E2244" s="23"/>
      <c r="F2244" s="27"/>
      <c r="G2244" s="41"/>
      <c r="H2244" s="41"/>
      <c r="I2244" s="41"/>
      <c r="J2244" s="23"/>
    </row>
    <row r="2245" spans="1:10" ht="15" customHeight="1" x14ac:dyDescent="0.35">
      <c r="A2245" s="23"/>
      <c r="B2245" s="61"/>
      <c r="C2245" s="23"/>
      <c r="D2245" s="26"/>
      <c r="E2245" s="23"/>
      <c r="F2245" s="27"/>
      <c r="G2245" s="41"/>
      <c r="H2245" s="41"/>
      <c r="I2245" s="41"/>
      <c r="J2245" s="23"/>
    </row>
    <row r="2246" spans="1:10" ht="15" customHeight="1" x14ac:dyDescent="0.35">
      <c r="A2246" s="23"/>
      <c r="B2246" s="61"/>
      <c r="C2246" s="23"/>
      <c r="D2246" s="26"/>
      <c r="E2246" s="23"/>
      <c r="F2246" s="27"/>
      <c r="G2246" s="41"/>
      <c r="H2246" s="41"/>
      <c r="I2246" s="41"/>
      <c r="J2246" s="23"/>
    </row>
    <row r="2247" spans="1:10" ht="15" customHeight="1" x14ac:dyDescent="0.35">
      <c r="A2247" s="23"/>
      <c r="B2247" s="61"/>
      <c r="C2247" s="23"/>
      <c r="D2247" s="26"/>
      <c r="E2247" s="23"/>
      <c r="F2247" s="27"/>
      <c r="G2247" s="41"/>
      <c r="H2247" s="41"/>
      <c r="I2247" s="41"/>
      <c r="J2247" s="23"/>
    </row>
    <row r="2248" spans="1:10" ht="15" customHeight="1" x14ac:dyDescent="0.35">
      <c r="A2248" s="23"/>
      <c r="B2248" s="61"/>
      <c r="C2248" s="23"/>
      <c r="D2248" s="26"/>
      <c r="E2248" s="23"/>
      <c r="F2248" s="27"/>
      <c r="G2248" s="41"/>
      <c r="H2248" s="41"/>
      <c r="I2248" s="41"/>
      <c r="J2248" s="23"/>
    </row>
    <row r="2249" spans="1:10" ht="15" customHeight="1" x14ac:dyDescent="0.35">
      <c r="A2249" s="23"/>
      <c r="B2249" s="61"/>
      <c r="C2249" s="23"/>
      <c r="D2249" s="26"/>
      <c r="E2249" s="23"/>
      <c r="F2249" s="27"/>
      <c r="G2249" s="41"/>
      <c r="H2249" s="41"/>
      <c r="I2249" s="41"/>
      <c r="J2249" s="23"/>
    </row>
    <row r="2250" spans="1:10" ht="15" customHeight="1" x14ac:dyDescent="0.35">
      <c r="A2250" s="23"/>
      <c r="B2250" s="61"/>
      <c r="C2250" s="23"/>
      <c r="D2250" s="26"/>
      <c r="E2250" s="23"/>
      <c r="F2250" s="27"/>
      <c r="G2250" s="41"/>
      <c r="H2250" s="41"/>
      <c r="I2250" s="41"/>
      <c r="J2250" s="23"/>
    </row>
    <row r="2251" spans="1:10" ht="15" customHeight="1" x14ac:dyDescent="0.35">
      <c r="A2251" s="23"/>
      <c r="B2251" s="61"/>
      <c r="C2251" s="23"/>
      <c r="D2251" s="26"/>
      <c r="E2251" s="23"/>
      <c r="F2251" s="27"/>
      <c r="G2251" s="41"/>
      <c r="H2251" s="41"/>
      <c r="I2251" s="41"/>
      <c r="J2251" s="23"/>
    </row>
    <row r="2252" spans="1:10" ht="15" customHeight="1" x14ac:dyDescent="0.35">
      <c r="A2252" s="23"/>
      <c r="B2252" s="61"/>
      <c r="C2252" s="23"/>
      <c r="D2252" s="26"/>
      <c r="E2252" s="23"/>
      <c r="F2252" s="27"/>
      <c r="G2252" s="41"/>
      <c r="H2252" s="41"/>
      <c r="I2252" s="41"/>
      <c r="J2252" s="23"/>
    </row>
    <row r="2253" spans="1:10" ht="15" customHeight="1" x14ac:dyDescent="0.35">
      <c r="A2253" s="23"/>
      <c r="B2253" s="61"/>
      <c r="C2253" s="23"/>
      <c r="D2253" s="26"/>
      <c r="E2253" s="23"/>
      <c r="F2253" s="27"/>
      <c r="G2253" s="41"/>
      <c r="H2253" s="41"/>
      <c r="I2253" s="41"/>
      <c r="J2253" s="23"/>
    </row>
    <row r="2254" spans="1:10" ht="15" customHeight="1" x14ac:dyDescent="0.35">
      <c r="A2254" s="23"/>
      <c r="B2254" s="61"/>
      <c r="C2254" s="23"/>
      <c r="D2254" s="26"/>
      <c r="E2254" s="23"/>
      <c r="F2254" s="27"/>
      <c r="G2254" s="41"/>
      <c r="H2254" s="41"/>
      <c r="I2254" s="41"/>
      <c r="J2254" s="23"/>
    </row>
    <row r="2255" spans="1:10" ht="15" customHeight="1" x14ac:dyDescent="0.35">
      <c r="A2255" s="23"/>
      <c r="B2255" s="61"/>
      <c r="C2255" s="23"/>
      <c r="D2255" s="26"/>
      <c r="E2255" s="23"/>
      <c r="F2255" s="27"/>
      <c r="G2255" s="41"/>
      <c r="H2255" s="41"/>
      <c r="I2255" s="41"/>
      <c r="J2255" s="23"/>
    </row>
    <row r="2256" spans="1:10" ht="15" customHeight="1" x14ac:dyDescent="0.35">
      <c r="A2256" s="23"/>
      <c r="B2256" s="61"/>
      <c r="C2256" s="23"/>
      <c r="D2256" s="26"/>
      <c r="E2256" s="23"/>
      <c r="F2256" s="27"/>
      <c r="G2256" s="41"/>
      <c r="H2256" s="41"/>
      <c r="I2256" s="41"/>
      <c r="J2256" s="23"/>
    </row>
    <row r="2257" spans="1:10" ht="15" customHeight="1" x14ac:dyDescent="0.35">
      <c r="A2257" s="23"/>
      <c r="B2257" s="61"/>
      <c r="C2257" s="23"/>
      <c r="D2257" s="26"/>
      <c r="E2257" s="23"/>
      <c r="F2257" s="27"/>
      <c r="G2257" s="41"/>
      <c r="H2257" s="41"/>
      <c r="I2257" s="41"/>
      <c r="J2257" s="23"/>
    </row>
    <row r="2258" spans="1:10" ht="15" customHeight="1" x14ac:dyDescent="0.35">
      <c r="A2258" s="23"/>
      <c r="B2258" s="61"/>
      <c r="C2258" s="23"/>
      <c r="D2258" s="26"/>
      <c r="E2258" s="23"/>
      <c r="F2258" s="27"/>
      <c r="G2258" s="41"/>
      <c r="H2258" s="41"/>
      <c r="I2258" s="41"/>
      <c r="J2258" s="23"/>
    </row>
    <row r="2259" spans="1:10" ht="15" customHeight="1" x14ac:dyDescent="0.35">
      <c r="A2259" s="23"/>
      <c r="B2259" s="61"/>
      <c r="C2259" s="23"/>
      <c r="D2259" s="26"/>
      <c r="E2259" s="23"/>
      <c r="F2259" s="27"/>
      <c r="G2259" s="41"/>
      <c r="H2259" s="41"/>
      <c r="I2259" s="41"/>
      <c r="J2259" s="23"/>
    </row>
    <row r="2260" spans="1:10" ht="15" customHeight="1" x14ac:dyDescent="0.35">
      <c r="A2260" s="23"/>
      <c r="B2260" s="61"/>
      <c r="C2260" s="23"/>
      <c r="D2260" s="26"/>
      <c r="E2260" s="23"/>
      <c r="F2260" s="27"/>
      <c r="G2260" s="41"/>
      <c r="H2260" s="41"/>
      <c r="I2260" s="41"/>
      <c r="J2260" s="23"/>
    </row>
    <row r="2261" spans="1:10" ht="15" customHeight="1" x14ac:dyDescent="0.35">
      <c r="A2261" s="23"/>
      <c r="B2261" s="61"/>
      <c r="C2261" s="23"/>
      <c r="D2261" s="26"/>
      <c r="E2261" s="23"/>
      <c r="F2261" s="27"/>
      <c r="G2261" s="41"/>
      <c r="H2261" s="41"/>
      <c r="I2261" s="41"/>
      <c r="J2261" s="23"/>
    </row>
    <row r="2262" spans="1:10" ht="15" customHeight="1" x14ac:dyDescent="0.35">
      <c r="A2262" s="23"/>
      <c r="B2262" s="61"/>
      <c r="C2262" s="23"/>
      <c r="D2262" s="26"/>
      <c r="E2262" s="23"/>
      <c r="F2262" s="27"/>
      <c r="G2262" s="41"/>
      <c r="H2262" s="41"/>
      <c r="I2262" s="41"/>
      <c r="J2262" s="23"/>
    </row>
    <row r="2263" spans="1:10" ht="15" customHeight="1" x14ac:dyDescent="0.35">
      <c r="A2263" s="23"/>
      <c r="B2263" s="61"/>
      <c r="C2263" s="23"/>
      <c r="D2263" s="26"/>
      <c r="E2263" s="23"/>
      <c r="F2263" s="27"/>
      <c r="G2263" s="41"/>
      <c r="H2263" s="41"/>
      <c r="I2263" s="41"/>
      <c r="J2263" s="23"/>
    </row>
    <row r="2264" spans="1:10" ht="15" customHeight="1" x14ac:dyDescent="0.35">
      <c r="A2264" s="23"/>
      <c r="B2264" s="61"/>
      <c r="C2264" s="23"/>
      <c r="D2264" s="26"/>
      <c r="E2264" s="23"/>
      <c r="F2264" s="27"/>
      <c r="G2264" s="41"/>
      <c r="H2264" s="41"/>
      <c r="I2264" s="41"/>
      <c r="J2264" s="23"/>
    </row>
    <row r="2265" spans="1:10" ht="15" customHeight="1" x14ac:dyDescent="0.35">
      <c r="A2265" s="23"/>
      <c r="B2265" s="61"/>
      <c r="C2265" s="23"/>
      <c r="D2265" s="26"/>
      <c r="E2265" s="23"/>
      <c r="F2265" s="27"/>
      <c r="G2265" s="41"/>
      <c r="H2265" s="41"/>
      <c r="I2265" s="41"/>
      <c r="J2265" s="23"/>
    </row>
    <row r="2266" spans="1:10" ht="15" customHeight="1" x14ac:dyDescent="0.35">
      <c r="A2266" s="23"/>
      <c r="B2266" s="61"/>
      <c r="C2266" s="23"/>
      <c r="D2266" s="26"/>
      <c r="E2266" s="23"/>
      <c r="F2266" s="27"/>
      <c r="G2266" s="41"/>
      <c r="H2266" s="41"/>
      <c r="I2266" s="41"/>
      <c r="J2266" s="23"/>
    </row>
    <row r="2267" spans="1:10" ht="15" customHeight="1" x14ac:dyDescent="0.35">
      <c r="A2267" s="23"/>
      <c r="B2267" s="61"/>
      <c r="C2267" s="23"/>
      <c r="D2267" s="26"/>
      <c r="E2267" s="23"/>
      <c r="F2267" s="27"/>
      <c r="G2267" s="41"/>
      <c r="H2267" s="41"/>
      <c r="I2267" s="41"/>
      <c r="J2267" s="23"/>
    </row>
    <row r="2268" spans="1:10" ht="15" customHeight="1" x14ac:dyDescent="0.35">
      <c r="A2268" s="23"/>
      <c r="B2268" s="61"/>
      <c r="C2268" s="23"/>
      <c r="D2268" s="26"/>
      <c r="E2268" s="23"/>
      <c r="F2268" s="27"/>
      <c r="G2268" s="41"/>
      <c r="H2268" s="41"/>
      <c r="I2268" s="41"/>
      <c r="J2268" s="23"/>
    </row>
    <row r="2269" spans="1:10" ht="15" customHeight="1" x14ac:dyDescent="0.35">
      <c r="A2269" s="23"/>
      <c r="B2269" s="61"/>
      <c r="C2269" s="23"/>
      <c r="D2269" s="26"/>
      <c r="E2269" s="23"/>
      <c r="F2269" s="27"/>
      <c r="G2269" s="41"/>
      <c r="H2269" s="41"/>
      <c r="I2269" s="41"/>
      <c r="J2269" s="23"/>
    </row>
    <row r="2270" spans="1:10" ht="15" customHeight="1" x14ac:dyDescent="0.35">
      <c r="A2270" s="23"/>
      <c r="B2270" s="61"/>
      <c r="C2270" s="23"/>
      <c r="D2270" s="26"/>
      <c r="E2270" s="23"/>
      <c r="F2270" s="27"/>
      <c r="G2270" s="41"/>
      <c r="H2270" s="41"/>
      <c r="I2270" s="41"/>
      <c r="J2270" s="23"/>
    </row>
    <row r="2271" spans="1:10" ht="15" customHeight="1" x14ac:dyDescent="0.35">
      <c r="A2271" s="23"/>
      <c r="B2271" s="61"/>
      <c r="C2271" s="23"/>
      <c r="D2271" s="26"/>
      <c r="E2271" s="23"/>
      <c r="F2271" s="27"/>
      <c r="G2271" s="41"/>
      <c r="H2271" s="41"/>
      <c r="I2271" s="41"/>
      <c r="J2271" s="23"/>
    </row>
    <row r="2272" spans="1:10" ht="15" customHeight="1" x14ac:dyDescent="0.35">
      <c r="A2272" s="23"/>
      <c r="B2272" s="61"/>
      <c r="C2272" s="23"/>
      <c r="D2272" s="26"/>
      <c r="E2272" s="23"/>
      <c r="F2272" s="27"/>
      <c r="G2272" s="41"/>
      <c r="H2272" s="41"/>
      <c r="I2272" s="41"/>
      <c r="J2272" s="23"/>
    </row>
    <row r="2273" spans="1:10" ht="15" customHeight="1" x14ac:dyDescent="0.35">
      <c r="A2273" s="23"/>
      <c r="B2273" s="61"/>
      <c r="C2273" s="23"/>
      <c r="D2273" s="26"/>
      <c r="E2273" s="23"/>
      <c r="F2273" s="27"/>
      <c r="G2273" s="41"/>
      <c r="H2273" s="41"/>
      <c r="I2273" s="41"/>
      <c r="J2273" s="23"/>
    </row>
    <row r="2274" spans="1:10" ht="15" customHeight="1" x14ac:dyDescent="0.35">
      <c r="A2274" s="23"/>
      <c r="B2274" s="61"/>
      <c r="C2274" s="23"/>
      <c r="D2274" s="26"/>
      <c r="E2274" s="23"/>
      <c r="F2274" s="27"/>
      <c r="G2274" s="41"/>
      <c r="H2274" s="41"/>
      <c r="I2274" s="41"/>
      <c r="J2274" s="23"/>
    </row>
    <row r="2275" spans="1:10" ht="15" customHeight="1" x14ac:dyDescent="0.35">
      <c r="A2275" s="23"/>
      <c r="B2275" s="61"/>
      <c r="C2275" s="23"/>
      <c r="D2275" s="26"/>
      <c r="E2275" s="23"/>
      <c r="F2275" s="27"/>
      <c r="G2275" s="41"/>
      <c r="H2275" s="41"/>
      <c r="I2275" s="41"/>
      <c r="J2275" s="23"/>
    </row>
    <row r="2276" spans="1:10" ht="15" customHeight="1" x14ac:dyDescent="0.35">
      <c r="A2276" s="23"/>
      <c r="B2276" s="61"/>
      <c r="C2276" s="23"/>
      <c r="D2276" s="26"/>
      <c r="E2276" s="23"/>
      <c r="F2276" s="27"/>
      <c r="G2276" s="41"/>
      <c r="H2276" s="41"/>
      <c r="I2276" s="41"/>
      <c r="J2276" s="23"/>
    </row>
    <row r="2277" spans="1:10" ht="15" customHeight="1" x14ac:dyDescent="0.35">
      <c r="A2277" s="23"/>
      <c r="B2277" s="61"/>
      <c r="C2277" s="23"/>
      <c r="D2277" s="26"/>
      <c r="E2277" s="23"/>
      <c r="F2277" s="27"/>
      <c r="G2277" s="41"/>
      <c r="H2277" s="41"/>
      <c r="I2277" s="41"/>
      <c r="J2277" s="23"/>
    </row>
    <row r="2278" spans="1:10" ht="15" customHeight="1" x14ac:dyDescent="0.35">
      <c r="A2278" s="23"/>
      <c r="B2278" s="61"/>
      <c r="C2278" s="23"/>
      <c r="D2278" s="26"/>
      <c r="E2278" s="23"/>
      <c r="F2278" s="27"/>
      <c r="G2278" s="41"/>
      <c r="H2278" s="41"/>
      <c r="I2278" s="41"/>
      <c r="J2278" s="23"/>
    </row>
    <row r="2279" spans="1:10" ht="15" customHeight="1" x14ac:dyDescent="0.35">
      <c r="A2279" s="23"/>
      <c r="B2279" s="61"/>
      <c r="C2279" s="23"/>
      <c r="D2279" s="26"/>
      <c r="E2279" s="23"/>
      <c r="F2279" s="27"/>
      <c r="G2279" s="41"/>
      <c r="H2279" s="41"/>
      <c r="I2279" s="41"/>
      <c r="J2279" s="23"/>
    </row>
    <row r="2280" spans="1:10" ht="15" customHeight="1" x14ac:dyDescent="0.35">
      <c r="A2280" s="23"/>
      <c r="B2280" s="61"/>
      <c r="C2280" s="23"/>
      <c r="D2280" s="26"/>
      <c r="E2280" s="23"/>
      <c r="F2280" s="27"/>
      <c r="G2280" s="41"/>
      <c r="H2280" s="41"/>
      <c r="I2280" s="41"/>
      <c r="J2280" s="23"/>
    </row>
    <row r="2281" spans="1:10" ht="15" customHeight="1" x14ac:dyDescent="0.35">
      <c r="A2281" s="23"/>
      <c r="B2281" s="61"/>
      <c r="C2281" s="23"/>
      <c r="D2281" s="26"/>
      <c r="E2281" s="23"/>
      <c r="F2281" s="27"/>
      <c r="G2281" s="41"/>
      <c r="H2281" s="41"/>
      <c r="I2281" s="41"/>
      <c r="J2281" s="23"/>
    </row>
    <row r="2282" spans="1:10" ht="15" customHeight="1" x14ac:dyDescent="0.35">
      <c r="A2282" s="23"/>
      <c r="B2282" s="61"/>
      <c r="C2282" s="23"/>
      <c r="D2282" s="26"/>
      <c r="E2282" s="23"/>
      <c r="F2282" s="27"/>
      <c r="G2282" s="41"/>
      <c r="H2282" s="41"/>
      <c r="I2282" s="41"/>
      <c r="J2282" s="23"/>
    </row>
    <row r="2283" spans="1:10" ht="15" customHeight="1" x14ac:dyDescent="0.35">
      <c r="A2283" s="23"/>
      <c r="B2283" s="61"/>
      <c r="C2283" s="23"/>
      <c r="D2283" s="26"/>
      <c r="E2283" s="23"/>
      <c r="F2283" s="27"/>
      <c r="G2283" s="41"/>
      <c r="H2283" s="41"/>
      <c r="I2283" s="41"/>
      <c r="J2283" s="23"/>
    </row>
    <row r="2284" spans="1:10" ht="15" customHeight="1" x14ac:dyDescent="0.35">
      <c r="A2284" s="23"/>
      <c r="B2284" s="61"/>
      <c r="C2284" s="23"/>
      <c r="D2284" s="26"/>
      <c r="E2284" s="23"/>
      <c r="F2284" s="27"/>
      <c r="G2284" s="41"/>
      <c r="H2284" s="41"/>
      <c r="I2284" s="41"/>
      <c r="J2284" s="23"/>
    </row>
    <row r="2285" spans="1:10" ht="15" customHeight="1" x14ac:dyDescent="0.35">
      <c r="A2285" s="23"/>
      <c r="B2285" s="61"/>
      <c r="C2285" s="23"/>
      <c r="D2285" s="26"/>
      <c r="E2285" s="23"/>
      <c r="F2285" s="27"/>
      <c r="G2285" s="41"/>
      <c r="H2285" s="41"/>
      <c r="I2285" s="41"/>
      <c r="J2285" s="23"/>
    </row>
    <row r="2286" spans="1:10" ht="15" customHeight="1" x14ac:dyDescent="0.35">
      <c r="A2286" s="23"/>
      <c r="B2286" s="61"/>
      <c r="C2286" s="23"/>
      <c r="D2286" s="26"/>
      <c r="E2286" s="23"/>
      <c r="F2286" s="27"/>
      <c r="G2286" s="41"/>
      <c r="H2286" s="41"/>
      <c r="I2286" s="41"/>
      <c r="J2286" s="23"/>
    </row>
    <row r="2287" spans="1:10" ht="15" customHeight="1" x14ac:dyDescent="0.35">
      <c r="A2287" s="23"/>
      <c r="B2287" s="61"/>
      <c r="C2287" s="23"/>
      <c r="D2287" s="26"/>
      <c r="E2287" s="23"/>
      <c r="F2287" s="27"/>
      <c r="G2287" s="41"/>
      <c r="H2287" s="41"/>
      <c r="I2287" s="41"/>
      <c r="J2287" s="23"/>
    </row>
    <row r="2288" spans="1:10" ht="15" customHeight="1" x14ac:dyDescent="0.35">
      <c r="A2288" s="23"/>
      <c r="B2288" s="61"/>
      <c r="C2288" s="23"/>
      <c r="D2288" s="26"/>
      <c r="E2288" s="23"/>
      <c r="F2288" s="27"/>
      <c r="G2288" s="41"/>
      <c r="H2288" s="41"/>
      <c r="I2288" s="41"/>
      <c r="J2288" s="23"/>
    </row>
    <row r="2289" spans="1:10" ht="15" customHeight="1" x14ac:dyDescent="0.35">
      <c r="A2289" s="23"/>
      <c r="B2289" s="61"/>
      <c r="C2289" s="23"/>
      <c r="D2289" s="26"/>
      <c r="E2289" s="23"/>
      <c r="F2289" s="27"/>
      <c r="G2289" s="41"/>
      <c r="H2289" s="41"/>
      <c r="I2289" s="41"/>
      <c r="J2289" s="23"/>
    </row>
    <row r="2290" spans="1:10" ht="15" customHeight="1" x14ac:dyDescent="0.35">
      <c r="A2290" s="23"/>
      <c r="B2290" s="61"/>
      <c r="C2290" s="23"/>
      <c r="D2290" s="26"/>
      <c r="E2290" s="23"/>
      <c r="F2290" s="27"/>
      <c r="G2290" s="41"/>
      <c r="H2290" s="41"/>
      <c r="I2290" s="41"/>
      <c r="J2290" s="23"/>
    </row>
    <row r="2291" spans="1:10" ht="15" customHeight="1" x14ac:dyDescent="0.35">
      <c r="A2291" s="23"/>
      <c r="B2291" s="61"/>
      <c r="C2291" s="23"/>
      <c r="D2291" s="26"/>
      <c r="E2291" s="23"/>
      <c r="F2291" s="27"/>
      <c r="G2291" s="41"/>
      <c r="H2291" s="41"/>
      <c r="I2291" s="41"/>
      <c r="J2291" s="23"/>
    </row>
    <row r="2292" spans="1:10" ht="15" customHeight="1" x14ac:dyDescent="0.35">
      <c r="A2292" s="23"/>
      <c r="B2292" s="61"/>
      <c r="C2292" s="23"/>
      <c r="D2292" s="26"/>
      <c r="E2292" s="23"/>
      <c r="F2292" s="27"/>
      <c r="G2292" s="41"/>
      <c r="H2292" s="41"/>
      <c r="I2292" s="41"/>
      <c r="J2292" s="23"/>
    </row>
    <row r="2293" spans="1:10" ht="15" customHeight="1" x14ac:dyDescent="0.35">
      <c r="A2293" s="23"/>
      <c r="B2293" s="61"/>
      <c r="C2293" s="23"/>
      <c r="D2293" s="26"/>
      <c r="E2293" s="23"/>
      <c r="F2293" s="27"/>
      <c r="G2293" s="41"/>
      <c r="H2293" s="41"/>
      <c r="I2293" s="41"/>
      <c r="J2293" s="23"/>
    </row>
    <row r="2294" spans="1:10" ht="15" customHeight="1" x14ac:dyDescent="0.35">
      <c r="A2294" s="23"/>
      <c r="B2294" s="61"/>
      <c r="C2294" s="23"/>
      <c r="D2294" s="26"/>
      <c r="E2294" s="23"/>
      <c r="F2294" s="27"/>
      <c r="G2294" s="41"/>
      <c r="H2294" s="41"/>
      <c r="I2294" s="41"/>
      <c r="J2294" s="23"/>
    </row>
    <row r="2295" spans="1:10" ht="15" customHeight="1" x14ac:dyDescent="0.35">
      <c r="A2295" s="23"/>
      <c r="B2295" s="61"/>
      <c r="C2295" s="23"/>
      <c r="D2295" s="26"/>
      <c r="E2295" s="23"/>
      <c r="F2295" s="27"/>
      <c r="G2295" s="41"/>
      <c r="H2295" s="41"/>
      <c r="I2295" s="41"/>
      <c r="J2295" s="23"/>
    </row>
    <row r="2296" spans="1:10" ht="15" customHeight="1" x14ac:dyDescent="0.35">
      <c r="A2296" s="23"/>
      <c r="B2296" s="61"/>
      <c r="C2296" s="23"/>
      <c r="D2296" s="26"/>
      <c r="E2296" s="23"/>
      <c r="F2296" s="27"/>
      <c r="G2296" s="41"/>
      <c r="H2296" s="41"/>
      <c r="I2296" s="41"/>
      <c r="J2296" s="23"/>
    </row>
    <row r="2297" spans="1:10" ht="15" customHeight="1" x14ac:dyDescent="0.35">
      <c r="A2297" s="23"/>
      <c r="B2297" s="61"/>
      <c r="C2297" s="23"/>
      <c r="D2297" s="26"/>
      <c r="E2297" s="23"/>
      <c r="F2297" s="27"/>
      <c r="G2297" s="41"/>
      <c r="H2297" s="41"/>
      <c r="I2297" s="41"/>
      <c r="J2297" s="23"/>
    </row>
    <row r="2298" spans="1:10" ht="15" customHeight="1" x14ac:dyDescent="0.35">
      <c r="A2298" s="23"/>
      <c r="B2298" s="61"/>
      <c r="C2298" s="23"/>
      <c r="D2298" s="26"/>
      <c r="E2298" s="23"/>
      <c r="F2298" s="27"/>
      <c r="G2298" s="41"/>
      <c r="H2298" s="41"/>
      <c r="I2298" s="41"/>
      <c r="J2298" s="23"/>
    </row>
    <row r="2299" spans="1:10" ht="15" customHeight="1" x14ac:dyDescent="0.35">
      <c r="A2299" s="23"/>
      <c r="B2299" s="61"/>
      <c r="C2299" s="23"/>
      <c r="D2299" s="26"/>
      <c r="E2299" s="23"/>
      <c r="F2299" s="27"/>
      <c r="G2299" s="41"/>
      <c r="H2299" s="41"/>
      <c r="I2299" s="41"/>
      <c r="J2299" s="23"/>
    </row>
    <row r="2300" spans="1:10" ht="15" customHeight="1" x14ac:dyDescent="0.35">
      <c r="A2300" s="23"/>
      <c r="B2300" s="61"/>
      <c r="C2300" s="23"/>
      <c r="D2300" s="26"/>
      <c r="E2300" s="23"/>
      <c r="F2300" s="27"/>
      <c r="G2300" s="41"/>
      <c r="H2300" s="41"/>
      <c r="I2300" s="41"/>
      <c r="J2300" s="23"/>
    </row>
    <row r="2301" spans="1:10" ht="15" customHeight="1" x14ac:dyDescent="0.35">
      <c r="A2301" s="23"/>
      <c r="B2301" s="61"/>
      <c r="C2301" s="23"/>
      <c r="D2301" s="26"/>
      <c r="E2301" s="23"/>
      <c r="F2301" s="27"/>
      <c r="G2301" s="41"/>
      <c r="H2301" s="41"/>
      <c r="I2301" s="41"/>
      <c r="J2301" s="23"/>
    </row>
    <row r="2302" spans="1:10" ht="15" customHeight="1" x14ac:dyDescent="0.35">
      <c r="A2302" s="23"/>
      <c r="B2302" s="61"/>
      <c r="C2302" s="23"/>
      <c r="D2302" s="26"/>
      <c r="E2302" s="23"/>
      <c r="F2302" s="27"/>
      <c r="G2302" s="41"/>
      <c r="H2302" s="41"/>
      <c r="I2302" s="41"/>
      <c r="J2302" s="23"/>
    </row>
    <row r="2303" spans="1:10" ht="15" customHeight="1" x14ac:dyDescent="0.35">
      <c r="A2303" s="23"/>
      <c r="B2303" s="61"/>
      <c r="C2303" s="23"/>
      <c r="D2303" s="26"/>
      <c r="E2303" s="23"/>
      <c r="F2303" s="27"/>
      <c r="G2303" s="41"/>
      <c r="H2303" s="41"/>
      <c r="I2303" s="41"/>
      <c r="J2303" s="23"/>
    </row>
    <row r="2304" spans="1:10" ht="15" customHeight="1" x14ac:dyDescent="0.35">
      <c r="A2304" s="23"/>
      <c r="B2304" s="61"/>
      <c r="C2304" s="23"/>
      <c r="D2304" s="26"/>
      <c r="E2304" s="23"/>
      <c r="F2304" s="27"/>
      <c r="G2304" s="41"/>
      <c r="H2304" s="41"/>
      <c r="I2304" s="41"/>
      <c r="J2304" s="23"/>
    </row>
    <row r="2305" spans="1:10" ht="15" customHeight="1" x14ac:dyDescent="0.35">
      <c r="A2305" s="23"/>
      <c r="B2305" s="61"/>
      <c r="C2305" s="23"/>
      <c r="D2305" s="26"/>
      <c r="E2305" s="23"/>
      <c r="F2305" s="27"/>
      <c r="G2305" s="41"/>
      <c r="H2305" s="41"/>
      <c r="I2305" s="41"/>
      <c r="J2305" s="23"/>
    </row>
    <row r="2306" spans="1:10" ht="15" customHeight="1" x14ac:dyDescent="0.35">
      <c r="A2306" s="23"/>
      <c r="B2306" s="61"/>
      <c r="C2306" s="23"/>
      <c r="D2306" s="26"/>
      <c r="E2306" s="23"/>
      <c r="F2306" s="27"/>
      <c r="G2306" s="41"/>
      <c r="H2306" s="41"/>
      <c r="I2306" s="41"/>
      <c r="J2306" s="23"/>
    </row>
    <row r="2307" spans="1:10" ht="15" customHeight="1" x14ac:dyDescent="0.35">
      <c r="A2307" s="23"/>
      <c r="B2307" s="61"/>
      <c r="C2307" s="23"/>
      <c r="D2307" s="26"/>
      <c r="E2307" s="23"/>
      <c r="F2307" s="27"/>
      <c r="G2307" s="41"/>
      <c r="H2307" s="41"/>
      <c r="I2307" s="41"/>
      <c r="J2307" s="23"/>
    </row>
    <row r="2308" spans="1:10" ht="15" customHeight="1" x14ac:dyDescent="0.35">
      <c r="A2308" s="23"/>
      <c r="B2308" s="61"/>
      <c r="C2308" s="23"/>
      <c r="D2308" s="26"/>
      <c r="E2308" s="23"/>
      <c r="F2308" s="27"/>
      <c r="G2308" s="41"/>
      <c r="H2308" s="41"/>
      <c r="I2308" s="41"/>
      <c r="J2308" s="23"/>
    </row>
    <row r="2309" spans="1:10" ht="15" customHeight="1" x14ac:dyDescent="0.35">
      <c r="A2309" s="23"/>
      <c r="B2309" s="61"/>
      <c r="C2309" s="23"/>
      <c r="D2309" s="26"/>
      <c r="E2309" s="23"/>
      <c r="F2309" s="27"/>
      <c r="G2309" s="41"/>
      <c r="H2309" s="41"/>
      <c r="I2309" s="41"/>
      <c r="J2309" s="23"/>
    </row>
    <row r="2310" spans="1:10" ht="15" customHeight="1" x14ac:dyDescent="0.35">
      <c r="A2310" s="23"/>
      <c r="B2310" s="61"/>
      <c r="C2310" s="23"/>
      <c r="D2310" s="26"/>
      <c r="E2310" s="23"/>
      <c r="F2310" s="27"/>
      <c r="G2310" s="41"/>
      <c r="H2310" s="41"/>
      <c r="I2310" s="41"/>
      <c r="J2310" s="23"/>
    </row>
    <row r="2311" spans="1:10" ht="15" customHeight="1" x14ac:dyDescent="0.35">
      <c r="A2311" s="23"/>
      <c r="B2311" s="61"/>
      <c r="C2311" s="23"/>
      <c r="D2311" s="26"/>
      <c r="E2311" s="23"/>
      <c r="F2311" s="27"/>
      <c r="G2311" s="41"/>
      <c r="H2311" s="41"/>
      <c r="I2311" s="41"/>
      <c r="J2311" s="23"/>
    </row>
    <row r="2312" spans="1:10" ht="15" customHeight="1" x14ac:dyDescent="0.35">
      <c r="A2312" s="23"/>
      <c r="B2312" s="61"/>
      <c r="C2312" s="23"/>
      <c r="D2312" s="26"/>
      <c r="E2312" s="23"/>
      <c r="F2312" s="27"/>
      <c r="G2312" s="41"/>
      <c r="H2312" s="41"/>
      <c r="I2312" s="41"/>
      <c r="J2312" s="23"/>
    </row>
    <row r="2313" spans="1:10" ht="15" customHeight="1" x14ac:dyDescent="0.35">
      <c r="A2313" s="23"/>
      <c r="B2313" s="61"/>
      <c r="C2313" s="23"/>
      <c r="D2313" s="26"/>
      <c r="E2313" s="23"/>
      <c r="F2313" s="27"/>
      <c r="G2313" s="41"/>
      <c r="H2313" s="41"/>
      <c r="I2313" s="41"/>
      <c r="J2313" s="23"/>
    </row>
    <row r="2314" spans="1:10" ht="15" customHeight="1" x14ac:dyDescent="0.35">
      <c r="A2314" s="23"/>
      <c r="B2314" s="61"/>
      <c r="C2314" s="23"/>
      <c r="D2314" s="26"/>
      <c r="E2314" s="23"/>
      <c r="F2314" s="27"/>
      <c r="G2314" s="41"/>
      <c r="H2314" s="41"/>
      <c r="I2314" s="41"/>
      <c r="J2314" s="23"/>
    </row>
    <row r="2315" spans="1:10" ht="15" customHeight="1" x14ac:dyDescent="0.35">
      <c r="A2315" s="23"/>
      <c r="B2315" s="61"/>
      <c r="C2315" s="23"/>
      <c r="D2315" s="26"/>
      <c r="E2315" s="23"/>
      <c r="F2315" s="27"/>
      <c r="G2315" s="41"/>
      <c r="H2315" s="41"/>
      <c r="I2315" s="41"/>
      <c r="J2315" s="23"/>
    </row>
    <row r="2316" spans="1:10" ht="15" customHeight="1" x14ac:dyDescent="0.35">
      <c r="A2316" s="23"/>
      <c r="B2316" s="61"/>
      <c r="C2316" s="23"/>
      <c r="D2316" s="26"/>
      <c r="E2316" s="23"/>
      <c r="F2316" s="27"/>
      <c r="G2316" s="41"/>
      <c r="H2316" s="41"/>
      <c r="I2316" s="41"/>
      <c r="J2316" s="23"/>
    </row>
    <row r="2317" spans="1:10" ht="15" customHeight="1" x14ac:dyDescent="0.35">
      <c r="A2317" s="23"/>
      <c r="B2317" s="61"/>
      <c r="C2317" s="23"/>
      <c r="D2317" s="26"/>
      <c r="E2317" s="23"/>
      <c r="F2317" s="27"/>
      <c r="G2317" s="41"/>
      <c r="H2317" s="41"/>
      <c r="I2317" s="41"/>
      <c r="J2317" s="23"/>
    </row>
    <row r="2318" spans="1:10" ht="15" customHeight="1" x14ac:dyDescent="0.35">
      <c r="A2318" s="23"/>
      <c r="B2318" s="61"/>
      <c r="C2318" s="23"/>
      <c r="D2318" s="26"/>
      <c r="E2318" s="23"/>
      <c r="F2318" s="27"/>
      <c r="G2318" s="41"/>
      <c r="H2318" s="41"/>
      <c r="I2318" s="41"/>
      <c r="J2318" s="23"/>
    </row>
    <row r="2319" spans="1:10" ht="15" customHeight="1" x14ac:dyDescent="0.35">
      <c r="A2319" s="23"/>
      <c r="B2319" s="61"/>
      <c r="C2319" s="23"/>
      <c r="D2319" s="26"/>
      <c r="E2319" s="23"/>
      <c r="F2319" s="27"/>
      <c r="G2319" s="41"/>
      <c r="H2319" s="41"/>
      <c r="I2319" s="41"/>
      <c r="J2319" s="23"/>
    </row>
    <row r="2320" spans="1:10" ht="15" customHeight="1" x14ac:dyDescent="0.35">
      <c r="A2320" s="23"/>
      <c r="B2320" s="61"/>
      <c r="C2320" s="23"/>
      <c r="D2320" s="26"/>
      <c r="E2320" s="23"/>
      <c r="F2320" s="27"/>
      <c r="G2320" s="41"/>
      <c r="H2320" s="41"/>
      <c r="I2320" s="41"/>
      <c r="J2320" s="23"/>
    </row>
    <row r="2321" spans="1:10" ht="15" customHeight="1" x14ac:dyDescent="0.35">
      <c r="A2321" s="23"/>
      <c r="B2321" s="61"/>
      <c r="C2321" s="23"/>
      <c r="D2321" s="26"/>
      <c r="E2321" s="23"/>
      <c r="F2321" s="27"/>
      <c r="G2321" s="41"/>
      <c r="H2321" s="41"/>
      <c r="I2321" s="41"/>
      <c r="J2321" s="23"/>
    </row>
    <row r="2322" spans="1:10" ht="15" customHeight="1" x14ac:dyDescent="0.35">
      <c r="A2322" s="23"/>
      <c r="B2322" s="61"/>
      <c r="C2322" s="23"/>
      <c r="D2322" s="26"/>
      <c r="E2322" s="23"/>
      <c r="F2322" s="27"/>
      <c r="G2322" s="41"/>
      <c r="H2322" s="41"/>
      <c r="I2322" s="41"/>
      <c r="J2322" s="23"/>
    </row>
    <row r="2323" spans="1:10" ht="15" customHeight="1" x14ac:dyDescent="0.35">
      <c r="A2323" s="23"/>
      <c r="B2323" s="61"/>
      <c r="C2323" s="23"/>
      <c r="D2323" s="26"/>
      <c r="E2323" s="23"/>
      <c r="F2323" s="27"/>
      <c r="G2323" s="41"/>
      <c r="H2323" s="41"/>
      <c r="I2323" s="41"/>
      <c r="J2323" s="23"/>
    </row>
    <row r="2324" spans="1:10" ht="15" customHeight="1" x14ac:dyDescent="0.35">
      <c r="A2324" s="23"/>
      <c r="B2324" s="61"/>
      <c r="C2324" s="23"/>
      <c r="D2324" s="26"/>
      <c r="E2324" s="23"/>
      <c r="F2324" s="27"/>
      <c r="G2324" s="41"/>
      <c r="H2324" s="41"/>
      <c r="I2324" s="41"/>
      <c r="J2324" s="23"/>
    </row>
    <row r="2325" spans="1:10" ht="15" customHeight="1" x14ac:dyDescent="0.35">
      <c r="A2325" s="23"/>
      <c r="B2325" s="61"/>
      <c r="C2325" s="23"/>
      <c r="D2325" s="26"/>
      <c r="E2325" s="23"/>
      <c r="F2325" s="27"/>
      <c r="G2325" s="41"/>
      <c r="H2325" s="41"/>
      <c r="I2325" s="41"/>
      <c r="J2325" s="23"/>
    </row>
    <row r="2326" spans="1:10" ht="15" customHeight="1" x14ac:dyDescent="0.35">
      <c r="A2326" s="23"/>
      <c r="B2326" s="61"/>
      <c r="C2326" s="23"/>
      <c r="D2326" s="26"/>
      <c r="E2326" s="23"/>
      <c r="F2326" s="27"/>
      <c r="G2326" s="41"/>
      <c r="H2326" s="41"/>
      <c r="I2326" s="41"/>
      <c r="J2326" s="23"/>
    </row>
    <row r="2327" spans="1:10" ht="15" customHeight="1" x14ac:dyDescent="0.35">
      <c r="A2327" s="23"/>
      <c r="B2327" s="61"/>
      <c r="C2327" s="23"/>
      <c r="D2327" s="26"/>
      <c r="E2327" s="23"/>
      <c r="F2327" s="27"/>
      <c r="G2327" s="41"/>
      <c r="H2327" s="41"/>
      <c r="I2327" s="41"/>
      <c r="J2327" s="23"/>
    </row>
    <row r="2328" spans="1:10" ht="15" customHeight="1" x14ac:dyDescent="0.35">
      <c r="A2328" s="23"/>
      <c r="B2328" s="61"/>
      <c r="C2328" s="23"/>
      <c r="D2328" s="26"/>
      <c r="E2328" s="23"/>
      <c r="F2328" s="27"/>
      <c r="G2328" s="41"/>
      <c r="H2328" s="41"/>
      <c r="I2328" s="41"/>
      <c r="J2328" s="23"/>
    </row>
    <row r="2329" spans="1:10" ht="15" customHeight="1" x14ac:dyDescent="0.35">
      <c r="A2329" s="23"/>
      <c r="B2329" s="61"/>
      <c r="C2329" s="23"/>
      <c r="D2329" s="26"/>
      <c r="E2329" s="23"/>
      <c r="F2329" s="27"/>
      <c r="G2329" s="41"/>
      <c r="H2329" s="41"/>
      <c r="I2329" s="41"/>
      <c r="J2329" s="23"/>
    </row>
    <row r="2330" spans="1:10" ht="15" customHeight="1" x14ac:dyDescent="0.35">
      <c r="A2330" s="23"/>
      <c r="B2330" s="61"/>
      <c r="C2330" s="23"/>
      <c r="D2330" s="26"/>
      <c r="E2330" s="23"/>
      <c r="F2330" s="27"/>
      <c r="G2330" s="41"/>
      <c r="H2330" s="41"/>
      <c r="I2330" s="41"/>
      <c r="J2330" s="23"/>
    </row>
    <row r="2331" spans="1:10" ht="15" customHeight="1" x14ac:dyDescent="0.35">
      <c r="A2331" s="23"/>
      <c r="B2331" s="61"/>
      <c r="C2331" s="23"/>
      <c r="D2331" s="26"/>
      <c r="E2331" s="23"/>
      <c r="F2331" s="27"/>
      <c r="G2331" s="41"/>
      <c r="H2331" s="41"/>
      <c r="I2331" s="41"/>
      <c r="J2331" s="23"/>
    </row>
    <row r="2332" spans="1:10" ht="15" customHeight="1" x14ac:dyDescent="0.35">
      <c r="A2332" s="23"/>
      <c r="B2332" s="61"/>
      <c r="C2332" s="23"/>
      <c r="D2332" s="26"/>
      <c r="E2332" s="23"/>
      <c r="F2332" s="27"/>
      <c r="G2332" s="41"/>
      <c r="H2332" s="41"/>
      <c r="I2332" s="41"/>
      <c r="J2332" s="23"/>
    </row>
    <row r="2333" spans="1:10" ht="15" customHeight="1" x14ac:dyDescent="0.35">
      <c r="A2333" s="23"/>
      <c r="B2333" s="61"/>
      <c r="C2333" s="23"/>
      <c r="D2333" s="26"/>
      <c r="E2333" s="23"/>
      <c r="F2333" s="27"/>
      <c r="G2333" s="41"/>
      <c r="H2333" s="41"/>
      <c r="I2333" s="41"/>
      <c r="J2333" s="23"/>
    </row>
    <row r="2334" spans="1:10" ht="15" customHeight="1" x14ac:dyDescent="0.35">
      <c r="A2334" s="23"/>
      <c r="B2334" s="61"/>
      <c r="C2334" s="23"/>
      <c r="D2334" s="26"/>
      <c r="E2334" s="23"/>
      <c r="F2334" s="27"/>
      <c r="G2334" s="41"/>
      <c r="H2334" s="41"/>
      <c r="I2334" s="41"/>
      <c r="J2334" s="23"/>
    </row>
    <row r="2335" spans="1:10" ht="15" customHeight="1" x14ac:dyDescent="0.35">
      <c r="A2335" s="23"/>
      <c r="B2335" s="61"/>
      <c r="C2335" s="23"/>
      <c r="D2335" s="26"/>
      <c r="E2335" s="23"/>
      <c r="F2335" s="27"/>
      <c r="G2335" s="41"/>
      <c r="H2335" s="41"/>
      <c r="I2335" s="41"/>
      <c r="J2335" s="23"/>
    </row>
    <row r="2336" spans="1:10" ht="15" customHeight="1" x14ac:dyDescent="0.35">
      <c r="A2336" s="23"/>
      <c r="B2336" s="61"/>
      <c r="C2336" s="23"/>
      <c r="D2336" s="26"/>
      <c r="E2336" s="23"/>
      <c r="F2336" s="27"/>
      <c r="G2336" s="41"/>
      <c r="H2336" s="41"/>
      <c r="I2336" s="41"/>
      <c r="J2336" s="23"/>
    </row>
    <row r="2337" spans="1:10" ht="15" customHeight="1" x14ac:dyDescent="0.35">
      <c r="A2337" s="23"/>
      <c r="B2337" s="61"/>
      <c r="C2337" s="23"/>
      <c r="D2337" s="26"/>
      <c r="E2337" s="23"/>
      <c r="F2337" s="27"/>
      <c r="G2337" s="41"/>
      <c r="H2337" s="41"/>
      <c r="I2337" s="41"/>
      <c r="J2337" s="23"/>
    </row>
    <row r="2338" spans="1:10" ht="15" customHeight="1" x14ac:dyDescent="0.35">
      <c r="A2338" s="23"/>
      <c r="B2338" s="61"/>
      <c r="C2338" s="23"/>
      <c r="D2338" s="26"/>
      <c r="E2338" s="23"/>
      <c r="F2338" s="27"/>
      <c r="G2338" s="41"/>
      <c r="H2338" s="41"/>
      <c r="I2338" s="41"/>
      <c r="J2338" s="23"/>
    </row>
    <row r="2339" spans="1:10" ht="15" customHeight="1" x14ac:dyDescent="0.35">
      <c r="A2339" s="23"/>
      <c r="B2339" s="61"/>
      <c r="C2339" s="23"/>
      <c r="D2339" s="26"/>
      <c r="E2339" s="23"/>
      <c r="F2339" s="27"/>
      <c r="G2339" s="41"/>
      <c r="H2339" s="41"/>
      <c r="I2339" s="41"/>
      <c r="J2339" s="23"/>
    </row>
    <row r="2340" spans="1:10" ht="15" customHeight="1" x14ac:dyDescent="0.35">
      <c r="A2340" s="23"/>
      <c r="B2340" s="61"/>
      <c r="C2340" s="23"/>
      <c r="D2340" s="26"/>
      <c r="E2340" s="23"/>
      <c r="F2340" s="27"/>
      <c r="G2340" s="41"/>
      <c r="H2340" s="41"/>
      <c r="I2340" s="41"/>
      <c r="J2340" s="23"/>
    </row>
    <row r="2341" spans="1:10" ht="15" customHeight="1" x14ac:dyDescent="0.35">
      <c r="A2341" s="23"/>
      <c r="B2341" s="61"/>
      <c r="C2341" s="23"/>
      <c r="D2341" s="26"/>
      <c r="E2341" s="23"/>
      <c r="F2341" s="27"/>
      <c r="G2341" s="41"/>
      <c r="H2341" s="41"/>
      <c r="I2341" s="41"/>
      <c r="J2341" s="23"/>
    </row>
    <row r="2342" spans="1:10" ht="15" customHeight="1" x14ac:dyDescent="0.35">
      <c r="A2342" s="23"/>
      <c r="B2342" s="61"/>
      <c r="C2342" s="23"/>
      <c r="D2342" s="26"/>
      <c r="E2342" s="23"/>
      <c r="F2342" s="27"/>
      <c r="G2342" s="41"/>
      <c r="H2342" s="41"/>
      <c r="I2342" s="41"/>
      <c r="J2342" s="23"/>
    </row>
    <row r="2343" spans="1:10" ht="15" customHeight="1" x14ac:dyDescent="0.35">
      <c r="A2343" s="23"/>
      <c r="B2343" s="61"/>
      <c r="C2343" s="23"/>
      <c r="D2343" s="26"/>
      <c r="E2343" s="23"/>
      <c r="F2343" s="27"/>
      <c r="G2343" s="41"/>
      <c r="H2343" s="41"/>
      <c r="I2343" s="41"/>
      <c r="J2343" s="23"/>
    </row>
    <row r="2344" spans="1:10" ht="15" customHeight="1" x14ac:dyDescent="0.35">
      <c r="A2344" s="23"/>
      <c r="B2344" s="61"/>
      <c r="C2344" s="23"/>
      <c r="D2344" s="26"/>
      <c r="E2344" s="23"/>
      <c r="F2344" s="27"/>
      <c r="G2344" s="41"/>
      <c r="H2344" s="41"/>
      <c r="I2344" s="41"/>
      <c r="J2344" s="23"/>
    </row>
    <row r="2345" spans="1:10" ht="15" customHeight="1" x14ac:dyDescent="0.35">
      <c r="A2345" s="23"/>
      <c r="B2345" s="61"/>
      <c r="C2345" s="23"/>
      <c r="D2345" s="26"/>
      <c r="E2345" s="23"/>
      <c r="F2345" s="27"/>
      <c r="G2345" s="41"/>
      <c r="H2345" s="41"/>
      <c r="I2345" s="41"/>
      <c r="J2345" s="23"/>
    </row>
    <row r="2346" spans="1:10" ht="15" customHeight="1" x14ac:dyDescent="0.35">
      <c r="A2346" s="23"/>
      <c r="B2346" s="61"/>
      <c r="C2346" s="23"/>
      <c r="D2346" s="26"/>
      <c r="E2346" s="23"/>
      <c r="F2346" s="27"/>
      <c r="G2346" s="41"/>
      <c r="H2346" s="41"/>
      <c r="I2346" s="41"/>
      <c r="J2346" s="23"/>
    </row>
    <row r="2347" spans="1:10" ht="15" customHeight="1" x14ac:dyDescent="0.35">
      <c r="A2347" s="23"/>
      <c r="B2347" s="61"/>
      <c r="C2347" s="23"/>
      <c r="D2347" s="26"/>
      <c r="E2347" s="23"/>
      <c r="F2347" s="27"/>
      <c r="G2347" s="41"/>
      <c r="H2347" s="41"/>
      <c r="I2347" s="41"/>
      <c r="J2347" s="23"/>
    </row>
    <row r="2348" spans="1:10" ht="15" customHeight="1" x14ac:dyDescent="0.35">
      <c r="A2348" s="23"/>
      <c r="B2348" s="61"/>
      <c r="C2348" s="23"/>
      <c r="D2348" s="26"/>
      <c r="E2348" s="23"/>
      <c r="F2348" s="27"/>
      <c r="G2348" s="41"/>
      <c r="H2348" s="41"/>
      <c r="I2348" s="41"/>
      <c r="J2348" s="23"/>
    </row>
    <row r="2349" spans="1:10" ht="15" customHeight="1" x14ac:dyDescent="0.35">
      <c r="A2349" s="23"/>
      <c r="B2349" s="61"/>
      <c r="C2349" s="23"/>
      <c r="D2349" s="26"/>
      <c r="E2349" s="23"/>
      <c r="F2349" s="27"/>
      <c r="G2349" s="41"/>
      <c r="H2349" s="41"/>
      <c r="I2349" s="41"/>
      <c r="J2349" s="23"/>
    </row>
    <row r="2350" spans="1:10" ht="15" customHeight="1" x14ac:dyDescent="0.35">
      <c r="A2350" s="23"/>
      <c r="B2350" s="61"/>
      <c r="C2350" s="23"/>
      <c r="D2350" s="26"/>
      <c r="E2350" s="23"/>
      <c r="F2350" s="27"/>
      <c r="G2350" s="41"/>
      <c r="H2350" s="41"/>
      <c r="I2350" s="41"/>
      <c r="J2350" s="23"/>
    </row>
    <row r="2351" spans="1:10" ht="15" customHeight="1" x14ac:dyDescent="0.35">
      <c r="A2351" s="23"/>
      <c r="B2351" s="61"/>
      <c r="C2351" s="23"/>
      <c r="D2351" s="26"/>
      <c r="E2351" s="23"/>
      <c r="F2351" s="27"/>
      <c r="G2351" s="41"/>
      <c r="H2351" s="41"/>
      <c r="I2351" s="41"/>
      <c r="J2351" s="23"/>
    </row>
    <row r="2352" spans="1:10" ht="15" customHeight="1" x14ac:dyDescent="0.35">
      <c r="A2352" s="23"/>
      <c r="B2352" s="61"/>
      <c r="C2352" s="23"/>
      <c r="D2352" s="26"/>
      <c r="E2352" s="23"/>
      <c r="F2352" s="27"/>
      <c r="G2352" s="41"/>
      <c r="H2352" s="41"/>
      <c r="I2352" s="41"/>
      <c r="J2352" s="23"/>
    </row>
    <row r="2353" spans="1:10" ht="15" customHeight="1" x14ac:dyDescent="0.35">
      <c r="A2353" s="23"/>
      <c r="B2353" s="61"/>
      <c r="C2353" s="23"/>
      <c r="D2353" s="26"/>
      <c r="E2353" s="23"/>
      <c r="F2353" s="27"/>
      <c r="G2353" s="41"/>
      <c r="H2353" s="41"/>
      <c r="I2353" s="41"/>
      <c r="J2353" s="23"/>
    </row>
    <row r="2354" spans="1:10" ht="15" customHeight="1" x14ac:dyDescent="0.35">
      <c r="A2354" s="23"/>
      <c r="B2354" s="61"/>
      <c r="C2354" s="23"/>
      <c r="D2354" s="26"/>
      <c r="E2354" s="23"/>
      <c r="F2354" s="27"/>
      <c r="G2354" s="41"/>
      <c r="H2354" s="41"/>
      <c r="I2354" s="41"/>
      <c r="J2354" s="23"/>
    </row>
    <row r="2355" spans="1:10" ht="15" customHeight="1" x14ac:dyDescent="0.35">
      <c r="A2355" s="23"/>
      <c r="B2355" s="61"/>
      <c r="C2355" s="23"/>
      <c r="D2355" s="26"/>
      <c r="E2355" s="23"/>
      <c r="F2355" s="27"/>
      <c r="G2355" s="41"/>
      <c r="H2355" s="41"/>
      <c r="I2355" s="41"/>
      <c r="J2355" s="23"/>
    </row>
    <row r="2356" spans="1:10" ht="15" customHeight="1" x14ac:dyDescent="0.35">
      <c r="A2356" s="23"/>
      <c r="B2356" s="61"/>
      <c r="C2356" s="23"/>
      <c r="D2356" s="26"/>
      <c r="E2356" s="23"/>
      <c r="F2356" s="27"/>
      <c r="G2356" s="41"/>
      <c r="H2356" s="41"/>
      <c r="I2356" s="41"/>
      <c r="J2356" s="23"/>
    </row>
    <row r="2357" spans="1:10" ht="15" customHeight="1" x14ac:dyDescent="0.35">
      <c r="A2357" s="23"/>
      <c r="B2357" s="61"/>
      <c r="C2357" s="23"/>
      <c r="D2357" s="26"/>
      <c r="E2357" s="23"/>
      <c r="F2357" s="27"/>
      <c r="G2357" s="41"/>
      <c r="H2357" s="41"/>
      <c r="I2357" s="41"/>
      <c r="J2357" s="23"/>
    </row>
    <row r="2358" spans="1:10" ht="15" customHeight="1" x14ac:dyDescent="0.35">
      <c r="A2358" s="23"/>
      <c r="B2358" s="61"/>
      <c r="C2358" s="23"/>
      <c r="D2358" s="26"/>
      <c r="E2358" s="23"/>
      <c r="F2358" s="27"/>
      <c r="G2358" s="41"/>
      <c r="H2358" s="41"/>
      <c r="I2358" s="41"/>
      <c r="J2358" s="23"/>
    </row>
    <row r="2359" spans="1:10" ht="15" customHeight="1" x14ac:dyDescent="0.35">
      <c r="A2359" s="23"/>
      <c r="B2359" s="61"/>
      <c r="C2359" s="23"/>
      <c r="D2359" s="26"/>
      <c r="E2359" s="23"/>
      <c r="F2359" s="27"/>
      <c r="G2359" s="41"/>
      <c r="H2359" s="41"/>
      <c r="I2359" s="41"/>
      <c r="J2359" s="23"/>
    </row>
    <row r="2360" spans="1:10" ht="15" customHeight="1" x14ac:dyDescent="0.35">
      <c r="A2360" s="23"/>
      <c r="B2360" s="61"/>
      <c r="C2360" s="23"/>
      <c r="D2360" s="26"/>
      <c r="E2360" s="23"/>
      <c r="F2360" s="27"/>
      <c r="G2360" s="41"/>
      <c r="H2360" s="41"/>
      <c r="I2360" s="41"/>
      <c r="J2360" s="23"/>
    </row>
    <row r="2361" spans="1:10" ht="15" customHeight="1" x14ac:dyDescent="0.35">
      <c r="A2361" s="23"/>
      <c r="B2361" s="61"/>
      <c r="C2361" s="23"/>
      <c r="D2361" s="26"/>
      <c r="E2361" s="23"/>
      <c r="F2361" s="27"/>
      <c r="G2361" s="41"/>
      <c r="H2361" s="41"/>
      <c r="I2361" s="41"/>
      <c r="J2361" s="23"/>
    </row>
    <row r="2362" spans="1:10" ht="15" customHeight="1" x14ac:dyDescent="0.35">
      <c r="A2362" s="23"/>
      <c r="B2362" s="61"/>
      <c r="C2362" s="23"/>
      <c r="D2362" s="26"/>
      <c r="E2362" s="23"/>
      <c r="F2362" s="27"/>
      <c r="G2362" s="41"/>
      <c r="H2362" s="41"/>
      <c r="I2362" s="41"/>
      <c r="J2362" s="23"/>
    </row>
    <row r="2363" spans="1:10" ht="15" customHeight="1" x14ac:dyDescent="0.35">
      <c r="A2363" s="23"/>
      <c r="B2363" s="61"/>
      <c r="C2363" s="23"/>
      <c r="D2363" s="26"/>
      <c r="E2363" s="23"/>
      <c r="F2363" s="27"/>
      <c r="G2363" s="41"/>
      <c r="H2363" s="41"/>
      <c r="I2363" s="41"/>
      <c r="J2363" s="23"/>
    </row>
    <row r="2364" spans="1:10" ht="15" customHeight="1" x14ac:dyDescent="0.35">
      <c r="A2364" s="23"/>
      <c r="B2364" s="61"/>
      <c r="C2364" s="23"/>
      <c r="D2364" s="26"/>
      <c r="E2364" s="23"/>
      <c r="F2364" s="27"/>
      <c r="G2364" s="41"/>
      <c r="H2364" s="41"/>
      <c r="I2364" s="41"/>
      <c r="J2364" s="23"/>
    </row>
    <row r="2365" spans="1:10" ht="15" customHeight="1" x14ac:dyDescent="0.35">
      <c r="A2365" s="23"/>
      <c r="B2365" s="61"/>
      <c r="C2365" s="23"/>
      <c r="D2365" s="26"/>
      <c r="E2365" s="23"/>
      <c r="F2365" s="27"/>
      <c r="G2365" s="41"/>
      <c r="H2365" s="41"/>
      <c r="I2365" s="41"/>
      <c r="J2365" s="23"/>
    </row>
    <row r="2366" spans="1:10" ht="15" customHeight="1" x14ac:dyDescent="0.35">
      <c r="A2366" s="23"/>
      <c r="B2366" s="61"/>
      <c r="C2366" s="23"/>
      <c r="D2366" s="26"/>
      <c r="E2366" s="23"/>
      <c r="F2366" s="27"/>
      <c r="G2366" s="41"/>
      <c r="H2366" s="41"/>
      <c r="I2366" s="41"/>
      <c r="J2366" s="23"/>
    </row>
    <row r="2367" spans="1:10" ht="15" customHeight="1" x14ac:dyDescent="0.35">
      <c r="A2367" s="23"/>
      <c r="B2367" s="61"/>
      <c r="C2367" s="23"/>
      <c r="D2367" s="26"/>
      <c r="E2367" s="23"/>
      <c r="F2367" s="27"/>
      <c r="G2367" s="41"/>
      <c r="H2367" s="41"/>
      <c r="I2367" s="41"/>
      <c r="J2367" s="23"/>
    </row>
    <row r="2368" spans="1:10" ht="15" customHeight="1" x14ac:dyDescent="0.35">
      <c r="A2368" s="23"/>
      <c r="B2368" s="61"/>
      <c r="C2368" s="23"/>
      <c r="D2368" s="26"/>
      <c r="E2368" s="23"/>
      <c r="F2368" s="27"/>
      <c r="G2368" s="41"/>
      <c r="H2368" s="41"/>
      <c r="I2368" s="41"/>
      <c r="J2368" s="23"/>
    </row>
    <row r="2369" spans="1:10" ht="15" customHeight="1" x14ac:dyDescent="0.35">
      <c r="A2369" s="23"/>
      <c r="B2369" s="61"/>
      <c r="C2369" s="23"/>
      <c r="D2369" s="26"/>
      <c r="E2369" s="23"/>
      <c r="F2369" s="27"/>
      <c r="G2369" s="41"/>
      <c r="H2369" s="41"/>
      <c r="I2369" s="41"/>
      <c r="J2369" s="23"/>
    </row>
    <row r="2370" spans="1:10" ht="15" customHeight="1" x14ac:dyDescent="0.35">
      <c r="A2370" s="23"/>
      <c r="B2370" s="61"/>
      <c r="C2370" s="23"/>
      <c r="D2370" s="26"/>
      <c r="E2370" s="23"/>
      <c r="F2370" s="27"/>
      <c r="G2370" s="41"/>
      <c r="H2370" s="41"/>
      <c r="I2370" s="41"/>
      <c r="J2370" s="23"/>
    </row>
    <row r="2371" spans="1:10" ht="15" customHeight="1" x14ac:dyDescent="0.35">
      <c r="A2371" s="23"/>
      <c r="B2371" s="61"/>
      <c r="C2371" s="23"/>
      <c r="D2371" s="26"/>
      <c r="E2371" s="23"/>
      <c r="F2371" s="27"/>
      <c r="G2371" s="41"/>
      <c r="H2371" s="41"/>
      <c r="I2371" s="41"/>
      <c r="J2371" s="23"/>
    </row>
    <row r="2372" spans="1:10" ht="15" customHeight="1" x14ac:dyDescent="0.35">
      <c r="A2372" s="23"/>
      <c r="B2372" s="61"/>
      <c r="C2372" s="23"/>
      <c r="D2372" s="26"/>
      <c r="E2372" s="23"/>
      <c r="F2372" s="27"/>
      <c r="G2372" s="41"/>
      <c r="H2372" s="41"/>
      <c r="I2372" s="41"/>
      <c r="J2372" s="23"/>
    </row>
    <row r="2373" spans="1:10" ht="15" customHeight="1" x14ac:dyDescent="0.35">
      <c r="A2373" s="23"/>
      <c r="B2373" s="61"/>
      <c r="C2373" s="23"/>
      <c r="D2373" s="26"/>
      <c r="E2373" s="23"/>
      <c r="F2373" s="27"/>
      <c r="G2373" s="41"/>
      <c r="H2373" s="41"/>
      <c r="I2373" s="41"/>
      <c r="J2373" s="23"/>
    </row>
    <row r="2374" spans="1:10" ht="15" customHeight="1" x14ac:dyDescent="0.35">
      <c r="A2374" s="23"/>
      <c r="B2374" s="61"/>
      <c r="C2374" s="23"/>
      <c r="D2374" s="26"/>
      <c r="E2374" s="23"/>
      <c r="F2374" s="27"/>
      <c r="G2374" s="41"/>
      <c r="H2374" s="41"/>
      <c r="I2374" s="41"/>
      <c r="J2374" s="23"/>
    </row>
    <row r="2375" spans="1:10" ht="15" customHeight="1" x14ac:dyDescent="0.35">
      <c r="A2375" s="23"/>
      <c r="B2375" s="61"/>
      <c r="C2375" s="23"/>
      <c r="D2375" s="26"/>
      <c r="E2375" s="23"/>
      <c r="F2375" s="27"/>
      <c r="G2375" s="41"/>
      <c r="H2375" s="41"/>
      <c r="I2375" s="41"/>
      <c r="J2375" s="23"/>
    </row>
    <row r="2376" spans="1:10" ht="15" customHeight="1" x14ac:dyDescent="0.35">
      <c r="A2376" s="23"/>
      <c r="B2376" s="61"/>
      <c r="C2376" s="23"/>
      <c r="D2376" s="26"/>
      <c r="E2376" s="23"/>
      <c r="F2376" s="27"/>
      <c r="G2376" s="41"/>
      <c r="H2376" s="41"/>
      <c r="I2376" s="41"/>
      <c r="J2376" s="23"/>
    </row>
    <row r="2377" spans="1:10" ht="15" customHeight="1" x14ac:dyDescent="0.35">
      <c r="A2377" s="23"/>
      <c r="B2377" s="61"/>
      <c r="C2377" s="23"/>
      <c r="D2377" s="26"/>
      <c r="E2377" s="23"/>
      <c r="F2377" s="27"/>
      <c r="G2377" s="41"/>
      <c r="H2377" s="41"/>
      <c r="I2377" s="41"/>
      <c r="J2377" s="23"/>
    </row>
    <row r="2378" spans="1:10" ht="15" customHeight="1" x14ac:dyDescent="0.35">
      <c r="A2378" s="23"/>
      <c r="B2378" s="61"/>
      <c r="C2378" s="23"/>
      <c r="D2378" s="26"/>
      <c r="E2378" s="23"/>
      <c r="F2378" s="27"/>
      <c r="G2378" s="41"/>
      <c r="H2378" s="41"/>
      <c r="I2378" s="41"/>
      <c r="J2378" s="23"/>
    </row>
    <row r="2379" spans="1:10" ht="15" customHeight="1" x14ac:dyDescent="0.35">
      <c r="A2379" s="23"/>
      <c r="B2379" s="61"/>
      <c r="C2379" s="23"/>
      <c r="D2379" s="26"/>
      <c r="E2379" s="23"/>
      <c r="F2379" s="27"/>
      <c r="G2379" s="41"/>
      <c r="H2379" s="41"/>
      <c r="I2379" s="41"/>
      <c r="J2379" s="23"/>
    </row>
    <row r="2380" spans="1:10" ht="15" customHeight="1" x14ac:dyDescent="0.35">
      <c r="A2380" s="23"/>
      <c r="B2380" s="61"/>
      <c r="C2380" s="23"/>
      <c r="D2380" s="26"/>
      <c r="E2380" s="23"/>
      <c r="F2380" s="27"/>
      <c r="G2380" s="41"/>
      <c r="H2380" s="41"/>
      <c r="I2380" s="41"/>
      <c r="J2380" s="23"/>
    </row>
    <row r="2381" spans="1:10" ht="15" customHeight="1" x14ac:dyDescent="0.35">
      <c r="A2381" s="23"/>
      <c r="B2381" s="61"/>
      <c r="C2381" s="23"/>
      <c r="D2381" s="26"/>
      <c r="E2381" s="23"/>
      <c r="F2381" s="27"/>
      <c r="G2381" s="41"/>
      <c r="H2381" s="41"/>
      <c r="I2381" s="41"/>
      <c r="J2381" s="23"/>
    </row>
    <row r="2382" spans="1:10" ht="15" customHeight="1" x14ac:dyDescent="0.35">
      <c r="A2382" s="23"/>
      <c r="B2382" s="61"/>
      <c r="C2382" s="23"/>
      <c r="D2382" s="26"/>
      <c r="E2382" s="23"/>
      <c r="F2382" s="27"/>
      <c r="G2382" s="41"/>
      <c r="H2382" s="41"/>
      <c r="I2382" s="41"/>
      <c r="J2382" s="23"/>
    </row>
    <row r="2383" spans="1:10" ht="15" customHeight="1" x14ac:dyDescent="0.35">
      <c r="A2383" s="23"/>
      <c r="B2383" s="61"/>
      <c r="C2383" s="23"/>
      <c r="D2383" s="26"/>
      <c r="E2383" s="23"/>
      <c r="F2383" s="27"/>
      <c r="G2383" s="41"/>
      <c r="H2383" s="41"/>
      <c r="I2383" s="41"/>
      <c r="J2383" s="23"/>
    </row>
    <row r="2384" spans="1:10" ht="15" customHeight="1" x14ac:dyDescent="0.35">
      <c r="A2384" s="23"/>
      <c r="B2384" s="61"/>
      <c r="C2384" s="23"/>
      <c r="D2384" s="26"/>
      <c r="E2384" s="23"/>
      <c r="F2384" s="27"/>
      <c r="G2384" s="41"/>
      <c r="H2384" s="41"/>
      <c r="I2384" s="41"/>
      <c r="J2384" s="23"/>
    </row>
    <row r="2385" spans="1:10" ht="15" customHeight="1" x14ac:dyDescent="0.35">
      <c r="A2385" s="23"/>
      <c r="B2385" s="61"/>
      <c r="C2385" s="23"/>
      <c r="D2385" s="26"/>
      <c r="E2385" s="23"/>
      <c r="F2385" s="27"/>
      <c r="G2385" s="41"/>
      <c r="H2385" s="41"/>
      <c r="I2385" s="41"/>
      <c r="J2385" s="23"/>
    </row>
    <row r="2386" spans="1:10" ht="15" customHeight="1" x14ac:dyDescent="0.35">
      <c r="A2386" s="23"/>
      <c r="B2386" s="61"/>
      <c r="C2386" s="23"/>
      <c r="D2386" s="26"/>
      <c r="E2386" s="23"/>
      <c r="F2386" s="27"/>
      <c r="G2386" s="41"/>
      <c r="H2386" s="41"/>
      <c r="I2386" s="41"/>
      <c r="J2386" s="23"/>
    </row>
    <row r="2387" spans="1:10" ht="15" customHeight="1" x14ac:dyDescent="0.35">
      <c r="A2387" s="23"/>
      <c r="B2387" s="61"/>
      <c r="C2387" s="23"/>
      <c r="D2387" s="26"/>
      <c r="E2387" s="23"/>
      <c r="F2387" s="27"/>
      <c r="G2387" s="41"/>
      <c r="H2387" s="41"/>
      <c r="I2387" s="41"/>
      <c r="J2387" s="23"/>
    </row>
    <row r="2388" spans="1:10" ht="15" customHeight="1" x14ac:dyDescent="0.35">
      <c r="A2388" s="23"/>
      <c r="B2388" s="61"/>
      <c r="C2388" s="23"/>
      <c r="D2388" s="26"/>
      <c r="E2388" s="23"/>
      <c r="F2388" s="27"/>
      <c r="G2388" s="41"/>
      <c r="H2388" s="41"/>
      <c r="I2388" s="41"/>
      <c r="J2388" s="23"/>
    </row>
    <row r="2389" spans="1:10" ht="15" customHeight="1" x14ac:dyDescent="0.35">
      <c r="A2389" s="23"/>
      <c r="B2389" s="61"/>
      <c r="C2389" s="23"/>
      <c r="D2389" s="26"/>
      <c r="E2389" s="23"/>
      <c r="F2389" s="27"/>
      <c r="G2389" s="41"/>
      <c r="H2389" s="41"/>
      <c r="I2389" s="41"/>
      <c r="J2389" s="23"/>
    </row>
    <row r="2390" spans="1:10" ht="15" customHeight="1" x14ac:dyDescent="0.35">
      <c r="A2390" s="23"/>
      <c r="B2390" s="61"/>
      <c r="C2390" s="23"/>
      <c r="D2390" s="26"/>
      <c r="E2390" s="23"/>
      <c r="F2390" s="27"/>
      <c r="G2390" s="41"/>
      <c r="H2390" s="41"/>
      <c r="I2390" s="41"/>
      <c r="J2390" s="23"/>
    </row>
    <row r="2391" spans="1:10" ht="15" customHeight="1" x14ac:dyDescent="0.35">
      <c r="A2391" s="23"/>
      <c r="B2391" s="61"/>
      <c r="C2391" s="23"/>
      <c r="D2391" s="26"/>
      <c r="E2391" s="23"/>
      <c r="F2391" s="27"/>
      <c r="G2391" s="41"/>
      <c r="H2391" s="41"/>
      <c r="I2391" s="41"/>
      <c r="J2391" s="23"/>
    </row>
    <row r="2392" spans="1:10" ht="15" customHeight="1" x14ac:dyDescent="0.35">
      <c r="A2392" s="23"/>
      <c r="B2392" s="61"/>
      <c r="C2392" s="23"/>
      <c r="D2392" s="26"/>
      <c r="E2392" s="23"/>
      <c r="F2392" s="27"/>
      <c r="G2392" s="41"/>
      <c r="H2392" s="41"/>
      <c r="I2392" s="41"/>
      <c r="J2392" s="23"/>
    </row>
    <row r="2393" spans="1:10" ht="15" customHeight="1" x14ac:dyDescent="0.35">
      <c r="A2393" s="23"/>
      <c r="B2393" s="61"/>
      <c r="C2393" s="23"/>
      <c r="D2393" s="26"/>
      <c r="E2393" s="23"/>
      <c r="F2393" s="27"/>
      <c r="G2393" s="41"/>
      <c r="H2393" s="41"/>
      <c r="I2393" s="41"/>
      <c r="J2393" s="23"/>
    </row>
    <row r="2394" spans="1:10" ht="15" customHeight="1" x14ac:dyDescent="0.35">
      <c r="A2394" s="23"/>
      <c r="B2394" s="61"/>
      <c r="C2394" s="23"/>
      <c r="D2394" s="26"/>
      <c r="E2394" s="23"/>
      <c r="F2394" s="27"/>
      <c r="G2394" s="41"/>
      <c r="H2394" s="41"/>
      <c r="I2394" s="41"/>
      <c r="J2394" s="23"/>
    </row>
    <row r="2395" spans="1:10" ht="15" customHeight="1" x14ac:dyDescent="0.35">
      <c r="A2395" s="23"/>
      <c r="B2395" s="61"/>
      <c r="C2395" s="23"/>
      <c r="D2395" s="26"/>
      <c r="E2395" s="23"/>
      <c r="F2395" s="27"/>
      <c r="G2395" s="41"/>
      <c r="H2395" s="41"/>
      <c r="I2395" s="41"/>
      <c r="J2395" s="23"/>
    </row>
    <row r="2396" spans="1:10" ht="15" customHeight="1" x14ac:dyDescent="0.35">
      <c r="A2396" s="23"/>
      <c r="B2396" s="61"/>
      <c r="C2396" s="23"/>
      <c r="D2396" s="26"/>
      <c r="E2396" s="23"/>
      <c r="F2396" s="27"/>
      <c r="G2396" s="41"/>
      <c r="H2396" s="41"/>
      <c r="I2396" s="41"/>
      <c r="J2396" s="23"/>
    </row>
    <row r="2397" spans="1:10" ht="15" customHeight="1" x14ac:dyDescent="0.35">
      <c r="A2397" s="23"/>
      <c r="B2397" s="61"/>
      <c r="C2397" s="23"/>
      <c r="D2397" s="26"/>
      <c r="E2397" s="23"/>
      <c r="F2397" s="27"/>
      <c r="G2397" s="41"/>
      <c r="H2397" s="41"/>
      <c r="I2397" s="41"/>
      <c r="J2397" s="23"/>
    </row>
    <row r="2398" spans="1:10" ht="15" customHeight="1" x14ac:dyDescent="0.35">
      <c r="A2398" s="23"/>
      <c r="B2398" s="61"/>
      <c r="C2398" s="23"/>
      <c r="D2398" s="26"/>
      <c r="E2398" s="23"/>
      <c r="F2398" s="27"/>
      <c r="G2398" s="41"/>
      <c r="H2398" s="41"/>
      <c r="I2398" s="41"/>
      <c r="J2398" s="23"/>
    </row>
    <row r="2399" spans="1:10" ht="15" customHeight="1" x14ac:dyDescent="0.35">
      <c r="A2399" s="23"/>
      <c r="B2399" s="61"/>
      <c r="C2399" s="23"/>
      <c r="D2399" s="26"/>
      <c r="E2399" s="23"/>
      <c r="F2399" s="27"/>
      <c r="G2399" s="41"/>
      <c r="H2399" s="41"/>
      <c r="I2399" s="41"/>
      <c r="J2399" s="23"/>
    </row>
    <row r="2400" spans="1:10" ht="15" customHeight="1" x14ac:dyDescent="0.35">
      <c r="A2400" s="23"/>
      <c r="B2400" s="61"/>
      <c r="C2400" s="23"/>
      <c r="D2400" s="26"/>
      <c r="E2400" s="23"/>
      <c r="F2400" s="27"/>
      <c r="G2400" s="41"/>
      <c r="H2400" s="41"/>
      <c r="I2400" s="41"/>
      <c r="J2400" s="23"/>
    </row>
    <row r="2401" spans="1:10" ht="15" customHeight="1" x14ac:dyDescent="0.35">
      <c r="A2401" s="23"/>
      <c r="B2401" s="61"/>
      <c r="C2401" s="23"/>
      <c r="D2401" s="26"/>
      <c r="E2401" s="23"/>
      <c r="F2401" s="27"/>
      <c r="G2401" s="41"/>
      <c r="H2401" s="41"/>
      <c r="I2401" s="41"/>
      <c r="J2401" s="23"/>
    </row>
    <row r="2402" spans="1:10" ht="15" customHeight="1" x14ac:dyDescent="0.35">
      <c r="A2402" s="23"/>
      <c r="B2402" s="61"/>
      <c r="C2402" s="23"/>
      <c r="D2402" s="26"/>
      <c r="E2402" s="23"/>
      <c r="F2402" s="27"/>
      <c r="G2402" s="41"/>
      <c r="H2402" s="41"/>
      <c r="I2402" s="41"/>
      <c r="J2402" s="23"/>
    </row>
    <row r="2403" spans="1:10" ht="15" customHeight="1" x14ac:dyDescent="0.35">
      <c r="A2403" s="23"/>
      <c r="B2403" s="61"/>
      <c r="C2403" s="23"/>
      <c r="D2403" s="26"/>
      <c r="E2403" s="23"/>
      <c r="F2403" s="27"/>
      <c r="G2403" s="41"/>
      <c r="H2403" s="41"/>
      <c r="I2403" s="41"/>
      <c r="J2403" s="23"/>
    </row>
    <row r="2404" spans="1:10" ht="15" customHeight="1" x14ac:dyDescent="0.35">
      <c r="A2404" s="23"/>
      <c r="B2404" s="61"/>
      <c r="C2404" s="23"/>
      <c r="D2404" s="26"/>
      <c r="E2404" s="23"/>
      <c r="F2404" s="27"/>
      <c r="G2404" s="41"/>
      <c r="H2404" s="41"/>
      <c r="I2404" s="41"/>
      <c r="J2404" s="23"/>
    </row>
    <row r="2405" spans="1:10" ht="15" customHeight="1" x14ac:dyDescent="0.35">
      <c r="A2405" s="23"/>
      <c r="B2405" s="61"/>
      <c r="C2405" s="23"/>
      <c r="D2405" s="26"/>
      <c r="E2405" s="23"/>
      <c r="F2405" s="27"/>
      <c r="G2405" s="41"/>
      <c r="H2405" s="41"/>
      <c r="I2405" s="41"/>
      <c r="J2405" s="23"/>
    </row>
    <row r="2406" spans="1:10" ht="15" customHeight="1" x14ac:dyDescent="0.35">
      <c r="A2406" s="23"/>
      <c r="B2406" s="61"/>
      <c r="C2406" s="23"/>
      <c r="D2406" s="26"/>
      <c r="E2406" s="23"/>
      <c r="F2406" s="27"/>
      <c r="G2406" s="41"/>
      <c r="H2406" s="41"/>
      <c r="I2406" s="41"/>
      <c r="J2406" s="23"/>
    </row>
    <row r="2407" spans="1:10" ht="15" customHeight="1" x14ac:dyDescent="0.35">
      <c r="A2407" s="23"/>
      <c r="B2407" s="61"/>
      <c r="C2407" s="23"/>
      <c r="D2407" s="26"/>
      <c r="E2407" s="23"/>
      <c r="F2407" s="27"/>
      <c r="G2407" s="41"/>
      <c r="H2407" s="41"/>
      <c r="I2407" s="41"/>
      <c r="J2407" s="23"/>
    </row>
    <row r="2408" spans="1:10" ht="15" customHeight="1" x14ac:dyDescent="0.35">
      <c r="A2408" s="23"/>
      <c r="B2408" s="61"/>
      <c r="C2408" s="23"/>
      <c r="D2408" s="26"/>
      <c r="E2408" s="23"/>
      <c r="F2408" s="27"/>
      <c r="G2408" s="41"/>
      <c r="H2408" s="41"/>
      <c r="I2408" s="41"/>
      <c r="J2408" s="23"/>
    </row>
    <row r="2409" spans="1:10" ht="15" customHeight="1" x14ac:dyDescent="0.35">
      <c r="A2409" s="23"/>
      <c r="B2409" s="61"/>
      <c r="C2409" s="23"/>
      <c r="D2409" s="26"/>
      <c r="E2409" s="23"/>
      <c r="F2409" s="27"/>
      <c r="G2409" s="41"/>
      <c r="H2409" s="41"/>
      <c r="I2409" s="41"/>
      <c r="J2409" s="23"/>
    </row>
    <row r="2410" spans="1:10" ht="15" customHeight="1" x14ac:dyDescent="0.35">
      <c r="A2410" s="23"/>
      <c r="B2410" s="61"/>
      <c r="C2410" s="23"/>
      <c r="D2410" s="26"/>
      <c r="E2410" s="23"/>
      <c r="F2410" s="27"/>
      <c r="G2410" s="41"/>
      <c r="H2410" s="41"/>
      <c r="I2410" s="41"/>
      <c r="J2410" s="23"/>
    </row>
    <row r="2411" spans="1:10" ht="15" customHeight="1" x14ac:dyDescent="0.35">
      <c r="A2411" s="23"/>
      <c r="B2411" s="61"/>
      <c r="C2411" s="23"/>
      <c r="D2411" s="26"/>
      <c r="E2411" s="23"/>
      <c r="F2411" s="27"/>
      <c r="G2411" s="41"/>
      <c r="H2411" s="41"/>
      <c r="I2411" s="41"/>
      <c r="J2411" s="23"/>
    </row>
    <row r="2412" spans="1:10" ht="15" customHeight="1" x14ac:dyDescent="0.35">
      <c r="A2412" s="23"/>
      <c r="B2412" s="61"/>
      <c r="C2412" s="23"/>
      <c r="D2412" s="26"/>
      <c r="E2412" s="23"/>
      <c r="F2412" s="27"/>
      <c r="G2412" s="41"/>
      <c r="H2412" s="41"/>
      <c r="I2412" s="41"/>
      <c r="J2412" s="23"/>
    </row>
    <row r="2413" spans="1:10" ht="15" customHeight="1" x14ac:dyDescent="0.35">
      <c r="A2413" s="23"/>
      <c r="B2413" s="61"/>
      <c r="C2413" s="23"/>
      <c r="D2413" s="26"/>
      <c r="E2413" s="23"/>
      <c r="F2413" s="27"/>
      <c r="G2413" s="41"/>
      <c r="H2413" s="41"/>
      <c r="I2413" s="41"/>
      <c r="J2413" s="23"/>
    </row>
    <row r="2414" spans="1:10" ht="15" customHeight="1" x14ac:dyDescent="0.35">
      <c r="A2414" s="23"/>
      <c r="B2414" s="61"/>
      <c r="C2414" s="23"/>
      <c r="D2414" s="26"/>
      <c r="E2414" s="23"/>
      <c r="F2414" s="27"/>
      <c r="G2414" s="41"/>
      <c r="H2414" s="41"/>
      <c r="I2414" s="41"/>
      <c r="J2414" s="23"/>
    </row>
    <row r="2415" spans="1:10" ht="15" customHeight="1" x14ac:dyDescent="0.35">
      <c r="A2415" s="23"/>
      <c r="B2415" s="61"/>
      <c r="C2415" s="23"/>
      <c r="D2415" s="26"/>
      <c r="E2415" s="23"/>
      <c r="F2415" s="27"/>
      <c r="G2415" s="41"/>
      <c r="H2415" s="41"/>
      <c r="I2415" s="41"/>
      <c r="J2415" s="23"/>
    </row>
    <row r="2416" spans="1:10" ht="15" customHeight="1" x14ac:dyDescent="0.35">
      <c r="A2416" s="23"/>
      <c r="B2416" s="61"/>
      <c r="C2416" s="23"/>
      <c r="D2416" s="26"/>
      <c r="E2416" s="23"/>
      <c r="F2416" s="27"/>
      <c r="G2416" s="41"/>
      <c r="H2416" s="41"/>
      <c r="I2416" s="41"/>
      <c r="J2416" s="23"/>
    </row>
    <row r="2417" spans="1:10" ht="15" customHeight="1" x14ac:dyDescent="0.35">
      <c r="A2417" s="23"/>
      <c r="B2417" s="61"/>
      <c r="C2417" s="23"/>
      <c r="D2417" s="26"/>
      <c r="E2417" s="23"/>
      <c r="F2417" s="27"/>
      <c r="G2417" s="41"/>
      <c r="H2417" s="41"/>
      <c r="I2417" s="41"/>
      <c r="J2417" s="23"/>
    </row>
    <row r="2418" spans="1:10" ht="15" customHeight="1" x14ac:dyDescent="0.35">
      <c r="A2418" s="23"/>
      <c r="B2418" s="61"/>
      <c r="C2418" s="23"/>
      <c r="D2418" s="26"/>
      <c r="E2418" s="23"/>
      <c r="F2418" s="27"/>
      <c r="G2418" s="41"/>
      <c r="H2418" s="41"/>
      <c r="I2418" s="41"/>
      <c r="J2418" s="23"/>
    </row>
    <row r="2419" spans="1:10" ht="15" customHeight="1" x14ac:dyDescent="0.35">
      <c r="A2419" s="23"/>
      <c r="B2419" s="61"/>
      <c r="C2419" s="23"/>
      <c r="D2419" s="26"/>
      <c r="E2419" s="23"/>
      <c r="F2419" s="27"/>
      <c r="G2419" s="41"/>
      <c r="H2419" s="41"/>
      <c r="I2419" s="41"/>
      <c r="J2419" s="23"/>
    </row>
    <row r="2420" spans="1:10" ht="15" customHeight="1" x14ac:dyDescent="0.35">
      <c r="A2420" s="23"/>
      <c r="B2420" s="61"/>
      <c r="C2420" s="23"/>
      <c r="D2420" s="26"/>
      <c r="E2420" s="23"/>
      <c r="F2420" s="27"/>
      <c r="G2420" s="41"/>
      <c r="H2420" s="41"/>
      <c r="I2420" s="41"/>
      <c r="J2420" s="23"/>
    </row>
    <row r="2421" spans="1:10" ht="15" customHeight="1" x14ac:dyDescent="0.35">
      <c r="A2421" s="23"/>
      <c r="B2421" s="61"/>
      <c r="C2421" s="23"/>
      <c r="D2421" s="26"/>
      <c r="E2421" s="23"/>
      <c r="F2421" s="27"/>
      <c r="G2421" s="41"/>
      <c r="H2421" s="41"/>
      <c r="I2421" s="41"/>
      <c r="J2421" s="23"/>
    </row>
    <row r="2422" spans="1:10" ht="15" customHeight="1" x14ac:dyDescent="0.35">
      <c r="A2422" s="23"/>
      <c r="B2422" s="61"/>
      <c r="C2422" s="23"/>
      <c r="D2422" s="26"/>
      <c r="E2422" s="23"/>
      <c r="F2422" s="27"/>
      <c r="G2422" s="41"/>
      <c r="H2422" s="41"/>
      <c r="I2422" s="41"/>
      <c r="J2422" s="23"/>
    </row>
    <row r="2423" spans="1:10" ht="15" customHeight="1" x14ac:dyDescent="0.35">
      <c r="A2423" s="23"/>
      <c r="B2423" s="61"/>
      <c r="C2423" s="23"/>
      <c r="D2423" s="26"/>
      <c r="E2423" s="23"/>
      <c r="F2423" s="27"/>
      <c r="G2423" s="41"/>
      <c r="H2423" s="41"/>
      <c r="I2423" s="41"/>
      <c r="J2423" s="23"/>
    </row>
    <row r="2424" spans="1:10" ht="15" customHeight="1" x14ac:dyDescent="0.35">
      <c r="A2424" s="23"/>
      <c r="B2424" s="61"/>
      <c r="C2424" s="23"/>
      <c r="D2424" s="26"/>
      <c r="E2424" s="23"/>
      <c r="F2424" s="27"/>
      <c r="G2424" s="41"/>
      <c r="H2424" s="41"/>
      <c r="I2424" s="41"/>
      <c r="J2424" s="23"/>
    </row>
    <row r="2425" spans="1:10" ht="15" customHeight="1" x14ac:dyDescent="0.35">
      <c r="A2425" s="23"/>
      <c r="B2425" s="61"/>
      <c r="C2425" s="23"/>
      <c r="D2425" s="26"/>
      <c r="E2425" s="23"/>
      <c r="F2425" s="27"/>
      <c r="G2425" s="41"/>
      <c r="H2425" s="41"/>
      <c r="I2425" s="41"/>
      <c r="J2425" s="23"/>
    </row>
    <row r="2426" spans="1:10" ht="15" customHeight="1" x14ac:dyDescent="0.35">
      <c r="A2426" s="23"/>
      <c r="B2426" s="61"/>
      <c r="C2426" s="23"/>
      <c r="D2426" s="26"/>
      <c r="E2426" s="23"/>
      <c r="F2426" s="27"/>
      <c r="G2426" s="41"/>
      <c r="H2426" s="41"/>
      <c r="I2426" s="41"/>
      <c r="J2426" s="23"/>
    </row>
    <row r="2427" spans="1:10" ht="15" customHeight="1" x14ac:dyDescent="0.35">
      <c r="A2427" s="23"/>
      <c r="B2427" s="61"/>
      <c r="C2427" s="23"/>
      <c r="D2427" s="26"/>
      <c r="E2427" s="23"/>
      <c r="F2427" s="27"/>
      <c r="G2427" s="41"/>
      <c r="H2427" s="41"/>
      <c r="I2427" s="41"/>
      <c r="J2427" s="23"/>
    </row>
    <row r="2428" spans="1:10" ht="15" customHeight="1" x14ac:dyDescent="0.35">
      <c r="A2428" s="23"/>
      <c r="B2428" s="61"/>
      <c r="C2428" s="23"/>
      <c r="D2428" s="26"/>
      <c r="E2428" s="23"/>
      <c r="F2428" s="27"/>
      <c r="G2428" s="41"/>
      <c r="H2428" s="41"/>
      <c r="I2428" s="41"/>
      <c r="J2428" s="23"/>
    </row>
    <row r="2429" spans="1:10" ht="15" customHeight="1" x14ac:dyDescent="0.35">
      <c r="A2429" s="23"/>
      <c r="B2429" s="61"/>
      <c r="C2429" s="23"/>
      <c r="D2429" s="26"/>
      <c r="E2429" s="23"/>
      <c r="F2429" s="27"/>
      <c r="G2429" s="41"/>
      <c r="H2429" s="41"/>
      <c r="I2429" s="41"/>
      <c r="J2429" s="23"/>
    </row>
    <row r="2430" spans="1:10" ht="15" customHeight="1" x14ac:dyDescent="0.35">
      <c r="A2430" s="23"/>
      <c r="B2430" s="61"/>
      <c r="C2430" s="23"/>
      <c r="D2430" s="26"/>
      <c r="E2430" s="23"/>
      <c r="F2430" s="27"/>
      <c r="G2430" s="41"/>
      <c r="H2430" s="41"/>
      <c r="I2430" s="41"/>
      <c r="J2430" s="23"/>
    </row>
    <row r="2431" spans="1:10" ht="15" customHeight="1" x14ac:dyDescent="0.35">
      <c r="A2431" s="23"/>
      <c r="B2431" s="61"/>
      <c r="C2431" s="23"/>
      <c r="D2431" s="26"/>
      <c r="E2431" s="23"/>
      <c r="F2431" s="27"/>
      <c r="G2431" s="41"/>
      <c r="H2431" s="41"/>
      <c r="I2431" s="41"/>
      <c r="J2431" s="23"/>
    </row>
    <row r="2432" spans="1:10" ht="15" customHeight="1" x14ac:dyDescent="0.35">
      <c r="A2432" s="23"/>
      <c r="B2432" s="61"/>
      <c r="C2432" s="23"/>
      <c r="D2432" s="26"/>
      <c r="E2432" s="23"/>
      <c r="F2432" s="27"/>
      <c r="G2432" s="41"/>
      <c r="H2432" s="41"/>
      <c r="I2432" s="41"/>
      <c r="J2432" s="23"/>
    </row>
    <row r="2433" spans="1:10" ht="15" customHeight="1" x14ac:dyDescent="0.35">
      <c r="A2433" s="23"/>
      <c r="B2433" s="61"/>
      <c r="C2433" s="23"/>
      <c r="D2433" s="26"/>
      <c r="E2433" s="23"/>
      <c r="F2433" s="27"/>
      <c r="G2433" s="41"/>
      <c r="H2433" s="41"/>
      <c r="I2433" s="41"/>
      <c r="J2433" s="23"/>
    </row>
    <row r="2434" spans="1:10" ht="15" customHeight="1" x14ac:dyDescent="0.35">
      <c r="A2434" s="23"/>
      <c r="B2434" s="61"/>
      <c r="C2434" s="23"/>
      <c r="D2434" s="26"/>
      <c r="E2434" s="23"/>
      <c r="F2434" s="27"/>
      <c r="G2434" s="41"/>
      <c r="H2434" s="41"/>
      <c r="I2434" s="41"/>
      <c r="J2434" s="23"/>
    </row>
    <row r="2435" spans="1:10" ht="15" customHeight="1" x14ac:dyDescent="0.35">
      <c r="A2435" s="23"/>
      <c r="B2435" s="61"/>
      <c r="C2435" s="23"/>
      <c r="D2435" s="26"/>
      <c r="E2435" s="23"/>
      <c r="F2435" s="27"/>
      <c r="G2435" s="41"/>
      <c r="H2435" s="41"/>
      <c r="I2435" s="41"/>
      <c r="J2435" s="23"/>
    </row>
    <row r="2436" spans="1:10" ht="15" customHeight="1" x14ac:dyDescent="0.35">
      <c r="A2436" s="23"/>
      <c r="B2436" s="61"/>
      <c r="C2436" s="23"/>
      <c r="D2436" s="26"/>
      <c r="E2436" s="23"/>
      <c r="F2436" s="27"/>
      <c r="G2436" s="41"/>
      <c r="H2436" s="41"/>
      <c r="I2436" s="41"/>
      <c r="J2436" s="23"/>
    </row>
    <row r="2437" spans="1:10" ht="15" customHeight="1" x14ac:dyDescent="0.35">
      <c r="A2437" s="23"/>
      <c r="B2437" s="61"/>
      <c r="C2437" s="23"/>
      <c r="D2437" s="26"/>
      <c r="E2437" s="23"/>
      <c r="F2437" s="27"/>
      <c r="G2437" s="41"/>
      <c r="H2437" s="41"/>
      <c r="I2437" s="41"/>
      <c r="J2437" s="23"/>
    </row>
    <row r="2438" spans="1:10" ht="15" customHeight="1" x14ac:dyDescent="0.35">
      <c r="A2438" s="23"/>
      <c r="B2438" s="61"/>
      <c r="C2438" s="23"/>
      <c r="D2438" s="26"/>
      <c r="E2438" s="23"/>
      <c r="F2438" s="27"/>
      <c r="G2438" s="41"/>
      <c r="H2438" s="41"/>
      <c r="I2438" s="41"/>
      <c r="J2438" s="23"/>
    </row>
    <row r="2439" spans="1:10" ht="15" customHeight="1" x14ac:dyDescent="0.35">
      <c r="A2439" s="23"/>
      <c r="B2439" s="61"/>
      <c r="C2439" s="23"/>
      <c r="D2439" s="26"/>
      <c r="E2439" s="23"/>
      <c r="F2439" s="27"/>
      <c r="G2439" s="41"/>
      <c r="H2439" s="41"/>
      <c r="I2439" s="41"/>
      <c r="J2439" s="23"/>
    </row>
    <row r="2440" spans="1:10" ht="15" customHeight="1" x14ac:dyDescent="0.35">
      <c r="A2440" s="23"/>
      <c r="B2440" s="61"/>
      <c r="C2440" s="23"/>
      <c r="D2440" s="26"/>
      <c r="E2440" s="23"/>
      <c r="F2440" s="27"/>
      <c r="G2440" s="41"/>
      <c r="H2440" s="41"/>
      <c r="I2440" s="41"/>
      <c r="J2440" s="23"/>
    </row>
    <row r="2441" spans="1:10" ht="15" customHeight="1" x14ac:dyDescent="0.35">
      <c r="A2441" s="23"/>
      <c r="B2441" s="61"/>
      <c r="C2441" s="23"/>
      <c r="D2441" s="26"/>
      <c r="E2441" s="23"/>
      <c r="F2441" s="27"/>
      <c r="G2441" s="41"/>
      <c r="H2441" s="41"/>
      <c r="I2441" s="41"/>
      <c r="J2441" s="23"/>
    </row>
    <row r="2442" spans="1:10" ht="15" customHeight="1" x14ac:dyDescent="0.35">
      <c r="A2442" s="23"/>
      <c r="B2442" s="61"/>
      <c r="C2442" s="23"/>
      <c r="D2442" s="26"/>
      <c r="E2442" s="23"/>
      <c r="F2442" s="27"/>
      <c r="G2442" s="41"/>
      <c r="H2442" s="41"/>
      <c r="I2442" s="41"/>
      <c r="J2442" s="23"/>
    </row>
    <row r="2443" spans="1:10" ht="15" customHeight="1" x14ac:dyDescent="0.35">
      <c r="A2443" s="23"/>
      <c r="B2443" s="61"/>
      <c r="C2443" s="23"/>
      <c r="D2443" s="26"/>
      <c r="E2443" s="23"/>
      <c r="F2443" s="27"/>
      <c r="G2443" s="41"/>
      <c r="H2443" s="41"/>
      <c r="I2443" s="41"/>
      <c r="J2443" s="23"/>
    </row>
    <row r="2444" spans="1:10" ht="15" customHeight="1" x14ac:dyDescent="0.35">
      <c r="A2444" s="23"/>
      <c r="B2444" s="61"/>
      <c r="C2444" s="23"/>
      <c r="D2444" s="26"/>
      <c r="E2444" s="23"/>
      <c r="F2444" s="27"/>
      <c r="G2444" s="41"/>
      <c r="H2444" s="41"/>
      <c r="I2444" s="41"/>
      <c r="J2444" s="23"/>
    </row>
    <row r="2445" spans="1:10" ht="15" customHeight="1" x14ac:dyDescent="0.35">
      <c r="A2445" s="23"/>
      <c r="B2445" s="61"/>
      <c r="C2445" s="23"/>
      <c r="D2445" s="26"/>
      <c r="E2445" s="23"/>
      <c r="F2445" s="27"/>
      <c r="G2445" s="41"/>
      <c r="H2445" s="41"/>
      <c r="I2445" s="41"/>
      <c r="J2445" s="23"/>
    </row>
    <row r="2446" spans="1:10" ht="15" customHeight="1" x14ac:dyDescent="0.35">
      <c r="A2446" s="23"/>
      <c r="B2446" s="61"/>
      <c r="C2446" s="23"/>
      <c r="D2446" s="26"/>
      <c r="E2446" s="23"/>
      <c r="F2446" s="27"/>
      <c r="G2446" s="41"/>
      <c r="H2446" s="41"/>
      <c r="I2446" s="41"/>
      <c r="J2446" s="23"/>
    </row>
    <row r="2447" spans="1:10" ht="15" customHeight="1" x14ac:dyDescent="0.35">
      <c r="A2447" s="23"/>
      <c r="B2447" s="61"/>
      <c r="C2447" s="23"/>
      <c r="D2447" s="26"/>
      <c r="E2447" s="23"/>
      <c r="F2447" s="27"/>
      <c r="G2447" s="41"/>
      <c r="H2447" s="41"/>
      <c r="I2447" s="41"/>
      <c r="J2447" s="23"/>
    </row>
    <row r="2448" spans="1:10" ht="15" customHeight="1" x14ac:dyDescent="0.35">
      <c r="A2448" s="23"/>
      <c r="B2448" s="61"/>
      <c r="C2448" s="23"/>
      <c r="D2448" s="26"/>
      <c r="E2448" s="23"/>
      <c r="F2448" s="27"/>
      <c r="G2448" s="41"/>
      <c r="H2448" s="41"/>
      <c r="I2448" s="41"/>
      <c r="J2448" s="23"/>
    </row>
    <row r="2449" spans="1:10" ht="15" customHeight="1" x14ac:dyDescent="0.35">
      <c r="A2449" s="23"/>
      <c r="B2449" s="61"/>
      <c r="C2449" s="23"/>
      <c r="D2449" s="26"/>
      <c r="E2449" s="23"/>
      <c r="F2449" s="27"/>
      <c r="G2449" s="41"/>
      <c r="H2449" s="41"/>
      <c r="I2449" s="41"/>
      <c r="J2449" s="23"/>
    </row>
    <row r="2450" spans="1:10" ht="15" customHeight="1" x14ac:dyDescent="0.35">
      <c r="A2450" s="23"/>
      <c r="B2450" s="61"/>
      <c r="C2450" s="23"/>
      <c r="D2450" s="26"/>
      <c r="E2450" s="23"/>
      <c r="F2450" s="27"/>
      <c r="G2450" s="41"/>
      <c r="H2450" s="41"/>
      <c r="I2450" s="41"/>
      <c r="J2450" s="23"/>
    </row>
    <row r="2451" spans="1:10" ht="15" customHeight="1" x14ac:dyDescent="0.35">
      <c r="A2451" s="23"/>
      <c r="B2451" s="61"/>
      <c r="C2451" s="23"/>
      <c r="D2451" s="26"/>
      <c r="E2451" s="23"/>
      <c r="F2451" s="27"/>
      <c r="G2451" s="41"/>
      <c r="H2451" s="41"/>
      <c r="I2451" s="41"/>
      <c r="J2451" s="23"/>
    </row>
    <row r="2452" spans="1:10" ht="15" customHeight="1" x14ac:dyDescent="0.35">
      <c r="A2452" s="23"/>
      <c r="B2452" s="61"/>
      <c r="C2452" s="23"/>
      <c r="D2452" s="26"/>
      <c r="E2452" s="23"/>
      <c r="F2452" s="27"/>
      <c r="G2452" s="41"/>
      <c r="H2452" s="41"/>
      <c r="I2452" s="41"/>
      <c r="J2452" s="23"/>
    </row>
    <row r="2453" spans="1:10" ht="15" customHeight="1" x14ac:dyDescent="0.35">
      <c r="A2453" s="23"/>
      <c r="B2453" s="61"/>
      <c r="C2453" s="23"/>
      <c r="D2453" s="26"/>
      <c r="E2453" s="23"/>
      <c r="F2453" s="27"/>
      <c r="G2453" s="41"/>
      <c r="H2453" s="41"/>
      <c r="I2453" s="41"/>
      <c r="J2453" s="23"/>
    </row>
    <row r="2454" spans="1:10" ht="15" customHeight="1" x14ac:dyDescent="0.35">
      <c r="A2454" s="23"/>
      <c r="B2454" s="61"/>
      <c r="C2454" s="23"/>
      <c r="D2454" s="26"/>
      <c r="E2454" s="23"/>
      <c r="F2454" s="27"/>
      <c r="G2454" s="41"/>
      <c r="H2454" s="41"/>
      <c r="I2454" s="41"/>
      <c r="J2454" s="23"/>
    </row>
    <row r="2455" spans="1:10" ht="15" customHeight="1" x14ac:dyDescent="0.35">
      <c r="A2455" s="23"/>
      <c r="B2455" s="61"/>
      <c r="C2455" s="23"/>
      <c r="D2455" s="26"/>
      <c r="E2455" s="23"/>
      <c r="F2455" s="27"/>
      <c r="G2455" s="41"/>
      <c r="H2455" s="41"/>
      <c r="I2455" s="41"/>
      <c r="J2455" s="23"/>
    </row>
    <row r="2456" spans="1:10" ht="15" customHeight="1" x14ac:dyDescent="0.35">
      <c r="A2456" s="23"/>
      <c r="B2456" s="61"/>
      <c r="C2456" s="23"/>
      <c r="D2456" s="26"/>
      <c r="E2456" s="23"/>
      <c r="F2456" s="27"/>
      <c r="G2456" s="41"/>
      <c r="H2456" s="41"/>
      <c r="I2456" s="41"/>
      <c r="J2456" s="23"/>
    </row>
    <row r="2457" spans="1:10" ht="15" customHeight="1" x14ac:dyDescent="0.35">
      <c r="A2457" s="23"/>
      <c r="B2457" s="61"/>
      <c r="C2457" s="23"/>
      <c r="D2457" s="26"/>
      <c r="E2457" s="23"/>
      <c r="F2457" s="27"/>
      <c r="G2457" s="41"/>
      <c r="H2457" s="41"/>
      <c r="I2457" s="41"/>
      <c r="J2457" s="23"/>
    </row>
    <row r="2458" spans="1:10" ht="15" customHeight="1" x14ac:dyDescent="0.35">
      <c r="A2458" s="23"/>
      <c r="B2458" s="61"/>
      <c r="C2458" s="23"/>
      <c r="D2458" s="26"/>
      <c r="E2458" s="23"/>
      <c r="F2458" s="27"/>
      <c r="G2458" s="41"/>
      <c r="H2458" s="41"/>
      <c r="I2458" s="41"/>
      <c r="J2458" s="23"/>
    </row>
    <row r="2459" spans="1:10" ht="15" customHeight="1" x14ac:dyDescent="0.35">
      <c r="A2459" s="23"/>
      <c r="B2459" s="61"/>
      <c r="C2459" s="23"/>
      <c r="D2459" s="26"/>
      <c r="E2459" s="23"/>
      <c r="F2459" s="27"/>
      <c r="G2459" s="41"/>
      <c r="H2459" s="41"/>
      <c r="I2459" s="41"/>
      <c r="J2459" s="23"/>
    </row>
    <row r="2460" spans="1:10" ht="15" customHeight="1" x14ac:dyDescent="0.35">
      <c r="A2460" s="23"/>
      <c r="B2460" s="61"/>
      <c r="C2460" s="23"/>
      <c r="D2460" s="26"/>
      <c r="E2460" s="23"/>
      <c r="F2460" s="27"/>
      <c r="G2460" s="41"/>
      <c r="H2460" s="41"/>
      <c r="I2460" s="41"/>
      <c r="J2460" s="23"/>
    </row>
    <row r="2461" spans="1:10" ht="15" customHeight="1" x14ac:dyDescent="0.35">
      <c r="A2461" s="23"/>
      <c r="B2461" s="61"/>
      <c r="C2461" s="23"/>
      <c r="D2461" s="26"/>
      <c r="E2461" s="23"/>
      <c r="F2461" s="27"/>
      <c r="G2461" s="41"/>
      <c r="H2461" s="41"/>
      <c r="I2461" s="41"/>
      <c r="J2461" s="23"/>
    </row>
    <row r="2462" spans="1:10" ht="15" customHeight="1" x14ac:dyDescent="0.35">
      <c r="A2462" s="23"/>
      <c r="B2462" s="61"/>
      <c r="C2462" s="23"/>
      <c r="D2462" s="26"/>
      <c r="E2462" s="23"/>
      <c r="F2462" s="27"/>
      <c r="G2462" s="41"/>
      <c r="H2462" s="41"/>
      <c r="I2462" s="41"/>
      <c r="J2462" s="23"/>
    </row>
    <row r="2463" spans="1:10" ht="15" customHeight="1" x14ac:dyDescent="0.35">
      <c r="A2463" s="23"/>
      <c r="B2463" s="61"/>
      <c r="C2463" s="23"/>
      <c r="D2463" s="26"/>
      <c r="E2463" s="23"/>
      <c r="F2463" s="27"/>
      <c r="G2463" s="41"/>
      <c r="H2463" s="41"/>
      <c r="I2463" s="41"/>
      <c r="J2463" s="23"/>
    </row>
    <row r="2464" spans="1:10" ht="15" customHeight="1" x14ac:dyDescent="0.35">
      <c r="A2464" s="23"/>
      <c r="B2464" s="61"/>
      <c r="C2464" s="23"/>
      <c r="D2464" s="26"/>
      <c r="E2464" s="23"/>
      <c r="F2464" s="27"/>
      <c r="G2464" s="41"/>
      <c r="H2464" s="41"/>
      <c r="I2464" s="41"/>
      <c r="J2464" s="23"/>
    </row>
    <row r="2465" spans="1:10" ht="15" customHeight="1" x14ac:dyDescent="0.35">
      <c r="A2465" s="23"/>
      <c r="B2465" s="61"/>
      <c r="C2465" s="23"/>
      <c r="D2465" s="26"/>
      <c r="E2465" s="23"/>
      <c r="F2465" s="27"/>
      <c r="G2465" s="41"/>
      <c r="H2465" s="41"/>
      <c r="I2465" s="41"/>
      <c r="J2465" s="23"/>
    </row>
    <row r="2466" spans="1:10" ht="15" customHeight="1" x14ac:dyDescent="0.35">
      <c r="A2466" s="23"/>
      <c r="B2466" s="61"/>
      <c r="C2466" s="23"/>
      <c r="D2466" s="26"/>
      <c r="E2466" s="23"/>
      <c r="F2466" s="27"/>
      <c r="G2466" s="41"/>
      <c r="H2466" s="41"/>
      <c r="I2466" s="41"/>
      <c r="J2466" s="23"/>
    </row>
    <row r="2467" spans="1:10" ht="15" customHeight="1" x14ac:dyDescent="0.35">
      <c r="A2467" s="23"/>
      <c r="B2467" s="61"/>
      <c r="C2467" s="23"/>
      <c r="D2467" s="26"/>
      <c r="E2467" s="23"/>
      <c r="F2467" s="27"/>
      <c r="G2467" s="41"/>
      <c r="H2467" s="41"/>
      <c r="I2467" s="41"/>
      <c r="J2467" s="23"/>
    </row>
    <row r="2468" spans="1:10" ht="15" customHeight="1" x14ac:dyDescent="0.35">
      <c r="A2468" s="23"/>
      <c r="B2468" s="61"/>
      <c r="C2468" s="23"/>
      <c r="D2468" s="26"/>
      <c r="E2468" s="23"/>
      <c r="F2468" s="27"/>
      <c r="G2468" s="41"/>
      <c r="H2468" s="41"/>
      <c r="I2468" s="41"/>
      <c r="J2468" s="23"/>
    </row>
    <row r="2469" spans="1:10" ht="15" customHeight="1" x14ac:dyDescent="0.35">
      <c r="A2469" s="23"/>
      <c r="B2469" s="61"/>
      <c r="C2469" s="23"/>
      <c r="D2469" s="26"/>
      <c r="E2469" s="23"/>
      <c r="F2469" s="27"/>
      <c r="G2469" s="41"/>
      <c r="H2469" s="41"/>
      <c r="I2469" s="41"/>
      <c r="J2469" s="23"/>
    </row>
    <row r="2470" spans="1:10" ht="15" customHeight="1" x14ac:dyDescent="0.35">
      <c r="A2470" s="23"/>
      <c r="B2470" s="61"/>
      <c r="C2470" s="23"/>
      <c r="D2470" s="26"/>
      <c r="E2470" s="23"/>
      <c r="F2470" s="27"/>
      <c r="G2470" s="41"/>
      <c r="H2470" s="41"/>
      <c r="I2470" s="41"/>
      <c r="J2470" s="23"/>
    </row>
    <row r="2471" spans="1:10" ht="15" customHeight="1" x14ac:dyDescent="0.35">
      <c r="A2471" s="23"/>
      <c r="B2471" s="61"/>
      <c r="C2471" s="23"/>
      <c r="D2471" s="26"/>
      <c r="E2471" s="23"/>
      <c r="F2471" s="27"/>
      <c r="G2471" s="41"/>
      <c r="H2471" s="41"/>
      <c r="I2471" s="41"/>
      <c r="J2471" s="23"/>
    </row>
    <row r="2472" spans="1:10" ht="15" customHeight="1" x14ac:dyDescent="0.35">
      <c r="A2472" s="23"/>
      <c r="B2472" s="61"/>
      <c r="C2472" s="23"/>
      <c r="D2472" s="26"/>
      <c r="E2472" s="23"/>
      <c r="F2472" s="27"/>
      <c r="G2472" s="41"/>
      <c r="H2472" s="41"/>
      <c r="I2472" s="41"/>
      <c r="J2472" s="23"/>
    </row>
    <row r="2473" spans="1:10" ht="15" customHeight="1" x14ac:dyDescent="0.35">
      <c r="A2473" s="23"/>
      <c r="B2473" s="61"/>
      <c r="C2473" s="23"/>
      <c r="D2473" s="26"/>
      <c r="E2473" s="23"/>
      <c r="F2473" s="27"/>
      <c r="G2473" s="41"/>
      <c r="H2473" s="41"/>
      <c r="I2473" s="41"/>
      <c r="J2473" s="23"/>
    </row>
    <row r="2474" spans="1:10" ht="15" customHeight="1" x14ac:dyDescent="0.35">
      <c r="A2474" s="23"/>
      <c r="B2474" s="61"/>
      <c r="C2474" s="23"/>
      <c r="D2474" s="26"/>
      <c r="E2474" s="23"/>
      <c r="F2474" s="27"/>
      <c r="G2474" s="41"/>
      <c r="H2474" s="41"/>
      <c r="I2474" s="41"/>
      <c r="J2474" s="23"/>
    </row>
    <row r="2475" spans="1:10" ht="15" customHeight="1" x14ac:dyDescent="0.35">
      <c r="A2475" s="23"/>
      <c r="B2475" s="61"/>
      <c r="C2475" s="23"/>
      <c r="D2475" s="26"/>
      <c r="E2475" s="23"/>
      <c r="F2475" s="27"/>
      <c r="G2475" s="41"/>
      <c r="H2475" s="41"/>
      <c r="I2475" s="41"/>
      <c r="J2475" s="23"/>
    </row>
    <row r="2476" spans="1:10" ht="15" customHeight="1" x14ac:dyDescent="0.35">
      <c r="A2476" s="23"/>
      <c r="B2476" s="61"/>
      <c r="C2476" s="23"/>
      <c r="D2476" s="26"/>
      <c r="E2476" s="23"/>
      <c r="F2476" s="27"/>
      <c r="G2476" s="41"/>
      <c r="H2476" s="41"/>
      <c r="I2476" s="41"/>
      <c r="J2476" s="23"/>
    </row>
    <row r="2477" spans="1:10" ht="15" customHeight="1" x14ac:dyDescent="0.35">
      <c r="A2477" s="23"/>
      <c r="B2477" s="61"/>
      <c r="C2477" s="23"/>
      <c r="D2477" s="26"/>
      <c r="E2477" s="23"/>
      <c r="F2477" s="27"/>
      <c r="G2477" s="41"/>
      <c r="H2477" s="41"/>
      <c r="I2477" s="41"/>
      <c r="J2477" s="23"/>
    </row>
    <row r="2478" spans="1:10" ht="15" customHeight="1" x14ac:dyDescent="0.35">
      <c r="A2478" s="23"/>
      <c r="B2478" s="61"/>
      <c r="C2478" s="23"/>
      <c r="D2478" s="26"/>
      <c r="E2478" s="23"/>
      <c r="F2478" s="27"/>
      <c r="G2478" s="41"/>
      <c r="H2478" s="41"/>
      <c r="I2478" s="41"/>
      <c r="J2478" s="23"/>
    </row>
    <row r="2479" spans="1:10" ht="15" customHeight="1" x14ac:dyDescent="0.35">
      <c r="A2479" s="23"/>
      <c r="B2479" s="61"/>
      <c r="C2479" s="23"/>
      <c r="D2479" s="26"/>
      <c r="E2479" s="23"/>
      <c r="F2479" s="27"/>
      <c r="G2479" s="41"/>
      <c r="H2479" s="41"/>
      <c r="I2479" s="41"/>
      <c r="J2479" s="23"/>
    </row>
    <row r="2480" spans="1:10" ht="15" customHeight="1" x14ac:dyDescent="0.35">
      <c r="A2480" s="23"/>
      <c r="B2480" s="61"/>
      <c r="C2480" s="23"/>
      <c r="D2480" s="26"/>
      <c r="E2480" s="23"/>
      <c r="F2480" s="27"/>
      <c r="G2480" s="41"/>
      <c r="H2480" s="41"/>
      <c r="I2480" s="41"/>
      <c r="J2480" s="23"/>
    </row>
    <row r="2481" spans="1:10" ht="15" customHeight="1" x14ac:dyDescent="0.35">
      <c r="A2481" s="23"/>
      <c r="B2481" s="61"/>
      <c r="C2481" s="23"/>
      <c r="D2481" s="26"/>
      <c r="E2481" s="23"/>
      <c r="F2481" s="27"/>
      <c r="G2481" s="41"/>
      <c r="H2481" s="41"/>
      <c r="I2481" s="41"/>
      <c r="J2481" s="23"/>
    </row>
    <row r="2482" spans="1:10" ht="15" customHeight="1" x14ac:dyDescent="0.35">
      <c r="A2482" s="23"/>
      <c r="B2482" s="61"/>
      <c r="C2482" s="23"/>
      <c r="D2482" s="26"/>
      <c r="E2482" s="23"/>
      <c r="F2482" s="27"/>
      <c r="G2482" s="41"/>
      <c r="H2482" s="41"/>
      <c r="I2482" s="41"/>
      <c r="J2482" s="23"/>
    </row>
    <row r="2483" spans="1:10" ht="15" customHeight="1" x14ac:dyDescent="0.35">
      <c r="A2483" s="23"/>
      <c r="B2483" s="61"/>
      <c r="C2483" s="23"/>
      <c r="D2483" s="26"/>
      <c r="E2483" s="23"/>
      <c r="F2483" s="27"/>
      <c r="G2483" s="41"/>
      <c r="H2483" s="41"/>
      <c r="I2483" s="41"/>
      <c r="J2483" s="23"/>
    </row>
    <row r="2484" spans="1:10" ht="15" customHeight="1" x14ac:dyDescent="0.35">
      <c r="A2484" s="23"/>
      <c r="B2484" s="61"/>
      <c r="C2484" s="23"/>
      <c r="D2484" s="26"/>
      <c r="E2484" s="23"/>
      <c r="F2484" s="27"/>
      <c r="G2484" s="41"/>
      <c r="H2484" s="41"/>
      <c r="I2484" s="41"/>
      <c r="J2484" s="23"/>
    </row>
    <row r="2485" spans="1:10" ht="15" customHeight="1" x14ac:dyDescent="0.35">
      <c r="A2485" s="23"/>
      <c r="B2485" s="61"/>
      <c r="C2485" s="23"/>
      <c r="D2485" s="26"/>
      <c r="E2485" s="23"/>
      <c r="F2485" s="27"/>
      <c r="G2485" s="41"/>
      <c r="H2485" s="41"/>
      <c r="I2485" s="41"/>
      <c r="J2485" s="23"/>
    </row>
    <row r="2486" spans="1:10" ht="15" customHeight="1" x14ac:dyDescent="0.35">
      <c r="A2486" s="23"/>
      <c r="B2486" s="61"/>
      <c r="C2486" s="23"/>
      <c r="D2486" s="26"/>
      <c r="E2486" s="23"/>
      <c r="F2486" s="27"/>
      <c r="G2486" s="41"/>
      <c r="H2486" s="41"/>
      <c r="I2486" s="41"/>
      <c r="J2486" s="23"/>
    </row>
    <row r="2487" spans="1:10" ht="15" customHeight="1" x14ac:dyDescent="0.35">
      <c r="A2487" s="23"/>
      <c r="B2487" s="61"/>
      <c r="C2487" s="23"/>
      <c r="D2487" s="26"/>
      <c r="E2487" s="23"/>
      <c r="F2487" s="27"/>
      <c r="G2487" s="41"/>
      <c r="H2487" s="41"/>
      <c r="I2487" s="41"/>
      <c r="J2487" s="23"/>
    </row>
    <row r="2488" spans="1:10" ht="15" customHeight="1" x14ac:dyDescent="0.35">
      <c r="A2488" s="23"/>
      <c r="B2488" s="61"/>
      <c r="C2488" s="23"/>
      <c r="D2488" s="26"/>
      <c r="E2488" s="23"/>
      <c r="F2488" s="27"/>
      <c r="G2488" s="41"/>
      <c r="H2488" s="41"/>
      <c r="I2488" s="41"/>
      <c r="J2488" s="23"/>
    </row>
    <row r="2489" spans="1:10" ht="15" customHeight="1" x14ac:dyDescent="0.35">
      <c r="A2489" s="23"/>
      <c r="B2489" s="61"/>
      <c r="C2489" s="23"/>
      <c r="D2489" s="26"/>
      <c r="E2489" s="23"/>
      <c r="F2489" s="27"/>
      <c r="G2489" s="41"/>
      <c r="H2489" s="41"/>
      <c r="I2489" s="41"/>
      <c r="J2489" s="23"/>
    </row>
    <row r="2490" spans="1:10" ht="15" customHeight="1" x14ac:dyDescent="0.35">
      <c r="A2490" s="23"/>
      <c r="B2490" s="61"/>
      <c r="C2490" s="23"/>
      <c r="D2490" s="26"/>
      <c r="E2490" s="23"/>
      <c r="F2490" s="27"/>
      <c r="G2490" s="41"/>
      <c r="H2490" s="41"/>
      <c r="I2490" s="41"/>
      <c r="J2490" s="23"/>
    </row>
    <row r="2491" spans="1:10" ht="15" customHeight="1" x14ac:dyDescent="0.35">
      <c r="A2491" s="23"/>
      <c r="B2491" s="61"/>
      <c r="C2491" s="23"/>
      <c r="D2491" s="26"/>
      <c r="E2491" s="23"/>
      <c r="F2491" s="27"/>
      <c r="G2491" s="41"/>
      <c r="H2491" s="41"/>
      <c r="I2491" s="41"/>
      <c r="J2491" s="23"/>
    </row>
    <row r="2492" spans="1:10" ht="15" customHeight="1" x14ac:dyDescent="0.35">
      <c r="A2492" s="23"/>
      <c r="B2492" s="61"/>
      <c r="C2492" s="23"/>
      <c r="D2492" s="26"/>
      <c r="E2492" s="23"/>
      <c r="F2492" s="27"/>
      <c r="G2492" s="41"/>
      <c r="H2492" s="41"/>
      <c r="I2492" s="41"/>
      <c r="J2492" s="23"/>
    </row>
    <row r="2493" spans="1:10" ht="15" customHeight="1" x14ac:dyDescent="0.35">
      <c r="A2493" s="23"/>
      <c r="B2493" s="61"/>
      <c r="C2493" s="23"/>
      <c r="D2493" s="26"/>
      <c r="E2493" s="23"/>
      <c r="F2493" s="27"/>
      <c r="G2493" s="41"/>
      <c r="H2493" s="41"/>
      <c r="I2493" s="41"/>
      <c r="J2493" s="23"/>
    </row>
    <row r="2494" spans="1:10" ht="15" customHeight="1" x14ac:dyDescent="0.35">
      <c r="A2494" s="23"/>
      <c r="B2494" s="61"/>
      <c r="C2494" s="23"/>
      <c r="D2494" s="26"/>
      <c r="E2494" s="23"/>
      <c r="F2494" s="27"/>
      <c r="G2494" s="41"/>
      <c r="H2494" s="41"/>
      <c r="I2494" s="41"/>
      <c r="J2494" s="23"/>
    </row>
    <row r="2495" spans="1:10" ht="15" customHeight="1" x14ac:dyDescent="0.35">
      <c r="A2495" s="23"/>
      <c r="B2495" s="61"/>
      <c r="C2495" s="23"/>
      <c r="D2495" s="26"/>
      <c r="E2495" s="23"/>
      <c r="F2495" s="27"/>
      <c r="G2495" s="41"/>
      <c r="H2495" s="41"/>
      <c r="I2495" s="41"/>
      <c r="J2495" s="23"/>
    </row>
    <row r="2496" spans="1:10" ht="15" customHeight="1" x14ac:dyDescent="0.35">
      <c r="A2496" s="23"/>
      <c r="B2496" s="61"/>
      <c r="C2496" s="23"/>
      <c r="D2496" s="26"/>
      <c r="E2496" s="23"/>
      <c r="F2496" s="27"/>
      <c r="G2496" s="41"/>
      <c r="H2496" s="41"/>
      <c r="I2496" s="41"/>
      <c r="J2496" s="23"/>
    </row>
    <row r="2497" spans="1:10" ht="15" customHeight="1" x14ac:dyDescent="0.35">
      <c r="A2497" s="23"/>
      <c r="B2497" s="61"/>
      <c r="C2497" s="23"/>
      <c r="D2497" s="26"/>
      <c r="E2497" s="23"/>
      <c r="F2497" s="27"/>
      <c r="G2497" s="41"/>
      <c r="H2497" s="41"/>
      <c r="I2497" s="41"/>
      <c r="J2497" s="23"/>
    </row>
    <row r="2498" spans="1:10" ht="15" customHeight="1" x14ac:dyDescent="0.35">
      <c r="A2498" s="23"/>
      <c r="B2498" s="61"/>
      <c r="C2498" s="23"/>
      <c r="D2498" s="26"/>
      <c r="E2498" s="23"/>
      <c r="F2498" s="27"/>
      <c r="G2498" s="41"/>
      <c r="H2498" s="41"/>
      <c r="I2498" s="41"/>
      <c r="J2498" s="23"/>
    </row>
    <row r="2499" spans="1:10" ht="15" customHeight="1" x14ac:dyDescent="0.35">
      <c r="A2499" s="23"/>
      <c r="B2499" s="61"/>
      <c r="C2499" s="23"/>
      <c r="D2499" s="26"/>
      <c r="E2499" s="23"/>
      <c r="F2499" s="27"/>
      <c r="G2499" s="41"/>
      <c r="H2499" s="41"/>
      <c r="I2499" s="41"/>
      <c r="J2499" s="23"/>
    </row>
    <row r="2500" spans="1:10" ht="15" customHeight="1" x14ac:dyDescent="0.35">
      <c r="A2500" s="23"/>
      <c r="B2500" s="61"/>
      <c r="C2500" s="23"/>
      <c r="D2500" s="26"/>
      <c r="E2500" s="23"/>
      <c r="F2500" s="27"/>
      <c r="G2500" s="41"/>
      <c r="H2500" s="41"/>
      <c r="I2500" s="41"/>
      <c r="J2500" s="23"/>
    </row>
    <row r="2501" spans="1:10" ht="15" customHeight="1" x14ac:dyDescent="0.35">
      <c r="A2501" s="23"/>
      <c r="B2501" s="61"/>
      <c r="C2501" s="23"/>
      <c r="D2501" s="26"/>
      <c r="E2501" s="23"/>
      <c r="F2501" s="27"/>
      <c r="G2501" s="41"/>
      <c r="H2501" s="41"/>
      <c r="I2501" s="41"/>
      <c r="J2501" s="23"/>
    </row>
    <row r="2502" spans="1:10" ht="15" customHeight="1" x14ac:dyDescent="0.35">
      <c r="A2502" s="23"/>
      <c r="B2502" s="61"/>
      <c r="C2502" s="23"/>
      <c r="D2502" s="26"/>
      <c r="E2502" s="23"/>
      <c r="F2502" s="27"/>
      <c r="G2502" s="41"/>
      <c r="H2502" s="41"/>
      <c r="I2502" s="41"/>
      <c r="J2502" s="23"/>
    </row>
    <row r="2503" spans="1:10" ht="15" customHeight="1" x14ac:dyDescent="0.35">
      <c r="A2503" s="23"/>
      <c r="B2503" s="61"/>
      <c r="C2503" s="23"/>
      <c r="D2503" s="26"/>
      <c r="E2503" s="23"/>
      <c r="F2503" s="27"/>
      <c r="G2503" s="41"/>
      <c r="H2503" s="41"/>
      <c r="I2503" s="41"/>
      <c r="J2503" s="23"/>
    </row>
    <row r="2504" spans="1:10" ht="15" customHeight="1" x14ac:dyDescent="0.35">
      <c r="A2504" s="23"/>
      <c r="B2504" s="61"/>
      <c r="C2504" s="23"/>
      <c r="D2504" s="26"/>
      <c r="E2504" s="23"/>
      <c r="F2504" s="27"/>
      <c r="G2504" s="41"/>
      <c r="H2504" s="41"/>
      <c r="I2504" s="41"/>
      <c r="J2504" s="23"/>
    </row>
    <row r="2505" spans="1:10" ht="15" customHeight="1" x14ac:dyDescent="0.35">
      <c r="A2505" s="23"/>
      <c r="B2505" s="61"/>
      <c r="C2505" s="23"/>
      <c r="D2505" s="26"/>
      <c r="E2505" s="23"/>
      <c r="F2505" s="27"/>
      <c r="G2505" s="41"/>
      <c r="H2505" s="41"/>
      <c r="I2505" s="41"/>
      <c r="J2505" s="23"/>
    </row>
    <row r="2506" spans="1:10" ht="15" customHeight="1" x14ac:dyDescent="0.35">
      <c r="A2506" s="23"/>
      <c r="B2506" s="61"/>
      <c r="C2506" s="23"/>
      <c r="D2506" s="26"/>
      <c r="E2506" s="23"/>
      <c r="F2506" s="27"/>
      <c r="G2506" s="41"/>
      <c r="H2506" s="41"/>
      <c r="I2506" s="41"/>
      <c r="J2506" s="23"/>
    </row>
    <row r="2507" spans="1:10" ht="15" customHeight="1" x14ac:dyDescent="0.35">
      <c r="A2507" s="23"/>
      <c r="B2507" s="61"/>
      <c r="C2507" s="23"/>
      <c r="D2507" s="26"/>
      <c r="E2507" s="23"/>
      <c r="F2507" s="27"/>
      <c r="G2507" s="41"/>
      <c r="H2507" s="41"/>
      <c r="I2507" s="41"/>
      <c r="J2507" s="23"/>
    </row>
    <row r="2508" spans="1:10" ht="15" customHeight="1" x14ac:dyDescent="0.35">
      <c r="A2508" s="23"/>
      <c r="B2508" s="61"/>
      <c r="C2508" s="23"/>
      <c r="D2508" s="26"/>
      <c r="E2508" s="23"/>
      <c r="F2508" s="27"/>
      <c r="G2508" s="41"/>
      <c r="H2508" s="41"/>
      <c r="I2508" s="41"/>
      <c r="J2508" s="23"/>
    </row>
    <row r="2509" spans="1:10" ht="15" customHeight="1" x14ac:dyDescent="0.35">
      <c r="A2509" s="23"/>
      <c r="B2509" s="61"/>
      <c r="C2509" s="23"/>
      <c r="D2509" s="26"/>
      <c r="E2509" s="23"/>
      <c r="F2509" s="27"/>
      <c r="G2509" s="41"/>
      <c r="H2509" s="41"/>
      <c r="I2509" s="41"/>
      <c r="J2509" s="23"/>
    </row>
    <row r="2510" spans="1:10" ht="15" customHeight="1" x14ac:dyDescent="0.35">
      <c r="A2510" s="23"/>
      <c r="B2510" s="61"/>
      <c r="C2510" s="23"/>
      <c r="D2510" s="26"/>
      <c r="E2510" s="23"/>
      <c r="F2510" s="27"/>
      <c r="G2510" s="41"/>
      <c r="H2510" s="41"/>
      <c r="I2510" s="41"/>
      <c r="J2510" s="23"/>
    </row>
    <row r="2511" spans="1:10" ht="15" customHeight="1" x14ac:dyDescent="0.35">
      <c r="A2511" s="23"/>
      <c r="B2511" s="61"/>
      <c r="C2511" s="23"/>
      <c r="D2511" s="26"/>
      <c r="E2511" s="23"/>
      <c r="F2511" s="27"/>
      <c r="G2511" s="41"/>
      <c r="H2511" s="41"/>
      <c r="I2511" s="41"/>
      <c r="J2511" s="23"/>
    </row>
    <row r="2512" spans="1:10" ht="15" customHeight="1" x14ac:dyDescent="0.35">
      <c r="A2512" s="23"/>
      <c r="B2512" s="61"/>
      <c r="C2512" s="23"/>
      <c r="D2512" s="26"/>
      <c r="E2512" s="23"/>
      <c r="F2512" s="27"/>
      <c r="G2512" s="41"/>
      <c r="H2512" s="41"/>
      <c r="I2512" s="41"/>
      <c r="J2512" s="23"/>
    </row>
    <row r="2513" spans="1:10" ht="15" customHeight="1" x14ac:dyDescent="0.35">
      <c r="A2513" s="23"/>
      <c r="B2513" s="61"/>
      <c r="C2513" s="23"/>
      <c r="D2513" s="26"/>
      <c r="E2513" s="23"/>
      <c r="F2513" s="27"/>
      <c r="G2513" s="41"/>
      <c r="H2513" s="41"/>
      <c r="I2513" s="41"/>
      <c r="J2513" s="23"/>
    </row>
    <row r="2514" spans="1:10" ht="15" customHeight="1" x14ac:dyDescent="0.35">
      <c r="A2514" s="23"/>
      <c r="B2514" s="61"/>
      <c r="C2514" s="23"/>
      <c r="D2514" s="26"/>
      <c r="E2514" s="23"/>
      <c r="F2514" s="27"/>
      <c r="G2514" s="41"/>
      <c r="H2514" s="41"/>
      <c r="I2514" s="41"/>
      <c r="J2514" s="23"/>
    </row>
    <row r="2515" spans="1:10" ht="15" customHeight="1" x14ac:dyDescent="0.35">
      <c r="A2515" s="23"/>
      <c r="B2515" s="61"/>
      <c r="C2515" s="23"/>
      <c r="D2515" s="26"/>
      <c r="E2515" s="23"/>
      <c r="F2515" s="27"/>
      <c r="G2515" s="41"/>
      <c r="H2515" s="41"/>
      <c r="I2515" s="41"/>
      <c r="J2515" s="23"/>
    </row>
    <row r="2516" spans="1:10" ht="15" customHeight="1" x14ac:dyDescent="0.35">
      <c r="A2516" s="23"/>
      <c r="B2516" s="61"/>
      <c r="C2516" s="23"/>
      <c r="D2516" s="26"/>
      <c r="E2516" s="23"/>
      <c r="F2516" s="27"/>
      <c r="G2516" s="41"/>
      <c r="H2516" s="41"/>
      <c r="I2516" s="41"/>
      <c r="J2516" s="23"/>
    </row>
    <row r="2517" spans="1:10" ht="15" customHeight="1" x14ac:dyDescent="0.35">
      <c r="A2517" s="23"/>
      <c r="B2517" s="61"/>
      <c r="C2517" s="23"/>
      <c r="D2517" s="26"/>
      <c r="E2517" s="23"/>
      <c r="F2517" s="27"/>
      <c r="G2517" s="41"/>
      <c r="H2517" s="41"/>
      <c r="I2517" s="41"/>
      <c r="J2517" s="23"/>
    </row>
    <row r="2518" spans="1:10" ht="15" customHeight="1" x14ac:dyDescent="0.35">
      <c r="A2518" s="23"/>
      <c r="B2518" s="61"/>
      <c r="C2518" s="23"/>
      <c r="D2518" s="26"/>
      <c r="E2518" s="23"/>
      <c r="F2518" s="27"/>
      <c r="G2518" s="41"/>
      <c r="H2518" s="41"/>
      <c r="I2518" s="41"/>
      <c r="J2518" s="23"/>
    </row>
    <row r="2519" spans="1:10" ht="15" customHeight="1" x14ac:dyDescent="0.35">
      <c r="A2519" s="23"/>
      <c r="B2519" s="61"/>
      <c r="C2519" s="23"/>
      <c r="D2519" s="26"/>
      <c r="E2519" s="23"/>
      <c r="F2519" s="27"/>
      <c r="G2519" s="41"/>
      <c r="H2519" s="41"/>
      <c r="I2519" s="41"/>
      <c r="J2519" s="23"/>
    </row>
    <row r="2520" spans="1:10" ht="15" customHeight="1" x14ac:dyDescent="0.35">
      <c r="A2520" s="23"/>
      <c r="B2520" s="61"/>
      <c r="C2520" s="23"/>
      <c r="D2520" s="26"/>
      <c r="E2520" s="23"/>
      <c r="F2520" s="27"/>
      <c r="G2520" s="41"/>
      <c r="H2520" s="41"/>
      <c r="I2520" s="41"/>
      <c r="J2520" s="23"/>
    </row>
    <row r="2521" spans="1:10" ht="15" customHeight="1" x14ac:dyDescent="0.35">
      <c r="A2521" s="23"/>
      <c r="B2521" s="61"/>
      <c r="C2521" s="23"/>
      <c r="D2521" s="26"/>
      <c r="E2521" s="23"/>
      <c r="F2521" s="27"/>
      <c r="G2521" s="41"/>
      <c r="H2521" s="41"/>
      <c r="I2521" s="41"/>
      <c r="J2521" s="23"/>
    </row>
    <row r="2522" spans="1:10" ht="15" customHeight="1" x14ac:dyDescent="0.35">
      <c r="A2522" s="23"/>
      <c r="B2522" s="61"/>
      <c r="C2522" s="23"/>
      <c r="D2522" s="26"/>
      <c r="E2522" s="23"/>
      <c r="F2522" s="27"/>
      <c r="G2522" s="41"/>
      <c r="H2522" s="41"/>
      <c r="I2522" s="41"/>
      <c r="J2522" s="23"/>
    </row>
    <row r="2523" spans="1:10" ht="15" customHeight="1" x14ac:dyDescent="0.35">
      <c r="A2523" s="23"/>
      <c r="B2523" s="61"/>
      <c r="C2523" s="23"/>
      <c r="D2523" s="26"/>
      <c r="E2523" s="23"/>
      <c r="F2523" s="27"/>
      <c r="G2523" s="41"/>
      <c r="H2523" s="41"/>
      <c r="I2523" s="41"/>
      <c r="J2523" s="23"/>
    </row>
    <row r="2524" spans="1:10" ht="15" customHeight="1" x14ac:dyDescent="0.35">
      <c r="A2524" s="23"/>
      <c r="B2524" s="61"/>
      <c r="C2524" s="23"/>
      <c r="D2524" s="26"/>
      <c r="E2524" s="23"/>
      <c r="F2524" s="27"/>
      <c r="G2524" s="41"/>
      <c r="H2524" s="41"/>
      <c r="I2524" s="41"/>
      <c r="J2524" s="23"/>
    </row>
    <row r="2525" spans="1:10" ht="15" customHeight="1" x14ac:dyDescent="0.35">
      <c r="A2525" s="23"/>
      <c r="B2525" s="61"/>
      <c r="C2525" s="23"/>
      <c r="D2525" s="26"/>
      <c r="E2525" s="23"/>
      <c r="F2525" s="27"/>
      <c r="G2525" s="41"/>
      <c r="H2525" s="41"/>
      <c r="I2525" s="41"/>
      <c r="J2525" s="23"/>
    </row>
    <row r="2526" spans="1:10" ht="15" customHeight="1" x14ac:dyDescent="0.35">
      <c r="A2526" s="23"/>
      <c r="B2526" s="61"/>
      <c r="C2526" s="23"/>
      <c r="D2526" s="26"/>
      <c r="E2526" s="23"/>
      <c r="F2526" s="27"/>
      <c r="G2526" s="41"/>
      <c r="H2526" s="41"/>
      <c r="I2526" s="41"/>
      <c r="J2526" s="23"/>
    </row>
    <row r="2527" spans="1:10" ht="15" customHeight="1" x14ac:dyDescent="0.35">
      <c r="A2527" s="23"/>
      <c r="B2527" s="61"/>
      <c r="C2527" s="23"/>
      <c r="D2527" s="26"/>
      <c r="E2527" s="23"/>
      <c r="F2527" s="27"/>
      <c r="G2527" s="41"/>
      <c r="H2527" s="41"/>
      <c r="I2527" s="41"/>
      <c r="J2527" s="23"/>
    </row>
    <row r="2528" spans="1:10" ht="15" customHeight="1" x14ac:dyDescent="0.35">
      <c r="A2528" s="23"/>
      <c r="B2528" s="61"/>
      <c r="C2528" s="23"/>
      <c r="D2528" s="26"/>
      <c r="E2528" s="23"/>
      <c r="F2528" s="27"/>
      <c r="G2528" s="41"/>
      <c r="H2528" s="41"/>
      <c r="I2528" s="41"/>
      <c r="J2528" s="23"/>
    </row>
    <row r="2529" spans="1:10" ht="15" customHeight="1" x14ac:dyDescent="0.35">
      <c r="A2529" s="23"/>
      <c r="B2529" s="61"/>
      <c r="C2529" s="23"/>
      <c r="D2529" s="26"/>
      <c r="E2529" s="23"/>
      <c r="F2529" s="27"/>
      <c r="G2529" s="41"/>
      <c r="H2529" s="41"/>
      <c r="I2529" s="41"/>
      <c r="J2529" s="23"/>
    </row>
    <row r="2530" spans="1:10" ht="15" customHeight="1" x14ac:dyDescent="0.35">
      <c r="A2530" s="23"/>
      <c r="B2530" s="61"/>
      <c r="C2530" s="23"/>
      <c r="D2530" s="26"/>
      <c r="E2530" s="23"/>
      <c r="F2530" s="27"/>
      <c r="G2530" s="41"/>
      <c r="H2530" s="41"/>
      <c r="I2530" s="41"/>
      <c r="J2530" s="23"/>
    </row>
    <row r="2531" spans="1:10" ht="15" customHeight="1" x14ac:dyDescent="0.35">
      <c r="A2531" s="23"/>
      <c r="B2531" s="61"/>
      <c r="C2531" s="23"/>
      <c r="D2531" s="26"/>
      <c r="E2531" s="23"/>
      <c r="F2531" s="27"/>
      <c r="G2531" s="41"/>
      <c r="H2531" s="41"/>
      <c r="I2531" s="41"/>
      <c r="J2531" s="23"/>
    </row>
    <row r="2532" spans="1:10" ht="15" customHeight="1" x14ac:dyDescent="0.35">
      <c r="A2532" s="23"/>
      <c r="B2532" s="61"/>
      <c r="C2532" s="23"/>
      <c r="D2532" s="26"/>
      <c r="E2532" s="23"/>
      <c r="F2532" s="27"/>
      <c r="G2532" s="41"/>
      <c r="H2532" s="41"/>
      <c r="I2532" s="41"/>
      <c r="J2532" s="23"/>
    </row>
    <row r="2533" spans="1:10" ht="15" customHeight="1" x14ac:dyDescent="0.35">
      <c r="A2533" s="23"/>
      <c r="B2533" s="61"/>
      <c r="C2533" s="23"/>
      <c r="D2533" s="26"/>
      <c r="E2533" s="23"/>
      <c r="F2533" s="27"/>
      <c r="G2533" s="41"/>
      <c r="H2533" s="41"/>
      <c r="I2533" s="41"/>
      <c r="J2533" s="23"/>
    </row>
    <row r="2534" spans="1:10" ht="15" customHeight="1" x14ac:dyDescent="0.35">
      <c r="A2534" s="23"/>
      <c r="B2534" s="61"/>
      <c r="C2534" s="23"/>
      <c r="D2534" s="26"/>
      <c r="E2534" s="23"/>
      <c r="F2534" s="27"/>
      <c r="G2534" s="41"/>
      <c r="H2534" s="41"/>
      <c r="I2534" s="41"/>
      <c r="J2534" s="23"/>
    </row>
    <row r="2535" spans="1:10" ht="15" customHeight="1" x14ac:dyDescent="0.35">
      <c r="A2535" s="23"/>
      <c r="B2535" s="61"/>
      <c r="C2535" s="23"/>
      <c r="D2535" s="26"/>
      <c r="E2535" s="23"/>
      <c r="F2535" s="27"/>
      <c r="G2535" s="41"/>
      <c r="H2535" s="41"/>
      <c r="I2535" s="41"/>
      <c r="J2535" s="23"/>
    </row>
    <row r="2536" spans="1:10" ht="15" customHeight="1" x14ac:dyDescent="0.35">
      <c r="A2536" s="23"/>
      <c r="B2536" s="61"/>
      <c r="C2536" s="23"/>
      <c r="D2536" s="26"/>
      <c r="E2536" s="23"/>
      <c r="F2536" s="27"/>
      <c r="G2536" s="41"/>
      <c r="H2536" s="41"/>
      <c r="I2536" s="41"/>
      <c r="J2536" s="23"/>
    </row>
    <row r="2537" spans="1:10" ht="15" customHeight="1" x14ac:dyDescent="0.35">
      <c r="A2537" s="23"/>
      <c r="B2537" s="61"/>
      <c r="C2537" s="23"/>
      <c r="D2537" s="26"/>
      <c r="E2537" s="23"/>
      <c r="F2537" s="27"/>
      <c r="G2537" s="41"/>
      <c r="H2537" s="41"/>
      <c r="I2537" s="41"/>
      <c r="J2537" s="23"/>
    </row>
    <row r="2538" spans="1:10" ht="15" customHeight="1" x14ac:dyDescent="0.35">
      <c r="A2538" s="23"/>
      <c r="B2538" s="61"/>
      <c r="C2538" s="23"/>
      <c r="D2538" s="26"/>
      <c r="E2538" s="23"/>
      <c r="F2538" s="27"/>
      <c r="G2538" s="41"/>
      <c r="H2538" s="41"/>
      <c r="I2538" s="41"/>
      <c r="J2538" s="23"/>
    </row>
    <row r="2539" spans="1:10" ht="15" customHeight="1" x14ac:dyDescent="0.35">
      <c r="A2539" s="23"/>
      <c r="B2539" s="61"/>
      <c r="C2539" s="23"/>
      <c r="D2539" s="26"/>
      <c r="E2539" s="23"/>
      <c r="F2539" s="27"/>
      <c r="G2539" s="41"/>
      <c r="H2539" s="41"/>
      <c r="I2539" s="41"/>
      <c r="J2539" s="23"/>
    </row>
    <row r="2540" spans="1:10" ht="15" customHeight="1" x14ac:dyDescent="0.35">
      <c r="A2540" s="23"/>
      <c r="B2540" s="61"/>
      <c r="C2540" s="23"/>
      <c r="D2540" s="26"/>
      <c r="E2540" s="23"/>
      <c r="F2540" s="27"/>
      <c r="G2540" s="41"/>
      <c r="H2540" s="41"/>
      <c r="I2540" s="41"/>
      <c r="J2540" s="23"/>
    </row>
    <row r="2541" spans="1:10" ht="15" customHeight="1" x14ac:dyDescent="0.35">
      <c r="A2541" s="23"/>
      <c r="B2541" s="61"/>
      <c r="C2541" s="23"/>
      <c r="D2541" s="26"/>
      <c r="E2541" s="23"/>
      <c r="F2541" s="27"/>
      <c r="G2541" s="41"/>
      <c r="H2541" s="41"/>
      <c r="I2541" s="41"/>
      <c r="J2541" s="23"/>
    </row>
    <row r="2542" spans="1:10" ht="15" customHeight="1" x14ac:dyDescent="0.35">
      <c r="A2542" s="23"/>
      <c r="B2542" s="61"/>
      <c r="C2542" s="23"/>
      <c r="D2542" s="26"/>
      <c r="E2542" s="23"/>
      <c r="F2542" s="27"/>
      <c r="G2542" s="41"/>
      <c r="H2542" s="41"/>
      <c r="I2542" s="41"/>
      <c r="J2542" s="23"/>
    </row>
    <row r="2543" spans="1:10" ht="15" customHeight="1" x14ac:dyDescent="0.35">
      <c r="A2543" s="23"/>
      <c r="B2543" s="61"/>
      <c r="C2543" s="23"/>
      <c r="D2543" s="26"/>
      <c r="E2543" s="23"/>
      <c r="F2543" s="27"/>
      <c r="G2543" s="41"/>
      <c r="H2543" s="41"/>
      <c r="I2543" s="41"/>
      <c r="J2543" s="23"/>
    </row>
    <row r="2544" spans="1:10" ht="15" customHeight="1" x14ac:dyDescent="0.35">
      <c r="A2544" s="23"/>
      <c r="B2544" s="61"/>
      <c r="C2544" s="23"/>
      <c r="D2544" s="26"/>
      <c r="E2544" s="23"/>
      <c r="F2544" s="27"/>
      <c r="G2544" s="41"/>
      <c r="H2544" s="41"/>
      <c r="I2544" s="41"/>
      <c r="J2544" s="23"/>
    </row>
    <row r="2545" spans="1:10" ht="15" customHeight="1" x14ac:dyDescent="0.35">
      <c r="A2545" s="23"/>
      <c r="B2545" s="61"/>
      <c r="C2545" s="23"/>
      <c r="D2545" s="26"/>
      <c r="E2545" s="23"/>
      <c r="F2545" s="27"/>
      <c r="G2545" s="41"/>
      <c r="H2545" s="41"/>
      <c r="I2545" s="41"/>
      <c r="J2545" s="23"/>
    </row>
    <row r="2546" spans="1:10" ht="15" customHeight="1" x14ac:dyDescent="0.35">
      <c r="A2546" s="23"/>
      <c r="B2546" s="61"/>
      <c r="C2546" s="23"/>
      <c r="D2546" s="26"/>
      <c r="E2546" s="23"/>
      <c r="F2546" s="27"/>
      <c r="G2546" s="41"/>
      <c r="H2546" s="41"/>
      <c r="I2546" s="41"/>
      <c r="J2546" s="23"/>
    </row>
    <row r="2547" spans="1:10" ht="15" customHeight="1" x14ac:dyDescent="0.35">
      <c r="A2547" s="23"/>
      <c r="B2547" s="61"/>
      <c r="C2547" s="23"/>
      <c r="D2547" s="26"/>
      <c r="E2547" s="23"/>
      <c r="F2547" s="27"/>
      <c r="G2547" s="41"/>
      <c r="H2547" s="41"/>
      <c r="I2547" s="41"/>
      <c r="J2547" s="23"/>
    </row>
    <row r="2548" spans="1:10" ht="15" customHeight="1" x14ac:dyDescent="0.35">
      <c r="A2548" s="23"/>
      <c r="B2548" s="61"/>
      <c r="C2548" s="23"/>
      <c r="D2548" s="26"/>
      <c r="E2548" s="23"/>
      <c r="F2548" s="27"/>
      <c r="G2548" s="41"/>
      <c r="H2548" s="41"/>
      <c r="I2548" s="41"/>
      <c r="J2548" s="23"/>
    </row>
    <row r="2549" spans="1:10" ht="15" customHeight="1" x14ac:dyDescent="0.35">
      <c r="A2549" s="23"/>
      <c r="B2549" s="61"/>
      <c r="C2549" s="23"/>
      <c r="D2549" s="26"/>
      <c r="E2549" s="23"/>
      <c r="F2549" s="27"/>
      <c r="G2549" s="41"/>
      <c r="H2549" s="41"/>
      <c r="I2549" s="41"/>
      <c r="J2549" s="23"/>
    </row>
    <row r="2550" spans="1:10" ht="15" customHeight="1" x14ac:dyDescent="0.35">
      <c r="A2550" s="23"/>
      <c r="B2550" s="61"/>
      <c r="C2550" s="23"/>
      <c r="D2550" s="26"/>
      <c r="E2550" s="23"/>
      <c r="F2550" s="27"/>
      <c r="G2550" s="41"/>
      <c r="H2550" s="41"/>
      <c r="I2550" s="41"/>
      <c r="J2550" s="23"/>
    </row>
    <row r="2551" spans="1:10" ht="15" customHeight="1" x14ac:dyDescent="0.35">
      <c r="A2551" s="23"/>
      <c r="B2551" s="61"/>
      <c r="C2551" s="23"/>
      <c r="D2551" s="26"/>
      <c r="E2551" s="23"/>
      <c r="F2551" s="27"/>
      <c r="G2551" s="41"/>
      <c r="H2551" s="41"/>
      <c r="I2551" s="41"/>
      <c r="J2551" s="23"/>
    </row>
    <row r="2552" spans="1:10" ht="15" customHeight="1" x14ac:dyDescent="0.35">
      <c r="A2552" s="23"/>
      <c r="B2552" s="61"/>
      <c r="C2552" s="23"/>
      <c r="D2552" s="26"/>
      <c r="E2552" s="23"/>
      <c r="F2552" s="27"/>
      <c r="G2552" s="41"/>
      <c r="H2552" s="41"/>
      <c r="I2552" s="41"/>
      <c r="J2552" s="23"/>
    </row>
    <row r="2553" spans="1:10" ht="15" customHeight="1" x14ac:dyDescent="0.35">
      <c r="A2553" s="23"/>
      <c r="B2553" s="61"/>
      <c r="C2553" s="23"/>
      <c r="D2553" s="26"/>
      <c r="E2553" s="23"/>
      <c r="F2553" s="27"/>
      <c r="G2553" s="41"/>
      <c r="H2553" s="41"/>
      <c r="I2553" s="41"/>
      <c r="J2553" s="23"/>
    </row>
    <row r="2554" spans="1:10" ht="15" customHeight="1" x14ac:dyDescent="0.35">
      <c r="A2554" s="23"/>
      <c r="B2554" s="61"/>
      <c r="C2554" s="23"/>
      <c r="D2554" s="26"/>
      <c r="E2554" s="23"/>
      <c r="F2554" s="27"/>
      <c r="G2554" s="41"/>
      <c r="H2554" s="41"/>
      <c r="I2554" s="41"/>
      <c r="J2554" s="23"/>
    </row>
    <row r="2555" spans="1:10" ht="15" customHeight="1" x14ac:dyDescent="0.35">
      <c r="A2555" s="23"/>
      <c r="B2555" s="61"/>
      <c r="C2555" s="23"/>
      <c r="D2555" s="26"/>
      <c r="E2555" s="23"/>
      <c r="F2555" s="27"/>
      <c r="G2555" s="41"/>
      <c r="H2555" s="41"/>
      <c r="I2555" s="41"/>
      <c r="J2555" s="23"/>
    </row>
    <row r="2556" spans="1:10" ht="15" customHeight="1" x14ac:dyDescent="0.35">
      <c r="A2556" s="23"/>
      <c r="B2556" s="61"/>
      <c r="C2556" s="23"/>
      <c r="D2556" s="26"/>
      <c r="E2556" s="23"/>
      <c r="F2556" s="27"/>
      <c r="G2556" s="41"/>
      <c r="H2556" s="41"/>
      <c r="I2556" s="41"/>
      <c r="J2556" s="23"/>
    </row>
    <row r="2557" spans="1:10" ht="15" customHeight="1" x14ac:dyDescent="0.35">
      <c r="A2557" s="23"/>
      <c r="B2557" s="61"/>
      <c r="C2557" s="23"/>
      <c r="D2557" s="26"/>
      <c r="E2557" s="23"/>
      <c r="F2557" s="27"/>
      <c r="G2557" s="41"/>
      <c r="H2557" s="41"/>
      <c r="I2557" s="41"/>
      <c r="J2557" s="23"/>
    </row>
    <row r="2558" spans="1:10" ht="15" customHeight="1" x14ac:dyDescent="0.35">
      <c r="A2558" s="23"/>
      <c r="B2558" s="61"/>
      <c r="C2558" s="23"/>
      <c r="D2558" s="26"/>
      <c r="E2558" s="23"/>
      <c r="F2558" s="27"/>
      <c r="G2558" s="41"/>
      <c r="H2558" s="41"/>
      <c r="I2558" s="41"/>
      <c r="J2558" s="23"/>
    </row>
    <row r="2559" spans="1:10" ht="15" customHeight="1" x14ac:dyDescent="0.35">
      <c r="A2559" s="23"/>
      <c r="B2559" s="61"/>
      <c r="C2559" s="23"/>
      <c r="D2559" s="26"/>
      <c r="E2559" s="23"/>
      <c r="F2559" s="27"/>
      <c r="G2559" s="41"/>
      <c r="H2559" s="41"/>
      <c r="I2559" s="41"/>
      <c r="J2559" s="23"/>
    </row>
    <row r="2560" spans="1:10" ht="15" customHeight="1" x14ac:dyDescent="0.35">
      <c r="A2560" s="23"/>
      <c r="B2560" s="61"/>
      <c r="C2560" s="23"/>
      <c r="D2560" s="26"/>
      <c r="E2560" s="23"/>
      <c r="F2560" s="27"/>
      <c r="G2560" s="41"/>
      <c r="H2560" s="41"/>
      <c r="I2560" s="41"/>
      <c r="J2560" s="23"/>
    </row>
    <row r="2561" spans="1:10" ht="15" customHeight="1" x14ac:dyDescent="0.35">
      <c r="A2561" s="23"/>
      <c r="B2561" s="61"/>
      <c r="C2561" s="23"/>
      <c r="D2561" s="26"/>
      <c r="E2561" s="23"/>
      <c r="F2561" s="27"/>
      <c r="G2561" s="41"/>
      <c r="H2561" s="41"/>
      <c r="I2561" s="41"/>
      <c r="J2561" s="23"/>
    </row>
    <row r="2562" spans="1:10" ht="15" customHeight="1" x14ac:dyDescent="0.35">
      <c r="A2562" s="23"/>
      <c r="B2562" s="61"/>
      <c r="C2562" s="23"/>
      <c r="D2562" s="26"/>
      <c r="E2562" s="23"/>
      <c r="F2562" s="27"/>
      <c r="G2562" s="41"/>
      <c r="H2562" s="41"/>
      <c r="I2562" s="41"/>
      <c r="J2562" s="23"/>
    </row>
    <row r="2563" spans="1:10" ht="15" customHeight="1" x14ac:dyDescent="0.35">
      <c r="A2563" s="23"/>
      <c r="B2563" s="61"/>
      <c r="C2563" s="23"/>
      <c r="D2563" s="26"/>
      <c r="E2563" s="23"/>
      <c r="F2563" s="27"/>
      <c r="G2563" s="41"/>
      <c r="H2563" s="41"/>
      <c r="I2563" s="41"/>
      <c r="J2563" s="23"/>
    </row>
    <row r="2564" spans="1:10" ht="15" customHeight="1" x14ac:dyDescent="0.35">
      <c r="A2564" s="23"/>
      <c r="B2564" s="61"/>
      <c r="C2564" s="23"/>
      <c r="D2564" s="26"/>
      <c r="E2564" s="23"/>
      <c r="F2564" s="27"/>
      <c r="G2564" s="41"/>
      <c r="H2564" s="41"/>
      <c r="I2564" s="41"/>
      <c r="J2564" s="23"/>
    </row>
    <row r="2565" spans="1:10" ht="15" customHeight="1" x14ac:dyDescent="0.35">
      <c r="A2565" s="23"/>
      <c r="B2565" s="61"/>
      <c r="C2565" s="23"/>
      <c r="D2565" s="26"/>
      <c r="E2565" s="23"/>
      <c r="F2565" s="27"/>
      <c r="G2565" s="41"/>
      <c r="H2565" s="41"/>
      <c r="I2565" s="41"/>
      <c r="J2565" s="23"/>
    </row>
    <row r="2566" spans="1:10" ht="15" customHeight="1" x14ac:dyDescent="0.35">
      <c r="A2566" s="23"/>
      <c r="B2566" s="61"/>
      <c r="C2566" s="23"/>
      <c r="D2566" s="26"/>
      <c r="E2566" s="23"/>
      <c r="F2566" s="27"/>
      <c r="G2566" s="41"/>
      <c r="H2566" s="41"/>
      <c r="I2566" s="41"/>
      <c r="J2566" s="23"/>
    </row>
    <row r="2567" spans="1:10" ht="15" customHeight="1" x14ac:dyDescent="0.35">
      <c r="A2567" s="23"/>
      <c r="B2567" s="61"/>
      <c r="C2567" s="23"/>
      <c r="D2567" s="26"/>
      <c r="E2567" s="23"/>
      <c r="F2567" s="27"/>
      <c r="G2567" s="41"/>
      <c r="H2567" s="41"/>
      <c r="I2567" s="41"/>
      <c r="J2567" s="23"/>
    </row>
    <row r="2568" spans="1:10" ht="15" customHeight="1" x14ac:dyDescent="0.35">
      <c r="A2568" s="23"/>
      <c r="B2568" s="61"/>
      <c r="C2568" s="23"/>
      <c r="D2568" s="26"/>
      <c r="E2568" s="23"/>
      <c r="F2568" s="27"/>
      <c r="G2568" s="41"/>
      <c r="H2568" s="41"/>
      <c r="I2568" s="41"/>
      <c r="J2568" s="23"/>
    </row>
    <row r="2569" spans="1:10" ht="15" customHeight="1" x14ac:dyDescent="0.35">
      <c r="A2569" s="23"/>
      <c r="B2569" s="61"/>
      <c r="C2569" s="23"/>
      <c r="D2569" s="26"/>
      <c r="E2569" s="23"/>
      <c r="F2569" s="27"/>
      <c r="G2569" s="41"/>
      <c r="H2569" s="41"/>
      <c r="I2569" s="41"/>
      <c r="J2569" s="23"/>
    </row>
    <row r="2570" spans="1:10" ht="15" customHeight="1" x14ac:dyDescent="0.35">
      <c r="A2570" s="23"/>
      <c r="B2570" s="61"/>
      <c r="C2570" s="23"/>
      <c r="D2570" s="26"/>
      <c r="E2570" s="23"/>
      <c r="F2570" s="27"/>
      <c r="G2570" s="41"/>
      <c r="H2570" s="41"/>
      <c r="I2570" s="41"/>
      <c r="J2570" s="23"/>
    </row>
    <row r="2571" spans="1:10" ht="15" customHeight="1" x14ac:dyDescent="0.35">
      <c r="A2571" s="23"/>
      <c r="B2571" s="61"/>
      <c r="C2571" s="23"/>
      <c r="D2571" s="26"/>
      <c r="E2571" s="23"/>
      <c r="F2571" s="27"/>
      <c r="G2571" s="41"/>
      <c r="H2571" s="41"/>
      <c r="I2571" s="41"/>
      <c r="J2571" s="23"/>
    </row>
    <row r="2572" spans="1:10" ht="15" customHeight="1" x14ac:dyDescent="0.35">
      <c r="A2572" s="23"/>
      <c r="B2572" s="61"/>
      <c r="C2572" s="23"/>
      <c r="D2572" s="26"/>
      <c r="E2572" s="23"/>
      <c r="F2572" s="27"/>
      <c r="G2572" s="41"/>
      <c r="H2572" s="41"/>
      <c r="I2572" s="41"/>
      <c r="J2572" s="23"/>
    </row>
    <row r="2573" spans="1:10" ht="15" customHeight="1" x14ac:dyDescent="0.35">
      <c r="A2573" s="23"/>
      <c r="B2573" s="61"/>
      <c r="C2573" s="23"/>
      <c r="D2573" s="26"/>
      <c r="E2573" s="23"/>
      <c r="F2573" s="27"/>
      <c r="G2573" s="41"/>
      <c r="H2573" s="41"/>
      <c r="I2573" s="41"/>
      <c r="J2573" s="23"/>
    </row>
    <row r="2574" spans="1:10" ht="15" customHeight="1" x14ac:dyDescent="0.35">
      <c r="A2574" s="23"/>
      <c r="B2574" s="61"/>
      <c r="C2574" s="23"/>
      <c r="D2574" s="26"/>
      <c r="E2574" s="23"/>
      <c r="F2574" s="27"/>
      <c r="G2574" s="41"/>
      <c r="H2574" s="41"/>
      <c r="I2574" s="41"/>
      <c r="J2574" s="23"/>
    </row>
    <row r="2575" spans="1:10" ht="15" customHeight="1" x14ac:dyDescent="0.35">
      <c r="A2575" s="23"/>
      <c r="B2575" s="61"/>
      <c r="C2575" s="23"/>
      <c r="D2575" s="26"/>
      <c r="E2575" s="23"/>
      <c r="F2575" s="27"/>
      <c r="G2575" s="41"/>
      <c r="H2575" s="41"/>
      <c r="I2575" s="41"/>
      <c r="J2575" s="23"/>
    </row>
    <row r="2576" spans="1:10" ht="15" customHeight="1" x14ac:dyDescent="0.35">
      <c r="A2576" s="23"/>
      <c r="B2576" s="61"/>
      <c r="C2576" s="23"/>
      <c r="D2576" s="26"/>
      <c r="E2576" s="23"/>
      <c r="F2576" s="27"/>
      <c r="G2576" s="41"/>
      <c r="H2576" s="41"/>
      <c r="I2576" s="41"/>
      <c r="J2576" s="23"/>
    </row>
    <row r="2577" spans="1:10" ht="15" customHeight="1" x14ac:dyDescent="0.35">
      <c r="A2577" s="23"/>
      <c r="B2577" s="61"/>
      <c r="C2577" s="23"/>
      <c r="D2577" s="26"/>
      <c r="E2577" s="23"/>
      <c r="F2577" s="27"/>
      <c r="G2577" s="41"/>
      <c r="H2577" s="41"/>
      <c r="I2577" s="41"/>
      <c r="J2577" s="23"/>
    </row>
    <row r="2578" spans="1:10" ht="15" customHeight="1" x14ac:dyDescent="0.35">
      <c r="A2578" s="23"/>
      <c r="B2578" s="61"/>
      <c r="C2578" s="23"/>
      <c r="D2578" s="26"/>
      <c r="E2578" s="23"/>
      <c r="F2578" s="27"/>
      <c r="G2578" s="41"/>
      <c r="H2578" s="41"/>
      <c r="I2578" s="41"/>
      <c r="J2578" s="23"/>
    </row>
    <row r="2579" spans="1:10" ht="15" customHeight="1" x14ac:dyDescent="0.35">
      <c r="A2579" s="23"/>
      <c r="B2579" s="61"/>
      <c r="C2579" s="23"/>
      <c r="D2579" s="26"/>
      <c r="E2579" s="23"/>
      <c r="F2579" s="27"/>
      <c r="G2579" s="41"/>
      <c r="H2579" s="41"/>
      <c r="I2579" s="41"/>
      <c r="J2579" s="23"/>
    </row>
    <row r="2580" spans="1:10" ht="15" customHeight="1" x14ac:dyDescent="0.35">
      <c r="A2580" s="23"/>
      <c r="B2580" s="61"/>
      <c r="C2580" s="23"/>
      <c r="D2580" s="26"/>
      <c r="E2580" s="23"/>
      <c r="F2580" s="27"/>
      <c r="G2580" s="41"/>
      <c r="H2580" s="41"/>
      <c r="I2580" s="41"/>
      <c r="J2580" s="23"/>
    </row>
    <row r="2581" spans="1:10" ht="15" customHeight="1" x14ac:dyDescent="0.35">
      <c r="A2581" s="23"/>
      <c r="B2581" s="61"/>
      <c r="C2581" s="23"/>
      <c r="D2581" s="26"/>
      <c r="E2581" s="23"/>
      <c r="F2581" s="27"/>
      <c r="G2581" s="41"/>
      <c r="H2581" s="41"/>
      <c r="I2581" s="41"/>
      <c r="J2581" s="23"/>
    </row>
    <row r="2582" spans="1:10" ht="15" customHeight="1" x14ac:dyDescent="0.35">
      <c r="A2582" s="23"/>
      <c r="B2582" s="61"/>
      <c r="C2582" s="23"/>
      <c r="D2582" s="26"/>
      <c r="E2582" s="23"/>
      <c r="F2582" s="27"/>
      <c r="G2582" s="41"/>
      <c r="H2582" s="41"/>
      <c r="I2582" s="41"/>
      <c r="J2582" s="23"/>
    </row>
    <row r="2583" spans="1:10" ht="15" customHeight="1" x14ac:dyDescent="0.35">
      <c r="A2583" s="23"/>
      <c r="B2583" s="61"/>
      <c r="C2583" s="23"/>
      <c r="D2583" s="26"/>
      <c r="E2583" s="23"/>
      <c r="F2583" s="27"/>
      <c r="G2583" s="41"/>
      <c r="H2583" s="41"/>
      <c r="I2583" s="41"/>
      <c r="J2583" s="23"/>
    </row>
    <row r="2584" spans="1:10" ht="15" customHeight="1" x14ac:dyDescent="0.35">
      <c r="A2584" s="23"/>
      <c r="B2584" s="61"/>
      <c r="C2584" s="23"/>
      <c r="D2584" s="26"/>
      <c r="E2584" s="23"/>
      <c r="F2584" s="27"/>
      <c r="G2584" s="41"/>
      <c r="H2584" s="41"/>
      <c r="I2584" s="41"/>
      <c r="J2584" s="23"/>
    </row>
    <row r="2585" spans="1:10" ht="15" customHeight="1" x14ac:dyDescent="0.35">
      <c r="A2585" s="23"/>
      <c r="B2585" s="61"/>
      <c r="C2585" s="23"/>
      <c r="D2585" s="26"/>
      <c r="E2585" s="23"/>
      <c r="F2585" s="27"/>
      <c r="G2585" s="41"/>
      <c r="H2585" s="41"/>
      <c r="I2585" s="41"/>
      <c r="J2585" s="23"/>
    </row>
    <row r="2586" spans="1:10" ht="15" customHeight="1" x14ac:dyDescent="0.35">
      <c r="A2586" s="23"/>
      <c r="B2586" s="61"/>
      <c r="C2586" s="23"/>
      <c r="D2586" s="26"/>
      <c r="E2586" s="23"/>
      <c r="F2586" s="27"/>
      <c r="G2586" s="41"/>
      <c r="H2586" s="41"/>
      <c r="I2586" s="41"/>
      <c r="J2586" s="23"/>
    </row>
    <row r="2587" spans="1:10" ht="15" customHeight="1" x14ac:dyDescent="0.35">
      <c r="A2587" s="23"/>
      <c r="B2587" s="61"/>
      <c r="C2587" s="23"/>
      <c r="D2587" s="26"/>
      <c r="E2587" s="23"/>
      <c r="F2587" s="27"/>
      <c r="G2587" s="41"/>
      <c r="H2587" s="41"/>
      <c r="I2587" s="41"/>
      <c r="J2587" s="23"/>
    </row>
    <row r="2588" spans="1:10" ht="15" customHeight="1" x14ac:dyDescent="0.35">
      <c r="A2588" s="23"/>
      <c r="B2588" s="61"/>
      <c r="C2588" s="23"/>
      <c r="D2588" s="26"/>
      <c r="E2588" s="23"/>
      <c r="F2588" s="27"/>
      <c r="G2588" s="41"/>
      <c r="H2588" s="41"/>
      <c r="I2588" s="41"/>
      <c r="J2588" s="23"/>
    </row>
    <row r="2589" spans="1:10" ht="15" customHeight="1" x14ac:dyDescent="0.35">
      <c r="A2589" s="23"/>
      <c r="B2589" s="61"/>
      <c r="C2589" s="23"/>
      <c r="D2589" s="26"/>
      <c r="E2589" s="23"/>
      <c r="F2589" s="27"/>
      <c r="G2589" s="41"/>
      <c r="H2589" s="41"/>
      <c r="I2589" s="41"/>
      <c r="J2589" s="23"/>
    </row>
    <row r="2590" spans="1:10" ht="15" customHeight="1" x14ac:dyDescent="0.35">
      <c r="A2590" s="23"/>
      <c r="B2590" s="61"/>
      <c r="C2590" s="23"/>
      <c r="D2590" s="26"/>
      <c r="E2590" s="23"/>
      <c r="F2590" s="27"/>
      <c r="G2590" s="41"/>
      <c r="H2590" s="41"/>
      <c r="I2590" s="41"/>
      <c r="J2590" s="23"/>
    </row>
    <row r="2591" spans="1:10" ht="15" customHeight="1" x14ac:dyDescent="0.35">
      <c r="A2591" s="23"/>
      <c r="B2591" s="61"/>
      <c r="C2591" s="23"/>
      <c r="D2591" s="26"/>
      <c r="E2591" s="23"/>
      <c r="F2591" s="27"/>
      <c r="G2591" s="41"/>
      <c r="H2591" s="41"/>
      <c r="I2591" s="41"/>
      <c r="J2591" s="23"/>
    </row>
    <row r="2592" spans="1:10" ht="15" customHeight="1" x14ac:dyDescent="0.35">
      <c r="A2592" s="23"/>
      <c r="B2592" s="61"/>
      <c r="C2592" s="23"/>
      <c r="D2592" s="26"/>
      <c r="E2592" s="23"/>
      <c r="F2592" s="27"/>
      <c r="G2592" s="41"/>
      <c r="H2592" s="41"/>
      <c r="I2592" s="41"/>
      <c r="J2592" s="23"/>
    </row>
    <row r="2593" spans="1:10" ht="15" customHeight="1" x14ac:dyDescent="0.35">
      <c r="A2593" s="23"/>
      <c r="B2593" s="61"/>
      <c r="C2593" s="23"/>
      <c r="D2593" s="26"/>
      <c r="E2593" s="23"/>
      <c r="F2593" s="27"/>
      <c r="G2593" s="41"/>
      <c r="H2593" s="41"/>
      <c r="I2593" s="41"/>
      <c r="J2593" s="23"/>
    </row>
    <row r="2594" spans="1:10" ht="15" customHeight="1" x14ac:dyDescent="0.35">
      <c r="A2594" s="23"/>
      <c r="B2594" s="61"/>
      <c r="C2594" s="23"/>
      <c r="D2594" s="26"/>
      <c r="E2594" s="23"/>
      <c r="F2594" s="27"/>
      <c r="G2594" s="41"/>
      <c r="H2594" s="41"/>
      <c r="I2594" s="41"/>
      <c r="J2594" s="23"/>
    </row>
    <row r="2595" spans="1:10" ht="15" customHeight="1" x14ac:dyDescent="0.35">
      <c r="A2595" s="23"/>
      <c r="B2595" s="61"/>
      <c r="C2595" s="23"/>
      <c r="D2595" s="26"/>
      <c r="E2595" s="23"/>
      <c r="F2595" s="27"/>
      <c r="G2595" s="41"/>
      <c r="H2595" s="41"/>
      <c r="I2595" s="41"/>
      <c r="J2595" s="23"/>
    </row>
    <row r="2596" spans="1:10" ht="15" customHeight="1" x14ac:dyDescent="0.35">
      <c r="A2596" s="23"/>
      <c r="B2596" s="61"/>
      <c r="C2596" s="23"/>
      <c r="D2596" s="26"/>
      <c r="E2596" s="23"/>
      <c r="F2596" s="27"/>
      <c r="G2596" s="41"/>
      <c r="H2596" s="41"/>
      <c r="I2596" s="41"/>
      <c r="J2596" s="23"/>
    </row>
    <row r="2597" spans="1:10" ht="15" customHeight="1" x14ac:dyDescent="0.35">
      <c r="A2597" s="23"/>
      <c r="B2597" s="61"/>
      <c r="C2597" s="23"/>
      <c r="D2597" s="26"/>
      <c r="E2597" s="23"/>
      <c r="F2597" s="27"/>
      <c r="G2597" s="41"/>
      <c r="H2597" s="41"/>
      <c r="I2597" s="41"/>
      <c r="J2597" s="23"/>
    </row>
    <row r="2598" spans="1:10" ht="15" customHeight="1" x14ac:dyDescent="0.35">
      <c r="A2598" s="23"/>
      <c r="B2598" s="61"/>
      <c r="C2598" s="23"/>
      <c r="D2598" s="26"/>
      <c r="E2598" s="23"/>
      <c r="F2598" s="27"/>
      <c r="G2598" s="41"/>
      <c r="H2598" s="41"/>
      <c r="I2598" s="41"/>
      <c r="J2598" s="23"/>
    </row>
    <row r="2599" spans="1:10" ht="15" customHeight="1" x14ac:dyDescent="0.35">
      <c r="A2599" s="23"/>
      <c r="B2599" s="61"/>
      <c r="C2599" s="23"/>
      <c r="D2599" s="26"/>
      <c r="E2599" s="23"/>
      <c r="F2599" s="27"/>
      <c r="G2599" s="41"/>
      <c r="H2599" s="41"/>
      <c r="I2599" s="41"/>
      <c r="J2599" s="23"/>
    </row>
    <row r="2600" spans="1:10" ht="15" customHeight="1" x14ac:dyDescent="0.35">
      <c r="A2600" s="23"/>
      <c r="B2600" s="61"/>
      <c r="C2600" s="23"/>
      <c r="D2600" s="26"/>
      <c r="E2600" s="23"/>
      <c r="F2600" s="27"/>
      <c r="G2600" s="41"/>
      <c r="H2600" s="41"/>
      <c r="I2600" s="41"/>
      <c r="J2600" s="23"/>
    </row>
    <row r="2601" spans="1:10" ht="15" customHeight="1" x14ac:dyDescent="0.35">
      <c r="A2601" s="23"/>
      <c r="B2601" s="61"/>
      <c r="C2601" s="23"/>
      <c r="D2601" s="26"/>
      <c r="E2601" s="23"/>
      <c r="F2601" s="27"/>
      <c r="G2601" s="41"/>
      <c r="H2601" s="41"/>
      <c r="I2601" s="41"/>
      <c r="J2601" s="23"/>
    </row>
    <row r="2602" spans="1:10" ht="15" customHeight="1" x14ac:dyDescent="0.35">
      <c r="A2602" s="23"/>
      <c r="B2602" s="61"/>
      <c r="C2602" s="23"/>
      <c r="D2602" s="26"/>
      <c r="E2602" s="23"/>
      <c r="F2602" s="27"/>
      <c r="G2602" s="41"/>
      <c r="H2602" s="41"/>
      <c r="I2602" s="41"/>
      <c r="J2602" s="23"/>
    </row>
    <row r="2603" spans="1:10" ht="15" customHeight="1" x14ac:dyDescent="0.35">
      <c r="A2603" s="23"/>
      <c r="B2603" s="61"/>
      <c r="C2603" s="23"/>
      <c r="D2603" s="26"/>
      <c r="E2603" s="23"/>
      <c r="F2603" s="27"/>
      <c r="G2603" s="41"/>
      <c r="H2603" s="41"/>
      <c r="I2603" s="41"/>
      <c r="J2603" s="23"/>
    </row>
    <row r="2604" spans="1:10" ht="15" customHeight="1" x14ac:dyDescent="0.35">
      <c r="A2604" s="23"/>
      <c r="B2604" s="61"/>
      <c r="C2604" s="23"/>
      <c r="D2604" s="26"/>
      <c r="E2604" s="23"/>
      <c r="F2604" s="27"/>
      <c r="G2604" s="41"/>
      <c r="H2604" s="41"/>
      <c r="I2604" s="41"/>
      <c r="J2604" s="23"/>
    </row>
    <row r="2605" spans="1:10" ht="15" customHeight="1" x14ac:dyDescent="0.35">
      <c r="A2605" s="23"/>
      <c r="B2605" s="61"/>
      <c r="C2605" s="23"/>
      <c r="D2605" s="26"/>
      <c r="E2605" s="23"/>
      <c r="F2605" s="27"/>
      <c r="G2605" s="41"/>
      <c r="H2605" s="41"/>
      <c r="I2605" s="41"/>
      <c r="J2605" s="23"/>
    </row>
    <row r="2606" spans="1:10" ht="15" customHeight="1" x14ac:dyDescent="0.35">
      <c r="A2606" s="23"/>
      <c r="B2606" s="61"/>
      <c r="C2606" s="23"/>
      <c r="D2606" s="26"/>
      <c r="E2606" s="23"/>
      <c r="F2606" s="27"/>
      <c r="G2606" s="41"/>
      <c r="H2606" s="41"/>
      <c r="I2606" s="41"/>
      <c r="J2606" s="23"/>
    </row>
    <row r="2607" spans="1:10" ht="15" customHeight="1" x14ac:dyDescent="0.35">
      <c r="A2607" s="23"/>
      <c r="B2607" s="61"/>
      <c r="C2607" s="23"/>
      <c r="D2607" s="26"/>
      <c r="E2607" s="23"/>
      <c r="F2607" s="27"/>
      <c r="G2607" s="41"/>
      <c r="H2607" s="41"/>
      <c r="I2607" s="41"/>
      <c r="J2607" s="23"/>
    </row>
    <row r="2608" spans="1:10" ht="15" customHeight="1" x14ac:dyDescent="0.35">
      <c r="A2608" s="23"/>
      <c r="B2608" s="61"/>
      <c r="C2608" s="23"/>
      <c r="D2608" s="26"/>
      <c r="E2608" s="23"/>
      <c r="F2608" s="27"/>
      <c r="G2608" s="41"/>
      <c r="H2608" s="41"/>
      <c r="I2608" s="41"/>
      <c r="J2608" s="23"/>
    </row>
    <row r="2609" spans="1:10" ht="15" customHeight="1" x14ac:dyDescent="0.35">
      <c r="A2609" s="23"/>
      <c r="B2609" s="61"/>
      <c r="C2609" s="23"/>
      <c r="D2609" s="26"/>
      <c r="E2609" s="23"/>
      <c r="F2609" s="27"/>
      <c r="G2609" s="41"/>
      <c r="H2609" s="41"/>
      <c r="I2609" s="41"/>
      <c r="J2609" s="23"/>
    </row>
    <row r="2610" spans="1:10" ht="15" customHeight="1" x14ac:dyDescent="0.35">
      <c r="A2610" s="23"/>
      <c r="B2610" s="61"/>
      <c r="C2610" s="23"/>
      <c r="D2610" s="26"/>
      <c r="E2610" s="23"/>
      <c r="F2610" s="27"/>
      <c r="G2610" s="41"/>
      <c r="H2610" s="41"/>
      <c r="I2610" s="41"/>
      <c r="J2610" s="23"/>
    </row>
    <row r="2611" spans="1:10" ht="15" customHeight="1" x14ac:dyDescent="0.35">
      <c r="A2611" s="23"/>
      <c r="B2611" s="61"/>
      <c r="C2611" s="23"/>
      <c r="D2611" s="26"/>
      <c r="E2611" s="23"/>
      <c r="F2611" s="27"/>
      <c r="G2611" s="41"/>
      <c r="H2611" s="41"/>
      <c r="I2611" s="41"/>
      <c r="J2611" s="23"/>
    </row>
    <row r="2612" spans="1:10" ht="15" customHeight="1" x14ac:dyDescent="0.35">
      <c r="A2612" s="23"/>
      <c r="B2612" s="61"/>
      <c r="C2612" s="23"/>
      <c r="D2612" s="26"/>
      <c r="E2612" s="23"/>
      <c r="F2612" s="27"/>
      <c r="G2612" s="41"/>
      <c r="H2612" s="41"/>
      <c r="I2612" s="41"/>
      <c r="J2612" s="23"/>
    </row>
    <row r="2613" spans="1:10" ht="15" customHeight="1" x14ac:dyDescent="0.35">
      <c r="A2613" s="23"/>
      <c r="B2613" s="61"/>
      <c r="C2613" s="23"/>
      <c r="D2613" s="26"/>
      <c r="E2613" s="23"/>
      <c r="F2613" s="27"/>
      <c r="G2613" s="41"/>
      <c r="H2613" s="41"/>
      <c r="I2613" s="41"/>
      <c r="J2613" s="23"/>
    </row>
    <row r="2614" spans="1:10" ht="15" customHeight="1" x14ac:dyDescent="0.35">
      <c r="A2614" s="23"/>
      <c r="B2614" s="61"/>
      <c r="C2614" s="23"/>
      <c r="D2614" s="26"/>
      <c r="E2614" s="23"/>
      <c r="F2614" s="27"/>
      <c r="G2614" s="41"/>
      <c r="H2614" s="41"/>
      <c r="I2614" s="41"/>
      <c r="J2614" s="23"/>
    </row>
    <row r="2615" spans="1:10" ht="15" customHeight="1" x14ac:dyDescent="0.35">
      <c r="A2615" s="23"/>
      <c r="B2615" s="61"/>
      <c r="C2615" s="23"/>
      <c r="D2615" s="26"/>
      <c r="E2615" s="23"/>
      <c r="F2615" s="27"/>
      <c r="G2615" s="41"/>
      <c r="H2615" s="41"/>
      <c r="I2615" s="41"/>
      <c r="J2615" s="23"/>
    </row>
    <row r="2616" spans="1:10" ht="15" customHeight="1" x14ac:dyDescent="0.35">
      <c r="A2616" s="23"/>
      <c r="B2616" s="61"/>
      <c r="C2616" s="23"/>
      <c r="D2616" s="26"/>
      <c r="E2616" s="23"/>
      <c r="F2616" s="27"/>
      <c r="G2616" s="41"/>
      <c r="H2616" s="41"/>
      <c r="I2616" s="41"/>
      <c r="J2616" s="23"/>
    </row>
    <row r="2617" spans="1:10" ht="15" customHeight="1" x14ac:dyDescent="0.35">
      <c r="A2617" s="23"/>
      <c r="B2617" s="61"/>
      <c r="C2617" s="23"/>
      <c r="D2617" s="26"/>
      <c r="E2617" s="23"/>
      <c r="F2617" s="27"/>
      <c r="G2617" s="41"/>
      <c r="H2617" s="41"/>
      <c r="I2617" s="41"/>
      <c r="J2617" s="23"/>
    </row>
    <row r="2618" spans="1:10" ht="15" customHeight="1" x14ac:dyDescent="0.35">
      <c r="A2618" s="23"/>
      <c r="B2618" s="61"/>
      <c r="C2618" s="23"/>
      <c r="D2618" s="26"/>
      <c r="E2618" s="23"/>
      <c r="F2618" s="27"/>
      <c r="G2618" s="41"/>
      <c r="H2618" s="41"/>
      <c r="I2618" s="41"/>
      <c r="J2618" s="23"/>
    </row>
    <row r="2619" spans="1:10" ht="15" customHeight="1" x14ac:dyDescent="0.35">
      <c r="A2619" s="23"/>
      <c r="B2619" s="61"/>
      <c r="C2619" s="23"/>
      <c r="D2619" s="26"/>
      <c r="E2619" s="23"/>
      <c r="F2619" s="27"/>
      <c r="G2619" s="41"/>
      <c r="H2619" s="41"/>
      <c r="I2619" s="41"/>
      <c r="J2619" s="23"/>
    </row>
    <row r="2620" spans="1:10" ht="15" customHeight="1" x14ac:dyDescent="0.35">
      <c r="A2620" s="23"/>
      <c r="B2620" s="61"/>
      <c r="C2620" s="23"/>
      <c r="D2620" s="26"/>
      <c r="E2620" s="23"/>
      <c r="F2620" s="27"/>
      <c r="G2620" s="41"/>
      <c r="H2620" s="41"/>
      <c r="I2620" s="41"/>
      <c r="J2620" s="23"/>
    </row>
    <row r="2621" spans="1:10" ht="15" customHeight="1" x14ac:dyDescent="0.35">
      <c r="A2621" s="23"/>
      <c r="B2621" s="61"/>
      <c r="C2621" s="23"/>
      <c r="D2621" s="26"/>
      <c r="E2621" s="23"/>
      <c r="F2621" s="27"/>
      <c r="G2621" s="41"/>
      <c r="H2621" s="41"/>
      <c r="I2621" s="41"/>
      <c r="J2621" s="23"/>
    </row>
    <row r="2622" spans="1:10" ht="15" customHeight="1" x14ac:dyDescent="0.35">
      <c r="A2622" s="23"/>
      <c r="B2622" s="61"/>
      <c r="C2622" s="23"/>
      <c r="D2622" s="26"/>
      <c r="E2622" s="23"/>
      <c r="F2622" s="27"/>
      <c r="G2622" s="41"/>
      <c r="H2622" s="41"/>
      <c r="I2622" s="41"/>
      <c r="J2622" s="23"/>
    </row>
    <row r="2623" spans="1:10" ht="15" customHeight="1" x14ac:dyDescent="0.35">
      <c r="A2623" s="23"/>
      <c r="B2623" s="61"/>
      <c r="C2623" s="23"/>
      <c r="D2623" s="26"/>
      <c r="E2623" s="23"/>
      <c r="F2623" s="27"/>
      <c r="G2623" s="41"/>
      <c r="H2623" s="41"/>
      <c r="I2623" s="41"/>
      <c r="J2623" s="23"/>
    </row>
    <row r="2624" spans="1:10" ht="15" customHeight="1" x14ac:dyDescent="0.35">
      <c r="A2624" s="23"/>
      <c r="B2624" s="61"/>
      <c r="C2624" s="23"/>
      <c r="D2624" s="26"/>
      <c r="E2624" s="23"/>
      <c r="F2624" s="27"/>
      <c r="G2624" s="41"/>
      <c r="H2624" s="41"/>
      <c r="I2624" s="41"/>
      <c r="J2624" s="23"/>
    </row>
    <row r="2625" spans="1:10" ht="15" customHeight="1" x14ac:dyDescent="0.35">
      <c r="A2625" s="23"/>
      <c r="B2625" s="61"/>
      <c r="C2625" s="23"/>
      <c r="D2625" s="26"/>
      <c r="E2625" s="23"/>
      <c r="F2625" s="27"/>
      <c r="G2625" s="41"/>
      <c r="H2625" s="41"/>
      <c r="I2625" s="41"/>
      <c r="J2625" s="23"/>
    </row>
    <row r="2626" spans="1:10" ht="15" customHeight="1" x14ac:dyDescent="0.35">
      <c r="A2626" s="23"/>
      <c r="B2626" s="61"/>
      <c r="C2626" s="23"/>
      <c r="D2626" s="26"/>
      <c r="E2626" s="23"/>
      <c r="F2626" s="27"/>
      <c r="G2626" s="41"/>
      <c r="H2626" s="41"/>
      <c r="I2626" s="41"/>
      <c r="J2626" s="23"/>
    </row>
    <row r="2627" spans="1:10" ht="15" customHeight="1" x14ac:dyDescent="0.35">
      <c r="A2627" s="23"/>
      <c r="B2627" s="61"/>
      <c r="C2627" s="23"/>
      <c r="D2627" s="26"/>
      <c r="E2627" s="23"/>
      <c r="F2627" s="27"/>
      <c r="G2627" s="41"/>
      <c r="H2627" s="41"/>
      <c r="I2627" s="41"/>
      <c r="J2627" s="23"/>
    </row>
    <row r="2628" spans="1:10" ht="15" customHeight="1" x14ac:dyDescent="0.35">
      <c r="A2628" s="23"/>
      <c r="B2628" s="61"/>
      <c r="C2628" s="23"/>
      <c r="D2628" s="26"/>
      <c r="E2628" s="23"/>
      <c r="F2628" s="27"/>
      <c r="G2628" s="41"/>
      <c r="H2628" s="41"/>
      <c r="I2628" s="41"/>
      <c r="J2628" s="23"/>
    </row>
    <row r="2629" spans="1:10" ht="15" customHeight="1" x14ac:dyDescent="0.35">
      <c r="A2629" s="23"/>
      <c r="B2629" s="61"/>
      <c r="C2629" s="23"/>
      <c r="D2629" s="26"/>
      <c r="E2629" s="23"/>
      <c r="F2629" s="27"/>
      <c r="G2629" s="41"/>
      <c r="H2629" s="41"/>
      <c r="I2629" s="41"/>
      <c r="J2629" s="23"/>
    </row>
    <row r="2630" spans="1:10" ht="15" customHeight="1" x14ac:dyDescent="0.35">
      <c r="A2630" s="23"/>
      <c r="B2630" s="61"/>
      <c r="C2630" s="23"/>
      <c r="D2630" s="26"/>
      <c r="E2630" s="23"/>
      <c r="F2630" s="27"/>
      <c r="G2630" s="41"/>
      <c r="H2630" s="41"/>
      <c r="I2630" s="41"/>
      <c r="J2630" s="23"/>
    </row>
    <row r="2631" spans="1:10" ht="15" customHeight="1" x14ac:dyDescent="0.35">
      <c r="A2631" s="23"/>
      <c r="B2631" s="61"/>
      <c r="C2631" s="23"/>
      <c r="D2631" s="26"/>
      <c r="E2631" s="23"/>
      <c r="F2631" s="27"/>
      <c r="G2631" s="41"/>
      <c r="H2631" s="41"/>
      <c r="I2631" s="41"/>
      <c r="J2631" s="23"/>
    </row>
    <row r="2632" spans="1:10" ht="15" customHeight="1" x14ac:dyDescent="0.35">
      <c r="A2632" s="23"/>
      <c r="B2632" s="61"/>
      <c r="C2632" s="23"/>
      <c r="D2632" s="26"/>
      <c r="E2632" s="23"/>
      <c r="F2632" s="27"/>
      <c r="G2632" s="41"/>
      <c r="H2632" s="41"/>
      <c r="I2632" s="41"/>
      <c r="J2632" s="23"/>
    </row>
    <row r="2633" spans="1:10" ht="15" customHeight="1" x14ac:dyDescent="0.35">
      <c r="A2633" s="23"/>
      <c r="B2633" s="61"/>
      <c r="C2633" s="23"/>
      <c r="D2633" s="26"/>
      <c r="E2633" s="23"/>
      <c r="F2633" s="27"/>
      <c r="G2633" s="41"/>
      <c r="H2633" s="41"/>
      <c r="I2633" s="41"/>
      <c r="J2633" s="23"/>
    </row>
    <row r="2634" spans="1:10" ht="15" customHeight="1" x14ac:dyDescent="0.35">
      <c r="A2634" s="23"/>
      <c r="B2634" s="61"/>
      <c r="C2634" s="23"/>
      <c r="D2634" s="26"/>
      <c r="E2634" s="23"/>
      <c r="F2634" s="27"/>
      <c r="G2634" s="41"/>
      <c r="H2634" s="41"/>
      <c r="I2634" s="41"/>
      <c r="J2634" s="23"/>
    </row>
    <row r="2635" spans="1:10" ht="15" customHeight="1" x14ac:dyDescent="0.35">
      <c r="A2635" s="23"/>
      <c r="B2635" s="61"/>
      <c r="C2635" s="23"/>
      <c r="D2635" s="26"/>
      <c r="E2635" s="23"/>
      <c r="F2635" s="27"/>
      <c r="G2635" s="41"/>
      <c r="H2635" s="41"/>
      <c r="I2635" s="41"/>
      <c r="J2635" s="23"/>
    </row>
    <row r="2636" spans="1:10" ht="15" customHeight="1" x14ac:dyDescent="0.35">
      <c r="A2636" s="23"/>
      <c r="B2636" s="61"/>
      <c r="C2636" s="23"/>
      <c r="D2636" s="26"/>
      <c r="E2636" s="23"/>
      <c r="F2636" s="27"/>
      <c r="G2636" s="41"/>
      <c r="H2636" s="41"/>
      <c r="I2636" s="41"/>
      <c r="J2636" s="23"/>
    </row>
    <row r="2637" spans="1:10" ht="15" customHeight="1" x14ac:dyDescent="0.35">
      <c r="A2637" s="23"/>
      <c r="B2637" s="61"/>
      <c r="C2637" s="23"/>
      <c r="D2637" s="26"/>
      <c r="E2637" s="23"/>
      <c r="F2637" s="27"/>
      <c r="G2637" s="41"/>
      <c r="H2637" s="41"/>
      <c r="I2637" s="41"/>
      <c r="J2637" s="23"/>
    </row>
    <row r="2638" spans="1:10" ht="15" customHeight="1" x14ac:dyDescent="0.35">
      <c r="A2638" s="23"/>
      <c r="B2638" s="61"/>
      <c r="C2638" s="23"/>
      <c r="D2638" s="26"/>
      <c r="E2638" s="23"/>
      <c r="F2638" s="27"/>
      <c r="G2638" s="41"/>
      <c r="H2638" s="41"/>
      <c r="I2638" s="41"/>
      <c r="J2638" s="23"/>
    </row>
    <row r="2639" spans="1:10" ht="15" customHeight="1" x14ac:dyDescent="0.35">
      <c r="A2639" s="23"/>
      <c r="B2639" s="61"/>
      <c r="C2639" s="23"/>
      <c r="D2639" s="26"/>
      <c r="E2639" s="23"/>
      <c r="F2639" s="27"/>
      <c r="G2639" s="41"/>
      <c r="H2639" s="41"/>
      <c r="I2639" s="41"/>
      <c r="J2639" s="23"/>
    </row>
    <row r="2640" spans="1:10" ht="15" customHeight="1" x14ac:dyDescent="0.35">
      <c r="A2640" s="23"/>
      <c r="B2640" s="61"/>
      <c r="C2640" s="23"/>
      <c r="D2640" s="26"/>
      <c r="E2640" s="23"/>
      <c r="F2640" s="27"/>
      <c r="G2640" s="41"/>
      <c r="H2640" s="41"/>
      <c r="I2640" s="41"/>
      <c r="J2640" s="23"/>
    </row>
    <row r="2641" spans="1:10" ht="15" customHeight="1" x14ac:dyDescent="0.35">
      <c r="A2641" s="23"/>
      <c r="B2641" s="61"/>
      <c r="C2641" s="23"/>
      <c r="D2641" s="26"/>
      <c r="E2641" s="23"/>
      <c r="F2641" s="27"/>
      <c r="G2641" s="41"/>
      <c r="H2641" s="41"/>
      <c r="I2641" s="41"/>
      <c r="J2641" s="23"/>
    </row>
    <row r="2642" spans="1:10" ht="15" customHeight="1" x14ac:dyDescent="0.35">
      <c r="A2642" s="23"/>
      <c r="B2642" s="61"/>
      <c r="C2642" s="23"/>
      <c r="D2642" s="26"/>
      <c r="E2642" s="23"/>
      <c r="F2642" s="27"/>
      <c r="G2642" s="41"/>
      <c r="H2642" s="41"/>
      <c r="I2642" s="41"/>
      <c r="J2642" s="23"/>
    </row>
    <row r="2643" spans="1:10" ht="15" customHeight="1" x14ac:dyDescent="0.35">
      <c r="A2643" s="23"/>
      <c r="B2643" s="61"/>
      <c r="C2643" s="23"/>
      <c r="D2643" s="26"/>
      <c r="E2643" s="23"/>
      <c r="F2643" s="27"/>
      <c r="G2643" s="41"/>
      <c r="H2643" s="41"/>
      <c r="I2643" s="41"/>
      <c r="J2643" s="23"/>
    </row>
    <row r="2644" spans="1:10" ht="15" customHeight="1" x14ac:dyDescent="0.35">
      <c r="A2644" s="23"/>
      <c r="B2644" s="61"/>
      <c r="C2644" s="23"/>
      <c r="D2644" s="26"/>
      <c r="E2644" s="23"/>
      <c r="F2644" s="27"/>
      <c r="G2644" s="41"/>
      <c r="H2644" s="41"/>
      <c r="I2644" s="41"/>
      <c r="J2644" s="23"/>
    </row>
    <row r="2645" spans="1:10" ht="15" customHeight="1" x14ac:dyDescent="0.35">
      <c r="A2645" s="23"/>
      <c r="B2645" s="61"/>
      <c r="C2645" s="23"/>
      <c r="D2645" s="26"/>
      <c r="E2645" s="23"/>
      <c r="F2645" s="27"/>
      <c r="G2645" s="41"/>
      <c r="H2645" s="41"/>
      <c r="I2645" s="41"/>
      <c r="J2645" s="23"/>
    </row>
    <row r="2646" spans="1:10" ht="15" customHeight="1" x14ac:dyDescent="0.35">
      <c r="A2646" s="23"/>
      <c r="B2646" s="61"/>
      <c r="C2646" s="23"/>
      <c r="D2646" s="26"/>
      <c r="E2646" s="23"/>
      <c r="F2646" s="27"/>
      <c r="G2646" s="41"/>
      <c r="H2646" s="41"/>
      <c r="I2646" s="41"/>
      <c r="J2646" s="23"/>
    </row>
    <row r="2647" spans="1:10" ht="15" customHeight="1" x14ac:dyDescent="0.35">
      <c r="A2647" s="23"/>
      <c r="B2647" s="61"/>
      <c r="C2647" s="23"/>
      <c r="D2647" s="26"/>
      <c r="E2647" s="23"/>
      <c r="F2647" s="27"/>
      <c r="G2647" s="41"/>
      <c r="H2647" s="41"/>
      <c r="I2647" s="41"/>
      <c r="J2647" s="23"/>
    </row>
    <row r="2648" spans="1:10" ht="15" customHeight="1" x14ac:dyDescent="0.35">
      <c r="A2648" s="23"/>
      <c r="B2648" s="61"/>
      <c r="C2648" s="23"/>
      <c r="D2648" s="26"/>
      <c r="E2648" s="23"/>
      <c r="F2648" s="27"/>
      <c r="G2648" s="41"/>
      <c r="H2648" s="41"/>
      <c r="I2648" s="41"/>
      <c r="J2648" s="23"/>
    </row>
    <row r="2649" spans="1:10" ht="15" customHeight="1" x14ac:dyDescent="0.35">
      <c r="A2649" s="23"/>
      <c r="B2649" s="61"/>
      <c r="C2649" s="23"/>
      <c r="D2649" s="26"/>
      <c r="E2649" s="23"/>
      <c r="F2649" s="27"/>
      <c r="G2649" s="41"/>
      <c r="H2649" s="41"/>
      <c r="I2649" s="41"/>
      <c r="J2649" s="23"/>
    </row>
    <row r="2650" spans="1:10" ht="15" customHeight="1" x14ac:dyDescent="0.35">
      <c r="A2650" s="23"/>
      <c r="B2650" s="61"/>
      <c r="C2650" s="23"/>
      <c r="D2650" s="26"/>
      <c r="E2650" s="23"/>
      <c r="F2650" s="27"/>
      <c r="G2650" s="41"/>
      <c r="H2650" s="41"/>
      <c r="I2650" s="41"/>
      <c r="J2650" s="23"/>
    </row>
    <row r="2651" spans="1:10" ht="15" customHeight="1" x14ac:dyDescent="0.35">
      <c r="A2651" s="23"/>
      <c r="B2651" s="61"/>
      <c r="C2651" s="23"/>
      <c r="D2651" s="26"/>
      <c r="E2651" s="23"/>
      <c r="F2651" s="27"/>
      <c r="G2651" s="41"/>
      <c r="H2651" s="41"/>
      <c r="I2651" s="41"/>
      <c r="J2651" s="23"/>
    </row>
    <row r="2652" spans="1:10" ht="15" customHeight="1" x14ac:dyDescent="0.35">
      <c r="A2652" s="23"/>
      <c r="B2652" s="61"/>
      <c r="C2652" s="23"/>
      <c r="D2652" s="26"/>
      <c r="E2652" s="23"/>
      <c r="F2652" s="27"/>
      <c r="G2652" s="41"/>
      <c r="H2652" s="41"/>
      <c r="I2652" s="41"/>
      <c r="J2652" s="23"/>
    </row>
    <row r="2653" spans="1:10" ht="15" customHeight="1" x14ac:dyDescent="0.35">
      <c r="A2653" s="23"/>
      <c r="B2653" s="61"/>
      <c r="C2653" s="23"/>
      <c r="D2653" s="26"/>
      <c r="E2653" s="23"/>
      <c r="F2653" s="27"/>
      <c r="G2653" s="41"/>
      <c r="H2653" s="41"/>
      <c r="I2653" s="41"/>
      <c r="J2653" s="23"/>
    </row>
    <row r="2654" spans="1:10" ht="15" customHeight="1" x14ac:dyDescent="0.35">
      <c r="A2654" s="23"/>
      <c r="B2654" s="61"/>
      <c r="C2654" s="23"/>
      <c r="D2654" s="26"/>
      <c r="E2654" s="23"/>
      <c r="F2654" s="27"/>
      <c r="G2654" s="41"/>
      <c r="H2654" s="41"/>
      <c r="I2654" s="41"/>
      <c r="J2654" s="23"/>
    </row>
    <row r="2655" spans="1:10" ht="15" customHeight="1" x14ac:dyDescent="0.35">
      <c r="A2655" s="23"/>
      <c r="B2655" s="61"/>
      <c r="C2655" s="23"/>
      <c r="D2655" s="26"/>
      <c r="E2655" s="23"/>
      <c r="F2655" s="27"/>
      <c r="G2655" s="41"/>
      <c r="H2655" s="41"/>
      <c r="I2655" s="41"/>
      <c r="J2655" s="23"/>
    </row>
    <row r="2656" spans="1:10" ht="15" customHeight="1" x14ac:dyDescent="0.35">
      <c r="A2656" s="23"/>
      <c r="B2656" s="61"/>
      <c r="C2656" s="23"/>
      <c r="D2656" s="26"/>
      <c r="E2656" s="23"/>
      <c r="F2656" s="27"/>
      <c r="G2656" s="41"/>
      <c r="H2656" s="41"/>
      <c r="I2656" s="41"/>
      <c r="J2656" s="23"/>
    </row>
    <row r="2657" spans="1:10" ht="15" customHeight="1" x14ac:dyDescent="0.35">
      <c r="A2657" s="23"/>
      <c r="B2657" s="61"/>
      <c r="C2657" s="23"/>
      <c r="D2657" s="26"/>
      <c r="E2657" s="23"/>
      <c r="F2657" s="27"/>
      <c r="G2657" s="41"/>
      <c r="H2657" s="41"/>
      <c r="I2657" s="41"/>
      <c r="J2657" s="23"/>
    </row>
    <row r="2658" spans="1:10" ht="15" customHeight="1" x14ac:dyDescent="0.35">
      <c r="A2658" s="23"/>
      <c r="B2658" s="61"/>
      <c r="C2658" s="23"/>
      <c r="D2658" s="26"/>
      <c r="E2658" s="23"/>
      <c r="F2658" s="27"/>
      <c r="G2658" s="41"/>
      <c r="H2658" s="41"/>
      <c r="I2658" s="41"/>
      <c r="J2658" s="23"/>
    </row>
    <row r="2659" spans="1:10" ht="15" customHeight="1" x14ac:dyDescent="0.35">
      <c r="A2659" s="23"/>
      <c r="B2659" s="61"/>
      <c r="C2659" s="23"/>
      <c r="D2659" s="26"/>
      <c r="E2659" s="23"/>
      <c r="F2659" s="27"/>
      <c r="G2659" s="41"/>
      <c r="H2659" s="41"/>
      <c r="I2659" s="41"/>
      <c r="J2659" s="23"/>
    </row>
    <row r="2660" spans="1:10" ht="15" customHeight="1" x14ac:dyDescent="0.35">
      <c r="A2660" s="23"/>
      <c r="B2660" s="61"/>
      <c r="C2660" s="23"/>
      <c r="D2660" s="26"/>
      <c r="E2660" s="23"/>
      <c r="F2660" s="27"/>
      <c r="G2660" s="41"/>
      <c r="H2660" s="41"/>
      <c r="I2660" s="41"/>
      <c r="J2660" s="23"/>
    </row>
    <row r="2661" spans="1:10" ht="15" customHeight="1" x14ac:dyDescent="0.35">
      <c r="A2661" s="23"/>
      <c r="B2661" s="61"/>
      <c r="C2661" s="23"/>
      <c r="D2661" s="26"/>
      <c r="E2661" s="23"/>
      <c r="F2661" s="27"/>
      <c r="G2661" s="41"/>
      <c r="H2661" s="41"/>
      <c r="I2661" s="41"/>
      <c r="J2661" s="23"/>
    </row>
    <row r="2662" spans="1:10" ht="15" customHeight="1" x14ac:dyDescent="0.35">
      <c r="A2662" s="23"/>
      <c r="B2662" s="61"/>
      <c r="C2662" s="23"/>
      <c r="D2662" s="26"/>
      <c r="E2662" s="23"/>
      <c r="F2662" s="27"/>
      <c r="G2662" s="41"/>
      <c r="H2662" s="41"/>
      <c r="I2662" s="41"/>
      <c r="J2662" s="23"/>
    </row>
    <row r="2663" spans="1:10" ht="15" customHeight="1" x14ac:dyDescent="0.35">
      <c r="A2663" s="23"/>
      <c r="B2663" s="61"/>
      <c r="C2663" s="23"/>
      <c r="D2663" s="26"/>
      <c r="E2663" s="23"/>
      <c r="F2663" s="27"/>
      <c r="G2663" s="41"/>
      <c r="H2663" s="41"/>
      <c r="I2663" s="41"/>
      <c r="J2663" s="23"/>
    </row>
    <row r="2664" spans="1:10" ht="15" customHeight="1" x14ac:dyDescent="0.35">
      <c r="A2664" s="23"/>
      <c r="B2664" s="61"/>
      <c r="C2664" s="23"/>
      <c r="D2664" s="26"/>
      <c r="E2664" s="23"/>
      <c r="F2664" s="27"/>
      <c r="G2664" s="41"/>
      <c r="H2664" s="41"/>
      <c r="I2664" s="41"/>
      <c r="J2664" s="23"/>
    </row>
    <row r="2665" spans="1:10" ht="15" customHeight="1" x14ac:dyDescent="0.35">
      <c r="A2665" s="23"/>
      <c r="B2665" s="61"/>
      <c r="C2665" s="23"/>
      <c r="D2665" s="26"/>
      <c r="E2665" s="23"/>
      <c r="F2665" s="27"/>
      <c r="G2665" s="41"/>
      <c r="H2665" s="41"/>
      <c r="I2665" s="41"/>
      <c r="J2665" s="23"/>
    </row>
    <row r="2666" spans="1:10" ht="15" customHeight="1" x14ac:dyDescent="0.35">
      <c r="A2666" s="23"/>
      <c r="B2666" s="61"/>
      <c r="C2666" s="23"/>
      <c r="D2666" s="26"/>
      <c r="E2666" s="23"/>
      <c r="F2666" s="27"/>
      <c r="G2666" s="41"/>
      <c r="H2666" s="41"/>
      <c r="I2666" s="41"/>
      <c r="J2666" s="23"/>
    </row>
    <row r="2667" spans="1:10" ht="15" customHeight="1" x14ac:dyDescent="0.35">
      <c r="A2667" s="23"/>
      <c r="B2667" s="61"/>
      <c r="C2667" s="23"/>
      <c r="D2667" s="26"/>
      <c r="E2667" s="23"/>
      <c r="F2667" s="27"/>
      <c r="G2667" s="41"/>
      <c r="H2667" s="41"/>
      <c r="I2667" s="41"/>
      <c r="J2667" s="23"/>
    </row>
    <row r="2668" spans="1:10" ht="15" customHeight="1" x14ac:dyDescent="0.35">
      <c r="A2668" s="23"/>
      <c r="B2668" s="61"/>
      <c r="C2668" s="23"/>
      <c r="D2668" s="26"/>
      <c r="E2668" s="23"/>
      <c r="F2668" s="27"/>
      <c r="G2668" s="41"/>
      <c r="H2668" s="41"/>
      <c r="I2668" s="41"/>
      <c r="J2668" s="23"/>
    </row>
    <row r="2669" spans="1:10" ht="15" customHeight="1" x14ac:dyDescent="0.35">
      <c r="A2669" s="23"/>
      <c r="B2669" s="61"/>
      <c r="C2669" s="23"/>
      <c r="D2669" s="26"/>
      <c r="E2669" s="23"/>
      <c r="F2669" s="27"/>
      <c r="G2669" s="41"/>
      <c r="H2669" s="41"/>
      <c r="I2669" s="41"/>
      <c r="J2669" s="23"/>
    </row>
    <row r="2670" spans="1:10" ht="15" customHeight="1" x14ac:dyDescent="0.35">
      <c r="A2670" s="23"/>
      <c r="B2670" s="61"/>
      <c r="C2670" s="23"/>
      <c r="D2670" s="26"/>
      <c r="E2670" s="23"/>
      <c r="F2670" s="27"/>
      <c r="G2670" s="41"/>
      <c r="H2670" s="41"/>
      <c r="I2670" s="41"/>
      <c r="J2670" s="23"/>
    </row>
    <row r="2671" spans="1:10" ht="15" customHeight="1" x14ac:dyDescent="0.35">
      <c r="A2671" s="23"/>
      <c r="B2671" s="61"/>
      <c r="C2671" s="23"/>
      <c r="D2671" s="26"/>
      <c r="E2671" s="23"/>
      <c r="F2671" s="27"/>
      <c r="G2671" s="41"/>
      <c r="H2671" s="41"/>
      <c r="I2671" s="41"/>
      <c r="J2671" s="23"/>
    </row>
    <row r="2672" spans="1:10" ht="15" customHeight="1" x14ac:dyDescent="0.35">
      <c r="A2672" s="23"/>
      <c r="B2672" s="61"/>
      <c r="C2672" s="23"/>
      <c r="D2672" s="26"/>
      <c r="E2672" s="23"/>
      <c r="F2672" s="27"/>
      <c r="G2672" s="41"/>
      <c r="H2672" s="41"/>
      <c r="I2672" s="41"/>
      <c r="J2672" s="23"/>
    </row>
    <row r="2673" spans="1:10" ht="15" customHeight="1" x14ac:dyDescent="0.35">
      <c r="A2673" s="23"/>
      <c r="B2673" s="61"/>
      <c r="C2673" s="23"/>
      <c r="D2673" s="26"/>
      <c r="E2673" s="23"/>
      <c r="F2673" s="27"/>
      <c r="G2673" s="41"/>
      <c r="H2673" s="41"/>
      <c r="I2673" s="41"/>
      <c r="J2673" s="23"/>
    </row>
    <row r="2674" spans="1:10" ht="15" customHeight="1" x14ac:dyDescent="0.35">
      <c r="A2674" s="23"/>
      <c r="B2674" s="61"/>
      <c r="C2674" s="23"/>
      <c r="D2674" s="26"/>
      <c r="E2674" s="23"/>
      <c r="F2674" s="27"/>
      <c r="G2674" s="41"/>
      <c r="H2674" s="41"/>
      <c r="I2674" s="41"/>
      <c r="J2674" s="23"/>
    </row>
    <row r="2675" spans="1:10" ht="15" customHeight="1" x14ac:dyDescent="0.35">
      <c r="A2675" s="23"/>
      <c r="B2675" s="61"/>
      <c r="C2675" s="23"/>
      <c r="D2675" s="26"/>
      <c r="E2675" s="23"/>
      <c r="F2675" s="27"/>
      <c r="G2675" s="41"/>
      <c r="H2675" s="41"/>
      <c r="I2675" s="41"/>
      <c r="J2675" s="23"/>
    </row>
    <row r="2676" spans="1:10" ht="15" customHeight="1" x14ac:dyDescent="0.35">
      <c r="A2676" s="23"/>
      <c r="B2676" s="61"/>
      <c r="C2676" s="23"/>
      <c r="D2676" s="26"/>
      <c r="E2676" s="23"/>
      <c r="F2676" s="27"/>
      <c r="G2676" s="41"/>
      <c r="H2676" s="41"/>
      <c r="I2676" s="41"/>
      <c r="J2676" s="23"/>
    </row>
    <row r="2677" spans="1:10" ht="15" customHeight="1" x14ac:dyDescent="0.35">
      <c r="A2677" s="23"/>
      <c r="B2677" s="61"/>
      <c r="C2677" s="23"/>
      <c r="D2677" s="26"/>
      <c r="E2677" s="23"/>
      <c r="F2677" s="27"/>
      <c r="G2677" s="41"/>
      <c r="H2677" s="41"/>
      <c r="I2677" s="41"/>
      <c r="J2677" s="23"/>
    </row>
    <row r="2678" spans="1:10" ht="15" customHeight="1" x14ac:dyDescent="0.35">
      <c r="A2678" s="23"/>
      <c r="B2678" s="61"/>
      <c r="C2678" s="23"/>
      <c r="D2678" s="26"/>
      <c r="E2678" s="23"/>
      <c r="F2678" s="27"/>
      <c r="G2678" s="41"/>
      <c r="H2678" s="41"/>
      <c r="I2678" s="41"/>
      <c r="J2678" s="23"/>
    </row>
    <row r="2679" spans="1:10" ht="15" customHeight="1" x14ac:dyDescent="0.35">
      <c r="A2679" s="23"/>
      <c r="B2679" s="61"/>
      <c r="C2679" s="23"/>
      <c r="D2679" s="26"/>
      <c r="E2679" s="23"/>
      <c r="F2679" s="27"/>
      <c r="G2679" s="41"/>
      <c r="H2679" s="41"/>
      <c r="I2679" s="41"/>
      <c r="J2679" s="23"/>
    </row>
    <row r="2680" spans="1:10" ht="15" customHeight="1" x14ac:dyDescent="0.35">
      <c r="A2680" s="23"/>
      <c r="B2680" s="61"/>
      <c r="C2680" s="23"/>
      <c r="D2680" s="26"/>
      <c r="E2680" s="23"/>
      <c r="F2680" s="27"/>
      <c r="G2680" s="41"/>
      <c r="H2680" s="41"/>
      <c r="I2680" s="41"/>
      <c r="J2680" s="23"/>
    </row>
    <row r="2681" spans="1:10" ht="15" customHeight="1" x14ac:dyDescent="0.35">
      <c r="A2681" s="23"/>
      <c r="B2681" s="61"/>
      <c r="C2681" s="23"/>
      <c r="D2681" s="26"/>
      <c r="E2681" s="23"/>
      <c r="F2681" s="27"/>
      <c r="G2681" s="41"/>
      <c r="H2681" s="41"/>
      <c r="I2681" s="41"/>
      <c r="J2681" s="23"/>
    </row>
    <row r="2682" spans="1:10" ht="15" customHeight="1" x14ac:dyDescent="0.35">
      <c r="A2682" s="23"/>
      <c r="B2682" s="61"/>
      <c r="C2682" s="23"/>
      <c r="D2682" s="26"/>
      <c r="E2682" s="23"/>
      <c r="F2682" s="27"/>
      <c r="G2682" s="41"/>
      <c r="H2682" s="41"/>
      <c r="I2682" s="41"/>
      <c r="J2682" s="23"/>
    </row>
    <row r="2683" spans="1:10" ht="15" customHeight="1" x14ac:dyDescent="0.35">
      <c r="A2683" s="23"/>
      <c r="B2683" s="61"/>
      <c r="C2683" s="23"/>
      <c r="D2683" s="26"/>
      <c r="E2683" s="23"/>
      <c r="F2683" s="27"/>
      <c r="G2683" s="41"/>
      <c r="H2683" s="41"/>
      <c r="I2683" s="41"/>
      <c r="J2683" s="23"/>
    </row>
    <row r="2684" spans="1:10" ht="15" customHeight="1" x14ac:dyDescent="0.35">
      <c r="A2684" s="23"/>
      <c r="B2684" s="61"/>
      <c r="C2684" s="23"/>
      <c r="D2684" s="26"/>
      <c r="E2684" s="23"/>
      <c r="F2684" s="27"/>
      <c r="G2684" s="41"/>
      <c r="H2684" s="41"/>
      <c r="I2684" s="41"/>
      <c r="J2684" s="23"/>
    </row>
    <row r="2685" spans="1:10" ht="15" customHeight="1" x14ac:dyDescent="0.35">
      <c r="A2685" s="23"/>
      <c r="B2685" s="61"/>
      <c r="C2685" s="23"/>
      <c r="D2685" s="26"/>
      <c r="E2685" s="23"/>
      <c r="F2685" s="27"/>
      <c r="G2685" s="41"/>
      <c r="H2685" s="41"/>
      <c r="I2685" s="41"/>
      <c r="J2685" s="23"/>
    </row>
    <row r="2686" spans="1:10" ht="15" customHeight="1" x14ac:dyDescent="0.35">
      <c r="A2686" s="23"/>
      <c r="B2686" s="61"/>
      <c r="C2686" s="23"/>
      <c r="D2686" s="26"/>
      <c r="E2686" s="23"/>
      <c r="F2686" s="27"/>
      <c r="G2686" s="41"/>
      <c r="H2686" s="41"/>
      <c r="I2686" s="41"/>
      <c r="J2686" s="23"/>
    </row>
    <row r="2687" spans="1:10" ht="15" customHeight="1" x14ac:dyDescent="0.35">
      <c r="A2687" s="23"/>
      <c r="B2687" s="61"/>
      <c r="C2687" s="23"/>
      <c r="D2687" s="26"/>
      <c r="E2687" s="23"/>
      <c r="F2687" s="27"/>
      <c r="G2687" s="41"/>
      <c r="H2687" s="41"/>
      <c r="I2687" s="41"/>
      <c r="J2687" s="23"/>
    </row>
    <row r="2688" spans="1:10" ht="15" customHeight="1" x14ac:dyDescent="0.35">
      <c r="A2688" s="23"/>
      <c r="B2688" s="61"/>
      <c r="C2688" s="23"/>
      <c r="D2688" s="26"/>
      <c r="E2688" s="23"/>
      <c r="F2688" s="27"/>
      <c r="G2688" s="41"/>
      <c r="H2688" s="41"/>
      <c r="I2688" s="41"/>
      <c r="J2688" s="23"/>
    </row>
  </sheetData>
  <pageMargins left="0.7" right="0.7" top="0.75" bottom="0.75" header="0" footer="0"/>
  <pageSetup scale="70" fitToWidth="0" fitToHeight="0" orientation="landscape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231"/>
  <sheetViews>
    <sheetView showGridLines="0" showZero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7" sqref="B27"/>
    </sheetView>
  </sheetViews>
  <sheetFormatPr baseColWidth="10" defaultColWidth="14.453125" defaultRowHeight="15" customHeight="1" x14ac:dyDescent="0.35"/>
  <cols>
    <col min="1" max="1" width="11.7265625" style="4" customWidth="1"/>
    <col min="2" max="2" width="36" style="58" bestFit="1" customWidth="1"/>
    <col min="3" max="3" width="13" style="4" customWidth="1"/>
    <col min="4" max="4" width="12.54296875" style="4" customWidth="1"/>
    <col min="5" max="5" width="15" style="4" customWidth="1"/>
    <col min="6" max="16384" width="14.453125" style="4"/>
  </cols>
  <sheetData>
    <row r="1" spans="1:6" ht="14.25" customHeight="1" x14ac:dyDescent="0.35">
      <c r="A1" s="3" t="s">
        <v>0</v>
      </c>
      <c r="B1" s="54" t="s">
        <v>1</v>
      </c>
      <c r="C1" s="3" t="s">
        <v>5</v>
      </c>
      <c r="D1" s="3" t="s">
        <v>6</v>
      </c>
      <c r="E1" s="3" t="s">
        <v>7</v>
      </c>
    </row>
    <row r="2" spans="1:6" ht="14.25" customHeight="1" x14ac:dyDescent="0.35">
      <c r="A2" s="1">
        <v>301749</v>
      </c>
      <c r="B2" s="55" t="s">
        <v>8</v>
      </c>
      <c r="C2" s="5">
        <f>SUMIF(ENTRADAS!A:A,INVENTARIO!A2,ENTRADAS!C:C)</f>
        <v>3562.2</v>
      </c>
      <c r="D2" s="5">
        <f>SUMIF(SALIDAS!A:A,INVENTARIO!A2,SALIDAS!C:C)</f>
        <v>2043</v>
      </c>
      <c r="E2" s="5">
        <f>C2-D2</f>
        <v>1519.1999999999998</v>
      </c>
    </row>
    <row r="3" spans="1:6" ht="14.25" customHeight="1" x14ac:dyDescent="0.35">
      <c r="A3" s="2">
        <v>2002262</v>
      </c>
      <c r="B3" s="56" t="s">
        <v>10</v>
      </c>
      <c r="C3" s="6">
        <f>SUMIF(ENTRADAS!A:A,INVENTARIO!A3,ENTRADAS!C:C)</f>
        <v>4475</v>
      </c>
      <c r="D3" s="6">
        <f>SUMIF(SALIDAS!A:A,INVENTARIO!A3,SALIDAS!C:C)</f>
        <v>2871</v>
      </c>
      <c r="E3" s="5">
        <f t="shared" ref="E3:E66" si="0">C3-D3</f>
        <v>1604</v>
      </c>
    </row>
    <row r="4" spans="1:6" ht="14.25" customHeight="1" x14ac:dyDescent="0.35">
      <c r="A4" s="2">
        <v>2002263</v>
      </c>
      <c r="B4" s="56" t="s">
        <v>11</v>
      </c>
      <c r="C4" s="7">
        <f>SUMIF(ENTRADAS!A:A,INVENTARIO!A4,ENTRADAS!C:C)</f>
        <v>2838</v>
      </c>
      <c r="D4" s="7">
        <f>SUMIF(SALIDAS!A:A,INVENTARIO!A4,SALIDAS!C:C)</f>
        <v>2035.35</v>
      </c>
      <c r="E4" s="5">
        <f t="shared" si="0"/>
        <v>802.65000000000009</v>
      </c>
    </row>
    <row r="5" spans="1:6" ht="14.25" customHeight="1" x14ac:dyDescent="0.35">
      <c r="A5" s="2">
        <v>2002264</v>
      </c>
      <c r="B5" s="56" t="s">
        <v>12</v>
      </c>
      <c r="C5" s="7">
        <f>SUMIF(ENTRADAS!A:A,INVENTARIO!A5,ENTRADAS!C:C)</f>
        <v>0</v>
      </c>
      <c r="D5" s="7">
        <f>SUMIF(SALIDAS!A:A,INVENTARIO!A5,SALIDAS!C:C)</f>
        <v>0</v>
      </c>
      <c r="E5" s="5">
        <f t="shared" si="0"/>
        <v>0</v>
      </c>
    </row>
    <row r="6" spans="1:6" ht="14.25" customHeight="1" x14ac:dyDescent="0.35">
      <c r="A6" s="2">
        <v>302065</v>
      </c>
      <c r="B6" s="56" t="s">
        <v>13</v>
      </c>
      <c r="C6" s="7">
        <f>SUMIF(ENTRADAS!A:A,INVENTARIO!A6,ENTRADAS!C:C)</f>
        <v>3878</v>
      </c>
      <c r="D6" s="7">
        <f>SUMIF(SALIDAS!A:A,INVENTARIO!A6,SALIDAS!C:C)</f>
        <v>2928</v>
      </c>
      <c r="E6" s="5">
        <f t="shared" si="0"/>
        <v>950</v>
      </c>
    </row>
    <row r="7" spans="1:6" ht="14.25" customHeight="1" x14ac:dyDescent="0.35">
      <c r="A7" s="2">
        <v>300820</v>
      </c>
      <c r="B7" s="56" t="s">
        <v>14</v>
      </c>
      <c r="C7" s="7">
        <f>SUMIF(ENTRADAS!A:A,INVENTARIO!A7,ENTRADAS!C:C)</f>
        <v>780</v>
      </c>
      <c r="D7" s="7">
        <f>SUMIF(SALIDAS!A:A,INVENTARIO!A7,SALIDAS!C:C)</f>
        <v>780</v>
      </c>
      <c r="E7" s="5">
        <f t="shared" si="0"/>
        <v>0</v>
      </c>
    </row>
    <row r="8" spans="1:6" ht="14.25" customHeight="1" x14ac:dyDescent="0.35">
      <c r="A8" s="2">
        <v>302758</v>
      </c>
      <c r="B8" s="56" t="s">
        <v>15</v>
      </c>
      <c r="C8" s="7">
        <f>SUMIF(ENTRADAS!A:A,INVENTARIO!A8,ENTRADAS!C:C)</f>
        <v>0</v>
      </c>
      <c r="D8" s="7">
        <f>SUMIF(SALIDAS!A:A,INVENTARIO!A8,SALIDAS!C:C)</f>
        <v>0</v>
      </c>
      <c r="E8" s="5">
        <f t="shared" si="0"/>
        <v>0</v>
      </c>
    </row>
    <row r="9" spans="1:6" ht="14.25" customHeight="1" x14ac:dyDescent="0.35">
      <c r="A9" s="2">
        <v>301751</v>
      </c>
      <c r="B9" s="56" t="s">
        <v>170</v>
      </c>
      <c r="C9" s="7">
        <f>SUMIF(ENTRADAS!A:A,INVENTARIO!A9,ENTRADAS!C:C)</f>
        <v>8</v>
      </c>
      <c r="D9" s="7">
        <f>SUMIF(SALIDAS!A:A,INVENTARIO!A9,SALIDAS!C:C)</f>
        <v>3</v>
      </c>
      <c r="E9" s="5">
        <f t="shared" si="0"/>
        <v>5</v>
      </c>
    </row>
    <row r="10" spans="1:6" ht="14.25" customHeight="1" x14ac:dyDescent="0.35">
      <c r="A10" s="2">
        <v>2007948</v>
      </c>
      <c r="B10" s="56" t="s">
        <v>16</v>
      </c>
      <c r="C10" s="7">
        <f>SUMIF(ENTRADAS!A:A,INVENTARIO!A10,ENTRADAS!C:C)</f>
        <v>422</v>
      </c>
      <c r="D10" s="7">
        <f>SUMIF(SALIDAS!A:A,INVENTARIO!A10,SALIDAS!C:C)</f>
        <v>132</v>
      </c>
      <c r="E10" s="5">
        <f t="shared" si="0"/>
        <v>290</v>
      </c>
    </row>
    <row r="11" spans="1:6" ht="14.25" customHeight="1" x14ac:dyDescent="0.35">
      <c r="A11" s="2">
        <v>300203</v>
      </c>
      <c r="B11" s="56" t="s">
        <v>213</v>
      </c>
      <c r="C11" s="7">
        <f>SUMIF(ENTRADAS!A:A,INVENTARIO!A11,ENTRADAS!C:C)</f>
        <v>0</v>
      </c>
      <c r="D11" s="7">
        <f>SUMIF(SALIDAS!A:A,INVENTARIO!A11,SALIDAS!C:C)</f>
        <v>0</v>
      </c>
      <c r="E11" s="5">
        <f t="shared" si="0"/>
        <v>0</v>
      </c>
    </row>
    <row r="12" spans="1:6" ht="14.25" customHeight="1" x14ac:dyDescent="0.35">
      <c r="A12" s="2">
        <v>2003735</v>
      </c>
      <c r="B12" s="56" t="s">
        <v>17</v>
      </c>
      <c r="C12" s="7">
        <f>SUMIF(ENTRADAS!A:A,INVENTARIO!A12,ENTRADAS!C:C)</f>
        <v>0</v>
      </c>
      <c r="D12" s="7">
        <f>SUMIF(SALIDAS!A:A,INVENTARIO!A12,SALIDAS!C:C)</f>
        <v>0</v>
      </c>
      <c r="E12" s="5">
        <f t="shared" si="0"/>
        <v>0</v>
      </c>
    </row>
    <row r="13" spans="1:6" ht="14.25" customHeight="1" x14ac:dyDescent="0.35">
      <c r="A13" s="2">
        <v>2003965</v>
      </c>
      <c r="B13" s="56" t="s">
        <v>18</v>
      </c>
      <c r="C13" s="7">
        <f>SUMIF(ENTRADAS!A:A,INVENTARIO!A13,ENTRADAS!C:C)</f>
        <v>8</v>
      </c>
      <c r="D13" s="7">
        <f>SUMIF(SALIDAS!A:A,INVENTARIO!A13,SALIDAS!C:C)</f>
        <v>6</v>
      </c>
      <c r="E13" s="5">
        <f t="shared" si="0"/>
        <v>2</v>
      </c>
    </row>
    <row r="14" spans="1:6" ht="14.25" customHeight="1" x14ac:dyDescent="0.35">
      <c r="A14" s="2">
        <v>300414</v>
      </c>
      <c r="B14" s="56" t="s">
        <v>19</v>
      </c>
      <c r="C14" s="7">
        <f>SUMIF(ENTRADAS!A:A,INVENTARIO!A14,ENTRADAS!C:C)</f>
        <v>18</v>
      </c>
      <c r="D14" s="7">
        <f>SUMIF(SALIDAS!A:A,INVENTARIO!A14,SALIDAS!C:C)</f>
        <v>13</v>
      </c>
      <c r="E14" s="5">
        <f t="shared" si="0"/>
        <v>5</v>
      </c>
      <c r="F14" s="69"/>
    </row>
    <row r="15" spans="1:6" ht="14.25" customHeight="1" x14ac:dyDescent="0.35">
      <c r="A15" s="2">
        <v>300736</v>
      </c>
      <c r="B15" s="56" t="s">
        <v>20</v>
      </c>
      <c r="C15" s="7">
        <f>SUMIF(ENTRADAS!A:A,INVENTARIO!A15,ENTRADAS!C:C)</f>
        <v>0</v>
      </c>
      <c r="D15" s="7">
        <f>SUMIF(SALIDAS!A:A,INVENTARIO!A15,SALIDAS!C:C)</f>
        <v>0</v>
      </c>
      <c r="E15" s="5">
        <f t="shared" si="0"/>
        <v>0</v>
      </c>
    </row>
    <row r="16" spans="1:6" ht="14.25" customHeight="1" x14ac:dyDescent="0.35">
      <c r="A16" s="2">
        <v>301099</v>
      </c>
      <c r="B16" s="56" t="s">
        <v>21</v>
      </c>
      <c r="C16" s="7">
        <f>SUMIF(ENTRADAS!A:A,INVENTARIO!A16,ENTRADAS!C:C)</f>
        <v>277</v>
      </c>
      <c r="D16" s="7">
        <f>SUMIF(SALIDAS!A:A,INVENTARIO!A16,SALIDAS!C:C)</f>
        <v>133</v>
      </c>
      <c r="E16" s="5">
        <f t="shared" si="0"/>
        <v>144</v>
      </c>
      <c r="F16" s="4">
        <v>150</v>
      </c>
    </row>
    <row r="17" spans="1:6" ht="14.25" customHeight="1" x14ac:dyDescent="0.35">
      <c r="A17" s="2">
        <v>2003966</v>
      </c>
      <c r="B17" s="56" t="s">
        <v>22</v>
      </c>
      <c r="C17" s="7">
        <f>SUMIF(ENTRADAS!A:A,INVENTARIO!A17,ENTRADAS!C:C)</f>
        <v>0</v>
      </c>
      <c r="D17" s="7">
        <f>SUMIF(SALIDAS!A:A,INVENTARIO!A17,SALIDAS!C:C)</f>
        <v>0</v>
      </c>
      <c r="E17" s="5">
        <f t="shared" si="0"/>
        <v>0</v>
      </c>
    </row>
    <row r="18" spans="1:6" ht="14.25" customHeight="1" x14ac:dyDescent="0.35">
      <c r="A18" s="2">
        <v>301770</v>
      </c>
      <c r="B18" s="56" t="s">
        <v>23</v>
      </c>
      <c r="C18" s="7">
        <f>SUMIF(ENTRADAS!A:A,INVENTARIO!A18,ENTRADAS!C:C)</f>
        <v>3</v>
      </c>
      <c r="D18" s="7">
        <f>SUMIF(SALIDAS!A:A,INVENTARIO!A18,SALIDAS!C:C)</f>
        <v>3</v>
      </c>
      <c r="E18" s="5">
        <f t="shared" si="0"/>
        <v>0</v>
      </c>
    </row>
    <row r="19" spans="1:6" ht="14.25" customHeight="1" x14ac:dyDescent="0.35">
      <c r="A19" s="2">
        <v>2003736</v>
      </c>
      <c r="B19" s="56" t="s">
        <v>24</v>
      </c>
      <c r="C19" s="7">
        <f>SUMIF(ENTRADAS!A:A,INVENTARIO!A19,ENTRADAS!C:C)</f>
        <v>9</v>
      </c>
      <c r="D19" s="7">
        <f>SUMIF(SALIDAS!A:A,INVENTARIO!A19,SALIDAS!C:C)</f>
        <v>6</v>
      </c>
      <c r="E19" s="5">
        <f t="shared" si="0"/>
        <v>3</v>
      </c>
      <c r="F19" s="69"/>
    </row>
    <row r="20" spans="1:6" ht="14.25" customHeight="1" x14ac:dyDescent="0.35">
      <c r="A20" s="2">
        <v>2003911</v>
      </c>
      <c r="B20" s="56" t="s">
        <v>25</v>
      </c>
      <c r="C20" s="7">
        <f>SUMIF(ENTRADAS!A:A,INVENTARIO!A20,ENTRADAS!C:C)</f>
        <v>635</v>
      </c>
      <c r="D20" s="7">
        <f>SUMIF(SALIDAS!A:A,INVENTARIO!A20,SALIDAS!C:C)</f>
        <v>341</v>
      </c>
      <c r="E20" s="5">
        <f t="shared" si="0"/>
        <v>294</v>
      </c>
      <c r="F20" s="69">
        <v>234</v>
      </c>
    </row>
    <row r="21" spans="1:6" ht="14.25" customHeight="1" x14ac:dyDescent="0.35">
      <c r="A21" s="2">
        <v>2000350</v>
      </c>
      <c r="B21" s="56" t="s">
        <v>26</v>
      </c>
      <c r="C21" s="7">
        <f>SUMIF(ENTRADAS!A:A,INVENTARIO!A21,ENTRADAS!C:C)</f>
        <v>330</v>
      </c>
      <c r="D21" s="7">
        <f>SUMIF(SALIDAS!A:A,INVENTARIO!A21,SALIDAS!C:C)</f>
        <v>321</v>
      </c>
      <c r="E21" s="5">
        <f t="shared" si="0"/>
        <v>9</v>
      </c>
    </row>
    <row r="22" spans="1:6" ht="14.25" customHeight="1" x14ac:dyDescent="0.35">
      <c r="A22" s="2">
        <v>300230</v>
      </c>
      <c r="B22" s="56" t="s">
        <v>27</v>
      </c>
      <c r="C22" s="7">
        <f>SUMIF(ENTRADAS!A:A,INVENTARIO!A22,ENTRADAS!C:C)</f>
        <v>0</v>
      </c>
      <c r="D22" s="7">
        <f>SUMIF(SALIDAS!A:A,INVENTARIO!A22,SALIDAS!C:C)</f>
        <v>0</v>
      </c>
      <c r="E22" s="5">
        <f t="shared" si="0"/>
        <v>0</v>
      </c>
    </row>
    <row r="23" spans="1:6" ht="14.25" customHeight="1" x14ac:dyDescent="0.35">
      <c r="A23" s="2">
        <v>300118</v>
      </c>
      <c r="B23" s="56" t="s">
        <v>28</v>
      </c>
      <c r="C23" s="7">
        <f>SUMIF(ENTRADAS!A:A,INVENTARIO!A23,ENTRADAS!C:C)</f>
        <v>3</v>
      </c>
      <c r="D23" s="7">
        <f>SUMIF(SALIDAS!A:A,INVENTARIO!A23,SALIDAS!C:C)</f>
        <v>0</v>
      </c>
      <c r="E23" s="5">
        <f t="shared" si="0"/>
        <v>3</v>
      </c>
      <c r="F23" s="69"/>
    </row>
    <row r="24" spans="1:6" ht="14.25" customHeight="1" x14ac:dyDescent="0.35">
      <c r="A24" s="2">
        <v>301044</v>
      </c>
      <c r="B24" s="56" t="s">
        <v>29</v>
      </c>
      <c r="C24" s="7">
        <f>SUMIF(ENTRADAS!A:A,INVENTARIO!A24,ENTRADAS!C:C)</f>
        <v>25</v>
      </c>
      <c r="D24" s="7">
        <f>SUMIF(SALIDAS!A:A,INVENTARIO!A24,SALIDAS!C:C)</f>
        <v>10</v>
      </c>
      <c r="E24" s="5">
        <f t="shared" si="0"/>
        <v>15</v>
      </c>
      <c r="F24" s="69"/>
    </row>
    <row r="25" spans="1:6" ht="14.25" customHeight="1" x14ac:dyDescent="0.35">
      <c r="A25" s="2">
        <v>300532</v>
      </c>
      <c r="B25" s="56" t="s">
        <v>30</v>
      </c>
      <c r="C25" s="7">
        <f>SUMIF(ENTRADAS!A:A,INVENTARIO!A25,ENTRADAS!C:C)</f>
        <v>4</v>
      </c>
      <c r="D25" s="7">
        <f>SUMIF(SALIDAS!A:A,INVENTARIO!A25,SALIDAS!C:C)</f>
        <v>0</v>
      </c>
      <c r="E25" s="5">
        <f t="shared" si="0"/>
        <v>4</v>
      </c>
      <c r="F25" s="69"/>
    </row>
    <row r="26" spans="1:6" ht="14.25" customHeight="1" x14ac:dyDescent="0.35">
      <c r="A26" s="2">
        <v>302338</v>
      </c>
      <c r="B26" s="56" t="s">
        <v>31</v>
      </c>
      <c r="C26" s="7">
        <f>SUMIF(ENTRADAS!A:A,INVENTARIO!A26,ENTRADAS!C:C)</f>
        <v>31</v>
      </c>
      <c r="D26" s="7">
        <f>SUMIF(SALIDAS!A:A,INVENTARIO!A26,SALIDAS!C:C)</f>
        <v>22</v>
      </c>
      <c r="E26" s="5">
        <f t="shared" si="0"/>
        <v>9</v>
      </c>
    </row>
    <row r="27" spans="1:6" ht="14.25" customHeight="1" x14ac:dyDescent="0.35">
      <c r="A27" s="2">
        <v>301344</v>
      </c>
      <c r="B27" s="56" t="s">
        <v>32</v>
      </c>
      <c r="C27" s="7">
        <f>SUMIF(ENTRADAS!A:A,INVENTARIO!A27,ENTRADAS!C:C)</f>
        <v>0</v>
      </c>
      <c r="D27" s="7">
        <f>SUMIF(SALIDAS!A:A,INVENTARIO!A27,SALIDAS!C:C)</f>
        <v>0</v>
      </c>
      <c r="E27" s="5">
        <f t="shared" si="0"/>
        <v>0</v>
      </c>
    </row>
    <row r="28" spans="1:6" ht="14.25" customHeight="1" x14ac:dyDescent="0.35">
      <c r="A28" s="2">
        <v>302683</v>
      </c>
      <c r="B28" s="56" t="s">
        <v>33</v>
      </c>
      <c r="C28" s="7">
        <f>SUMIF(ENTRADAS!A:A,INVENTARIO!A28,ENTRADAS!C:C)</f>
        <v>14</v>
      </c>
      <c r="D28" s="7">
        <f>SUMIF(SALIDAS!A:A,INVENTARIO!A28,SALIDAS!C:C)</f>
        <v>10</v>
      </c>
      <c r="E28" s="5">
        <f t="shared" si="0"/>
        <v>4</v>
      </c>
    </row>
    <row r="29" spans="1:6" ht="14.25" customHeight="1" x14ac:dyDescent="0.35">
      <c r="A29" s="2">
        <v>300131</v>
      </c>
      <c r="B29" s="56" t="s">
        <v>34</v>
      </c>
      <c r="C29" s="7">
        <f>SUMIF(ENTRADAS!A:A,INVENTARIO!A29,ENTRADAS!C:C)</f>
        <v>0</v>
      </c>
      <c r="D29" s="7">
        <f>SUMIF(SALIDAS!A:A,INVENTARIO!A29,SALIDAS!C:C)</f>
        <v>0</v>
      </c>
      <c r="E29" s="5">
        <f t="shared" si="0"/>
        <v>0</v>
      </c>
    </row>
    <row r="30" spans="1:6" ht="14.25" customHeight="1" x14ac:dyDescent="0.35">
      <c r="A30" s="2">
        <v>2000195</v>
      </c>
      <c r="B30" s="56" t="s">
        <v>35</v>
      </c>
      <c r="C30" s="7">
        <f>SUMIF(ENTRADAS!A:A,INVENTARIO!A30,ENTRADAS!C:C)</f>
        <v>0</v>
      </c>
      <c r="D30" s="7">
        <f>SUMIF(SALIDAS!A:A,INVENTARIO!A30,SALIDAS!C:C)</f>
        <v>0</v>
      </c>
      <c r="E30" s="5">
        <f t="shared" si="0"/>
        <v>0</v>
      </c>
    </row>
    <row r="31" spans="1:6" ht="14.25" customHeight="1" x14ac:dyDescent="0.35">
      <c r="A31" s="2">
        <v>2003512</v>
      </c>
      <c r="B31" s="56" t="s">
        <v>36</v>
      </c>
      <c r="C31" s="7">
        <f>SUMIF(ENTRADAS!A:A,INVENTARIO!A31,ENTRADAS!C:C)</f>
        <v>0</v>
      </c>
      <c r="D31" s="7">
        <f>SUMIF(SALIDAS!A:A,INVENTARIO!A31,SALIDAS!C:C)</f>
        <v>0</v>
      </c>
      <c r="E31" s="5">
        <f t="shared" si="0"/>
        <v>0</v>
      </c>
    </row>
    <row r="32" spans="1:6" ht="14.25" customHeight="1" x14ac:dyDescent="0.35">
      <c r="A32" s="2">
        <v>303438</v>
      </c>
      <c r="B32" s="56" t="s">
        <v>37</v>
      </c>
      <c r="C32" s="7">
        <f>SUMIF(ENTRADAS!A:A,INVENTARIO!A32,ENTRADAS!C:C)</f>
        <v>0</v>
      </c>
      <c r="D32" s="7">
        <f>SUMIF(SALIDAS!A:A,INVENTARIO!A32,SALIDAS!C:C)</f>
        <v>0</v>
      </c>
      <c r="E32" s="5">
        <f t="shared" si="0"/>
        <v>0</v>
      </c>
    </row>
    <row r="33" spans="1:6" ht="14.25" customHeight="1" x14ac:dyDescent="0.35">
      <c r="A33" s="2">
        <v>302992</v>
      </c>
      <c r="B33" s="56" t="s">
        <v>38</v>
      </c>
      <c r="C33" s="7">
        <f>SUMIF(ENTRADAS!A:A,INVENTARIO!A33,ENTRADAS!C:C)</f>
        <v>66</v>
      </c>
      <c r="D33" s="7">
        <f>SUMIF(SALIDAS!A:A,INVENTARIO!A33,SALIDAS!C:C)</f>
        <v>48</v>
      </c>
      <c r="E33" s="48">
        <f t="shared" si="0"/>
        <v>18</v>
      </c>
    </row>
    <row r="34" spans="1:6" ht="14.25" customHeight="1" x14ac:dyDescent="0.35">
      <c r="A34" s="2">
        <v>302655</v>
      </c>
      <c r="B34" s="56" t="s">
        <v>39</v>
      </c>
      <c r="C34" s="7">
        <f>SUMIF(ENTRADAS!A:A,INVENTARIO!A34,ENTRADAS!C:C)</f>
        <v>0</v>
      </c>
      <c r="D34" s="7">
        <f>SUMIF(SALIDAS!A:A,INVENTARIO!A34,SALIDAS!C:C)</f>
        <v>0</v>
      </c>
      <c r="E34" s="5">
        <f t="shared" si="0"/>
        <v>0</v>
      </c>
    </row>
    <row r="35" spans="1:6" ht="14.25" customHeight="1" x14ac:dyDescent="0.35">
      <c r="A35" s="2">
        <v>301987</v>
      </c>
      <c r="B35" s="56" t="s">
        <v>40</v>
      </c>
      <c r="C35" s="7">
        <f>SUMIF(ENTRADAS!A:A,INVENTARIO!A35,ENTRADAS!C:C)</f>
        <v>48</v>
      </c>
      <c r="D35" s="7">
        <f>SUMIF(SALIDAS!A:A,INVENTARIO!A35,SALIDAS!C:C)</f>
        <v>48</v>
      </c>
      <c r="E35" s="5">
        <f t="shared" si="0"/>
        <v>0</v>
      </c>
    </row>
    <row r="36" spans="1:6" ht="14.25" customHeight="1" x14ac:dyDescent="0.35">
      <c r="A36" s="2">
        <v>303338</v>
      </c>
      <c r="B36" s="56" t="s">
        <v>41</v>
      </c>
      <c r="C36" s="7">
        <f>SUMIF(ENTRADAS!A:A,INVENTARIO!A36,ENTRADAS!C:C)</f>
        <v>0</v>
      </c>
      <c r="D36" s="7">
        <f>SUMIF(SALIDAS!A:A,INVENTARIO!A36,SALIDAS!C:C)</f>
        <v>0</v>
      </c>
      <c r="E36" s="5">
        <f t="shared" si="0"/>
        <v>0</v>
      </c>
    </row>
    <row r="37" spans="1:6" ht="14.25" customHeight="1" x14ac:dyDescent="0.35">
      <c r="A37" s="2">
        <v>303017</v>
      </c>
      <c r="B37" s="56" t="s">
        <v>42</v>
      </c>
      <c r="C37" s="7">
        <f>SUMIF(ENTRADAS!A:A,INVENTARIO!A37,ENTRADAS!C:C)</f>
        <v>66</v>
      </c>
      <c r="D37" s="7">
        <f>SUMIF(SALIDAS!A:A,INVENTARIO!A37,SALIDAS!C:C)</f>
        <v>41</v>
      </c>
      <c r="E37" s="5">
        <f t="shared" si="0"/>
        <v>25</v>
      </c>
    </row>
    <row r="38" spans="1:6" ht="14.25" customHeight="1" x14ac:dyDescent="0.35">
      <c r="A38" s="2">
        <v>302663</v>
      </c>
      <c r="B38" s="56" t="s">
        <v>43</v>
      </c>
      <c r="C38" s="7">
        <f>SUMIF(ENTRADAS!A:A,INVENTARIO!A38,ENTRADAS!C:C)</f>
        <v>0</v>
      </c>
      <c r="D38" s="7">
        <f>SUMIF(SALIDAS!A:A,INVENTARIO!A38,SALIDAS!C:C)</f>
        <v>0</v>
      </c>
      <c r="E38" s="5">
        <f t="shared" si="0"/>
        <v>0</v>
      </c>
    </row>
    <row r="39" spans="1:6" ht="14.25" customHeight="1" x14ac:dyDescent="0.35">
      <c r="A39" s="2">
        <v>301334</v>
      </c>
      <c r="B39" s="56" t="s">
        <v>44</v>
      </c>
      <c r="C39" s="7">
        <f>SUMIF(ENTRADAS!A:A,INVENTARIO!A39,ENTRADAS!C:C)</f>
        <v>17</v>
      </c>
      <c r="D39" s="7">
        <f>SUMIF(SALIDAS!A:A,INVENTARIO!A39,SALIDAS!C:C)</f>
        <v>13</v>
      </c>
      <c r="E39" s="5">
        <f t="shared" si="0"/>
        <v>4</v>
      </c>
    </row>
    <row r="40" spans="1:6" ht="14.25" customHeight="1" x14ac:dyDescent="0.35">
      <c r="A40" s="2">
        <v>2007387</v>
      </c>
      <c r="B40" s="56" t="s">
        <v>241</v>
      </c>
      <c r="C40" s="7">
        <f>SUMIF(ENTRADAS!A:A,INVENTARIO!A40,ENTRADAS!C:C)</f>
        <v>7</v>
      </c>
      <c r="D40" s="7">
        <f>SUMIF(SALIDAS!A:A,INVENTARIO!A40,SALIDAS!C:C)</f>
        <v>7</v>
      </c>
      <c r="E40" s="5">
        <f t="shared" si="0"/>
        <v>0</v>
      </c>
    </row>
    <row r="41" spans="1:6" ht="14.25" customHeight="1" x14ac:dyDescent="0.35">
      <c r="A41" s="2">
        <v>2000196</v>
      </c>
      <c r="B41" s="56" t="s">
        <v>45</v>
      </c>
      <c r="C41" s="7">
        <f>SUMIF(ENTRADAS!A:A,INVENTARIO!A41,ENTRADAS!C:C)</f>
        <v>0</v>
      </c>
      <c r="D41" s="7">
        <f>SUMIF(SALIDAS!A:A,INVENTARIO!A41,SALIDAS!C:C)</f>
        <v>0</v>
      </c>
      <c r="E41" s="5">
        <f t="shared" si="0"/>
        <v>0</v>
      </c>
    </row>
    <row r="42" spans="1:6" ht="14.25" customHeight="1" x14ac:dyDescent="0.35">
      <c r="A42" s="2">
        <v>2003511</v>
      </c>
      <c r="B42" s="56" t="s">
        <v>46</v>
      </c>
      <c r="C42" s="7">
        <f>SUMIF(ENTRADAS!A:A,INVENTARIO!A42,ENTRADAS!C:C)</f>
        <v>0</v>
      </c>
      <c r="D42" s="7">
        <f>SUMIF(SALIDAS!A:A,INVENTARIO!A42,SALIDAS!C:C)</f>
        <v>0</v>
      </c>
      <c r="E42" s="5">
        <f t="shared" si="0"/>
        <v>0</v>
      </c>
    </row>
    <row r="43" spans="1:6" ht="14.25" customHeight="1" x14ac:dyDescent="0.35">
      <c r="A43" s="2">
        <v>300342</v>
      </c>
      <c r="B43" s="56" t="s">
        <v>180</v>
      </c>
      <c r="C43" s="7">
        <f>SUMIF(ENTRADAS!A:A,INVENTARIO!A43,ENTRADAS!C:C)</f>
        <v>13</v>
      </c>
      <c r="D43" s="7">
        <f>SUMIF(SALIDAS!A:A,INVENTARIO!A43,SALIDAS!C:C)</f>
        <v>6</v>
      </c>
      <c r="E43" s="5">
        <f t="shared" si="0"/>
        <v>7</v>
      </c>
      <c r="F43" s="4">
        <v>9</v>
      </c>
    </row>
    <row r="44" spans="1:6" ht="14.25" customHeight="1" x14ac:dyDescent="0.35">
      <c r="A44" s="2">
        <v>2005135</v>
      </c>
      <c r="B44" s="56" t="s">
        <v>171</v>
      </c>
      <c r="C44" s="7">
        <f>SUMIF(ENTRADAS!A:A,INVENTARIO!A44,ENTRADAS!C:C)</f>
        <v>70.7</v>
      </c>
      <c r="D44" s="7">
        <f>SUMIF(SALIDAS!A:A,INVENTARIO!A44,SALIDAS!C:C)</f>
        <v>50</v>
      </c>
      <c r="E44" s="5">
        <f t="shared" si="0"/>
        <v>20.700000000000003</v>
      </c>
    </row>
    <row r="45" spans="1:6" ht="14.25" customHeight="1" x14ac:dyDescent="0.35">
      <c r="A45" s="2">
        <v>2005136</v>
      </c>
      <c r="B45" s="56" t="s">
        <v>47</v>
      </c>
      <c r="C45" s="7">
        <f>SUMIF(ENTRADAS!A:A,INVENTARIO!A45,ENTRADAS!C:C)</f>
        <v>26</v>
      </c>
      <c r="D45" s="7">
        <f>SUMIF(SALIDAS!A:A,INVENTARIO!A45,SALIDAS!C:C)</f>
        <v>28</v>
      </c>
      <c r="E45" s="5">
        <f t="shared" si="0"/>
        <v>-2</v>
      </c>
    </row>
    <row r="46" spans="1:6" ht="14.25" customHeight="1" x14ac:dyDescent="0.35">
      <c r="A46" s="2">
        <v>2005137</v>
      </c>
      <c r="B46" s="56" t="s">
        <v>48</v>
      </c>
      <c r="C46" s="7">
        <f>SUMIF(ENTRADAS!A:A,INVENTARIO!A46,ENTRADAS!C:C)</f>
        <v>9</v>
      </c>
      <c r="D46" s="7">
        <f>SUMIF(SALIDAS!A:A,INVENTARIO!A46,SALIDAS!C:C)</f>
        <v>5</v>
      </c>
      <c r="E46" s="5">
        <f t="shared" si="0"/>
        <v>4</v>
      </c>
    </row>
    <row r="47" spans="1:6" ht="14.25" customHeight="1" x14ac:dyDescent="0.35">
      <c r="A47" s="2">
        <v>2005138</v>
      </c>
      <c r="B47" s="56" t="s">
        <v>49</v>
      </c>
      <c r="C47" s="7">
        <f>SUMIF(ENTRADAS!A:A,INVENTARIO!A47,ENTRADAS!C:C)</f>
        <v>3</v>
      </c>
      <c r="D47" s="7">
        <f>SUMIF(SALIDAS!A:A,INVENTARIO!A47,SALIDAS!C:C)</f>
        <v>3</v>
      </c>
      <c r="E47" s="5">
        <f t="shared" si="0"/>
        <v>0</v>
      </c>
    </row>
    <row r="48" spans="1:6" ht="14.25" customHeight="1" x14ac:dyDescent="0.35">
      <c r="A48" s="2">
        <v>302184</v>
      </c>
      <c r="B48" s="56" t="s">
        <v>246</v>
      </c>
      <c r="C48" s="7">
        <f>SUMIF(ENTRADAS!A:A,INVENTARIO!A48,ENTRADAS!C:C)</f>
        <v>248</v>
      </c>
      <c r="D48" s="7">
        <f>SUMIF(SALIDAS!A:A,INVENTARIO!A48,SALIDAS!C:C)</f>
        <v>153</v>
      </c>
      <c r="E48" s="5">
        <f t="shared" si="0"/>
        <v>95</v>
      </c>
    </row>
    <row r="49" spans="1:6" ht="14.25" customHeight="1" x14ac:dyDescent="0.35">
      <c r="A49" s="2">
        <v>2008481</v>
      </c>
      <c r="B49" s="56" t="s">
        <v>245</v>
      </c>
      <c r="C49" s="7">
        <f>SUMIF(ENTRADAS!A:A,INVENTARIO!A49,ENTRADAS!C:C)</f>
        <v>349</v>
      </c>
      <c r="D49" s="7">
        <f>SUMIF(SALIDAS!A:A,INVENTARIO!A49,SALIDAS!C:C)</f>
        <v>192</v>
      </c>
      <c r="E49" s="5">
        <f t="shared" si="0"/>
        <v>157</v>
      </c>
      <c r="F49" s="4">
        <v>241</v>
      </c>
    </row>
    <row r="50" spans="1:6" ht="14.25" customHeight="1" x14ac:dyDescent="0.35">
      <c r="A50" s="2">
        <v>302737</v>
      </c>
      <c r="B50" s="56" t="s">
        <v>50</v>
      </c>
      <c r="C50" s="7">
        <f>SUMIF(ENTRADAS!A:A,INVENTARIO!A50,ENTRADAS!C:C)</f>
        <v>608</v>
      </c>
      <c r="D50" s="7">
        <f>SUMIF(SALIDAS!A:A,INVENTARIO!A50,SALIDAS!C:C)</f>
        <v>354</v>
      </c>
      <c r="E50" s="5">
        <f t="shared" si="0"/>
        <v>254</v>
      </c>
      <c r="F50" s="4">
        <v>236</v>
      </c>
    </row>
    <row r="51" spans="1:6" ht="14.25" customHeight="1" x14ac:dyDescent="0.35">
      <c r="A51" s="2">
        <v>303368</v>
      </c>
      <c r="B51" s="56" t="s">
        <v>51</v>
      </c>
      <c r="C51" s="7">
        <f>SUMIF(ENTRADAS!A:A,INVENTARIO!A51,ENTRADAS!C:C)</f>
        <v>16715</v>
      </c>
      <c r="D51" s="7">
        <f>SUMIF(SALIDAS!A:A,INVENTARIO!A51,SALIDAS!C:C)</f>
        <v>10849</v>
      </c>
      <c r="E51" s="5">
        <f t="shared" si="0"/>
        <v>5866</v>
      </c>
    </row>
    <row r="52" spans="1:6" ht="14.25" customHeight="1" x14ac:dyDescent="0.35">
      <c r="A52" s="2">
        <v>1002167</v>
      </c>
      <c r="B52" s="56" t="s">
        <v>52</v>
      </c>
      <c r="C52" s="7">
        <f>SUMIF(ENTRADAS!A:A,INVENTARIO!A52,ENTRADAS!C:C)</f>
        <v>16637</v>
      </c>
      <c r="D52" s="7">
        <f>SUMIF(SALIDAS!A:A,INVENTARIO!A52,SALIDAS!C:C)</f>
        <v>10566</v>
      </c>
      <c r="E52" s="5">
        <f t="shared" si="0"/>
        <v>6071</v>
      </c>
    </row>
    <row r="53" spans="1:6" ht="14.25" customHeight="1" x14ac:dyDescent="0.35">
      <c r="A53" s="2">
        <v>1000720</v>
      </c>
      <c r="B53" s="56" t="s">
        <v>53</v>
      </c>
      <c r="C53" s="7">
        <f>SUMIF(ENTRADAS!A:A,INVENTARIO!A53,ENTRADAS!C:C)</f>
        <v>45</v>
      </c>
      <c r="D53" s="7">
        <f>SUMIF(SALIDAS!A:A,INVENTARIO!A53,SALIDAS!C:C)</f>
        <v>47</v>
      </c>
      <c r="E53" s="5">
        <f t="shared" si="0"/>
        <v>-2</v>
      </c>
    </row>
    <row r="54" spans="1:6" ht="14.25" customHeight="1" x14ac:dyDescent="0.35">
      <c r="A54" s="2">
        <v>302513</v>
      </c>
      <c r="B54" s="56" t="s">
        <v>54</v>
      </c>
      <c r="C54" s="7">
        <f>SUMIF(ENTRADAS!A:A,INVENTARIO!A54,ENTRADAS!C:C)</f>
        <v>2</v>
      </c>
      <c r="D54" s="7">
        <f>SUMIF(SALIDAS!A:A,INVENTARIO!A54,SALIDAS!C:C)</f>
        <v>0</v>
      </c>
      <c r="E54" s="5">
        <f t="shared" si="0"/>
        <v>2</v>
      </c>
    </row>
    <row r="55" spans="1:6" ht="14.25" customHeight="1" x14ac:dyDescent="0.35">
      <c r="A55" s="2">
        <v>301329</v>
      </c>
      <c r="B55" s="56" t="s">
        <v>55</v>
      </c>
      <c r="C55" s="7">
        <f>SUMIF(ENTRADAS!A:A,INVENTARIO!A55,ENTRADAS!C:C)</f>
        <v>2138</v>
      </c>
      <c r="D55" s="7">
        <f>SUMIF(SALIDAS!A:A,INVENTARIO!A55,SALIDAS!C:C)</f>
        <v>972</v>
      </c>
      <c r="E55" s="5">
        <f t="shared" si="0"/>
        <v>1166</v>
      </c>
      <c r="F55" s="4">
        <v>925</v>
      </c>
    </row>
    <row r="56" spans="1:6" ht="14.25" customHeight="1" x14ac:dyDescent="0.35">
      <c r="A56" s="2">
        <v>300432</v>
      </c>
      <c r="B56" s="56" t="s">
        <v>56</v>
      </c>
      <c r="C56" s="7">
        <f>SUMIF(ENTRADAS!A:A,INVENTARIO!A56,ENTRADAS!C:C)</f>
        <v>0</v>
      </c>
      <c r="D56" s="7">
        <f>SUMIF(SALIDAS!A:A,INVENTARIO!A56,SALIDAS!C:C)</f>
        <v>0</v>
      </c>
      <c r="E56" s="5">
        <f t="shared" si="0"/>
        <v>0</v>
      </c>
    </row>
    <row r="57" spans="1:6" ht="14.25" customHeight="1" x14ac:dyDescent="0.35">
      <c r="A57" s="2">
        <v>303345</v>
      </c>
      <c r="B57" s="56" t="s">
        <v>57</v>
      </c>
      <c r="C57" s="7">
        <f>SUMIF(ENTRADAS!A:A,INVENTARIO!A57,ENTRADAS!C:C)</f>
        <v>312</v>
      </c>
      <c r="D57" s="7">
        <f>SUMIF(SALIDAS!A:A,INVENTARIO!A57,SALIDAS!C:C)</f>
        <v>186</v>
      </c>
      <c r="E57" s="5">
        <f t="shared" si="0"/>
        <v>126</v>
      </c>
      <c r="F57" s="4">
        <v>119</v>
      </c>
    </row>
    <row r="58" spans="1:6" ht="14.25" customHeight="1" x14ac:dyDescent="0.35">
      <c r="A58" s="2">
        <v>302659</v>
      </c>
      <c r="B58" s="56" t="s">
        <v>58</v>
      </c>
      <c r="C58" s="7">
        <f>SUMIF(ENTRADAS!A:A,INVENTARIO!A58,ENTRADAS!C:C)</f>
        <v>128</v>
      </c>
      <c r="D58" s="7">
        <f>SUMIF(SALIDAS!A:A,INVENTARIO!A58,SALIDAS!C:C)</f>
        <v>98</v>
      </c>
      <c r="E58" s="5">
        <f t="shared" si="0"/>
        <v>30</v>
      </c>
    </row>
    <row r="59" spans="1:6" ht="14.25" customHeight="1" x14ac:dyDescent="0.35">
      <c r="A59" s="2">
        <v>301673</v>
      </c>
      <c r="B59" s="56" t="s">
        <v>59</v>
      </c>
      <c r="C59" s="7">
        <f>SUMIF(ENTRADAS!A:A,INVENTARIO!A59,ENTRADAS!C:C)</f>
        <v>0</v>
      </c>
      <c r="D59" s="7">
        <f>SUMIF(SALIDAS!A:A,INVENTARIO!A59,SALIDAS!C:C)</f>
        <v>0</v>
      </c>
      <c r="E59" s="5">
        <f t="shared" si="0"/>
        <v>0</v>
      </c>
    </row>
    <row r="60" spans="1:6" ht="14.25" customHeight="1" x14ac:dyDescent="0.35">
      <c r="A60" s="2">
        <v>302991</v>
      </c>
      <c r="B60" s="56" t="s">
        <v>60</v>
      </c>
      <c r="C60" s="7">
        <f>SUMIF(ENTRADAS!A:A,INVENTARIO!A60,ENTRADAS!C:C)</f>
        <v>197</v>
      </c>
      <c r="D60" s="7">
        <f>SUMIF(SALIDAS!A:A,INVENTARIO!A60,SALIDAS!C:C)</f>
        <v>156</v>
      </c>
      <c r="E60" s="5">
        <f t="shared" si="0"/>
        <v>41</v>
      </c>
    </row>
    <row r="61" spans="1:6" ht="14.25" customHeight="1" x14ac:dyDescent="0.35">
      <c r="A61" s="2">
        <v>300117</v>
      </c>
      <c r="B61" s="56" t="s">
        <v>61</v>
      </c>
      <c r="C61" s="7">
        <f>SUMIF(ENTRADAS!A:A,INVENTARIO!A61,ENTRADAS!C:C)</f>
        <v>60</v>
      </c>
      <c r="D61" s="7">
        <f>SUMIF(SALIDAS!A:A,INVENTARIO!A61,SALIDAS!C:C)</f>
        <v>60</v>
      </c>
      <c r="E61" s="5">
        <f t="shared" si="0"/>
        <v>0</v>
      </c>
    </row>
    <row r="62" spans="1:6" ht="14.25" customHeight="1" x14ac:dyDescent="0.35">
      <c r="A62" s="2">
        <v>302660</v>
      </c>
      <c r="B62" s="56" t="s">
        <v>62</v>
      </c>
      <c r="C62" s="7">
        <f>SUMIF(ENTRADAS!A:A,INVENTARIO!A62,ENTRADAS!C:C)</f>
        <v>0</v>
      </c>
      <c r="D62" s="7">
        <f>SUMIF(SALIDAS!A:A,INVENTARIO!A62,SALIDAS!C:C)</f>
        <v>0</v>
      </c>
      <c r="E62" s="5">
        <f t="shared" si="0"/>
        <v>0</v>
      </c>
    </row>
    <row r="63" spans="1:6" ht="14.25" customHeight="1" x14ac:dyDescent="0.35">
      <c r="A63" s="2">
        <v>301330</v>
      </c>
      <c r="B63" s="56" t="s">
        <v>63</v>
      </c>
      <c r="C63" s="7">
        <f>SUMIF(ENTRADAS!A:A,INVENTARIO!A63,ENTRADAS!C:C)</f>
        <v>0</v>
      </c>
      <c r="D63" s="7">
        <f>SUMIF(SALIDAS!A:A,INVENTARIO!A63,SALIDAS!C:C)</f>
        <v>0</v>
      </c>
      <c r="E63" s="5">
        <f t="shared" si="0"/>
        <v>0</v>
      </c>
    </row>
    <row r="64" spans="1:6" ht="14.25" customHeight="1" x14ac:dyDescent="0.35">
      <c r="A64" s="1">
        <v>302305</v>
      </c>
      <c r="B64" s="55" t="s">
        <v>64</v>
      </c>
      <c r="C64" s="7">
        <f>SUMIF(ENTRADAS!A:A,INVENTARIO!A64,ENTRADAS!C:C)</f>
        <v>0</v>
      </c>
      <c r="D64" s="7">
        <f>SUMIF(SALIDAS!A:A,INVENTARIO!A64,SALIDAS!C:C)</f>
        <v>0</v>
      </c>
      <c r="E64" s="5">
        <f t="shared" si="0"/>
        <v>0</v>
      </c>
    </row>
    <row r="65" spans="1:5" ht="14.25" customHeight="1" x14ac:dyDescent="0.35">
      <c r="A65" s="2">
        <v>301324</v>
      </c>
      <c r="B65" s="56" t="s">
        <v>65</v>
      </c>
      <c r="C65" s="7">
        <f>SUMIF(ENTRADAS!A:A,INVENTARIO!A65,ENTRADAS!C:C)</f>
        <v>0</v>
      </c>
      <c r="D65" s="7">
        <f>SUMIF(SALIDAS!A:A,INVENTARIO!A65,SALIDAS!C:C)</f>
        <v>0</v>
      </c>
      <c r="E65" s="5">
        <f t="shared" si="0"/>
        <v>0</v>
      </c>
    </row>
    <row r="66" spans="1:5" ht="14.25" customHeight="1" x14ac:dyDescent="0.35">
      <c r="A66" s="2">
        <v>300130</v>
      </c>
      <c r="B66" s="56" t="s">
        <v>66</v>
      </c>
      <c r="C66" s="7">
        <f>SUMIF(ENTRADAS!A:A,INVENTARIO!A66,ENTRADAS!C:C)</f>
        <v>13</v>
      </c>
      <c r="D66" s="7">
        <f>SUMIF(SALIDAS!A:A,INVENTARIO!A66,SALIDAS!C:C)</f>
        <v>10</v>
      </c>
      <c r="E66" s="5">
        <f t="shared" si="0"/>
        <v>3</v>
      </c>
    </row>
    <row r="67" spans="1:5" ht="14.25" customHeight="1" x14ac:dyDescent="0.35">
      <c r="A67" s="2">
        <v>302654</v>
      </c>
      <c r="B67" s="56" t="s">
        <v>67</v>
      </c>
      <c r="C67" s="7">
        <f>SUMIF(ENTRADAS!A:A,INVENTARIO!A67,ENTRADAS!C:C)</f>
        <v>3</v>
      </c>
      <c r="D67" s="7">
        <f>SUMIF(SALIDAS!A:A,INVENTARIO!A67,SALIDAS!C:C)</f>
        <v>3</v>
      </c>
      <c r="E67" s="5">
        <f t="shared" ref="E67:E130" si="1">C67-D67</f>
        <v>0</v>
      </c>
    </row>
    <row r="68" spans="1:5" ht="14.25" customHeight="1" x14ac:dyDescent="0.35">
      <c r="A68" s="2">
        <v>400205</v>
      </c>
      <c r="B68" s="56" t="s">
        <v>68</v>
      </c>
      <c r="C68" s="7">
        <f>SUMIF(ENTRADAS!A:A,INVENTARIO!A68,ENTRADAS!C:C)</f>
        <v>20</v>
      </c>
      <c r="D68" s="7">
        <f>SUMIF(SALIDAS!A:A,INVENTARIO!A68,SALIDAS!C:C)</f>
        <v>12</v>
      </c>
      <c r="E68" s="5">
        <f t="shared" si="1"/>
        <v>8</v>
      </c>
    </row>
    <row r="69" spans="1:5" ht="14.25" customHeight="1" x14ac:dyDescent="0.35">
      <c r="A69" s="2">
        <v>303356</v>
      </c>
      <c r="B69" s="56" t="s">
        <v>69</v>
      </c>
      <c r="C69" s="7">
        <f>SUMIF(ENTRADAS!A:A,INVENTARIO!A69,ENTRADAS!C:C)</f>
        <v>0</v>
      </c>
      <c r="D69" s="7">
        <f>SUMIF(SALIDAS!A:A,INVENTARIO!A69,SALIDAS!C:C)</f>
        <v>0</v>
      </c>
      <c r="E69" s="5">
        <f t="shared" si="1"/>
        <v>0</v>
      </c>
    </row>
    <row r="70" spans="1:5" ht="14.25" customHeight="1" x14ac:dyDescent="0.35">
      <c r="A70" s="2">
        <v>301046</v>
      </c>
      <c r="B70" s="56" t="s">
        <v>70</v>
      </c>
      <c r="C70" s="7">
        <f>SUMIF(ENTRADAS!A:A,INVENTARIO!A70,ENTRADAS!C:C)</f>
        <v>0</v>
      </c>
      <c r="D70" s="7">
        <f>SUMIF(SALIDAS!A:A,INVENTARIO!A70,SALIDAS!C:C)</f>
        <v>0</v>
      </c>
      <c r="E70" s="5">
        <f t="shared" si="1"/>
        <v>0</v>
      </c>
    </row>
    <row r="71" spans="1:5" ht="14.25" customHeight="1" x14ac:dyDescent="0.35">
      <c r="A71" s="2">
        <v>300853</v>
      </c>
      <c r="B71" s="56" t="s">
        <v>71</v>
      </c>
      <c r="C71" s="7">
        <f>SUMIF(ENTRADAS!A:A,INVENTARIO!A71,ENTRADAS!C:C)</f>
        <v>0</v>
      </c>
      <c r="D71" s="7">
        <f>SUMIF(SALIDAS!A:A,INVENTARIO!A71,SALIDAS!C:C)</f>
        <v>0</v>
      </c>
      <c r="E71" s="5">
        <f t="shared" si="1"/>
        <v>0</v>
      </c>
    </row>
    <row r="72" spans="1:5" ht="14.25" customHeight="1" x14ac:dyDescent="0.35">
      <c r="A72" s="2">
        <v>302334</v>
      </c>
      <c r="B72" s="56" t="s">
        <v>73</v>
      </c>
      <c r="C72" s="7">
        <f>SUMIF(ENTRADAS!A:A,INVENTARIO!A72,ENTRADAS!C:C)</f>
        <v>0</v>
      </c>
      <c r="D72" s="7">
        <f>SUMIF(SALIDAS!A:A,INVENTARIO!A72,SALIDAS!C:C)</f>
        <v>0</v>
      </c>
      <c r="E72" s="5">
        <f t="shared" si="1"/>
        <v>0</v>
      </c>
    </row>
    <row r="73" spans="1:5" ht="14.25" customHeight="1" x14ac:dyDescent="0.35">
      <c r="A73" s="2">
        <v>301465</v>
      </c>
      <c r="B73" s="56" t="s">
        <v>74</v>
      </c>
      <c r="C73" s="7">
        <f>SUMIF(ENTRADAS!A:A,INVENTARIO!A73,ENTRADAS!C:C)</f>
        <v>0</v>
      </c>
      <c r="D73" s="7">
        <f>SUMIF(SALIDAS!A:A,INVENTARIO!A73,SALIDAS!C:C)</f>
        <v>0</v>
      </c>
      <c r="E73" s="5">
        <f t="shared" si="1"/>
        <v>0</v>
      </c>
    </row>
    <row r="74" spans="1:5" ht="14.25" customHeight="1" x14ac:dyDescent="0.35">
      <c r="A74" s="2">
        <v>302778</v>
      </c>
      <c r="B74" s="56" t="s">
        <v>75</v>
      </c>
      <c r="C74" s="7">
        <f>SUMIF(ENTRADAS!A:A,INVENTARIO!A74,ENTRADAS!C:C)</f>
        <v>0</v>
      </c>
      <c r="D74" s="7">
        <f>SUMIF(SALIDAS!A:A,INVENTARIO!A74,SALIDAS!C:C)</f>
        <v>0</v>
      </c>
      <c r="E74" s="5">
        <f t="shared" si="1"/>
        <v>0</v>
      </c>
    </row>
    <row r="75" spans="1:5" ht="14.25" customHeight="1" x14ac:dyDescent="0.35">
      <c r="A75" s="2">
        <v>300119</v>
      </c>
      <c r="B75" s="56" t="s">
        <v>76</v>
      </c>
      <c r="C75" s="7">
        <f>SUMIF(ENTRADAS!A:A,INVENTARIO!A75,ENTRADAS!C:C)</f>
        <v>0</v>
      </c>
      <c r="D75" s="7">
        <f>SUMIF(SALIDAS!A:A,INVENTARIO!A75,SALIDAS!C:C)</f>
        <v>0</v>
      </c>
      <c r="E75" s="5">
        <f t="shared" si="1"/>
        <v>0</v>
      </c>
    </row>
    <row r="76" spans="1:5" ht="14.25" customHeight="1" x14ac:dyDescent="0.35">
      <c r="A76" s="2">
        <v>301675</v>
      </c>
      <c r="B76" s="56" t="s">
        <v>77</v>
      </c>
      <c r="C76" s="7">
        <f>SUMIF(ENTRADAS!A:A,INVENTARIO!A76,ENTRADAS!C:C)</f>
        <v>1</v>
      </c>
      <c r="D76" s="7">
        <f>SUMIF(SALIDAS!A:A,INVENTARIO!A76,SALIDAS!C:C)</f>
        <v>1</v>
      </c>
      <c r="E76" s="5">
        <f t="shared" si="1"/>
        <v>0</v>
      </c>
    </row>
    <row r="77" spans="1:5" ht="14.25" customHeight="1" x14ac:dyDescent="0.35">
      <c r="A77" s="2">
        <v>302995</v>
      </c>
      <c r="B77" s="56" t="s">
        <v>78</v>
      </c>
      <c r="C77" s="7">
        <f>SUMIF(ENTRADAS!A:A,INVENTARIO!A77,ENTRADAS!C:C)</f>
        <v>0</v>
      </c>
      <c r="D77" s="7">
        <f>SUMIF(SALIDAS!A:A,INVENTARIO!A77,SALIDAS!C:C)</f>
        <v>0</v>
      </c>
      <c r="E77" s="5">
        <f t="shared" si="1"/>
        <v>0</v>
      </c>
    </row>
    <row r="78" spans="1:5" ht="14.25" customHeight="1" x14ac:dyDescent="0.35">
      <c r="A78" s="2">
        <v>300717</v>
      </c>
      <c r="B78" s="56" t="s">
        <v>79</v>
      </c>
      <c r="C78" s="7">
        <f>SUMIF(ENTRADAS!A:A,INVENTARIO!A78,ENTRADAS!C:C)</f>
        <v>12</v>
      </c>
      <c r="D78" s="7">
        <f>SUMIF(SALIDAS!A:A,INVENTARIO!A78,SALIDAS!C:C)</f>
        <v>0</v>
      </c>
      <c r="E78" s="5">
        <f t="shared" si="1"/>
        <v>12</v>
      </c>
    </row>
    <row r="79" spans="1:5" ht="14.25" customHeight="1" x14ac:dyDescent="0.35">
      <c r="A79" s="2">
        <v>301047</v>
      </c>
      <c r="B79" s="56" t="s">
        <v>80</v>
      </c>
      <c r="C79" s="7">
        <f>SUMIF(ENTRADAS!A:A,INVENTARIO!A79,ENTRADAS!C:C)</f>
        <v>7</v>
      </c>
      <c r="D79" s="7">
        <f>SUMIF(SALIDAS!A:A,INVENTARIO!A79,SALIDAS!C:C)</f>
        <v>7</v>
      </c>
      <c r="E79" s="5">
        <f t="shared" si="1"/>
        <v>0</v>
      </c>
    </row>
    <row r="80" spans="1:5" ht="14.25" customHeight="1" x14ac:dyDescent="0.35">
      <c r="A80" s="2">
        <v>302315</v>
      </c>
      <c r="B80" s="56" t="s">
        <v>81</v>
      </c>
      <c r="C80" s="7">
        <f>SUMIF(ENTRADAS!A:A,INVENTARIO!A80,ENTRADAS!C:C)</f>
        <v>2</v>
      </c>
      <c r="D80" s="7">
        <f>SUMIF(SALIDAS!A:A,INVENTARIO!A80,SALIDAS!C:C)</f>
        <v>2</v>
      </c>
      <c r="E80" s="5">
        <f t="shared" si="1"/>
        <v>0</v>
      </c>
    </row>
    <row r="81" spans="1:6" ht="14.25" customHeight="1" x14ac:dyDescent="0.35">
      <c r="A81" s="2">
        <v>303015</v>
      </c>
      <c r="B81" s="56" t="s">
        <v>82</v>
      </c>
      <c r="C81" s="7">
        <f>SUMIF(ENTRADAS!A:A,INVENTARIO!A81,ENTRADAS!C:C)</f>
        <v>36</v>
      </c>
      <c r="D81" s="7">
        <f>SUMIF(SALIDAS!A:A,INVENTARIO!A81,SALIDAS!C:C)</f>
        <v>20</v>
      </c>
      <c r="E81" s="5">
        <f t="shared" si="1"/>
        <v>16</v>
      </c>
      <c r="F81" s="4">
        <v>22</v>
      </c>
    </row>
    <row r="82" spans="1:6" ht="14.25" customHeight="1" x14ac:dyDescent="0.35">
      <c r="A82" s="2">
        <v>2003513</v>
      </c>
      <c r="B82" s="56" t="s">
        <v>83</v>
      </c>
      <c r="C82" s="7">
        <f>SUMIF(ENTRADAS!A:A,INVENTARIO!A82,ENTRADAS!C:C)</f>
        <v>0</v>
      </c>
      <c r="D82" s="7">
        <f>SUMIF(SALIDAS!A:A,INVENTARIO!A82,SALIDAS!C:C)</f>
        <v>0</v>
      </c>
      <c r="E82" s="5">
        <f t="shared" si="1"/>
        <v>0</v>
      </c>
    </row>
    <row r="83" spans="1:6" ht="14.25" customHeight="1" x14ac:dyDescent="0.35">
      <c r="A83" s="2">
        <v>300119</v>
      </c>
      <c r="B83" s="56" t="s">
        <v>76</v>
      </c>
      <c r="C83" s="7">
        <f>SUMIF(ENTRADAS!A:A,INVENTARIO!A83,ENTRADAS!C:C)</f>
        <v>0</v>
      </c>
      <c r="D83" s="7">
        <f>SUMIF(SALIDAS!A:A,INVENTARIO!A83,SALIDAS!C:C)</f>
        <v>0</v>
      </c>
      <c r="E83" s="5">
        <f t="shared" si="1"/>
        <v>0</v>
      </c>
    </row>
    <row r="84" spans="1:6" ht="14.25" customHeight="1" x14ac:dyDescent="0.35">
      <c r="A84" s="2">
        <v>300853</v>
      </c>
      <c r="B84" s="56" t="s">
        <v>71</v>
      </c>
      <c r="C84" s="7">
        <f>SUMIF(ENTRADAS!A:A,INVENTARIO!A84,ENTRADAS!C:C)</f>
        <v>0</v>
      </c>
      <c r="D84" s="7">
        <f>SUMIF(SALIDAS!A:A,INVENTARIO!A84,SALIDAS!C:C)</f>
        <v>0</v>
      </c>
      <c r="E84" s="5">
        <f t="shared" si="1"/>
        <v>0</v>
      </c>
    </row>
    <row r="85" spans="1:6" ht="14.25" customHeight="1" x14ac:dyDescent="0.35">
      <c r="A85" s="2">
        <v>301465</v>
      </c>
      <c r="B85" s="56" t="s">
        <v>74</v>
      </c>
      <c r="C85" s="7">
        <f>SUMIF(ENTRADAS!A:A,INVENTARIO!A85,ENTRADAS!C:C)</f>
        <v>0</v>
      </c>
      <c r="D85" s="7">
        <f>SUMIF(SALIDAS!A:A,INVENTARIO!A85,SALIDAS!C:C)</f>
        <v>0</v>
      </c>
      <c r="E85" s="5">
        <f t="shared" si="1"/>
        <v>0</v>
      </c>
    </row>
    <row r="86" spans="1:6" ht="14.25" customHeight="1" x14ac:dyDescent="0.35">
      <c r="A86" s="2">
        <v>301675</v>
      </c>
      <c r="B86" s="56" t="s">
        <v>77</v>
      </c>
      <c r="C86" s="7">
        <f>SUMIF(ENTRADAS!A:A,INVENTARIO!A86,ENTRADAS!C:C)</f>
        <v>1</v>
      </c>
      <c r="D86" s="7">
        <f>SUMIF(SALIDAS!A:A,INVENTARIO!A86,SALIDAS!C:C)</f>
        <v>1</v>
      </c>
      <c r="E86" s="5">
        <f t="shared" si="1"/>
        <v>0</v>
      </c>
    </row>
    <row r="87" spans="1:6" ht="14.25" customHeight="1" x14ac:dyDescent="0.35">
      <c r="A87" s="2">
        <v>302334</v>
      </c>
      <c r="B87" s="56" t="s">
        <v>73</v>
      </c>
      <c r="C87" s="7">
        <f>SUMIF(ENTRADAS!A:A,INVENTARIO!A87,ENTRADAS!C:C)</f>
        <v>0</v>
      </c>
      <c r="D87" s="7">
        <f>SUMIF(SALIDAS!A:A,INVENTARIO!A87,SALIDAS!C:C)</f>
        <v>0</v>
      </c>
      <c r="E87" s="5">
        <f t="shared" si="1"/>
        <v>0</v>
      </c>
    </row>
    <row r="88" spans="1:6" ht="14.25" customHeight="1" x14ac:dyDescent="0.35">
      <c r="A88" s="2">
        <v>302778</v>
      </c>
      <c r="B88" s="56" t="s">
        <v>75</v>
      </c>
      <c r="C88" s="7">
        <f>SUMIF(ENTRADAS!A:A,INVENTARIO!A88,ENTRADAS!C:C)</f>
        <v>0</v>
      </c>
      <c r="D88" s="7">
        <f>SUMIF(SALIDAS!A:A,INVENTARIO!A88,SALIDAS!C:C)</f>
        <v>0</v>
      </c>
      <c r="E88" s="5">
        <f t="shared" si="1"/>
        <v>0</v>
      </c>
    </row>
    <row r="89" spans="1:6" ht="14.25" customHeight="1" x14ac:dyDescent="0.35">
      <c r="A89" s="2">
        <v>303016</v>
      </c>
      <c r="B89" s="56" t="s">
        <v>72</v>
      </c>
      <c r="C89" s="7">
        <f>SUMIF(ENTRADAS!A:A,INVENTARIO!A89,ENTRADAS!C:C)</f>
        <v>1</v>
      </c>
      <c r="D89" s="7">
        <f>SUMIF(SALIDAS!A:A,INVENTARIO!A89,SALIDAS!C:C)</f>
        <v>1</v>
      </c>
      <c r="E89" s="5">
        <f t="shared" si="1"/>
        <v>0</v>
      </c>
    </row>
    <row r="90" spans="1:6" ht="14.25" customHeight="1" x14ac:dyDescent="0.35">
      <c r="A90" s="2">
        <v>300570</v>
      </c>
      <c r="B90" s="56" t="s">
        <v>84</v>
      </c>
      <c r="C90" s="7">
        <f>SUMIF(ENTRADAS!A:A,INVENTARIO!A90,ENTRADAS!C:C)</f>
        <v>0</v>
      </c>
      <c r="D90" s="7">
        <f>SUMIF(SALIDAS!A:A,INVENTARIO!A90,SALIDAS!C:C)</f>
        <v>0</v>
      </c>
      <c r="E90" s="5">
        <f t="shared" si="1"/>
        <v>0</v>
      </c>
    </row>
    <row r="91" spans="1:6" ht="14.25" customHeight="1" x14ac:dyDescent="0.35">
      <c r="A91" s="2">
        <v>300568</v>
      </c>
      <c r="B91" s="56" t="s">
        <v>85</v>
      </c>
      <c r="C91" s="7">
        <f>SUMIF(ENTRADAS!A:A,INVENTARIO!A91,ENTRADAS!C:C)</f>
        <v>0</v>
      </c>
      <c r="D91" s="7">
        <f>SUMIF(SALIDAS!A:A,INVENTARIO!A91,SALIDAS!C:C)</f>
        <v>0</v>
      </c>
      <c r="E91" s="5">
        <f t="shared" si="1"/>
        <v>0</v>
      </c>
    </row>
    <row r="92" spans="1:6" ht="14.25" customHeight="1" x14ac:dyDescent="0.35">
      <c r="A92" s="2">
        <v>302819</v>
      </c>
      <c r="B92" s="56" t="s">
        <v>86</v>
      </c>
      <c r="C92" s="7">
        <f>SUMIF(ENTRADAS!A:A,INVENTARIO!A92,ENTRADAS!C:C)</f>
        <v>0</v>
      </c>
      <c r="D92" s="7">
        <f>SUMIF(SALIDAS!A:A,INVENTARIO!A92,SALIDAS!C:C)</f>
        <v>0</v>
      </c>
      <c r="E92" s="5">
        <f t="shared" si="1"/>
        <v>0</v>
      </c>
    </row>
    <row r="93" spans="1:6" ht="14.25" customHeight="1" x14ac:dyDescent="0.35">
      <c r="A93" s="2">
        <v>303480</v>
      </c>
      <c r="B93" s="56" t="s">
        <v>87</v>
      </c>
      <c r="C93" s="7">
        <f>SUMIF(ENTRADAS!A:A,INVENTARIO!A93,ENTRADAS!C:C)</f>
        <v>0</v>
      </c>
      <c r="D93" s="7">
        <f>SUMIF(SALIDAS!A:A,INVENTARIO!A93,SALIDAS!C:C)</f>
        <v>0</v>
      </c>
      <c r="E93" s="5">
        <f t="shared" si="1"/>
        <v>0</v>
      </c>
    </row>
    <row r="94" spans="1:6" ht="14.25" customHeight="1" x14ac:dyDescent="0.35">
      <c r="A94" s="2">
        <v>302478</v>
      </c>
      <c r="B94" s="56" t="s">
        <v>88</v>
      </c>
      <c r="C94" s="7">
        <f>SUMIF(ENTRADAS!A:A,INVENTARIO!A94,ENTRADAS!C:C)</f>
        <v>0</v>
      </c>
      <c r="D94" s="7">
        <f>SUMIF(SALIDAS!A:A,INVENTARIO!A94,SALIDAS!C:C)</f>
        <v>0</v>
      </c>
      <c r="E94" s="5">
        <f t="shared" si="1"/>
        <v>0</v>
      </c>
    </row>
    <row r="95" spans="1:6" ht="14.25" customHeight="1" x14ac:dyDescent="0.35">
      <c r="A95" s="2">
        <v>302818</v>
      </c>
      <c r="B95" s="56" t="s">
        <v>89</v>
      </c>
      <c r="C95" s="7">
        <f>SUMIF(ENTRADAS!A:A,INVENTARIO!A95,ENTRADAS!C:C)</f>
        <v>0</v>
      </c>
      <c r="D95" s="7">
        <f>SUMIF(SALIDAS!A:A,INVENTARIO!A95,SALIDAS!C:C)</f>
        <v>0</v>
      </c>
      <c r="E95" s="5">
        <f t="shared" si="1"/>
        <v>0</v>
      </c>
    </row>
    <row r="96" spans="1:6" ht="14.25" customHeight="1" x14ac:dyDescent="0.35">
      <c r="A96" s="2">
        <v>302128</v>
      </c>
      <c r="B96" s="56" t="s">
        <v>90</v>
      </c>
      <c r="C96" s="7">
        <f>SUMIF(ENTRADAS!A:A,INVENTARIO!A96,ENTRADAS!C:C)</f>
        <v>0</v>
      </c>
      <c r="D96" s="7">
        <f>SUMIF(SALIDAS!A:A,INVENTARIO!A96,SALIDAS!C:C)</f>
        <v>0</v>
      </c>
      <c r="E96" s="5">
        <f t="shared" si="1"/>
        <v>0</v>
      </c>
    </row>
    <row r="97" spans="1:6" ht="14.25" customHeight="1" x14ac:dyDescent="0.35">
      <c r="A97" s="2">
        <v>301180</v>
      </c>
      <c r="B97" s="56" t="s">
        <v>91</v>
      </c>
      <c r="C97" s="7">
        <f>SUMIF(ENTRADAS!A:A,INVENTARIO!A97,ENTRADAS!C:C)</f>
        <v>0</v>
      </c>
      <c r="D97" s="7">
        <f>SUMIF(SALIDAS!A:A,INVENTARIO!A97,SALIDAS!C:C)</f>
        <v>0</v>
      </c>
      <c r="E97" s="5">
        <f t="shared" si="1"/>
        <v>0</v>
      </c>
    </row>
    <row r="98" spans="1:6" ht="14.25" customHeight="1" x14ac:dyDescent="0.35">
      <c r="A98" s="2">
        <v>2006391</v>
      </c>
      <c r="B98" s="56" t="s">
        <v>92</v>
      </c>
      <c r="C98" s="7">
        <f>SUMIF(ENTRADAS!A:A,INVENTARIO!A98,ENTRADAS!C:C)</f>
        <v>294</v>
      </c>
      <c r="D98" s="7">
        <f>SUMIF(SALIDAS!A:A,INVENTARIO!A98,SALIDAS!C:C)</f>
        <v>175</v>
      </c>
      <c r="E98" s="5">
        <f t="shared" si="1"/>
        <v>119</v>
      </c>
      <c r="F98" s="4">
        <v>124</v>
      </c>
    </row>
    <row r="99" spans="1:6" ht="14.25" customHeight="1" x14ac:dyDescent="0.35">
      <c r="A99" s="2">
        <v>303510</v>
      </c>
      <c r="B99" s="56" t="s">
        <v>93</v>
      </c>
      <c r="C99" s="7">
        <f>SUMIF(ENTRADAS!A:A,INVENTARIO!A99,ENTRADAS!C:C)</f>
        <v>194</v>
      </c>
      <c r="D99" s="7">
        <f>SUMIF(SALIDAS!A:A,INVENTARIO!A99,SALIDAS!C:C)</f>
        <v>103</v>
      </c>
      <c r="E99" s="5">
        <f t="shared" si="1"/>
        <v>91</v>
      </c>
      <c r="F99" s="4">
        <v>58</v>
      </c>
    </row>
    <row r="100" spans="1:6" ht="14.25" customHeight="1" x14ac:dyDescent="0.35">
      <c r="A100" s="2">
        <v>303439</v>
      </c>
      <c r="B100" s="56" t="s">
        <v>94</v>
      </c>
      <c r="C100" s="7">
        <f>SUMIF(ENTRADAS!A:A,INVENTARIO!A100,ENTRADAS!C:C)</f>
        <v>16</v>
      </c>
      <c r="D100" s="7">
        <f>SUMIF(SALIDAS!A:A,INVENTARIO!A100,SALIDAS!C:C)</f>
        <v>6</v>
      </c>
      <c r="E100" s="5">
        <f t="shared" si="1"/>
        <v>10</v>
      </c>
      <c r="F100" s="4">
        <v>11</v>
      </c>
    </row>
    <row r="101" spans="1:6" ht="14.25" customHeight="1" x14ac:dyDescent="0.35">
      <c r="A101" s="2">
        <v>302104</v>
      </c>
      <c r="B101" s="56" t="s">
        <v>95</v>
      </c>
      <c r="C101" s="7">
        <f>SUMIF(ENTRADAS!A:A,INVENTARIO!A101,ENTRADAS!C:C)</f>
        <v>0</v>
      </c>
      <c r="D101" s="7">
        <f>SUMIF(SALIDAS!A:A,INVENTARIO!A101,SALIDAS!C:C)</f>
        <v>0</v>
      </c>
      <c r="E101" s="5">
        <f t="shared" si="1"/>
        <v>0</v>
      </c>
    </row>
    <row r="102" spans="1:6" ht="14.25" customHeight="1" x14ac:dyDescent="0.35">
      <c r="A102" s="2">
        <v>303008</v>
      </c>
      <c r="B102" s="56" t="s">
        <v>96</v>
      </c>
      <c r="C102" s="7">
        <f>SUMIF(ENTRADAS!A:A,INVENTARIO!A102,ENTRADAS!C:C)</f>
        <v>0</v>
      </c>
      <c r="D102" s="7">
        <f>SUMIF(SALIDAS!A:A,INVENTARIO!A102,SALIDAS!C:C)</f>
        <v>0</v>
      </c>
      <c r="E102" s="5">
        <f t="shared" si="1"/>
        <v>0</v>
      </c>
    </row>
    <row r="103" spans="1:6" ht="14.25" customHeight="1" x14ac:dyDescent="0.35">
      <c r="A103" s="2">
        <v>300133</v>
      </c>
      <c r="B103" s="56" t="s">
        <v>97</v>
      </c>
      <c r="C103" s="7">
        <f>SUMIF(ENTRADAS!A:A,INVENTARIO!A103,ENTRADAS!C:C)</f>
        <v>1</v>
      </c>
      <c r="D103" s="7">
        <f>SUMIF(SALIDAS!A:A,INVENTARIO!A103,SALIDAS!C:C)</f>
        <v>0</v>
      </c>
      <c r="E103" s="5">
        <f t="shared" si="1"/>
        <v>1</v>
      </c>
    </row>
    <row r="104" spans="1:6" ht="14.25" customHeight="1" x14ac:dyDescent="0.35">
      <c r="A104" s="2">
        <v>303007</v>
      </c>
      <c r="B104" s="56" t="s">
        <v>98</v>
      </c>
      <c r="C104" s="7">
        <f>SUMIF(ENTRADAS!A:A,INVENTARIO!A104,ENTRADAS!C:C)</f>
        <v>3</v>
      </c>
      <c r="D104" s="7">
        <f>SUMIF(SALIDAS!A:A,INVENTARIO!A104,SALIDAS!C:C)</f>
        <v>3</v>
      </c>
      <c r="E104" s="5">
        <f t="shared" si="1"/>
        <v>0</v>
      </c>
    </row>
    <row r="105" spans="1:6" ht="14.25" customHeight="1" x14ac:dyDescent="0.35">
      <c r="A105" s="2">
        <v>2002378</v>
      </c>
      <c r="B105" s="56" t="s">
        <v>99</v>
      </c>
      <c r="C105" s="7">
        <f>SUMIF(ENTRADAS!A:A,INVENTARIO!A105,ENTRADAS!C:C)</f>
        <v>0</v>
      </c>
      <c r="D105" s="7">
        <f>SUMIF(SALIDAS!A:A,INVENTARIO!A105,SALIDAS!C:C)</f>
        <v>0</v>
      </c>
      <c r="E105" s="5">
        <f t="shared" si="1"/>
        <v>0</v>
      </c>
    </row>
    <row r="106" spans="1:6" ht="14.25" customHeight="1" x14ac:dyDescent="0.35">
      <c r="A106" s="2">
        <v>300719</v>
      </c>
      <c r="B106" s="56" t="s">
        <v>100</v>
      </c>
      <c r="C106" s="7">
        <f>SUMIF(ENTRADAS!A:A,INVENTARIO!A106,ENTRADAS!C:C)</f>
        <v>0</v>
      </c>
      <c r="D106" s="7">
        <f>SUMIF(SALIDAS!A:A,INVENTARIO!A106,SALIDAS!C:C)</f>
        <v>0</v>
      </c>
      <c r="E106" s="5">
        <f t="shared" si="1"/>
        <v>0</v>
      </c>
    </row>
    <row r="107" spans="1:6" ht="14.25" customHeight="1" x14ac:dyDescent="0.35">
      <c r="A107" s="2">
        <v>300128</v>
      </c>
      <c r="B107" s="56" t="s">
        <v>101</v>
      </c>
      <c r="C107" s="7">
        <f>SUMIF(ENTRADAS!A:A,INVENTARIO!A107,ENTRADAS!C:C)</f>
        <v>0</v>
      </c>
      <c r="D107" s="7">
        <f>SUMIF(SALIDAS!A:A,INVENTARIO!A107,SALIDAS!C:C)</f>
        <v>0</v>
      </c>
      <c r="E107" s="5">
        <f t="shared" si="1"/>
        <v>0</v>
      </c>
    </row>
    <row r="108" spans="1:6" ht="14.25" customHeight="1" x14ac:dyDescent="0.35">
      <c r="A108" s="2">
        <v>301031</v>
      </c>
      <c r="B108" s="56" t="s">
        <v>102</v>
      </c>
      <c r="C108" s="7">
        <f>SUMIF(ENTRADAS!A:A,INVENTARIO!A108,ENTRADAS!C:C)</f>
        <v>0</v>
      </c>
      <c r="D108" s="7">
        <f>SUMIF(SALIDAS!A:A,INVENTARIO!A108,SALIDAS!C:C)</f>
        <v>0</v>
      </c>
      <c r="E108" s="5">
        <f t="shared" si="1"/>
        <v>0</v>
      </c>
    </row>
    <row r="109" spans="1:6" ht="14.25" customHeight="1" x14ac:dyDescent="0.35">
      <c r="A109" s="2">
        <v>300410</v>
      </c>
      <c r="B109" s="56" t="s">
        <v>103</v>
      </c>
      <c r="C109" s="7">
        <f>SUMIF(ENTRADAS!A:A,INVENTARIO!A109,ENTRADAS!C:C)</f>
        <v>0</v>
      </c>
      <c r="D109" s="7">
        <f>SUMIF(SALIDAS!A:A,INVENTARIO!A109,SALIDAS!C:C)</f>
        <v>0</v>
      </c>
      <c r="E109" s="5">
        <f t="shared" si="1"/>
        <v>0</v>
      </c>
    </row>
    <row r="110" spans="1:6" ht="14.25" customHeight="1" x14ac:dyDescent="0.35">
      <c r="A110" s="2">
        <v>301669</v>
      </c>
      <c r="B110" s="56" t="s">
        <v>104</v>
      </c>
      <c r="C110" s="7">
        <f>SUMIF(ENTRADAS!A:A,INVENTARIO!A110,ENTRADAS!C:C)</f>
        <v>0</v>
      </c>
      <c r="D110" s="7">
        <f>SUMIF(SALIDAS!A:A,INVENTARIO!A110,SALIDAS!C:C)</f>
        <v>0</v>
      </c>
      <c r="E110" s="5">
        <f t="shared" si="1"/>
        <v>0</v>
      </c>
    </row>
    <row r="111" spans="1:6" ht="14.25" customHeight="1" x14ac:dyDescent="0.35">
      <c r="A111" s="71">
        <v>301781</v>
      </c>
      <c r="B111" s="72" t="s">
        <v>313</v>
      </c>
      <c r="C111" s="73">
        <f>SUMIF(ENTRADAS!A:A,INVENTARIO!A111,ENTRADAS!C:C)</f>
        <v>5</v>
      </c>
      <c r="D111" s="73">
        <f>SUMIF(SALIDAS!A:A,INVENTARIO!A111,SALIDAS!C:C)</f>
        <v>3</v>
      </c>
      <c r="E111" s="74">
        <f>C111-D111</f>
        <v>2</v>
      </c>
    </row>
    <row r="112" spans="1:6" ht="14.25" customHeight="1" x14ac:dyDescent="0.35">
      <c r="A112" s="2">
        <v>303362</v>
      </c>
      <c r="B112" s="56" t="s">
        <v>105</v>
      </c>
      <c r="C112" s="7">
        <f>SUMIF(ENTRADAS!A:A,INVENTARIO!A112,ENTRADAS!C:C)</f>
        <v>27</v>
      </c>
      <c r="D112" s="7">
        <f>SUMIF(SALIDAS!A:A,INVENTARIO!A112,SALIDAS!C:C)</f>
        <v>12</v>
      </c>
      <c r="E112" s="5">
        <f t="shared" si="1"/>
        <v>15</v>
      </c>
      <c r="F112" s="4">
        <v>5</v>
      </c>
    </row>
    <row r="113" spans="1:6" ht="14.25" customHeight="1" x14ac:dyDescent="0.35">
      <c r="A113" s="2">
        <v>303360</v>
      </c>
      <c r="B113" s="56" t="s">
        <v>106</v>
      </c>
      <c r="C113" s="7">
        <f>SUMIF(ENTRADAS!A:A,INVENTARIO!A113,ENTRADAS!C:C)</f>
        <v>0</v>
      </c>
      <c r="D113" s="7">
        <f>SUMIF(SALIDAS!A:A,INVENTARIO!A113,SALIDAS!C:C)</f>
        <v>0</v>
      </c>
      <c r="E113" s="5">
        <f t="shared" si="1"/>
        <v>0</v>
      </c>
    </row>
    <row r="114" spans="1:6" ht="14.25" customHeight="1" x14ac:dyDescent="0.35">
      <c r="A114" s="2">
        <v>302678</v>
      </c>
      <c r="B114" s="56" t="s">
        <v>107</v>
      </c>
      <c r="C114" s="7">
        <f>SUMIF(ENTRADAS!A:A,INVENTARIO!A114,ENTRADAS!C:C)</f>
        <v>18</v>
      </c>
      <c r="D114" s="7">
        <f>SUMIF(SALIDAS!A:A,INVENTARIO!A114,SALIDAS!C:C)</f>
        <v>11</v>
      </c>
      <c r="E114" s="5">
        <f t="shared" si="1"/>
        <v>7</v>
      </c>
      <c r="F114" s="4">
        <v>5</v>
      </c>
    </row>
    <row r="115" spans="1:6" ht="14.25" customHeight="1" x14ac:dyDescent="0.35">
      <c r="A115" s="2">
        <v>303018</v>
      </c>
      <c r="B115" s="56" t="s">
        <v>108</v>
      </c>
      <c r="C115" s="7">
        <f>SUMIF(ENTRADAS!A:A,INVENTARIO!A115,ENTRADAS!C:C)</f>
        <v>3</v>
      </c>
      <c r="D115" s="7">
        <f>SUMIF(SALIDAS!A:A,INVENTARIO!A115,SALIDAS!C:C)</f>
        <v>0</v>
      </c>
      <c r="E115" s="5">
        <f t="shared" si="1"/>
        <v>3</v>
      </c>
    </row>
    <row r="116" spans="1:6" ht="14.25" customHeight="1" x14ac:dyDescent="0.35">
      <c r="A116" s="2">
        <v>301782</v>
      </c>
      <c r="B116" s="56" t="s">
        <v>109</v>
      </c>
      <c r="C116" s="7">
        <f>SUMIF(ENTRADAS!A:A,INVENTARIO!A116,ENTRADAS!C:C)</f>
        <v>0</v>
      </c>
      <c r="D116" s="7">
        <f>SUMIF(SALIDAS!A:A,INVENTARIO!A116,SALIDAS!C:C)</f>
        <v>0</v>
      </c>
      <c r="E116" s="5">
        <f t="shared" si="1"/>
        <v>0</v>
      </c>
    </row>
    <row r="117" spans="1:6" ht="14.25" customHeight="1" x14ac:dyDescent="0.35">
      <c r="A117" s="2">
        <v>301045</v>
      </c>
      <c r="B117" s="56" t="s">
        <v>110</v>
      </c>
      <c r="C117" s="7">
        <f>SUMIF(ENTRADAS!A:A,INVENTARIO!A117,ENTRADAS!C:C)</f>
        <v>0</v>
      </c>
      <c r="D117" s="7">
        <f>SUMIF(SALIDAS!A:A,INVENTARIO!A117,SALIDAS!C:C)</f>
        <v>0</v>
      </c>
      <c r="E117" s="5">
        <f t="shared" si="1"/>
        <v>0</v>
      </c>
    </row>
    <row r="118" spans="1:6" ht="14.25" customHeight="1" x14ac:dyDescent="0.35">
      <c r="A118" s="2">
        <v>301685</v>
      </c>
      <c r="B118" s="56" t="s">
        <v>111</v>
      </c>
      <c r="C118" s="7">
        <f>SUMIF(ENTRADAS!A:A,INVENTARIO!A118,ENTRADAS!C:C)</f>
        <v>14</v>
      </c>
      <c r="D118" s="7">
        <f>SUMIF(SALIDAS!A:A,INVENTARIO!A118,SALIDAS!C:C)</f>
        <v>11</v>
      </c>
      <c r="E118" s="5">
        <f t="shared" si="1"/>
        <v>3</v>
      </c>
      <c r="F118" s="4">
        <v>2</v>
      </c>
    </row>
    <row r="119" spans="1:6" ht="14.25" customHeight="1" x14ac:dyDescent="0.35">
      <c r="A119" s="2">
        <v>2003542</v>
      </c>
      <c r="B119" s="56" t="s">
        <v>112</v>
      </c>
      <c r="C119" s="7">
        <f>SUMIF(ENTRADAS!A:A,INVENTARIO!A119,ENTRADAS!C:C)</f>
        <v>0</v>
      </c>
      <c r="D119" s="7">
        <f>SUMIF(SALIDAS!A:A,INVENTARIO!A119,SALIDAS!C:C)</f>
        <v>0</v>
      </c>
      <c r="E119" s="5">
        <f t="shared" si="1"/>
        <v>0</v>
      </c>
    </row>
    <row r="120" spans="1:6" ht="14.25" customHeight="1" x14ac:dyDescent="0.35">
      <c r="A120" s="70">
        <v>2004822</v>
      </c>
      <c r="B120" s="56" t="s">
        <v>179</v>
      </c>
      <c r="C120" s="7">
        <f>SUMIF(ENTRADAS!A:A,INVENTARIO!A120,ENTRADAS!C:C)</f>
        <v>3</v>
      </c>
      <c r="D120" s="7">
        <f>SUMIF(SALIDAS!A:A,INVENTARIO!A120,SALIDAS!C:C)</f>
        <v>0</v>
      </c>
      <c r="E120" s="5">
        <f t="shared" si="1"/>
        <v>3</v>
      </c>
    </row>
    <row r="121" spans="1:6" ht="14.25" customHeight="1" x14ac:dyDescent="0.35">
      <c r="A121" s="70">
        <v>300712</v>
      </c>
      <c r="B121" s="56" t="s">
        <v>113</v>
      </c>
      <c r="C121" s="7">
        <f>SUMIF(ENTRADAS!A:A,INVENTARIO!A121,ENTRADAS!C:C)</f>
        <v>253</v>
      </c>
      <c r="D121" s="7">
        <f>SUMIF(SALIDAS!A:A,INVENTARIO!A121,SALIDAS!C:C)</f>
        <v>181</v>
      </c>
      <c r="E121" s="5">
        <f t="shared" si="1"/>
        <v>72</v>
      </c>
      <c r="F121" s="4">
        <v>0</v>
      </c>
    </row>
    <row r="122" spans="1:6" ht="14.25" customHeight="1" x14ac:dyDescent="0.35">
      <c r="A122" s="2">
        <v>302303</v>
      </c>
      <c r="B122" s="56" t="s">
        <v>114</v>
      </c>
      <c r="C122" s="7">
        <f>SUMIF(ENTRADAS!A:A,INVENTARIO!A122,ENTRADAS!C:C)</f>
        <v>0</v>
      </c>
      <c r="D122" s="7">
        <f>SUMIF(SALIDAS!A:A,INVENTARIO!A122,SALIDAS!C:C)</f>
        <v>0</v>
      </c>
      <c r="E122" s="5">
        <f t="shared" si="1"/>
        <v>0</v>
      </c>
    </row>
    <row r="123" spans="1:6" ht="14.25" customHeight="1" x14ac:dyDescent="0.35">
      <c r="A123" s="2">
        <v>301327</v>
      </c>
      <c r="B123" s="56" t="s">
        <v>115</v>
      </c>
      <c r="C123" s="7">
        <f>SUMIF(ENTRADAS!A:A,INVENTARIO!A123,ENTRADAS!C:C)</f>
        <v>96</v>
      </c>
      <c r="D123" s="7">
        <f>SUMIF(SALIDAS!A:A,INVENTARIO!A123,SALIDAS!C:C)</f>
        <v>69</v>
      </c>
      <c r="E123" s="5">
        <f t="shared" si="1"/>
        <v>27</v>
      </c>
    </row>
    <row r="124" spans="1:6" ht="14.25" customHeight="1" x14ac:dyDescent="0.35">
      <c r="A124" s="2">
        <v>303347</v>
      </c>
      <c r="B124" s="56" t="s">
        <v>116</v>
      </c>
      <c r="C124" s="7">
        <f>SUMIF(ENTRADAS!A:A,INVENTARIO!A124,ENTRADAS!C:C)</f>
        <v>0</v>
      </c>
      <c r="D124" s="7">
        <f>SUMIF(SALIDAS!A:A,INVENTARIO!A124,SALIDAS!C:C)</f>
        <v>2</v>
      </c>
      <c r="E124" s="5">
        <f t="shared" si="1"/>
        <v>-2</v>
      </c>
    </row>
    <row r="125" spans="1:6" ht="14.25" customHeight="1" x14ac:dyDescent="0.35">
      <c r="A125" s="2">
        <v>301336</v>
      </c>
      <c r="B125" s="56" t="s">
        <v>337</v>
      </c>
      <c r="C125" s="7">
        <f>SUMIF(ENTRADAS!A:A,INVENTARIO!A125,ENTRADAS!C:C)</f>
        <v>0</v>
      </c>
      <c r="D125" s="7">
        <f>SUMIF(SALIDAS!A:A,INVENTARIO!A125,SALIDAS!C:C)</f>
        <v>0</v>
      </c>
      <c r="E125" s="5">
        <f t="shared" si="1"/>
        <v>0</v>
      </c>
    </row>
    <row r="126" spans="1:6" ht="14.25" customHeight="1" x14ac:dyDescent="0.35">
      <c r="A126" s="2">
        <v>302317</v>
      </c>
      <c r="B126" s="56" t="s">
        <v>117</v>
      </c>
      <c r="C126" s="7">
        <f>SUMIF(ENTRADAS!A:A,INVENTARIO!A126,ENTRADAS!C:C)</f>
        <v>42</v>
      </c>
      <c r="D126" s="7">
        <f>SUMIF(SALIDAS!A:A,INVENTARIO!A126,SALIDAS!C:C)</f>
        <v>39</v>
      </c>
      <c r="E126" s="5">
        <f t="shared" si="1"/>
        <v>3</v>
      </c>
      <c r="F126" s="4">
        <v>10</v>
      </c>
    </row>
    <row r="127" spans="1:6" ht="14.25" customHeight="1" x14ac:dyDescent="0.35">
      <c r="A127" s="2">
        <v>300422</v>
      </c>
      <c r="B127" s="56" t="s">
        <v>118</v>
      </c>
      <c r="C127" s="7">
        <f>SUMIF(ENTRADAS!A:A,INVENTARIO!A127,ENTRADAS!C:C)</f>
        <v>13</v>
      </c>
      <c r="D127" s="7">
        <f>SUMIF(SALIDAS!A:A,INVENTARIO!A127,SALIDAS!C:C)</f>
        <v>15</v>
      </c>
      <c r="E127" s="5">
        <f t="shared" si="1"/>
        <v>-2</v>
      </c>
    </row>
    <row r="128" spans="1:6" ht="14.25" customHeight="1" x14ac:dyDescent="0.35">
      <c r="A128" s="2">
        <v>303348</v>
      </c>
      <c r="B128" s="56" t="s">
        <v>119</v>
      </c>
      <c r="C128" s="7">
        <f>SUMIF(ENTRADAS!A:A,INVENTARIO!A128,ENTRADAS!C:C)</f>
        <v>0</v>
      </c>
      <c r="D128" s="7">
        <f>SUMIF(SALIDAS!A:A,INVENTARIO!A128,SALIDAS!C:C)</f>
        <v>0</v>
      </c>
      <c r="E128" s="5">
        <f t="shared" si="1"/>
        <v>0</v>
      </c>
    </row>
    <row r="129" spans="1:6" ht="14.25" customHeight="1" x14ac:dyDescent="0.35">
      <c r="A129" s="2">
        <v>2003514</v>
      </c>
      <c r="B129" s="56" t="s">
        <v>120</v>
      </c>
      <c r="C129" s="7">
        <f>SUMIF(ENTRADAS!A:A,INVENTARIO!A129,ENTRADAS!C:C)</f>
        <v>0</v>
      </c>
      <c r="D129" s="7">
        <f>SUMIF(SALIDAS!A:A,INVENTARIO!A129,SALIDAS!C:C)</f>
        <v>0</v>
      </c>
      <c r="E129" s="5">
        <f t="shared" si="1"/>
        <v>0</v>
      </c>
    </row>
    <row r="130" spans="1:6" ht="14.25" customHeight="1" x14ac:dyDescent="0.35">
      <c r="A130" s="2">
        <v>2008302</v>
      </c>
      <c r="B130" s="56" t="s">
        <v>173</v>
      </c>
      <c r="C130" s="7">
        <f>SUMIF(ENTRADAS!A:A,INVENTARIO!A130,ENTRADAS!C:C)</f>
        <v>41</v>
      </c>
      <c r="D130" s="7">
        <f>SUMIF(SALIDAS!A:A,INVENTARIO!A130,SALIDAS!C:C)</f>
        <v>37</v>
      </c>
      <c r="E130" s="5">
        <f t="shared" si="1"/>
        <v>4</v>
      </c>
    </row>
    <row r="131" spans="1:6" ht="14.25" customHeight="1" x14ac:dyDescent="0.35">
      <c r="A131" s="2">
        <v>2002807</v>
      </c>
      <c r="B131" s="56" t="s">
        <v>121</v>
      </c>
      <c r="C131" s="7">
        <f>SUMIF(ENTRADAS!A:A,INVENTARIO!A131,ENTRADAS!C:C)</f>
        <v>0</v>
      </c>
      <c r="D131" s="7">
        <f>SUMIF(SALIDAS!A:A,INVENTARIO!A131,SALIDAS!C:C)</f>
        <v>0</v>
      </c>
      <c r="E131" s="5">
        <f t="shared" ref="E131:E182" si="2">C131-D131</f>
        <v>0</v>
      </c>
    </row>
    <row r="132" spans="1:6" ht="14.25" customHeight="1" x14ac:dyDescent="0.35">
      <c r="A132" s="2">
        <v>2002808</v>
      </c>
      <c r="B132" s="56" t="s">
        <v>122</v>
      </c>
      <c r="C132" s="7">
        <f>SUMIF(ENTRADAS!A:A,INVENTARIO!A132,ENTRADAS!C:C)</f>
        <v>0</v>
      </c>
      <c r="D132" s="7">
        <f>SUMIF(SALIDAS!A:A,INVENTARIO!A132,SALIDAS!C:C)</f>
        <v>0</v>
      </c>
      <c r="E132" s="5">
        <f t="shared" si="2"/>
        <v>0</v>
      </c>
    </row>
    <row r="133" spans="1:6" ht="14.25" customHeight="1" x14ac:dyDescent="0.35">
      <c r="A133" s="2">
        <v>2002809</v>
      </c>
      <c r="B133" s="56" t="s">
        <v>123</v>
      </c>
      <c r="C133" s="7">
        <f>SUMIF(ENTRADAS!A:A,INVENTARIO!A133,ENTRADAS!C:C)</f>
        <v>0</v>
      </c>
      <c r="D133" s="7">
        <f>SUMIF(SALIDAS!A:A,INVENTARIO!A133,SALIDAS!C:C)</f>
        <v>0</v>
      </c>
      <c r="E133" s="5">
        <f t="shared" si="2"/>
        <v>0</v>
      </c>
    </row>
    <row r="134" spans="1:6" ht="14.25" customHeight="1" x14ac:dyDescent="0.35">
      <c r="A134" s="2">
        <v>2002810</v>
      </c>
      <c r="B134" s="56" t="s">
        <v>124</v>
      </c>
      <c r="C134" s="7">
        <f>SUMIF(ENTRADAS!A:A,INVENTARIO!A134,ENTRADAS!C:C)</f>
        <v>0</v>
      </c>
      <c r="D134" s="7">
        <f>SUMIF(SALIDAS!A:A,INVENTARIO!A134,SALIDAS!C:C)</f>
        <v>0</v>
      </c>
      <c r="E134" s="5">
        <f t="shared" si="2"/>
        <v>0</v>
      </c>
    </row>
    <row r="135" spans="1:6" ht="14.25" customHeight="1" x14ac:dyDescent="0.35">
      <c r="A135" s="2">
        <v>2002811</v>
      </c>
      <c r="B135" s="56" t="s">
        <v>125</v>
      </c>
      <c r="C135" s="7">
        <f>SUMIF(ENTRADAS!A:A,INVENTARIO!A135,ENTRADAS!C:C)</f>
        <v>0</v>
      </c>
      <c r="D135" s="7">
        <f>SUMIF(SALIDAS!A:A,INVENTARIO!A135,SALIDAS!C:C)</f>
        <v>0</v>
      </c>
      <c r="E135" s="5">
        <f t="shared" si="2"/>
        <v>0</v>
      </c>
    </row>
    <row r="136" spans="1:6" ht="14.25" customHeight="1" x14ac:dyDescent="0.35">
      <c r="A136" s="2">
        <v>101618</v>
      </c>
      <c r="B136" s="56" t="s">
        <v>126</v>
      </c>
      <c r="C136" s="7">
        <f>SUMIF(ENTRADAS!A:A,INVENTARIO!A136,ENTRADAS!C:C)</f>
        <v>18</v>
      </c>
      <c r="D136" s="7">
        <f>SUMIF(SALIDAS!A:A,INVENTARIO!A136,SALIDAS!C:C)</f>
        <v>16</v>
      </c>
      <c r="E136" s="5">
        <f t="shared" si="2"/>
        <v>2</v>
      </c>
    </row>
    <row r="137" spans="1:6" ht="14.25" customHeight="1" x14ac:dyDescent="0.35">
      <c r="A137" s="2">
        <v>300109</v>
      </c>
      <c r="B137" s="56" t="s">
        <v>127</v>
      </c>
      <c r="C137" s="7">
        <f>SUMIF(ENTRADAS!A:A,INVENTARIO!A137,ENTRADAS!C:C)</f>
        <v>665</v>
      </c>
      <c r="D137" s="7">
        <f>SUMIF(SALIDAS!A:A,INVENTARIO!A137,SALIDAS!C:C)</f>
        <v>329</v>
      </c>
      <c r="E137" s="5">
        <f t="shared" si="2"/>
        <v>336</v>
      </c>
      <c r="F137" s="4">
        <v>304</v>
      </c>
    </row>
    <row r="138" spans="1:6" ht="14.25" customHeight="1" x14ac:dyDescent="0.35">
      <c r="A138" s="2">
        <v>304220</v>
      </c>
      <c r="B138" s="56" t="s">
        <v>128</v>
      </c>
      <c r="C138" s="7">
        <f>SUMIF(ENTRADAS!A:A,INVENTARIO!A138,ENTRADAS!C:C)</f>
        <v>0</v>
      </c>
      <c r="D138" s="7">
        <f>SUMIF(SALIDAS!A:A,INVENTARIO!A138,SALIDAS!C:C)</f>
        <v>0</v>
      </c>
      <c r="E138" s="5">
        <f t="shared" si="2"/>
        <v>0</v>
      </c>
    </row>
    <row r="139" spans="1:6" ht="14.25" customHeight="1" x14ac:dyDescent="0.35">
      <c r="A139" s="2">
        <v>101624</v>
      </c>
      <c r="B139" s="56" t="s">
        <v>129</v>
      </c>
      <c r="C139" s="7">
        <f>SUMIF(ENTRADAS!A:A,INVENTARIO!A139,ENTRADAS!C:C)</f>
        <v>453</v>
      </c>
      <c r="D139" s="7">
        <f>SUMIF(SALIDAS!A:A,INVENTARIO!A139,SALIDAS!C:C)</f>
        <v>216</v>
      </c>
      <c r="E139" s="5">
        <f t="shared" si="2"/>
        <v>237</v>
      </c>
      <c r="F139" s="4">
        <v>210</v>
      </c>
    </row>
    <row r="140" spans="1:6" ht="14.25" customHeight="1" x14ac:dyDescent="0.35">
      <c r="A140" s="105">
        <v>301051</v>
      </c>
      <c r="B140" s="106" t="s">
        <v>360</v>
      </c>
      <c r="C140" s="107">
        <f>SUMIF(ENTRADAS!A:A,INVENTARIO!A140,ENTRADAS!C:C)</f>
        <v>1</v>
      </c>
      <c r="D140" s="107">
        <f>SUMIF(SALIDAS!A:A,INVENTARIO!A140,SALIDAS!C:C)</f>
        <v>1</v>
      </c>
      <c r="E140" s="108">
        <f>C140-D140</f>
        <v>0</v>
      </c>
    </row>
    <row r="141" spans="1:6" ht="14.25" customHeight="1" x14ac:dyDescent="0.35">
      <c r="A141" s="2">
        <v>2003131</v>
      </c>
      <c r="B141" s="56" t="s">
        <v>130</v>
      </c>
      <c r="C141" s="7">
        <f>SUMIF(ENTRADAS!A:A,INVENTARIO!A141,ENTRADAS!C:C)</f>
        <v>6</v>
      </c>
      <c r="D141" s="7">
        <f>SUMIF(SALIDAS!A:A,INVENTARIO!A141,SALIDAS!C:C)</f>
        <v>5</v>
      </c>
      <c r="E141" s="5">
        <f t="shared" si="2"/>
        <v>1</v>
      </c>
    </row>
    <row r="142" spans="1:6" ht="14" customHeight="1" x14ac:dyDescent="0.35">
      <c r="A142" s="2">
        <v>300108</v>
      </c>
      <c r="B142" s="56" t="s">
        <v>131</v>
      </c>
      <c r="C142" s="7">
        <f>SUMIF(ENTRADAS!A:A,INVENTARIO!A142,ENTRADAS!C:C)</f>
        <v>149</v>
      </c>
      <c r="D142" s="7">
        <f>SUMIF(SALIDAS!A:A,INVENTARIO!A142,SALIDAS!C:C)</f>
        <v>104</v>
      </c>
      <c r="E142" s="5">
        <f t="shared" si="2"/>
        <v>45</v>
      </c>
    </row>
    <row r="143" spans="1:6" ht="14.25" customHeight="1" x14ac:dyDescent="0.35">
      <c r="A143" s="2">
        <v>302647</v>
      </c>
      <c r="B143" s="56" t="s">
        <v>132</v>
      </c>
      <c r="C143" s="7">
        <f>SUMIF(ENTRADAS!A:A,INVENTARIO!A143,ENTRADAS!C:C)</f>
        <v>0</v>
      </c>
      <c r="D143" s="7">
        <f>SUMIF(SALIDAS!A:A,INVENTARIO!A143,SALIDAS!C:C)</f>
        <v>0</v>
      </c>
      <c r="E143" s="5">
        <f t="shared" si="2"/>
        <v>0</v>
      </c>
    </row>
    <row r="144" spans="1:6" ht="14.25" customHeight="1" x14ac:dyDescent="0.35">
      <c r="A144" s="2">
        <v>301343</v>
      </c>
      <c r="B144" s="56" t="s">
        <v>133</v>
      </c>
      <c r="C144" s="7">
        <f>SUMIF(ENTRADAS!A:A,INVENTARIO!A144,ENTRADAS!C:C)</f>
        <v>3</v>
      </c>
      <c r="D144" s="7">
        <f>SUMIF(SALIDAS!A:A,INVENTARIO!A144,SALIDAS!C:C)</f>
        <v>3</v>
      </c>
      <c r="E144" s="5">
        <f t="shared" si="2"/>
        <v>0</v>
      </c>
    </row>
    <row r="145" spans="1:6" ht="14.25" customHeight="1" x14ac:dyDescent="0.35">
      <c r="A145" s="2">
        <v>300412</v>
      </c>
      <c r="B145" s="56" t="s">
        <v>134</v>
      </c>
      <c r="C145" s="7">
        <f>SUMIF(ENTRADAS!A:A,INVENTARIO!A145,ENTRADAS!C:C)</f>
        <v>1</v>
      </c>
      <c r="D145" s="7">
        <f>SUMIF(SALIDAS!A:A,INVENTARIO!A145,SALIDAS!C:C)</f>
        <v>1</v>
      </c>
      <c r="E145" s="5">
        <f t="shared" si="2"/>
        <v>0</v>
      </c>
    </row>
    <row r="146" spans="1:6" ht="14.25" customHeight="1" x14ac:dyDescent="0.35">
      <c r="A146" s="2">
        <v>300413</v>
      </c>
      <c r="B146" s="56" t="s">
        <v>135</v>
      </c>
      <c r="C146" s="7">
        <f>SUMIF(ENTRADAS!A:A,INVENTARIO!A146,ENTRADAS!C:C)</f>
        <v>0</v>
      </c>
      <c r="D146" s="7">
        <f>SUMIF(SALIDAS!A:A,INVENTARIO!A146,SALIDAS!C:C)</f>
        <v>0</v>
      </c>
      <c r="E146" s="5">
        <f t="shared" si="2"/>
        <v>0</v>
      </c>
    </row>
    <row r="147" spans="1:6" ht="14.25" customHeight="1" x14ac:dyDescent="0.35">
      <c r="A147" s="2">
        <v>302331</v>
      </c>
      <c r="B147" s="56" t="s">
        <v>136</v>
      </c>
      <c r="C147" s="7">
        <f>SUMIF(ENTRADAS!A:A,INVENTARIO!A147,ENTRADAS!C:C)</f>
        <v>0</v>
      </c>
      <c r="D147" s="7">
        <f>SUMIF(SALIDAS!A:A,INVENTARIO!A147,SALIDAS!C:C)</f>
        <v>0</v>
      </c>
      <c r="E147" s="5">
        <f t="shared" si="2"/>
        <v>0</v>
      </c>
    </row>
    <row r="148" spans="1:6" ht="14.25" customHeight="1" x14ac:dyDescent="0.35">
      <c r="A148" s="2">
        <v>301666</v>
      </c>
      <c r="B148" s="56" t="s">
        <v>137</v>
      </c>
      <c r="C148" s="7">
        <f>SUMIF(ENTRADAS!A:A,INVENTARIO!A148,ENTRADAS!C:C)</f>
        <v>97</v>
      </c>
      <c r="D148" s="7">
        <f>SUMIF(SALIDAS!A:A,INVENTARIO!A148,SALIDAS!C:C)</f>
        <v>53</v>
      </c>
      <c r="E148" s="5">
        <f t="shared" si="2"/>
        <v>44</v>
      </c>
    </row>
    <row r="149" spans="1:6" ht="14.25" customHeight="1" x14ac:dyDescent="0.35">
      <c r="A149" s="2">
        <v>301667</v>
      </c>
      <c r="B149" s="56" t="s">
        <v>138</v>
      </c>
      <c r="C149" s="7">
        <f>SUMIF(ENTRADAS!A:A,INVENTARIO!A149,ENTRADAS!C:C)</f>
        <v>0</v>
      </c>
      <c r="D149" s="7">
        <f>SUMIF(SALIDAS!A:A,INVENTARIO!A149,SALIDAS!C:C)</f>
        <v>0</v>
      </c>
      <c r="E149" s="5">
        <f t="shared" si="2"/>
        <v>0</v>
      </c>
    </row>
    <row r="150" spans="1:6" ht="14.25" customHeight="1" x14ac:dyDescent="0.35">
      <c r="A150" s="2">
        <v>302332</v>
      </c>
      <c r="B150" s="56" t="s">
        <v>139</v>
      </c>
      <c r="C150" s="7">
        <f>SUMIF(ENTRADAS!A:A,INVENTARIO!A150,ENTRADAS!C:C)</f>
        <v>0</v>
      </c>
      <c r="D150" s="7">
        <f>SUMIF(SALIDAS!A:A,INVENTARIO!A150,SALIDAS!C:C)</f>
        <v>0</v>
      </c>
      <c r="E150" s="5">
        <f t="shared" si="2"/>
        <v>0</v>
      </c>
    </row>
    <row r="151" spans="1:6" ht="14.25" customHeight="1" x14ac:dyDescent="0.35">
      <c r="A151" s="2">
        <v>300527</v>
      </c>
      <c r="B151" s="56" t="s">
        <v>140</v>
      </c>
      <c r="C151" s="7">
        <f>SUMIF(ENTRADAS!A:A,INVENTARIO!A151,ENTRADAS!C:C)</f>
        <v>25</v>
      </c>
      <c r="D151" s="7">
        <f>SUMIF(SALIDAS!A:A,INVENTARIO!A151,SALIDAS!C:C)</f>
        <v>20</v>
      </c>
      <c r="E151" s="5">
        <f t="shared" si="2"/>
        <v>5</v>
      </c>
      <c r="F151" s="4">
        <v>7</v>
      </c>
    </row>
    <row r="152" spans="1:6" ht="14.25" customHeight="1" x14ac:dyDescent="0.35">
      <c r="A152" s="2">
        <v>303126</v>
      </c>
      <c r="B152" s="56" t="s">
        <v>141</v>
      </c>
      <c r="C152" s="7">
        <f>SUMIF(ENTRADAS!A:A,INVENTARIO!A152,ENTRADAS!C:C)</f>
        <v>0</v>
      </c>
      <c r="D152" s="7">
        <f>SUMIF(SALIDAS!A:A,INVENTARIO!A152,SALIDAS!C:C)</f>
        <v>0</v>
      </c>
      <c r="E152" s="5">
        <f t="shared" si="2"/>
        <v>0</v>
      </c>
    </row>
    <row r="153" spans="1:6" ht="14.25" customHeight="1" x14ac:dyDescent="0.35">
      <c r="A153" s="2">
        <v>302325</v>
      </c>
      <c r="B153" s="56" t="s">
        <v>142</v>
      </c>
      <c r="C153" s="7">
        <f>SUMIF(ENTRADAS!A:A,INVENTARIO!A153,ENTRADAS!C:C)</f>
        <v>1</v>
      </c>
      <c r="D153" s="7">
        <f>SUMIF(SALIDAS!A:A,INVENTARIO!A153,SALIDAS!C:C)</f>
        <v>1</v>
      </c>
      <c r="E153" s="5">
        <f t="shared" si="2"/>
        <v>0</v>
      </c>
    </row>
    <row r="154" spans="1:6" ht="14.25" customHeight="1" x14ac:dyDescent="0.35">
      <c r="A154" s="2">
        <v>302446</v>
      </c>
      <c r="B154" s="56" t="s">
        <v>143</v>
      </c>
      <c r="C154" s="7">
        <f>SUMIF(ENTRADAS!A:A,INVENTARIO!A154,ENTRADAS!C:C)</f>
        <v>2</v>
      </c>
      <c r="D154" s="7">
        <f>SUMIF(SALIDAS!A:A,INVENTARIO!A154,SALIDAS!C:C)</f>
        <v>1</v>
      </c>
      <c r="E154" s="5">
        <f t="shared" si="2"/>
        <v>1</v>
      </c>
    </row>
    <row r="155" spans="1:6" ht="14.25" customHeight="1" x14ac:dyDescent="0.35">
      <c r="A155" s="2">
        <v>300431</v>
      </c>
      <c r="B155" s="56" t="s">
        <v>144</v>
      </c>
      <c r="C155" s="7">
        <f>SUMIF(ENTRADAS!A:A,INVENTARIO!A155,ENTRADAS!C:C)</f>
        <v>1</v>
      </c>
      <c r="D155" s="7">
        <f>SUMIF(SALIDAS!A:A,INVENTARIO!A155,SALIDAS!C:C)</f>
        <v>1</v>
      </c>
      <c r="E155" s="5">
        <f t="shared" si="2"/>
        <v>0</v>
      </c>
    </row>
    <row r="156" spans="1:6" ht="14.25" customHeight="1" x14ac:dyDescent="0.35">
      <c r="A156" s="2">
        <v>303125</v>
      </c>
      <c r="B156" s="56" t="s">
        <v>145</v>
      </c>
      <c r="C156" s="7">
        <f>SUMIF(ENTRADAS!A:A,INVENTARIO!A156,ENTRADAS!C:C)</f>
        <v>0</v>
      </c>
      <c r="D156" s="7">
        <f>SUMIF(SALIDAS!A:A,INVENTARIO!A156,SALIDAS!C:C)</f>
        <v>0</v>
      </c>
      <c r="E156" s="5">
        <f t="shared" si="2"/>
        <v>0</v>
      </c>
    </row>
    <row r="157" spans="1:6" ht="14.25" customHeight="1" x14ac:dyDescent="0.35">
      <c r="A157" s="2">
        <v>301768</v>
      </c>
      <c r="B157" s="56" t="s">
        <v>146</v>
      </c>
      <c r="C157" s="7">
        <f>SUMIF(ENTRADAS!A:A,INVENTARIO!A157,ENTRADAS!C:C)</f>
        <v>0</v>
      </c>
      <c r="D157" s="7">
        <f>SUMIF(SALIDAS!A:A,INVENTARIO!A157,SALIDAS!C:C)</f>
        <v>0</v>
      </c>
      <c r="E157" s="5">
        <f t="shared" si="2"/>
        <v>0</v>
      </c>
    </row>
    <row r="158" spans="1:6" ht="14.25" customHeight="1" x14ac:dyDescent="0.35">
      <c r="A158" s="2">
        <v>301342</v>
      </c>
      <c r="B158" s="56" t="s">
        <v>147</v>
      </c>
      <c r="C158" s="7">
        <f>SUMIF(ENTRADAS!A:A,INVENTARIO!A158,ENTRADAS!C:C)</f>
        <v>0</v>
      </c>
      <c r="D158" s="7">
        <f>SUMIF(SALIDAS!A:A,INVENTARIO!A158,SALIDAS!C:C)</f>
        <v>0</v>
      </c>
      <c r="E158" s="5">
        <f t="shared" si="2"/>
        <v>0</v>
      </c>
    </row>
    <row r="159" spans="1:6" ht="14.25" customHeight="1" x14ac:dyDescent="0.35">
      <c r="A159" s="2">
        <v>2006392</v>
      </c>
      <c r="B159" s="56" t="s">
        <v>148</v>
      </c>
      <c r="C159" s="7">
        <f>SUMIF(ENTRADAS!A:A,INVENTARIO!A159,ENTRADAS!C:C)</f>
        <v>35</v>
      </c>
      <c r="D159" s="7">
        <f>SUMIF(SALIDAS!A:A,INVENTARIO!A159,SALIDAS!C:C)</f>
        <v>31</v>
      </c>
      <c r="E159" s="5">
        <f t="shared" si="2"/>
        <v>4</v>
      </c>
    </row>
    <row r="160" spans="1:6" ht="14.25" customHeight="1" x14ac:dyDescent="0.35">
      <c r="A160" s="70">
        <v>301415</v>
      </c>
      <c r="B160" s="56" t="s">
        <v>149</v>
      </c>
      <c r="C160" s="7">
        <f>SUMIF(ENTRADAS!A:A,INVENTARIO!A160,ENTRADAS!C:C)</f>
        <v>1</v>
      </c>
      <c r="D160" s="7">
        <f>SUMIF(SALIDAS!A:A,INVENTARIO!A160,SALIDAS!C:C)</f>
        <v>0</v>
      </c>
      <c r="E160" s="5">
        <f t="shared" si="2"/>
        <v>1</v>
      </c>
    </row>
    <row r="161" spans="1:6" ht="14.25" customHeight="1" x14ac:dyDescent="0.35">
      <c r="A161" s="70">
        <v>301738</v>
      </c>
      <c r="B161" s="56" t="s">
        <v>150</v>
      </c>
      <c r="C161" s="7">
        <f>SUMIF(ENTRADAS!A:A,INVENTARIO!A161,ENTRADAS!C:C)</f>
        <v>5</v>
      </c>
      <c r="D161" s="7">
        <f>SUMIF(SALIDAS!A:A,INVENTARIO!A161,SALIDAS!C:C)</f>
        <v>4</v>
      </c>
      <c r="E161" s="5">
        <f t="shared" si="2"/>
        <v>1</v>
      </c>
    </row>
    <row r="162" spans="1:6" ht="14.25" customHeight="1" x14ac:dyDescent="0.35">
      <c r="A162" s="2">
        <v>302043</v>
      </c>
      <c r="B162" s="56" t="s">
        <v>151</v>
      </c>
      <c r="C162" s="7">
        <f>SUMIF(ENTRADAS!A:A,INVENTARIO!A162,ENTRADAS!C:C)</f>
        <v>0</v>
      </c>
      <c r="D162" s="7">
        <f>SUMIF(SALIDAS!A:A,INVENTARIO!A162,SALIDAS!C:C)</f>
        <v>0</v>
      </c>
      <c r="E162" s="5">
        <f t="shared" si="2"/>
        <v>0</v>
      </c>
    </row>
    <row r="163" spans="1:6" ht="14.25" customHeight="1" x14ac:dyDescent="0.35">
      <c r="A163" s="2">
        <v>302741</v>
      </c>
      <c r="B163" s="56" t="s">
        <v>152</v>
      </c>
      <c r="C163" s="7">
        <f>SUMIF(ENTRADAS!A:A,INVENTARIO!A163,ENTRADAS!C:C)</f>
        <v>0</v>
      </c>
      <c r="D163" s="7">
        <f>SUMIF(SALIDAS!A:A,INVENTARIO!A163,SALIDAS!C:C)</f>
        <v>0</v>
      </c>
      <c r="E163" s="5">
        <f t="shared" si="2"/>
        <v>0</v>
      </c>
    </row>
    <row r="164" spans="1:6" ht="14.25" customHeight="1" x14ac:dyDescent="0.35">
      <c r="A164" s="2">
        <v>2006393</v>
      </c>
      <c r="B164" s="56" t="s">
        <v>174</v>
      </c>
      <c r="C164" s="7">
        <f>SUMIF(ENTRADAS!A:A,INVENTARIO!A164,ENTRADAS!C:C)</f>
        <v>22</v>
      </c>
      <c r="D164" s="7">
        <f>SUMIF(SALIDAS!A:A,INVENTARIO!A164,SALIDAS!C:C)</f>
        <v>18</v>
      </c>
      <c r="E164" s="5">
        <f t="shared" si="2"/>
        <v>4</v>
      </c>
    </row>
    <row r="165" spans="1:6" ht="14.25" customHeight="1" x14ac:dyDescent="0.35">
      <c r="A165" s="2">
        <v>303840</v>
      </c>
      <c r="B165" s="56" t="s">
        <v>153</v>
      </c>
      <c r="C165" s="7">
        <f>SUMIF(ENTRADAS!A:A,INVENTARIO!A165,ENTRADAS!C:C)</f>
        <v>0</v>
      </c>
      <c r="D165" s="7">
        <f>SUMIF(SALIDAS!A:A,INVENTARIO!A165,SALIDAS!C:C)</f>
        <v>0</v>
      </c>
      <c r="E165" s="5">
        <f t="shared" si="2"/>
        <v>0</v>
      </c>
    </row>
    <row r="166" spans="1:6" ht="14.25" customHeight="1" x14ac:dyDescent="0.35">
      <c r="A166" s="2">
        <v>303842</v>
      </c>
      <c r="B166" s="56" t="s">
        <v>154</v>
      </c>
      <c r="C166" s="7">
        <f>SUMIF(ENTRADAS!A:A,INVENTARIO!A166,ENTRADAS!C:C)</f>
        <v>0</v>
      </c>
      <c r="D166" s="7">
        <f>SUMIF(SALIDAS!A:A,INVENTARIO!A166,SALIDAS!C:C)</f>
        <v>0</v>
      </c>
      <c r="E166" s="5">
        <f t="shared" si="2"/>
        <v>0</v>
      </c>
    </row>
    <row r="167" spans="1:6" ht="14.25" customHeight="1" x14ac:dyDescent="0.35">
      <c r="A167" s="2">
        <v>2002453</v>
      </c>
      <c r="B167" s="56" t="s">
        <v>155</v>
      </c>
      <c r="C167" s="7">
        <f>SUMIF(ENTRADAS!A:A,INVENTARIO!A167,ENTRADAS!C:C)</f>
        <v>3</v>
      </c>
      <c r="D167" s="7">
        <f>SUMIF(SALIDAS!A:A,INVENTARIO!A167,SALIDAS!C:C)</f>
        <v>3</v>
      </c>
      <c r="E167" s="5">
        <f t="shared" si="2"/>
        <v>0</v>
      </c>
    </row>
    <row r="168" spans="1:6" ht="14.25" customHeight="1" x14ac:dyDescent="0.35">
      <c r="A168" s="2">
        <v>2002454</v>
      </c>
      <c r="B168" s="56" t="s">
        <v>156</v>
      </c>
      <c r="C168" s="7">
        <f>SUMIF(ENTRADAS!A:A,INVENTARIO!A168,ENTRADAS!C:C)</f>
        <v>2</v>
      </c>
      <c r="D168" s="7">
        <f>SUMIF(SALIDAS!A:A,INVENTARIO!A168,SALIDAS!C:C)</f>
        <v>1</v>
      </c>
      <c r="E168" s="5">
        <f t="shared" si="2"/>
        <v>1</v>
      </c>
    </row>
    <row r="169" spans="1:6" ht="14.25" customHeight="1" x14ac:dyDescent="0.35">
      <c r="A169" s="2">
        <v>2004602</v>
      </c>
      <c r="B169" s="56" t="s">
        <v>157</v>
      </c>
      <c r="C169" s="7">
        <f>SUMIF(ENTRADAS!A:A,INVENTARIO!A169,ENTRADAS!C:C)</f>
        <v>10</v>
      </c>
      <c r="D169" s="7">
        <f>SUMIF(SALIDAS!A:A,INVENTARIO!A169,SALIDAS!C:C)</f>
        <v>9</v>
      </c>
      <c r="E169" s="5">
        <f t="shared" si="2"/>
        <v>1</v>
      </c>
    </row>
    <row r="170" spans="1:6" ht="14.25" customHeight="1" x14ac:dyDescent="0.35">
      <c r="A170" s="2">
        <v>2006447</v>
      </c>
      <c r="B170" s="56" t="s">
        <v>158</v>
      </c>
      <c r="C170" s="7">
        <f>SUMIF(ENTRADAS!A:A,INVENTARIO!A170,ENTRADAS!C:C)</f>
        <v>0</v>
      </c>
      <c r="D170" s="7">
        <f>SUMIF(SALIDAS!A:A,INVENTARIO!A170,SALIDAS!C:C)</f>
        <v>0</v>
      </c>
      <c r="E170" s="5">
        <f t="shared" si="2"/>
        <v>0</v>
      </c>
    </row>
    <row r="171" spans="1:6" ht="14.25" customHeight="1" x14ac:dyDescent="0.35">
      <c r="A171" s="2">
        <v>2006448</v>
      </c>
      <c r="B171" s="56" t="s">
        <v>159</v>
      </c>
      <c r="C171" s="7">
        <f>SUMIF(ENTRADAS!A:A,INVENTARIO!A171,ENTRADAS!C:C)</f>
        <v>0</v>
      </c>
      <c r="D171" s="7">
        <f>SUMIF(SALIDAS!A:A,INVENTARIO!A171,SALIDAS!C:C)</f>
        <v>0</v>
      </c>
      <c r="E171" s="5">
        <f t="shared" si="2"/>
        <v>0</v>
      </c>
    </row>
    <row r="172" spans="1:6" ht="14.25" customHeight="1" x14ac:dyDescent="0.35">
      <c r="A172" s="2">
        <v>2006449</v>
      </c>
      <c r="B172" s="56" t="s">
        <v>160</v>
      </c>
      <c r="C172" s="7">
        <f>SUMIF(ENTRADAS!A:A,INVENTARIO!A172,ENTRADAS!C:C)</f>
        <v>0</v>
      </c>
      <c r="D172" s="7">
        <f>SUMIF(SALIDAS!A:A,INVENTARIO!A172,SALIDAS!C:C)</f>
        <v>0</v>
      </c>
      <c r="E172" s="5">
        <f t="shared" si="2"/>
        <v>0</v>
      </c>
    </row>
    <row r="173" spans="1:6" ht="14.25" customHeight="1" x14ac:dyDescent="0.35">
      <c r="A173" s="2">
        <v>2006450</v>
      </c>
      <c r="B173" s="56" t="s">
        <v>161</v>
      </c>
      <c r="C173" s="7">
        <f>SUMIF(ENTRADAS!A:A,INVENTARIO!A173,ENTRADAS!C:C)</f>
        <v>1</v>
      </c>
      <c r="D173" s="7">
        <f>SUMIF(SALIDAS!A:A,INVENTARIO!A173,SALIDAS!C:C)</f>
        <v>1</v>
      </c>
      <c r="E173" s="5">
        <f t="shared" si="2"/>
        <v>0</v>
      </c>
    </row>
    <row r="174" spans="1:6" ht="14.25" customHeight="1" x14ac:dyDescent="0.35">
      <c r="A174" s="2">
        <v>2004185</v>
      </c>
      <c r="B174" s="56" t="s">
        <v>162</v>
      </c>
      <c r="C174" s="7">
        <f>SUMIF(ENTRADAS!A:A,INVENTARIO!A174,ENTRADAS!C:C)</f>
        <v>18</v>
      </c>
      <c r="D174" s="7">
        <f>SUMIF(SALIDAS!A:A,INVENTARIO!A174,SALIDAS!C:C)</f>
        <v>12</v>
      </c>
      <c r="E174" s="5">
        <f t="shared" si="2"/>
        <v>6</v>
      </c>
    </row>
    <row r="175" spans="1:6" ht="14.25" customHeight="1" x14ac:dyDescent="0.35">
      <c r="A175" s="2">
        <v>200229</v>
      </c>
      <c r="B175" s="56" t="s">
        <v>163</v>
      </c>
      <c r="C175" s="7">
        <f>SUMIF(ENTRADAS!A:A,INVENTARIO!A175,ENTRADAS!C:C)</f>
        <v>5</v>
      </c>
      <c r="D175" s="7">
        <f>SUMIF(SALIDAS!A:A,INVENTARIO!A175,SALIDAS!C:C)</f>
        <v>0</v>
      </c>
      <c r="E175" s="5">
        <f t="shared" si="2"/>
        <v>5</v>
      </c>
      <c r="F175" s="4">
        <v>2</v>
      </c>
    </row>
    <row r="176" spans="1:6" ht="14.25" customHeight="1" x14ac:dyDescent="0.35">
      <c r="A176" s="2">
        <v>303511</v>
      </c>
      <c r="B176" s="56" t="s">
        <v>164</v>
      </c>
      <c r="C176" s="7">
        <f>SUMIF(ENTRADAS!A:A,INVENTARIO!A176,ENTRADAS!C:C)</f>
        <v>12</v>
      </c>
      <c r="D176" s="7">
        <f>SUMIF(SALIDAS!A:A,INVENTARIO!A176,SALIDAS!C:C)</f>
        <v>5</v>
      </c>
      <c r="E176" s="5">
        <f t="shared" si="2"/>
        <v>7</v>
      </c>
    </row>
    <row r="177" spans="1:5" ht="14.25" customHeight="1" x14ac:dyDescent="0.35">
      <c r="A177" s="2">
        <v>2004186</v>
      </c>
      <c r="B177" s="56" t="s">
        <v>165</v>
      </c>
      <c r="C177" s="7">
        <f>SUMIF(ENTRADAS!A:A,INVENTARIO!A177,ENTRADAS!C:C)</f>
        <v>3</v>
      </c>
      <c r="D177" s="7">
        <f>SUMIF(SALIDAS!A:A,INVENTARIO!A177,SALIDAS!C:C)</f>
        <v>2</v>
      </c>
      <c r="E177" s="5">
        <f t="shared" si="2"/>
        <v>1</v>
      </c>
    </row>
    <row r="178" spans="1:5" ht="14.25" customHeight="1" x14ac:dyDescent="0.35">
      <c r="A178" s="31">
        <v>2003698</v>
      </c>
      <c r="B178" s="68" t="s">
        <v>175</v>
      </c>
      <c r="C178" s="32">
        <f>SUMIF(ENTRADAS!A:A,INVENTARIO!A178,ENTRADAS!C:C)</f>
        <v>0</v>
      </c>
      <c r="D178" s="32">
        <f>SUMIF(SALIDAS!A:A,INVENTARIO!A178,SALIDAS!C:C)</f>
        <v>0</v>
      </c>
      <c r="E178" s="5">
        <f t="shared" si="2"/>
        <v>0</v>
      </c>
    </row>
    <row r="179" spans="1:5" ht="14.25" customHeight="1" x14ac:dyDescent="0.35">
      <c r="A179" s="31">
        <v>2006552</v>
      </c>
      <c r="B179" s="68" t="s">
        <v>176</v>
      </c>
      <c r="C179" s="33">
        <f>SUMIF(ENTRADAS!A:A,INVENTARIO!A179,ENTRADAS!C:C)</f>
        <v>0</v>
      </c>
      <c r="D179" s="33">
        <f>SUMIF(SALIDAS!A:A,INVENTARIO!A179,SALIDAS!C:C)</f>
        <v>0</v>
      </c>
      <c r="E179" s="5">
        <f t="shared" si="2"/>
        <v>0</v>
      </c>
    </row>
    <row r="180" spans="1:5" ht="14.25" customHeight="1" x14ac:dyDescent="0.35">
      <c r="A180" s="31">
        <v>301815</v>
      </c>
      <c r="B180" s="57" t="s">
        <v>212</v>
      </c>
      <c r="C180" s="33">
        <f>SUMIF(ENTRADAS!A:A,INVENTARIO!A180,ENTRADAS!C:C)</f>
        <v>2</v>
      </c>
      <c r="D180" s="33">
        <f>SUMIF(SALIDAS!A:A,INVENTARIO!A180,SALIDAS!C:C)</f>
        <v>1</v>
      </c>
      <c r="E180" s="5">
        <f t="shared" si="2"/>
        <v>1</v>
      </c>
    </row>
    <row r="181" spans="1:5" ht="14.25" customHeight="1" x14ac:dyDescent="0.35">
      <c r="A181" s="31">
        <v>300942</v>
      </c>
      <c r="B181" s="68" t="s">
        <v>177</v>
      </c>
      <c r="C181" s="33">
        <f>SUMIF(ENTRADAS!A:A,INVENTARIO!A181,ENTRADAS!C:C)</f>
        <v>0</v>
      </c>
      <c r="D181" s="33">
        <f>SUMIF(SALIDAS!A:A,INVENTARIO!A181,SALIDAS!C:C)</f>
        <v>0</v>
      </c>
      <c r="E181" s="5">
        <f t="shared" si="2"/>
        <v>0</v>
      </c>
    </row>
    <row r="182" spans="1:5" ht="14.25" customHeight="1" x14ac:dyDescent="0.35">
      <c r="A182" s="31">
        <v>300951</v>
      </c>
      <c r="B182" s="68" t="s">
        <v>178</v>
      </c>
      <c r="C182" s="33">
        <f>SUMIF(ENTRADAS!A:A,INVENTARIO!A182,ENTRADAS!C:C)</f>
        <v>0</v>
      </c>
      <c r="D182" s="33">
        <f>SUMIF(SALIDAS!A:A,INVENTARIO!A182,SALIDAS!C:C)</f>
        <v>0</v>
      </c>
      <c r="E182" s="5">
        <f t="shared" si="2"/>
        <v>0</v>
      </c>
    </row>
    <row r="183" spans="1:5" ht="14.25" customHeight="1" x14ac:dyDescent="0.35">
      <c r="A183" s="49" t="s">
        <v>291</v>
      </c>
      <c r="B183" s="57" t="s">
        <v>290</v>
      </c>
      <c r="C183" s="6">
        <f>SUMIF(ENTRADAS!A:A,INVENTARIO!A183,ENTRADAS!C:C)</f>
        <v>37</v>
      </c>
      <c r="D183" s="6">
        <f>SUMIF(SALIDAS!A:A,INVENTARIO!A183,SALIDAS!C:C)</f>
        <v>20</v>
      </c>
      <c r="E183" s="50">
        <f t="shared" ref="E183:E194" si="3">C183-D183</f>
        <v>17</v>
      </c>
    </row>
    <row r="184" spans="1:5" ht="14.25" customHeight="1" x14ac:dyDescent="0.35">
      <c r="A184" s="49" t="s">
        <v>292</v>
      </c>
      <c r="B184" s="57" t="s">
        <v>293</v>
      </c>
      <c r="C184" s="6">
        <f>SUMIF(ENTRADAS!A:A,INVENTARIO!A184,ENTRADAS!C:C)</f>
        <v>78</v>
      </c>
      <c r="D184" s="6">
        <f>SUMIF(SALIDAS!A:A,INVENTARIO!A184,SALIDAS!C:C)</f>
        <v>42</v>
      </c>
      <c r="E184" s="50">
        <f t="shared" si="3"/>
        <v>36</v>
      </c>
    </row>
    <row r="185" spans="1:5" ht="14.25" customHeight="1" x14ac:dyDescent="0.35">
      <c r="A185" s="49">
        <v>302745</v>
      </c>
      <c r="B185" s="57" t="s">
        <v>347</v>
      </c>
      <c r="C185" s="6">
        <f>SUMIF(ENTRADAS!A:A,INVENTARIO!A185,ENTRADAS!C:C)</f>
        <v>20</v>
      </c>
      <c r="D185" s="6">
        <f>SUMIF(SALIDAS!A:A,INVENTARIO!A185,SALIDAS!C:C)</f>
        <v>5.5</v>
      </c>
      <c r="E185" s="50">
        <f>C185-D185</f>
        <v>14.5</v>
      </c>
    </row>
    <row r="186" spans="1:5" ht="14.25" customHeight="1" x14ac:dyDescent="0.35">
      <c r="A186" s="49">
        <v>1</v>
      </c>
      <c r="B186" s="57" t="s">
        <v>296</v>
      </c>
      <c r="C186" s="6">
        <f>SUMIF(ENTRADAS!A:A,INVENTARIO!A186,ENTRADAS!C:C)</f>
        <v>0</v>
      </c>
      <c r="D186" s="6">
        <f>SUMIF(SALIDAS!A:A,INVENTARIO!A186,SALIDAS!C:C)</f>
        <v>0</v>
      </c>
      <c r="E186" s="50">
        <f t="shared" si="3"/>
        <v>0</v>
      </c>
    </row>
    <row r="187" spans="1:5" ht="14.25" customHeight="1" x14ac:dyDescent="0.35">
      <c r="A187" s="49">
        <v>1</v>
      </c>
      <c r="B187" s="57" t="s">
        <v>295</v>
      </c>
      <c r="C187" s="6">
        <f>SUMIF(ENTRADAS!A:A,INVENTARIO!A187,ENTRADAS!C:C)</f>
        <v>0</v>
      </c>
      <c r="D187" s="6">
        <f>SUMIF(SALIDAS!A:A,INVENTARIO!A187,SALIDAS!C:C)</f>
        <v>0</v>
      </c>
      <c r="E187" s="50">
        <f t="shared" si="3"/>
        <v>0</v>
      </c>
    </row>
    <row r="188" spans="1:5" ht="14.25" customHeight="1" x14ac:dyDescent="0.35">
      <c r="A188" s="49">
        <v>1</v>
      </c>
      <c r="B188" s="57" t="s">
        <v>297</v>
      </c>
      <c r="C188" s="6">
        <f>SUMIF(ENTRADAS!A:A,INVENTARIO!A188,ENTRADAS!C:C)</f>
        <v>0</v>
      </c>
      <c r="D188" s="6">
        <f>SUMIF(SALIDAS!A:A,INVENTARIO!A188,SALIDAS!C:C)</f>
        <v>0</v>
      </c>
      <c r="E188" s="50">
        <f t="shared" si="3"/>
        <v>0</v>
      </c>
    </row>
    <row r="189" spans="1:5" ht="14.25" customHeight="1" x14ac:dyDescent="0.35">
      <c r="A189" s="49">
        <v>1</v>
      </c>
      <c r="B189" s="57" t="s">
        <v>298</v>
      </c>
      <c r="C189" s="6">
        <f>SUMIF(ENTRADAS!A:A,INVENTARIO!A189,ENTRADAS!C:C)</f>
        <v>0</v>
      </c>
      <c r="D189" s="6">
        <f>SUMIF(SALIDAS!A:A,INVENTARIO!A189,SALIDAS!C:C)</f>
        <v>0</v>
      </c>
      <c r="E189" s="50">
        <f t="shared" si="3"/>
        <v>0</v>
      </c>
    </row>
    <row r="190" spans="1:5" ht="14.25" customHeight="1" x14ac:dyDescent="0.35">
      <c r="A190" s="49">
        <v>1</v>
      </c>
      <c r="B190" s="57" t="s">
        <v>299</v>
      </c>
      <c r="C190" s="6">
        <f>SUMIF(ENTRADAS!A:A,INVENTARIO!A190,ENTRADAS!C:C)</f>
        <v>0</v>
      </c>
      <c r="D190" s="6">
        <f>SUMIF(SALIDAS!A:A,INVENTARIO!A190,SALIDAS!C:C)</f>
        <v>0</v>
      </c>
      <c r="E190" s="50">
        <f t="shared" si="3"/>
        <v>0</v>
      </c>
    </row>
    <row r="191" spans="1:5" ht="14.25" customHeight="1" x14ac:dyDescent="0.35">
      <c r="A191" s="49">
        <v>1</v>
      </c>
      <c r="B191" s="57" t="s">
        <v>300</v>
      </c>
      <c r="C191" s="6">
        <f>SUMIF(ENTRADAS!A:A,INVENTARIO!A191,ENTRADAS!C:C)</f>
        <v>0</v>
      </c>
      <c r="D191" s="6">
        <f>SUMIF(SALIDAS!A:A,INVENTARIO!A191,SALIDAS!C:C)</f>
        <v>0</v>
      </c>
      <c r="E191" s="50">
        <f t="shared" si="3"/>
        <v>0</v>
      </c>
    </row>
    <row r="192" spans="1:5" ht="14.25" customHeight="1" x14ac:dyDescent="0.35">
      <c r="A192" s="49">
        <v>1</v>
      </c>
      <c r="B192" s="57" t="s">
        <v>301</v>
      </c>
      <c r="C192" s="6">
        <f>SUMIF(ENTRADAS!A:A,INVENTARIO!A192,ENTRADAS!C:C)</f>
        <v>0</v>
      </c>
      <c r="D192" s="6">
        <f>SUMIF(SALIDAS!A:A,INVENTARIO!A192,SALIDAS!C:C)</f>
        <v>0</v>
      </c>
      <c r="E192" s="50">
        <f t="shared" si="3"/>
        <v>0</v>
      </c>
    </row>
    <row r="193" spans="1:5" ht="14.25" customHeight="1" x14ac:dyDescent="0.35">
      <c r="A193" s="49">
        <v>1</v>
      </c>
      <c r="B193" s="57" t="s">
        <v>302</v>
      </c>
      <c r="C193" s="6">
        <f>SUMIF(ENTRADAS!A:A,INVENTARIO!A193,ENTRADAS!C:C)</f>
        <v>0</v>
      </c>
      <c r="D193" s="6">
        <f>SUMIF(SALIDAS!A:A,INVENTARIO!A193,SALIDAS!C:C)</f>
        <v>0</v>
      </c>
      <c r="E193" s="50">
        <f t="shared" si="3"/>
        <v>0</v>
      </c>
    </row>
    <row r="194" spans="1:5" ht="14.25" customHeight="1" x14ac:dyDescent="0.35">
      <c r="A194" s="49">
        <v>1</v>
      </c>
      <c r="B194" s="57" t="s">
        <v>303</v>
      </c>
      <c r="C194" s="6">
        <f>SUMIF(ENTRADAS!A:A,INVENTARIO!A194,ENTRADAS!C:C)</f>
        <v>0</v>
      </c>
      <c r="D194" s="6">
        <f>SUMIF(SALIDAS!A:A,INVENTARIO!A194,SALIDAS!C:C)</f>
        <v>0</v>
      </c>
      <c r="E194" s="50">
        <f t="shared" si="3"/>
        <v>0</v>
      </c>
    </row>
    <row r="195" spans="1:5" ht="14.25" customHeight="1" x14ac:dyDescent="0.35">
      <c r="A195" s="49">
        <v>2004053</v>
      </c>
      <c r="B195" s="57" t="s">
        <v>350</v>
      </c>
      <c r="C195" s="6">
        <f>SUMIF(ENTRADAS!A:A,INVENTARIO!A195,ENTRADAS!C:C)</f>
        <v>1</v>
      </c>
      <c r="D195" s="6">
        <f>SUMIF(SALIDAS!A:A,INVENTARIO!A195,SALIDAS!C:C)</f>
        <v>0</v>
      </c>
      <c r="E195" s="50">
        <f>C195-D195</f>
        <v>1</v>
      </c>
    </row>
    <row r="196" spans="1:5" ht="14.25" customHeight="1" x14ac:dyDescent="0.35"/>
    <row r="197" spans="1:5" ht="14.25" customHeight="1" x14ac:dyDescent="0.35"/>
    <row r="198" spans="1:5" ht="14.25" customHeight="1" x14ac:dyDescent="0.35"/>
    <row r="199" spans="1:5" ht="14.25" customHeight="1" x14ac:dyDescent="0.35"/>
    <row r="200" spans="1:5" ht="14.25" customHeight="1" x14ac:dyDescent="0.35"/>
    <row r="201" spans="1:5" ht="14.25" customHeight="1" x14ac:dyDescent="0.35"/>
    <row r="202" spans="1:5" ht="14.25" customHeight="1" x14ac:dyDescent="0.35"/>
    <row r="203" spans="1:5" ht="14.25" customHeight="1" x14ac:dyDescent="0.35"/>
    <row r="204" spans="1:5" ht="14.25" customHeight="1" x14ac:dyDescent="0.35"/>
    <row r="205" spans="1:5" ht="14.25" customHeight="1" x14ac:dyDescent="0.35"/>
    <row r="206" spans="1:5" ht="14.25" customHeight="1" x14ac:dyDescent="0.35"/>
    <row r="207" spans="1:5" ht="14.25" customHeight="1" x14ac:dyDescent="0.35"/>
    <row r="208" spans="1:5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</sheetData>
  <pageMargins left="0.25" right="0.25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4418"/>
  <sheetViews>
    <sheetView workbookViewId="0">
      <selection activeCell="F6" sqref="F6"/>
    </sheetView>
  </sheetViews>
  <sheetFormatPr baseColWidth="10" defaultRowHeight="14.5" x14ac:dyDescent="0.35"/>
  <cols>
    <col min="1" max="1" width="22.90625" style="44" customWidth="1"/>
    <col min="2" max="2" width="13.36328125" style="44" bestFit="1" customWidth="1"/>
    <col min="3" max="3" width="39.08984375" style="109" customWidth="1"/>
    <col min="4" max="4" width="17.36328125" style="44" bestFit="1" customWidth="1"/>
    <col min="6" max="6" width="24.54296875" style="44" customWidth="1"/>
    <col min="7" max="7" width="16.26953125" style="44" bestFit="1" customWidth="1"/>
    <col min="8" max="8" width="43.81640625" bestFit="1" customWidth="1"/>
    <col min="9" max="9" width="14.1796875" style="44" bestFit="1" customWidth="1"/>
  </cols>
  <sheetData>
    <row r="3" spans="1:9" x14ac:dyDescent="0.35">
      <c r="A3" s="42" t="s">
        <v>182</v>
      </c>
      <c r="B3" s="42" t="s">
        <v>0</v>
      </c>
      <c r="C3" s="42" t="s">
        <v>1</v>
      </c>
      <c r="D3" s="44" t="s">
        <v>169</v>
      </c>
      <c r="F3" s="42" t="s">
        <v>172</v>
      </c>
      <c r="G3" s="42" t="s">
        <v>0</v>
      </c>
      <c r="H3" s="42" t="s">
        <v>1</v>
      </c>
      <c r="I3" s="42" t="s">
        <v>2</v>
      </c>
    </row>
    <row r="4" spans="1:9" x14ac:dyDescent="0.35">
      <c r="A4" s="109" t="s">
        <v>207</v>
      </c>
      <c r="C4" s="44"/>
      <c r="D4" s="22"/>
      <c r="F4" s="44" t="s">
        <v>207</v>
      </c>
      <c r="H4" s="44"/>
    </row>
    <row r="5" spans="1:9" x14ac:dyDescent="0.35">
      <c r="A5" s="109"/>
      <c r="B5" s="109">
        <v>101624</v>
      </c>
      <c r="C5" s="44"/>
      <c r="D5" s="22"/>
      <c r="G5" s="44">
        <v>101624</v>
      </c>
      <c r="H5" s="44"/>
    </row>
    <row r="6" spans="1:9" x14ac:dyDescent="0.35">
      <c r="A6" s="109"/>
      <c r="B6" s="109"/>
      <c r="C6" s="44" t="s">
        <v>129</v>
      </c>
      <c r="D6" s="22">
        <v>101</v>
      </c>
      <c r="H6" s="44" t="s">
        <v>129</v>
      </c>
    </row>
    <row r="7" spans="1:9" x14ac:dyDescent="0.35">
      <c r="A7" s="109"/>
      <c r="B7" s="109">
        <v>300108</v>
      </c>
      <c r="C7" s="44"/>
      <c r="D7" s="22"/>
      <c r="H7" s="44"/>
      <c r="I7" s="44">
        <v>3</v>
      </c>
    </row>
    <row r="8" spans="1:9" x14ac:dyDescent="0.35">
      <c r="A8" s="109"/>
      <c r="B8" s="109"/>
      <c r="C8" s="44" t="s">
        <v>131</v>
      </c>
      <c r="D8" s="22">
        <v>18</v>
      </c>
      <c r="H8" s="44"/>
      <c r="I8" s="44">
        <v>5</v>
      </c>
    </row>
    <row r="9" spans="1:9" x14ac:dyDescent="0.35">
      <c r="A9" s="109"/>
      <c r="B9" s="109">
        <v>300109</v>
      </c>
      <c r="C9" s="44"/>
      <c r="D9" s="22"/>
      <c r="G9" s="44">
        <v>300108</v>
      </c>
      <c r="H9" s="44"/>
    </row>
    <row r="10" spans="1:9" x14ac:dyDescent="0.35">
      <c r="A10" s="109"/>
      <c r="B10" s="109"/>
      <c r="C10" s="44" t="s">
        <v>127</v>
      </c>
      <c r="D10" s="22">
        <v>140</v>
      </c>
      <c r="H10" s="44" t="s">
        <v>131</v>
      </c>
    </row>
    <row r="11" spans="1:9" x14ac:dyDescent="0.35">
      <c r="A11" s="109"/>
      <c r="B11" s="109">
        <v>300130</v>
      </c>
      <c r="C11" s="44"/>
      <c r="D11" s="22"/>
      <c r="H11" s="44"/>
      <c r="I11" s="44">
        <v>2</v>
      </c>
    </row>
    <row r="12" spans="1:9" x14ac:dyDescent="0.35">
      <c r="A12" s="109"/>
      <c r="B12" s="109"/>
      <c r="C12" s="44" t="s">
        <v>66</v>
      </c>
      <c r="D12" s="22">
        <v>4</v>
      </c>
      <c r="H12" s="44"/>
      <c r="I12" s="44">
        <v>5</v>
      </c>
    </row>
    <row r="13" spans="1:9" x14ac:dyDescent="0.35">
      <c r="A13" s="109"/>
      <c r="B13" s="109">
        <v>300532</v>
      </c>
      <c r="C13" s="44"/>
      <c r="D13" s="22"/>
      <c r="G13" s="44">
        <v>300109</v>
      </c>
      <c r="H13" s="44"/>
    </row>
    <row r="14" spans="1:9" x14ac:dyDescent="0.35">
      <c r="A14" s="109"/>
      <c r="B14" s="109"/>
      <c r="C14" s="44" t="s">
        <v>30</v>
      </c>
      <c r="D14" s="22">
        <v>4</v>
      </c>
      <c r="H14" s="44" t="s">
        <v>127</v>
      </c>
    </row>
    <row r="15" spans="1:9" x14ac:dyDescent="0.35">
      <c r="A15" s="109"/>
      <c r="B15" s="109">
        <v>300712</v>
      </c>
      <c r="C15" s="44"/>
      <c r="D15" s="22"/>
      <c r="H15" s="44"/>
      <c r="I15" s="44">
        <v>2</v>
      </c>
    </row>
    <row r="16" spans="1:9" x14ac:dyDescent="0.35">
      <c r="A16" s="109"/>
      <c r="B16" s="109"/>
      <c r="C16" s="44" t="s">
        <v>113</v>
      </c>
      <c r="D16" s="22">
        <v>7</v>
      </c>
      <c r="H16" s="44"/>
      <c r="I16" s="44">
        <v>3</v>
      </c>
    </row>
    <row r="17" spans="1:9" x14ac:dyDescent="0.35">
      <c r="A17" s="109"/>
      <c r="B17" s="109">
        <v>301044</v>
      </c>
      <c r="C17" s="44"/>
      <c r="D17" s="22"/>
      <c r="H17" s="44"/>
      <c r="I17" s="44">
        <v>5</v>
      </c>
    </row>
    <row r="18" spans="1:9" x14ac:dyDescent="0.35">
      <c r="A18" s="109"/>
      <c r="B18" s="109"/>
      <c r="C18" s="44" t="s">
        <v>29</v>
      </c>
      <c r="D18" s="22">
        <v>8</v>
      </c>
      <c r="G18" s="44">
        <v>300130</v>
      </c>
      <c r="H18" s="44"/>
    </row>
    <row r="19" spans="1:9" x14ac:dyDescent="0.35">
      <c r="A19" s="109"/>
      <c r="B19" s="109">
        <v>301099</v>
      </c>
      <c r="C19" s="44"/>
      <c r="D19" s="22"/>
      <c r="H19" s="44" t="s">
        <v>66</v>
      </c>
    </row>
    <row r="20" spans="1:9" x14ac:dyDescent="0.35">
      <c r="A20" s="109"/>
      <c r="B20" s="109"/>
      <c r="C20" s="44" t="s">
        <v>21</v>
      </c>
      <c r="D20" s="22">
        <v>133</v>
      </c>
      <c r="H20" s="44"/>
      <c r="I20" s="44">
        <v>1</v>
      </c>
    </row>
    <row r="21" spans="1:9" x14ac:dyDescent="0.35">
      <c r="A21" s="109"/>
      <c r="B21" s="109">
        <v>301327</v>
      </c>
      <c r="C21" s="44"/>
      <c r="D21" s="22"/>
      <c r="G21" s="44">
        <v>300712</v>
      </c>
      <c r="H21" s="44"/>
    </row>
    <row r="22" spans="1:9" x14ac:dyDescent="0.35">
      <c r="A22" s="109"/>
      <c r="B22" s="109"/>
      <c r="C22" s="44" t="s">
        <v>115</v>
      </c>
      <c r="D22" s="22">
        <v>25</v>
      </c>
      <c r="H22" s="44" t="s">
        <v>113</v>
      </c>
    </row>
    <row r="23" spans="1:9" x14ac:dyDescent="0.35">
      <c r="A23" s="109"/>
      <c r="B23" s="109">
        <v>301329</v>
      </c>
      <c r="C23" s="44"/>
      <c r="D23" s="22"/>
      <c r="H23" s="44"/>
      <c r="I23" s="44">
        <v>6</v>
      </c>
    </row>
    <row r="24" spans="1:9" x14ac:dyDescent="0.35">
      <c r="A24" s="109"/>
      <c r="B24" s="109"/>
      <c r="C24" s="44" t="s">
        <v>55</v>
      </c>
      <c r="D24" s="22">
        <v>555</v>
      </c>
      <c r="G24" s="44">
        <v>301044</v>
      </c>
      <c r="H24" s="44"/>
    </row>
    <row r="25" spans="1:9" x14ac:dyDescent="0.35">
      <c r="A25" s="109"/>
      <c r="B25" s="109">
        <v>301666</v>
      </c>
      <c r="C25" s="44"/>
      <c r="D25" s="22"/>
      <c r="H25" s="44" t="s">
        <v>29</v>
      </c>
    </row>
    <row r="26" spans="1:9" x14ac:dyDescent="0.35">
      <c r="A26" s="109"/>
      <c r="B26" s="109"/>
      <c r="C26" s="44" t="s">
        <v>137</v>
      </c>
      <c r="D26" s="22">
        <v>23</v>
      </c>
      <c r="H26" s="44"/>
      <c r="I26" s="44">
        <v>2</v>
      </c>
    </row>
    <row r="27" spans="1:9" x14ac:dyDescent="0.35">
      <c r="A27" s="109"/>
      <c r="B27" s="109">
        <v>301685</v>
      </c>
      <c r="C27" s="44"/>
      <c r="D27" s="22"/>
      <c r="G27" s="44">
        <v>301099</v>
      </c>
      <c r="H27" s="44"/>
    </row>
    <row r="28" spans="1:9" x14ac:dyDescent="0.35">
      <c r="A28" s="109"/>
      <c r="B28" s="109"/>
      <c r="C28" s="44" t="s">
        <v>111</v>
      </c>
      <c r="D28" s="22">
        <v>1</v>
      </c>
      <c r="H28" s="44" t="s">
        <v>21</v>
      </c>
    </row>
    <row r="29" spans="1:9" x14ac:dyDescent="0.35">
      <c r="A29" s="109"/>
      <c r="B29" s="109">
        <v>301749</v>
      </c>
      <c r="C29" s="44"/>
      <c r="D29" s="22"/>
      <c r="H29" s="44"/>
      <c r="I29" s="44">
        <v>4</v>
      </c>
    </row>
    <row r="30" spans="1:9" x14ac:dyDescent="0.35">
      <c r="A30" s="109"/>
      <c r="B30" s="109"/>
      <c r="C30" s="44" t="s">
        <v>8</v>
      </c>
      <c r="D30" s="22">
        <v>200</v>
      </c>
      <c r="H30" s="44"/>
      <c r="I30" s="44">
        <v>5</v>
      </c>
    </row>
    <row r="31" spans="1:9" x14ac:dyDescent="0.35">
      <c r="A31" s="109"/>
      <c r="B31" s="109">
        <v>301987</v>
      </c>
      <c r="C31" s="44"/>
      <c r="D31" s="22"/>
      <c r="G31" s="44">
        <v>301327</v>
      </c>
      <c r="H31" s="44"/>
    </row>
    <row r="32" spans="1:9" x14ac:dyDescent="0.35">
      <c r="A32" s="109"/>
      <c r="B32" s="109"/>
      <c r="C32" s="44" t="s">
        <v>40</v>
      </c>
      <c r="D32" s="22">
        <v>9</v>
      </c>
      <c r="H32" s="44" t="s">
        <v>115</v>
      </c>
    </row>
    <row r="33" spans="1:9" x14ac:dyDescent="0.35">
      <c r="A33" s="109"/>
      <c r="B33" s="44">
        <v>302065</v>
      </c>
      <c r="C33" s="44"/>
      <c r="D33" s="22"/>
      <c r="H33" s="44"/>
      <c r="I33" s="44">
        <v>2</v>
      </c>
    </row>
    <row r="34" spans="1:9" x14ac:dyDescent="0.35">
      <c r="A34" s="109"/>
      <c r="C34" s="44" t="s">
        <v>13</v>
      </c>
      <c r="D34" s="22">
        <v>480</v>
      </c>
      <c r="H34" s="44"/>
      <c r="I34" s="44">
        <v>4</v>
      </c>
    </row>
    <row r="35" spans="1:9" x14ac:dyDescent="0.35">
      <c r="A35" s="109"/>
      <c r="B35" s="109">
        <v>302184</v>
      </c>
      <c r="C35" s="44"/>
      <c r="D35" s="22"/>
      <c r="G35" s="44">
        <v>301329</v>
      </c>
      <c r="H35" s="44"/>
    </row>
    <row r="36" spans="1:9" x14ac:dyDescent="0.35">
      <c r="A36" s="109"/>
      <c r="B36" s="109"/>
      <c r="C36" s="44" t="s">
        <v>246</v>
      </c>
      <c r="D36" s="22">
        <v>75</v>
      </c>
      <c r="H36" s="44" t="s">
        <v>55</v>
      </c>
    </row>
    <row r="37" spans="1:9" x14ac:dyDescent="0.35">
      <c r="A37" s="109"/>
      <c r="B37" s="109">
        <v>302317</v>
      </c>
      <c r="C37" s="44"/>
      <c r="D37" s="22"/>
      <c r="H37" s="44"/>
      <c r="I37" s="44">
        <v>2</v>
      </c>
    </row>
    <row r="38" spans="1:9" x14ac:dyDescent="0.35">
      <c r="A38" s="109"/>
      <c r="B38" s="109"/>
      <c r="C38" s="44" t="s">
        <v>117</v>
      </c>
      <c r="D38" s="22">
        <v>2</v>
      </c>
      <c r="H38" s="44"/>
      <c r="I38" s="44">
        <v>6</v>
      </c>
    </row>
    <row r="39" spans="1:9" x14ac:dyDescent="0.35">
      <c r="A39" s="109"/>
      <c r="B39" s="109">
        <v>302659</v>
      </c>
      <c r="C39" s="44"/>
      <c r="D39" s="22"/>
      <c r="H39" s="44"/>
      <c r="I39" s="44">
        <v>12</v>
      </c>
    </row>
    <row r="40" spans="1:9" x14ac:dyDescent="0.35">
      <c r="A40" s="109"/>
      <c r="B40" s="109"/>
      <c r="C40" s="44" t="s">
        <v>58</v>
      </c>
      <c r="D40" s="22">
        <v>32</v>
      </c>
      <c r="H40" s="44"/>
      <c r="I40" s="44">
        <v>15</v>
      </c>
    </row>
    <row r="41" spans="1:9" x14ac:dyDescent="0.35">
      <c r="A41" s="109"/>
      <c r="B41" s="109">
        <v>302678</v>
      </c>
      <c r="C41" s="44"/>
      <c r="D41" s="22"/>
      <c r="G41" s="44">
        <v>301749</v>
      </c>
      <c r="H41" s="44"/>
    </row>
    <row r="42" spans="1:9" x14ac:dyDescent="0.35">
      <c r="A42" s="109"/>
      <c r="B42" s="109"/>
      <c r="C42" s="44" t="s">
        <v>107</v>
      </c>
      <c r="D42" s="22">
        <v>4</v>
      </c>
      <c r="H42" s="44" t="s">
        <v>8</v>
      </c>
    </row>
    <row r="43" spans="1:9" x14ac:dyDescent="0.35">
      <c r="A43" s="109"/>
      <c r="B43" s="109">
        <v>302737</v>
      </c>
      <c r="C43" s="44"/>
      <c r="D43" s="22"/>
      <c r="H43" s="44"/>
      <c r="I43" s="44">
        <v>2</v>
      </c>
    </row>
    <row r="44" spans="1:9" x14ac:dyDescent="0.35">
      <c r="A44" s="109"/>
      <c r="B44" s="109"/>
      <c r="C44" s="44" t="s">
        <v>50</v>
      </c>
      <c r="D44" s="22">
        <v>75</v>
      </c>
      <c r="H44" s="44"/>
      <c r="I44" s="44">
        <v>4</v>
      </c>
    </row>
    <row r="45" spans="1:9" x14ac:dyDescent="0.35">
      <c r="A45" s="109"/>
      <c r="B45" s="109">
        <v>302991</v>
      </c>
      <c r="C45" s="44"/>
      <c r="D45" s="22"/>
      <c r="H45" s="44"/>
      <c r="I45" s="44">
        <v>10</v>
      </c>
    </row>
    <row r="46" spans="1:9" x14ac:dyDescent="0.35">
      <c r="A46" s="109"/>
      <c r="B46" s="109"/>
      <c r="C46" s="44" t="s">
        <v>60</v>
      </c>
      <c r="D46" s="22">
        <v>34</v>
      </c>
      <c r="H46" s="44"/>
      <c r="I46" s="44">
        <v>50</v>
      </c>
    </row>
    <row r="47" spans="1:9" x14ac:dyDescent="0.35">
      <c r="A47" s="109"/>
      <c r="B47" s="109">
        <v>302992</v>
      </c>
      <c r="C47" s="44"/>
      <c r="D47" s="22"/>
      <c r="G47" s="44">
        <v>301987</v>
      </c>
      <c r="H47" s="44"/>
    </row>
    <row r="48" spans="1:9" x14ac:dyDescent="0.35">
      <c r="A48" s="109"/>
      <c r="B48" s="109"/>
      <c r="C48" s="44" t="s">
        <v>38</v>
      </c>
      <c r="D48" s="22">
        <v>12</v>
      </c>
      <c r="H48" s="44" t="s">
        <v>40</v>
      </c>
    </row>
    <row r="49" spans="1:9" x14ac:dyDescent="0.35">
      <c r="A49" s="109"/>
      <c r="B49" s="109">
        <v>303015</v>
      </c>
      <c r="C49" s="44"/>
      <c r="D49" s="22"/>
      <c r="H49" s="44"/>
      <c r="I49" s="44">
        <v>1</v>
      </c>
    </row>
    <row r="50" spans="1:9" x14ac:dyDescent="0.35">
      <c r="A50" s="109"/>
      <c r="B50" s="109"/>
      <c r="C50" s="44" t="s">
        <v>82</v>
      </c>
      <c r="D50" s="22">
        <v>7</v>
      </c>
      <c r="H50" s="44"/>
      <c r="I50" s="44">
        <v>2</v>
      </c>
    </row>
    <row r="51" spans="1:9" x14ac:dyDescent="0.35">
      <c r="A51" s="109"/>
      <c r="B51" s="109">
        <v>303017</v>
      </c>
      <c r="C51" s="44"/>
      <c r="D51" s="22"/>
      <c r="G51" s="44">
        <v>302184</v>
      </c>
      <c r="H51" s="44"/>
    </row>
    <row r="52" spans="1:9" x14ac:dyDescent="0.35">
      <c r="A52" s="109"/>
      <c r="B52" s="109"/>
      <c r="C52" s="44" t="s">
        <v>42</v>
      </c>
      <c r="D52" s="22">
        <v>6</v>
      </c>
      <c r="H52" s="44" t="s">
        <v>246</v>
      </c>
    </row>
    <row r="53" spans="1:9" x14ac:dyDescent="0.35">
      <c r="A53" s="109"/>
      <c r="B53" s="109">
        <v>303345</v>
      </c>
      <c r="C53" s="44"/>
      <c r="D53" s="22"/>
      <c r="H53" s="44"/>
      <c r="I53" s="44">
        <v>2</v>
      </c>
    </row>
    <row r="54" spans="1:9" x14ac:dyDescent="0.35">
      <c r="A54" s="109"/>
      <c r="B54" s="109"/>
      <c r="C54" s="44" t="s">
        <v>57</v>
      </c>
      <c r="D54" s="22">
        <v>94</v>
      </c>
      <c r="H54" s="44"/>
      <c r="I54" s="44">
        <v>3</v>
      </c>
    </row>
    <row r="55" spans="1:9" x14ac:dyDescent="0.35">
      <c r="A55" s="109"/>
      <c r="B55" s="109">
        <v>303368</v>
      </c>
      <c r="C55" s="44"/>
      <c r="D55" s="22"/>
      <c r="H55" s="44"/>
      <c r="I55" s="44">
        <v>5</v>
      </c>
    </row>
    <row r="56" spans="1:9" x14ac:dyDescent="0.35">
      <c r="A56" s="109"/>
      <c r="B56" s="109"/>
      <c r="C56" s="44" t="s">
        <v>51</v>
      </c>
      <c r="D56" s="22">
        <v>3400</v>
      </c>
      <c r="G56" s="44">
        <v>302659</v>
      </c>
      <c r="H56" s="44"/>
    </row>
    <row r="57" spans="1:9" x14ac:dyDescent="0.35">
      <c r="A57" s="109"/>
      <c r="B57" s="109">
        <v>303439</v>
      </c>
      <c r="C57" s="44"/>
      <c r="D57" s="22"/>
      <c r="H57" s="44" t="s">
        <v>58</v>
      </c>
    </row>
    <row r="58" spans="1:9" x14ac:dyDescent="0.35">
      <c r="A58" s="109"/>
      <c r="B58" s="109"/>
      <c r="C58" s="44" t="s">
        <v>94</v>
      </c>
      <c r="D58" s="22">
        <v>6</v>
      </c>
      <c r="H58" s="44"/>
      <c r="I58" s="44">
        <v>2</v>
      </c>
    </row>
    <row r="59" spans="1:9" x14ac:dyDescent="0.35">
      <c r="A59" s="109"/>
      <c r="B59" s="109">
        <v>303510</v>
      </c>
      <c r="C59" s="44"/>
      <c r="D59" s="22"/>
      <c r="H59" s="44"/>
      <c r="I59" s="44">
        <v>3</v>
      </c>
    </row>
    <row r="60" spans="1:9" x14ac:dyDescent="0.35">
      <c r="A60" s="109"/>
      <c r="B60" s="109"/>
      <c r="C60" s="44" t="s">
        <v>93</v>
      </c>
      <c r="D60" s="22">
        <v>30</v>
      </c>
      <c r="H60" s="44"/>
      <c r="I60" s="44">
        <v>4</v>
      </c>
    </row>
    <row r="61" spans="1:9" x14ac:dyDescent="0.35">
      <c r="A61" s="109"/>
      <c r="B61" s="109">
        <v>400205</v>
      </c>
      <c r="C61" s="44"/>
      <c r="D61" s="22"/>
      <c r="H61" s="44"/>
      <c r="I61" s="44">
        <v>7</v>
      </c>
    </row>
    <row r="62" spans="1:9" x14ac:dyDescent="0.35">
      <c r="A62" s="109"/>
      <c r="B62" s="109"/>
      <c r="C62" s="44" t="s">
        <v>68</v>
      </c>
      <c r="D62" s="22">
        <v>5</v>
      </c>
      <c r="G62" s="44">
        <v>302678</v>
      </c>
      <c r="H62" s="44"/>
    </row>
    <row r="63" spans="1:9" x14ac:dyDescent="0.35">
      <c r="A63" s="109"/>
      <c r="B63" s="109">
        <v>1002167</v>
      </c>
      <c r="C63" s="44"/>
      <c r="D63" s="22"/>
      <c r="H63" s="44" t="s">
        <v>107</v>
      </c>
    </row>
    <row r="64" spans="1:9" x14ac:dyDescent="0.35">
      <c r="A64" s="109"/>
      <c r="B64" s="109"/>
      <c r="C64" s="44" t="s">
        <v>52</v>
      </c>
      <c r="D64" s="22">
        <v>3400</v>
      </c>
      <c r="H64" s="44"/>
      <c r="I64" s="44">
        <v>1</v>
      </c>
    </row>
    <row r="65" spans="1:9" x14ac:dyDescent="0.35">
      <c r="A65" s="109"/>
      <c r="B65" s="109">
        <v>2000350</v>
      </c>
      <c r="C65" s="44"/>
      <c r="D65" s="22"/>
      <c r="G65" s="44">
        <v>302737</v>
      </c>
      <c r="H65" s="44"/>
    </row>
    <row r="66" spans="1:9" x14ac:dyDescent="0.35">
      <c r="A66" s="109"/>
      <c r="B66" s="109"/>
      <c r="C66" s="44" t="s">
        <v>26</v>
      </c>
      <c r="D66" s="22">
        <v>37</v>
      </c>
      <c r="H66" s="44" t="s">
        <v>50</v>
      </c>
    </row>
    <row r="67" spans="1:9" x14ac:dyDescent="0.35">
      <c r="A67" s="109"/>
      <c r="B67" s="109">
        <v>2002262</v>
      </c>
      <c r="C67" s="44"/>
      <c r="D67" s="22"/>
      <c r="H67" s="44"/>
      <c r="I67" s="44">
        <v>1</v>
      </c>
    </row>
    <row r="68" spans="1:9" x14ac:dyDescent="0.35">
      <c r="A68" s="109"/>
      <c r="B68" s="109"/>
      <c r="C68" s="44" t="s">
        <v>10</v>
      </c>
      <c r="D68" s="22">
        <v>1950</v>
      </c>
      <c r="H68" s="44"/>
      <c r="I68" s="44">
        <v>2</v>
      </c>
    </row>
    <row r="69" spans="1:9" x14ac:dyDescent="0.35">
      <c r="A69" s="109"/>
      <c r="B69" s="109">
        <v>2002263</v>
      </c>
      <c r="C69" s="44"/>
      <c r="D69" s="22"/>
      <c r="H69" s="44"/>
      <c r="I69" s="44">
        <v>3</v>
      </c>
    </row>
    <row r="70" spans="1:9" x14ac:dyDescent="0.35">
      <c r="A70" s="109"/>
      <c r="B70" s="109"/>
      <c r="C70" s="44" t="s">
        <v>11</v>
      </c>
      <c r="D70" s="22">
        <v>738</v>
      </c>
      <c r="H70" s="44"/>
      <c r="I70" s="44">
        <v>4</v>
      </c>
    </row>
    <row r="71" spans="1:9" x14ac:dyDescent="0.35">
      <c r="A71" s="109"/>
      <c r="B71" s="109">
        <v>2003911</v>
      </c>
      <c r="C71" s="44"/>
      <c r="D71" s="22"/>
      <c r="H71" s="44"/>
      <c r="I71" s="44">
        <v>5</v>
      </c>
    </row>
    <row r="72" spans="1:9" x14ac:dyDescent="0.35">
      <c r="A72" s="109"/>
      <c r="B72" s="109"/>
      <c r="C72" s="44" t="s">
        <v>25</v>
      </c>
      <c r="D72" s="22">
        <v>133</v>
      </c>
      <c r="G72" s="44">
        <v>302992</v>
      </c>
      <c r="H72" s="44"/>
    </row>
    <row r="73" spans="1:9" x14ac:dyDescent="0.35">
      <c r="A73" s="109"/>
      <c r="B73" s="109">
        <v>2003965</v>
      </c>
      <c r="C73" s="44"/>
      <c r="D73" s="22"/>
      <c r="H73" s="44" t="s">
        <v>38</v>
      </c>
    </row>
    <row r="74" spans="1:9" x14ac:dyDescent="0.35">
      <c r="A74" s="109"/>
      <c r="B74" s="109"/>
      <c r="C74" s="44" t="s">
        <v>18</v>
      </c>
      <c r="D74" s="22">
        <v>1</v>
      </c>
      <c r="H74" s="44"/>
      <c r="I74" s="44">
        <v>1</v>
      </c>
    </row>
    <row r="75" spans="1:9" x14ac:dyDescent="0.35">
      <c r="A75" s="109"/>
      <c r="B75" s="109">
        <v>2005135</v>
      </c>
      <c r="C75" s="44"/>
      <c r="D75" s="22"/>
      <c r="G75" s="44">
        <v>303345</v>
      </c>
      <c r="H75" s="44"/>
    </row>
    <row r="76" spans="1:9" x14ac:dyDescent="0.35">
      <c r="A76" s="109"/>
      <c r="B76" s="109"/>
      <c r="C76" s="44" t="s">
        <v>171</v>
      </c>
      <c r="D76" s="22">
        <v>23</v>
      </c>
      <c r="H76" s="44" t="s">
        <v>57</v>
      </c>
    </row>
    <row r="77" spans="1:9" x14ac:dyDescent="0.35">
      <c r="A77" s="109"/>
      <c r="B77" s="109">
        <v>2006391</v>
      </c>
      <c r="C77" s="44"/>
      <c r="D77" s="22"/>
      <c r="H77" s="44"/>
      <c r="I77" s="44">
        <v>2</v>
      </c>
    </row>
    <row r="78" spans="1:9" x14ac:dyDescent="0.35">
      <c r="A78" s="109"/>
      <c r="B78" s="109"/>
      <c r="C78" s="44" t="s">
        <v>92</v>
      </c>
      <c r="D78" s="22">
        <v>75</v>
      </c>
      <c r="H78" s="44"/>
      <c r="I78" s="44">
        <v>3</v>
      </c>
    </row>
    <row r="79" spans="1:9" x14ac:dyDescent="0.35">
      <c r="A79" s="109"/>
      <c r="B79" s="109">
        <v>2006392</v>
      </c>
      <c r="C79" s="44"/>
      <c r="D79" s="22"/>
      <c r="H79" s="44"/>
      <c r="I79" s="44">
        <v>4</v>
      </c>
    </row>
    <row r="80" spans="1:9" x14ac:dyDescent="0.35">
      <c r="A80" s="109"/>
      <c r="B80" s="109"/>
      <c r="C80" s="44" t="s">
        <v>148</v>
      </c>
      <c r="D80" s="22">
        <v>2</v>
      </c>
      <c r="H80" s="44"/>
      <c r="I80" s="44">
        <v>6</v>
      </c>
    </row>
    <row r="81" spans="1:9" x14ac:dyDescent="0.35">
      <c r="A81" s="109"/>
      <c r="B81" s="109">
        <v>2006393</v>
      </c>
      <c r="C81" s="44"/>
      <c r="D81" s="22"/>
      <c r="H81" s="44"/>
      <c r="I81" s="44">
        <v>8</v>
      </c>
    </row>
    <row r="82" spans="1:9" x14ac:dyDescent="0.35">
      <c r="A82" s="109"/>
      <c r="B82" s="109"/>
      <c r="C82" s="44" t="s">
        <v>174</v>
      </c>
      <c r="D82" s="22">
        <v>2</v>
      </c>
      <c r="G82" s="44">
        <v>303368</v>
      </c>
      <c r="H82" s="44"/>
    </row>
    <row r="83" spans="1:9" x14ac:dyDescent="0.35">
      <c r="A83" s="109"/>
      <c r="B83" s="109">
        <v>2007948</v>
      </c>
      <c r="C83" s="44"/>
      <c r="D83" s="22"/>
      <c r="H83" s="44" t="s">
        <v>51</v>
      </c>
    </row>
    <row r="84" spans="1:9" x14ac:dyDescent="0.35">
      <c r="A84" s="109"/>
      <c r="B84" s="109"/>
      <c r="C84" s="44" t="s">
        <v>16</v>
      </c>
      <c r="D84" s="22">
        <v>78</v>
      </c>
      <c r="H84" s="44"/>
      <c r="I84" s="44">
        <v>1</v>
      </c>
    </row>
    <row r="85" spans="1:9" x14ac:dyDescent="0.35">
      <c r="A85" s="109"/>
      <c r="B85" s="109">
        <v>2008302</v>
      </c>
      <c r="C85" s="44"/>
      <c r="D85" s="22"/>
      <c r="H85" s="44"/>
      <c r="I85" s="44">
        <v>10</v>
      </c>
    </row>
    <row r="86" spans="1:9" x14ac:dyDescent="0.35">
      <c r="A86" s="109"/>
      <c r="B86" s="109"/>
      <c r="C86" s="44" t="s">
        <v>173</v>
      </c>
      <c r="D86" s="22">
        <v>19</v>
      </c>
      <c r="H86" s="44"/>
      <c r="I86" s="44">
        <v>50</v>
      </c>
    </row>
    <row r="87" spans="1:9" x14ac:dyDescent="0.35">
      <c r="A87" s="109" t="s">
        <v>168</v>
      </c>
      <c r="B87" s="109"/>
      <c r="D87" s="22">
        <v>11948</v>
      </c>
      <c r="H87" s="44"/>
      <c r="I87" s="44">
        <v>100</v>
      </c>
    </row>
    <row r="88" spans="1:9" x14ac:dyDescent="0.35">
      <c r="A88"/>
      <c r="B88"/>
      <c r="C88"/>
      <c r="D88"/>
      <c r="G88" s="44">
        <v>303510</v>
      </c>
      <c r="H88" s="44"/>
    </row>
    <row r="89" spans="1:9" x14ac:dyDescent="0.35">
      <c r="A89"/>
      <c r="B89"/>
      <c r="C89"/>
      <c r="D89"/>
      <c r="H89" s="44" t="s">
        <v>93</v>
      </c>
    </row>
    <row r="90" spans="1:9" x14ac:dyDescent="0.35">
      <c r="A90"/>
      <c r="B90"/>
      <c r="C90"/>
      <c r="D90"/>
      <c r="H90" s="44"/>
      <c r="I90" s="44">
        <v>2</v>
      </c>
    </row>
    <row r="91" spans="1:9" x14ac:dyDescent="0.35">
      <c r="A91"/>
      <c r="B91"/>
      <c r="C91"/>
      <c r="D91"/>
      <c r="H91" s="44"/>
      <c r="I91" s="44">
        <v>4</v>
      </c>
    </row>
    <row r="92" spans="1:9" x14ac:dyDescent="0.35">
      <c r="A92"/>
      <c r="B92"/>
      <c r="C92"/>
      <c r="D92"/>
      <c r="H92" s="44"/>
      <c r="I92" s="44">
        <v>20</v>
      </c>
    </row>
    <row r="93" spans="1:9" x14ac:dyDescent="0.35">
      <c r="A93"/>
      <c r="B93"/>
      <c r="C93"/>
      <c r="D93"/>
      <c r="G93" s="44">
        <v>400205</v>
      </c>
      <c r="H93" s="44"/>
    </row>
    <row r="94" spans="1:9" x14ac:dyDescent="0.35">
      <c r="A94"/>
      <c r="B94"/>
      <c r="C94"/>
      <c r="D94"/>
      <c r="H94" s="44" t="s">
        <v>68</v>
      </c>
    </row>
    <row r="95" spans="1:9" x14ac:dyDescent="0.35">
      <c r="A95"/>
      <c r="B95"/>
      <c r="C95"/>
      <c r="D95"/>
      <c r="H95" s="44"/>
      <c r="I95" s="44">
        <v>1</v>
      </c>
    </row>
    <row r="96" spans="1:9" x14ac:dyDescent="0.35">
      <c r="A96"/>
      <c r="B96"/>
      <c r="C96"/>
      <c r="D96"/>
      <c r="G96" s="44">
        <v>1000720</v>
      </c>
      <c r="H96" s="44"/>
    </row>
    <row r="97" spans="1:9" x14ac:dyDescent="0.35">
      <c r="A97"/>
      <c r="B97"/>
      <c r="C97"/>
      <c r="D97"/>
      <c r="H97" s="44" t="s">
        <v>53</v>
      </c>
    </row>
    <row r="98" spans="1:9" x14ac:dyDescent="0.35">
      <c r="A98"/>
      <c r="B98"/>
      <c r="C98"/>
      <c r="D98"/>
      <c r="H98" s="44"/>
      <c r="I98" s="44">
        <v>1</v>
      </c>
    </row>
    <row r="99" spans="1:9" x14ac:dyDescent="0.35">
      <c r="A99"/>
      <c r="B99"/>
      <c r="C99"/>
      <c r="D99"/>
      <c r="H99" s="44"/>
      <c r="I99" s="44">
        <v>2</v>
      </c>
    </row>
    <row r="100" spans="1:9" x14ac:dyDescent="0.35">
      <c r="A100"/>
      <c r="B100"/>
      <c r="C100"/>
      <c r="D100"/>
      <c r="G100" s="44">
        <v>1002167</v>
      </c>
      <c r="H100" s="44"/>
    </row>
    <row r="101" spans="1:9" x14ac:dyDescent="0.35">
      <c r="A101"/>
      <c r="B101"/>
      <c r="C101"/>
      <c r="D101"/>
      <c r="H101" s="44" t="s">
        <v>52</v>
      </c>
    </row>
    <row r="102" spans="1:9" x14ac:dyDescent="0.35">
      <c r="A102"/>
      <c r="B102"/>
      <c r="C102"/>
      <c r="D102"/>
      <c r="H102" s="44"/>
      <c r="I102" s="44">
        <v>10</v>
      </c>
    </row>
    <row r="103" spans="1:9" x14ac:dyDescent="0.35">
      <c r="A103"/>
      <c r="B103"/>
      <c r="C103"/>
      <c r="D103"/>
      <c r="H103" s="44"/>
      <c r="I103" s="44">
        <v>50</v>
      </c>
    </row>
    <row r="104" spans="1:9" x14ac:dyDescent="0.35">
      <c r="A104"/>
      <c r="B104"/>
      <c r="C104"/>
      <c r="D104"/>
      <c r="H104" s="44"/>
      <c r="I104" s="44">
        <v>100</v>
      </c>
    </row>
    <row r="105" spans="1:9" x14ac:dyDescent="0.35">
      <c r="A105"/>
      <c r="B105"/>
      <c r="C105"/>
      <c r="D105"/>
      <c r="H105" s="44"/>
      <c r="I105" s="44">
        <v>200</v>
      </c>
    </row>
    <row r="106" spans="1:9" x14ac:dyDescent="0.35">
      <c r="A106"/>
      <c r="B106"/>
      <c r="C106"/>
      <c r="D106"/>
      <c r="G106" s="44">
        <v>2000350</v>
      </c>
      <c r="H106" s="44"/>
    </row>
    <row r="107" spans="1:9" x14ac:dyDescent="0.35">
      <c r="A107"/>
      <c r="B107"/>
      <c r="C107"/>
      <c r="D107"/>
      <c r="H107" s="44" t="s">
        <v>26</v>
      </c>
    </row>
    <row r="108" spans="1:9" x14ac:dyDescent="0.35">
      <c r="A108"/>
      <c r="B108"/>
      <c r="C108"/>
      <c r="D108"/>
      <c r="H108" s="44"/>
      <c r="I108" s="44">
        <v>2</v>
      </c>
    </row>
    <row r="109" spans="1:9" x14ac:dyDescent="0.35">
      <c r="A109"/>
      <c r="B109"/>
      <c r="C109"/>
      <c r="D109"/>
      <c r="H109" s="44"/>
      <c r="I109" s="44">
        <v>4</v>
      </c>
    </row>
    <row r="110" spans="1:9" x14ac:dyDescent="0.35">
      <c r="A110"/>
      <c r="B110"/>
      <c r="C110"/>
      <c r="D110"/>
      <c r="H110" s="44"/>
      <c r="I110" s="44">
        <v>5</v>
      </c>
    </row>
    <row r="111" spans="1:9" x14ac:dyDescent="0.35">
      <c r="A111"/>
      <c r="B111"/>
      <c r="C111"/>
      <c r="D111"/>
      <c r="H111" s="44"/>
      <c r="I111" s="44">
        <v>8</v>
      </c>
    </row>
    <row r="112" spans="1:9" x14ac:dyDescent="0.35">
      <c r="A112"/>
      <c r="B112"/>
      <c r="C112"/>
      <c r="D112"/>
      <c r="H112" s="44"/>
      <c r="I112" s="44">
        <v>10</v>
      </c>
    </row>
    <row r="113" spans="1:9" x14ac:dyDescent="0.35">
      <c r="A113"/>
      <c r="B113"/>
      <c r="C113"/>
      <c r="D113"/>
      <c r="G113" s="44">
        <v>2002262</v>
      </c>
      <c r="H113" s="44"/>
    </row>
    <row r="114" spans="1:9" x14ac:dyDescent="0.35">
      <c r="A114"/>
      <c r="B114"/>
      <c r="C114"/>
      <c r="D114"/>
      <c r="H114" s="44" t="s">
        <v>10</v>
      </c>
    </row>
    <row r="115" spans="1:9" x14ac:dyDescent="0.35">
      <c r="A115"/>
      <c r="B115"/>
      <c r="C115"/>
      <c r="D115"/>
      <c r="H115" s="44"/>
      <c r="I115" s="44">
        <v>1</v>
      </c>
    </row>
    <row r="116" spans="1:9" x14ac:dyDescent="0.35">
      <c r="A116"/>
      <c r="B116"/>
      <c r="C116"/>
      <c r="D116"/>
      <c r="H116" s="44"/>
      <c r="I116" s="44">
        <v>50</v>
      </c>
    </row>
    <row r="117" spans="1:9" x14ac:dyDescent="0.35">
      <c r="A117"/>
      <c r="B117"/>
      <c r="C117"/>
      <c r="D117"/>
      <c r="H117" s="44"/>
      <c r="I117" s="44">
        <v>100</v>
      </c>
    </row>
    <row r="118" spans="1:9" x14ac:dyDescent="0.35">
      <c r="A118"/>
      <c r="B118"/>
      <c r="C118"/>
      <c r="D118"/>
      <c r="G118" s="44">
        <v>2002263</v>
      </c>
      <c r="H118" s="44"/>
    </row>
    <row r="119" spans="1:9" x14ac:dyDescent="0.35">
      <c r="A119"/>
      <c r="B119"/>
      <c r="C119"/>
      <c r="D119"/>
      <c r="H119" s="44" t="s">
        <v>11</v>
      </c>
    </row>
    <row r="120" spans="1:9" x14ac:dyDescent="0.35">
      <c r="A120"/>
      <c r="B120"/>
      <c r="C120"/>
      <c r="D120"/>
      <c r="H120" s="44"/>
      <c r="I120" s="44">
        <v>50</v>
      </c>
    </row>
    <row r="121" spans="1:9" x14ac:dyDescent="0.35">
      <c r="A121"/>
      <c r="B121"/>
      <c r="C121"/>
      <c r="D121"/>
      <c r="H121" s="44"/>
      <c r="I121" s="44">
        <v>100</v>
      </c>
    </row>
    <row r="122" spans="1:9" x14ac:dyDescent="0.35">
      <c r="A122"/>
      <c r="B122"/>
      <c r="C122"/>
      <c r="D122"/>
      <c r="G122" s="44">
        <v>2003911</v>
      </c>
      <c r="H122" s="44"/>
    </row>
    <row r="123" spans="1:9" x14ac:dyDescent="0.35">
      <c r="A123"/>
      <c r="B123"/>
      <c r="C123"/>
      <c r="D123"/>
      <c r="H123" s="44" t="s">
        <v>25</v>
      </c>
    </row>
    <row r="124" spans="1:9" x14ac:dyDescent="0.35">
      <c r="A124"/>
      <c r="B124"/>
      <c r="C124"/>
      <c r="D124"/>
      <c r="H124" s="44"/>
      <c r="I124" s="44">
        <v>4</v>
      </c>
    </row>
    <row r="125" spans="1:9" x14ac:dyDescent="0.35">
      <c r="A125"/>
      <c r="B125"/>
      <c r="C125"/>
      <c r="D125"/>
      <c r="H125" s="44"/>
      <c r="I125" s="44">
        <v>5</v>
      </c>
    </row>
    <row r="126" spans="1:9" x14ac:dyDescent="0.35">
      <c r="A126"/>
      <c r="B126"/>
      <c r="C126"/>
      <c r="D126"/>
      <c r="G126" s="44">
        <v>2003965</v>
      </c>
      <c r="H126" s="44"/>
    </row>
    <row r="127" spans="1:9" x14ac:dyDescent="0.35">
      <c r="A127"/>
      <c r="B127"/>
      <c r="C127"/>
      <c r="D127"/>
      <c r="H127" s="44" t="s">
        <v>18</v>
      </c>
    </row>
    <row r="128" spans="1:9" x14ac:dyDescent="0.35">
      <c r="A128"/>
      <c r="B128"/>
      <c r="C128"/>
      <c r="D128"/>
      <c r="H128" s="44"/>
      <c r="I128" s="44">
        <v>1</v>
      </c>
    </row>
    <row r="129" spans="1:9" x14ac:dyDescent="0.35">
      <c r="A129"/>
      <c r="B129"/>
      <c r="C129"/>
      <c r="D129"/>
      <c r="G129" s="44">
        <v>2005135</v>
      </c>
      <c r="H129" s="44"/>
    </row>
    <row r="130" spans="1:9" x14ac:dyDescent="0.35">
      <c r="A130"/>
      <c r="B130"/>
      <c r="C130"/>
      <c r="D130"/>
      <c r="H130" s="44" t="s">
        <v>171</v>
      </c>
    </row>
    <row r="131" spans="1:9" x14ac:dyDescent="0.35">
      <c r="A131"/>
      <c r="B131"/>
      <c r="C131"/>
      <c r="D131"/>
      <c r="H131" s="44"/>
      <c r="I131" s="44">
        <v>1</v>
      </c>
    </row>
    <row r="132" spans="1:9" x14ac:dyDescent="0.35">
      <c r="A132"/>
      <c r="B132"/>
      <c r="C132"/>
      <c r="D132"/>
      <c r="H132" s="44"/>
      <c r="I132" s="44">
        <v>2</v>
      </c>
    </row>
    <row r="133" spans="1:9" x14ac:dyDescent="0.35">
      <c r="A133"/>
      <c r="B133"/>
      <c r="C133"/>
      <c r="D133"/>
      <c r="H133" s="44"/>
      <c r="I133" s="44">
        <v>6</v>
      </c>
    </row>
    <row r="134" spans="1:9" x14ac:dyDescent="0.35">
      <c r="A134"/>
      <c r="B134"/>
      <c r="C134"/>
      <c r="D134"/>
      <c r="G134" s="44">
        <v>2006391</v>
      </c>
      <c r="H134" s="44"/>
    </row>
    <row r="135" spans="1:9" x14ac:dyDescent="0.35">
      <c r="A135"/>
      <c r="B135"/>
      <c r="C135"/>
      <c r="D135"/>
      <c r="H135" s="44" t="s">
        <v>92</v>
      </c>
    </row>
    <row r="136" spans="1:9" x14ac:dyDescent="0.35">
      <c r="A136"/>
      <c r="B136"/>
      <c r="C136"/>
      <c r="D136"/>
      <c r="H136" s="44"/>
      <c r="I136" s="44">
        <v>2</v>
      </c>
    </row>
    <row r="137" spans="1:9" x14ac:dyDescent="0.35">
      <c r="A137"/>
      <c r="B137"/>
      <c r="C137"/>
      <c r="D137"/>
      <c r="H137" s="44"/>
      <c r="I137" s="44">
        <v>3</v>
      </c>
    </row>
    <row r="138" spans="1:9" x14ac:dyDescent="0.35">
      <c r="A138"/>
      <c r="B138"/>
      <c r="C138"/>
      <c r="D138"/>
      <c r="H138" s="44"/>
      <c r="I138" s="44">
        <v>4</v>
      </c>
    </row>
    <row r="139" spans="1:9" x14ac:dyDescent="0.35">
      <c r="A139"/>
      <c r="B139"/>
      <c r="C139"/>
      <c r="D139"/>
      <c r="H139" s="44"/>
      <c r="I139" s="44">
        <v>5</v>
      </c>
    </row>
    <row r="140" spans="1:9" x14ac:dyDescent="0.35">
      <c r="A140"/>
      <c r="B140"/>
      <c r="C140"/>
      <c r="D140"/>
      <c r="G140" s="44">
        <v>2006392</v>
      </c>
      <c r="H140" s="44"/>
    </row>
    <row r="141" spans="1:9" x14ac:dyDescent="0.35">
      <c r="A141"/>
      <c r="B141"/>
      <c r="C141"/>
      <c r="D141"/>
      <c r="H141" s="44" t="s">
        <v>148</v>
      </c>
    </row>
    <row r="142" spans="1:9" x14ac:dyDescent="0.35">
      <c r="A142"/>
      <c r="B142"/>
      <c r="C142"/>
      <c r="D142"/>
      <c r="H142" s="44"/>
      <c r="I142" s="44">
        <v>2</v>
      </c>
    </row>
    <row r="143" spans="1:9" x14ac:dyDescent="0.35">
      <c r="A143"/>
      <c r="B143"/>
      <c r="C143"/>
      <c r="D143"/>
      <c r="G143" s="44">
        <v>2006393</v>
      </c>
      <c r="H143" s="44"/>
    </row>
    <row r="144" spans="1:9" x14ac:dyDescent="0.35">
      <c r="A144"/>
      <c r="B144"/>
      <c r="C144"/>
      <c r="D144"/>
      <c r="H144" s="44" t="s">
        <v>174</v>
      </c>
    </row>
    <row r="145" spans="1:9" x14ac:dyDescent="0.35">
      <c r="A145"/>
      <c r="B145"/>
      <c r="C145"/>
      <c r="D145"/>
      <c r="H145" s="44"/>
      <c r="I145" s="44">
        <v>2</v>
      </c>
    </row>
    <row r="146" spans="1:9" x14ac:dyDescent="0.35">
      <c r="A146"/>
      <c r="B146"/>
      <c r="C146"/>
      <c r="D146"/>
      <c r="G146" s="44">
        <v>2007948</v>
      </c>
      <c r="H146" s="44"/>
    </row>
    <row r="147" spans="1:9" x14ac:dyDescent="0.35">
      <c r="A147"/>
      <c r="B147"/>
      <c r="C147"/>
      <c r="D147"/>
      <c r="H147" s="44" t="s">
        <v>16</v>
      </c>
    </row>
    <row r="148" spans="1:9" x14ac:dyDescent="0.35">
      <c r="A148"/>
      <c r="B148"/>
      <c r="C148"/>
      <c r="D148"/>
      <c r="H148" s="44"/>
      <c r="I148" s="44">
        <v>2</v>
      </c>
    </row>
    <row r="149" spans="1:9" x14ac:dyDescent="0.35">
      <c r="A149"/>
      <c r="B149"/>
      <c r="C149"/>
      <c r="D149"/>
      <c r="H149" s="44"/>
      <c r="I149" s="44">
        <v>4</v>
      </c>
    </row>
    <row r="150" spans="1:9" x14ac:dyDescent="0.35">
      <c r="A150"/>
      <c r="B150"/>
      <c r="C150"/>
      <c r="D150"/>
      <c r="H150" s="44"/>
      <c r="I150" s="44">
        <v>5</v>
      </c>
    </row>
    <row r="151" spans="1:9" x14ac:dyDescent="0.35">
      <c r="A151"/>
      <c r="B151"/>
      <c r="C151"/>
      <c r="D151"/>
      <c r="G151" s="44">
        <v>2008302</v>
      </c>
      <c r="H151" s="44"/>
    </row>
    <row r="152" spans="1:9" x14ac:dyDescent="0.35">
      <c r="A152"/>
      <c r="B152"/>
      <c r="C152"/>
      <c r="D152"/>
      <c r="H152" s="44" t="s">
        <v>173</v>
      </c>
    </row>
    <row r="153" spans="1:9" x14ac:dyDescent="0.35">
      <c r="A153"/>
      <c r="B153"/>
      <c r="C153"/>
      <c r="D153"/>
      <c r="H153" s="44"/>
      <c r="I153" s="44">
        <v>2</v>
      </c>
    </row>
    <row r="154" spans="1:9" x14ac:dyDescent="0.35">
      <c r="A154"/>
      <c r="B154"/>
      <c r="C154"/>
      <c r="D154"/>
      <c r="H154" s="44"/>
      <c r="I154" s="44">
        <v>6</v>
      </c>
    </row>
    <row r="155" spans="1:9" x14ac:dyDescent="0.35">
      <c r="A155"/>
      <c r="B155"/>
      <c r="C155"/>
      <c r="D155"/>
      <c r="G155" s="44">
        <v>2008481</v>
      </c>
      <c r="H155" s="44"/>
    </row>
    <row r="156" spans="1:9" x14ac:dyDescent="0.35">
      <c r="A156"/>
      <c r="B156"/>
      <c r="C156"/>
      <c r="D156"/>
      <c r="H156" s="44" t="s">
        <v>245</v>
      </c>
    </row>
    <row r="157" spans="1:9" x14ac:dyDescent="0.35">
      <c r="A157"/>
      <c r="B157"/>
      <c r="C157"/>
      <c r="D157"/>
      <c r="H157" s="44"/>
      <c r="I157" s="44">
        <v>4</v>
      </c>
    </row>
    <row r="158" spans="1:9" x14ac:dyDescent="0.35">
      <c r="A158"/>
      <c r="B158"/>
      <c r="C158"/>
      <c r="D158"/>
      <c r="H158" s="44"/>
      <c r="I158" s="44">
        <v>5</v>
      </c>
    </row>
    <row r="159" spans="1:9" x14ac:dyDescent="0.35">
      <c r="A159"/>
      <c r="B159"/>
      <c r="C159"/>
      <c r="D159"/>
      <c r="G159" s="44" t="s">
        <v>291</v>
      </c>
      <c r="H159" s="44"/>
    </row>
    <row r="160" spans="1:9" x14ac:dyDescent="0.35">
      <c r="A160"/>
      <c r="B160"/>
      <c r="C160"/>
      <c r="D160"/>
      <c r="H160" s="44" t="s">
        <v>290</v>
      </c>
    </row>
    <row r="161" spans="1:9" x14ac:dyDescent="0.35">
      <c r="A161"/>
      <c r="B161"/>
      <c r="C161"/>
      <c r="D161"/>
      <c r="H161" s="44"/>
      <c r="I161" s="44">
        <v>1</v>
      </c>
    </row>
    <row r="162" spans="1:9" x14ac:dyDescent="0.35">
      <c r="A162"/>
      <c r="B162"/>
      <c r="C162"/>
      <c r="D162"/>
      <c r="G162" s="44" t="s">
        <v>292</v>
      </c>
      <c r="H162" s="44"/>
    </row>
    <row r="163" spans="1:9" x14ac:dyDescent="0.35">
      <c r="A163"/>
      <c r="B163"/>
      <c r="C163"/>
      <c r="D163"/>
      <c r="H163" s="44" t="s">
        <v>293</v>
      </c>
    </row>
    <row r="164" spans="1:9" x14ac:dyDescent="0.35">
      <c r="A164"/>
      <c r="B164"/>
      <c r="C164"/>
      <c r="D164"/>
      <c r="H164" s="44"/>
      <c r="I164" s="44">
        <v>1</v>
      </c>
    </row>
    <row r="165" spans="1:9" x14ac:dyDescent="0.35">
      <c r="A165"/>
      <c r="B165"/>
      <c r="C165"/>
      <c r="D165"/>
      <c r="H165" s="44"/>
      <c r="I165" s="44">
        <v>2</v>
      </c>
    </row>
    <row r="166" spans="1:9" x14ac:dyDescent="0.35">
      <c r="A166"/>
      <c r="B166"/>
      <c r="C166"/>
      <c r="D166"/>
      <c r="H166" s="44"/>
      <c r="I166" s="44">
        <v>3</v>
      </c>
    </row>
    <row r="167" spans="1:9" x14ac:dyDescent="0.35">
      <c r="A167"/>
      <c r="B167"/>
      <c r="C167"/>
      <c r="D167"/>
      <c r="F167" s="44" t="s">
        <v>168</v>
      </c>
      <c r="H167" s="44"/>
    </row>
    <row r="168" spans="1:9" x14ac:dyDescent="0.35">
      <c r="A168"/>
      <c r="B168"/>
      <c r="C168"/>
      <c r="D168"/>
      <c r="F168"/>
      <c r="G168"/>
      <c r="I168"/>
    </row>
    <row r="169" spans="1:9" x14ac:dyDescent="0.35">
      <c r="A169"/>
      <c r="B169"/>
      <c r="C169"/>
      <c r="D169"/>
      <c r="F169"/>
      <c r="G169"/>
      <c r="I169"/>
    </row>
    <row r="170" spans="1:9" x14ac:dyDescent="0.35">
      <c r="A170"/>
      <c r="B170"/>
      <c r="C170"/>
      <c r="D170"/>
      <c r="F170"/>
      <c r="G170"/>
      <c r="I170"/>
    </row>
    <row r="171" spans="1:9" x14ac:dyDescent="0.35">
      <c r="A171"/>
      <c r="B171"/>
      <c r="C171"/>
      <c r="D171"/>
      <c r="F171"/>
      <c r="G171"/>
      <c r="I171"/>
    </row>
    <row r="172" spans="1:9" x14ac:dyDescent="0.35">
      <c r="A172"/>
      <c r="B172"/>
      <c r="C172"/>
      <c r="D172"/>
      <c r="F172"/>
      <c r="G172"/>
      <c r="I172"/>
    </row>
    <row r="173" spans="1:9" x14ac:dyDescent="0.35">
      <c r="A173"/>
      <c r="B173"/>
      <c r="C173"/>
      <c r="D173"/>
      <c r="F173"/>
      <c r="G173"/>
      <c r="I173"/>
    </row>
    <row r="174" spans="1:9" x14ac:dyDescent="0.35">
      <c r="A174"/>
      <c r="B174"/>
      <c r="C174"/>
      <c r="D174"/>
      <c r="F174"/>
      <c r="G174"/>
      <c r="I174"/>
    </row>
    <row r="175" spans="1:9" x14ac:dyDescent="0.35">
      <c r="A175"/>
      <c r="B175"/>
      <c r="C175"/>
      <c r="D175"/>
      <c r="F175"/>
      <c r="G175"/>
      <c r="I175"/>
    </row>
    <row r="176" spans="1:9" x14ac:dyDescent="0.35">
      <c r="A176"/>
      <c r="B176"/>
      <c r="C176"/>
      <c r="D176"/>
      <c r="F176"/>
      <c r="G176"/>
      <c r="I176"/>
    </row>
    <row r="177" spans="1:9" x14ac:dyDescent="0.35">
      <c r="A177"/>
      <c r="B177"/>
      <c r="C177"/>
      <c r="D177"/>
      <c r="F177"/>
      <c r="G177"/>
      <c r="I177"/>
    </row>
    <row r="178" spans="1:9" x14ac:dyDescent="0.35">
      <c r="A178"/>
      <c r="B178"/>
      <c r="C178"/>
      <c r="D178"/>
      <c r="F178"/>
      <c r="G178"/>
      <c r="I178"/>
    </row>
    <row r="179" spans="1:9" x14ac:dyDescent="0.35">
      <c r="A179"/>
      <c r="B179"/>
      <c r="C179"/>
      <c r="D179"/>
      <c r="F179"/>
      <c r="G179"/>
      <c r="I179"/>
    </row>
    <row r="180" spans="1:9" x14ac:dyDescent="0.35">
      <c r="A180"/>
      <c r="B180"/>
      <c r="C180"/>
      <c r="D180"/>
      <c r="F180"/>
      <c r="G180"/>
      <c r="I180"/>
    </row>
    <row r="181" spans="1:9" x14ac:dyDescent="0.35">
      <c r="A181"/>
      <c r="B181"/>
      <c r="C181"/>
      <c r="D181"/>
      <c r="F181"/>
      <c r="G181"/>
      <c r="I181"/>
    </row>
    <row r="182" spans="1:9" x14ac:dyDescent="0.35">
      <c r="A182"/>
      <c r="B182"/>
      <c r="C182"/>
      <c r="D182"/>
      <c r="F182"/>
      <c r="G182"/>
      <c r="I182"/>
    </row>
    <row r="183" spans="1:9" x14ac:dyDescent="0.35">
      <c r="A183"/>
      <c r="B183"/>
      <c r="C183"/>
      <c r="D183"/>
      <c r="F183"/>
      <c r="G183"/>
      <c r="I183"/>
    </row>
    <row r="184" spans="1:9" x14ac:dyDescent="0.35">
      <c r="A184"/>
      <c r="B184"/>
      <c r="C184"/>
      <c r="D184"/>
      <c r="F184"/>
      <c r="G184"/>
      <c r="I184"/>
    </row>
    <row r="185" spans="1:9" x14ac:dyDescent="0.35">
      <c r="A185"/>
      <c r="B185"/>
      <c r="C185"/>
      <c r="D185"/>
      <c r="F185"/>
      <c r="G185"/>
      <c r="I185"/>
    </row>
    <row r="186" spans="1:9" x14ac:dyDescent="0.35">
      <c r="A186"/>
      <c r="B186"/>
      <c r="C186"/>
      <c r="D186"/>
      <c r="F186"/>
      <c r="G186"/>
      <c r="I186"/>
    </row>
    <row r="187" spans="1:9" x14ac:dyDescent="0.35">
      <c r="A187"/>
      <c r="B187"/>
      <c r="C187"/>
      <c r="D187"/>
      <c r="F187"/>
      <c r="G187"/>
      <c r="I187"/>
    </row>
    <row r="188" spans="1:9" x14ac:dyDescent="0.35">
      <c r="A188"/>
      <c r="B188"/>
      <c r="C188"/>
      <c r="D188"/>
      <c r="F188"/>
      <c r="G188"/>
      <c r="I188"/>
    </row>
    <row r="189" spans="1:9" x14ac:dyDescent="0.35">
      <c r="A189"/>
      <c r="B189"/>
      <c r="C189"/>
      <c r="D189"/>
      <c r="F189"/>
      <c r="G189"/>
      <c r="I189"/>
    </row>
    <row r="190" spans="1:9" x14ac:dyDescent="0.35">
      <c r="A190"/>
      <c r="B190"/>
      <c r="C190"/>
      <c r="D190"/>
      <c r="F190"/>
      <c r="G190"/>
      <c r="I190"/>
    </row>
    <row r="191" spans="1:9" x14ac:dyDescent="0.35">
      <c r="A191"/>
      <c r="B191"/>
      <c r="C191"/>
      <c r="D191"/>
      <c r="F191"/>
      <c r="G191"/>
      <c r="I191"/>
    </row>
    <row r="192" spans="1:9" x14ac:dyDescent="0.35">
      <c r="A192"/>
      <c r="B192"/>
      <c r="C192"/>
      <c r="D192"/>
      <c r="F192"/>
      <c r="G192"/>
      <c r="I192"/>
    </row>
    <row r="193" spans="1:9" x14ac:dyDescent="0.35">
      <c r="A193"/>
      <c r="B193"/>
      <c r="C193"/>
      <c r="D193"/>
      <c r="F193"/>
      <c r="G193"/>
      <c r="I193"/>
    </row>
    <row r="194" spans="1:9" x14ac:dyDescent="0.35">
      <c r="A194"/>
      <c r="B194"/>
      <c r="C194"/>
      <c r="D194"/>
      <c r="F194"/>
      <c r="G194"/>
      <c r="I194"/>
    </row>
    <row r="195" spans="1:9" x14ac:dyDescent="0.35">
      <c r="A195"/>
      <c r="B195"/>
      <c r="C195"/>
      <c r="D195"/>
      <c r="F195"/>
      <c r="G195"/>
      <c r="I195"/>
    </row>
    <row r="196" spans="1:9" x14ac:dyDescent="0.35">
      <c r="A196"/>
      <c r="B196"/>
      <c r="C196"/>
      <c r="D196"/>
      <c r="F196"/>
      <c r="G196"/>
      <c r="I196"/>
    </row>
    <row r="197" spans="1:9" x14ac:dyDescent="0.35">
      <c r="A197"/>
      <c r="B197"/>
      <c r="C197"/>
      <c r="D197"/>
      <c r="F197"/>
      <c r="G197"/>
      <c r="I197"/>
    </row>
    <row r="198" spans="1:9" x14ac:dyDescent="0.35">
      <c r="A198"/>
      <c r="B198"/>
      <c r="C198"/>
      <c r="D198"/>
      <c r="F198"/>
      <c r="G198"/>
      <c r="I198"/>
    </row>
    <row r="199" spans="1:9" x14ac:dyDescent="0.35">
      <c r="A199"/>
      <c r="B199"/>
      <c r="C199"/>
      <c r="D199"/>
      <c r="F199"/>
      <c r="G199"/>
      <c r="I199"/>
    </row>
    <row r="200" spans="1:9" x14ac:dyDescent="0.35">
      <c r="A200"/>
      <c r="B200"/>
      <c r="C200"/>
      <c r="D200"/>
      <c r="F200"/>
      <c r="G200"/>
      <c r="I200"/>
    </row>
    <row r="201" spans="1:9" x14ac:dyDescent="0.35">
      <c r="A201"/>
      <c r="B201"/>
      <c r="C201"/>
      <c r="D201"/>
      <c r="F201"/>
      <c r="G201"/>
      <c r="I201"/>
    </row>
    <row r="202" spans="1:9" x14ac:dyDescent="0.35">
      <c r="A202"/>
      <c r="B202"/>
      <c r="C202"/>
      <c r="D202"/>
      <c r="F202"/>
      <c r="G202"/>
      <c r="I202"/>
    </row>
    <row r="203" spans="1:9" x14ac:dyDescent="0.35">
      <c r="A203"/>
      <c r="B203"/>
      <c r="C203"/>
      <c r="D203"/>
      <c r="F203"/>
      <c r="G203"/>
      <c r="I203"/>
    </row>
    <row r="204" spans="1:9" x14ac:dyDescent="0.35">
      <c r="A204"/>
      <c r="B204"/>
      <c r="C204"/>
      <c r="D204"/>
      <c r="F204"/>
      <c r="G204"/>
      <c r="I204"/>
    </row>
    <row r="205" spans="1:9" x14ac:dyDescent="0.35">
      <c r="A205"/>
      <c r="B205"/>
      <c r="C205"/>
      <c r="D205"/>
      <c r="F205"/>
      <c r="G205"/>
      <c r="I205"/>
    </row>
    <row r="206" spans="1:9" x14ac:dyDescent="0.35">
      <c r="A206"/>
      <c r="B206"/>
      <c r="C206"/>
      <c r="D206"/>
      <c r="F206"/>
      <c r="G206"/>
      <c r="I206"/>
    </row>
    <row r="207" spans="1:9" x14ac:dyDescent="0.35">
      <c r="A207"/>
      <c r="B207"/>
      <c r="C207"/>
      <c r="D207"/>
      <c r="F207"/>
      <c r="G207"/>
      <c r="I207"/>
    </row>
    <row r="208" spans="1:9" x14ac:dyDescent="0.35">
      <c r="A208"/>
      <c r="B208"/>
      <c r="C208"/>
      <c r="D208"/>
      <c r="F208"/>
      <c r="G208"/>
      <c r="I208"/>
    </row>
    <row r="209" spans="1:9" x14ac:dyDescent="0.35">
      <c r="A209"/>
      <c r="B209"/>
      <c r="C209"/>
      <c r="D209"/>
      <c r="F209"/>
      <c r="G209"/>
      <c r="I209"/>
    </row>
    <row r="210" spans="1:9" x14ac:dyDescent="0.35">
      <c r="A210"/>
      <c r="B210"/>
      <c r="C210"/>
      <c r="D210"/>
      <c r="F210"/>
      <c r="G210"/>
      <c r="I210"/>
    </row>
    <row r="211" spans="1:9" x14ac:dyDescent="0.35">
      <c r="A211"/>
      <c r="B211"/>
      <c r="C211"/>
      <c r="D211"/>
      <c r="F211"/>
      <c r="G211"/>
      <c r="I211"/>
    </row>
    <row r="212" spans="1:9" x14ac:dyDescent="0.35">
      <c r="A212"/>
      <c r="B212"/>
      <c r="C212"/>
      <c r="D212"/>
      <c r="F212"/>
      <c r="G212"/>
      <c r="I212"/>
    </row>
    <row r="213" spans="1:9" x14ac:dyDescent="0.35">
      <c r="A213"/>
      <c r="B213"/>
      <c r="C213"/>
      <c r="D213"/>
      <c r="F213"/>
      <c r="G213"/>
      <c r="I213"/>
    </row>
    <row r="214" spans="1:9" x14ac:dyDescent="0.35">
      <c r="A214"/>
      <c r="B214"/>
      <c r="C214"/>
      <c r="D214"/>
      <c r="F214"/>
      <c r="G214"/>
      <c r="I214"/>
    </row>
    <row r="215" spans="1:9" x14ac:dyDescent="0.35">
      <c r="A215"/>
      <c r="B215"/>
      <c r="C215"/>
      <c r="D215"/>
      <c r="F215"/>
      <c r="G215"/>
      <c r="I215"/>
    </row>
    <row r="216" spans="1:9" x14ac:dyDescent="0.35">
      <c r="A216"/>
      <c r="B216"/>
      <c r="C216"/>
      <c r="D216"/>
      <c r="F216"/>
      <c r="G216"/>
      <c r="I216"/>
    </row>
    <row r="217" spans="1:9" x14ac:dyDescent="0.35">
      <c r="A217"/>
      <c r="B217"/>
      <c r="C217"/>
      <c r="D217"/>
      <c r="F217"/>
      <c r="G217"/>
      <c r="I217"/>
    </row>
    <row r="218" spans="1:9" x14ac:dyDescent="0.35">
      <c r="A218"/>
      <c r="B218"/>
      <c r="C218"/>
      <c r="D218"/>
      <c r="F218"/>
      <c r="G218"/>
      <c r="I218"/>
    </row>
    <row r="219" spans="1:9" x14ac:dyDescent="0.35">
      <c r="A219"/>
      <c r="B219"/>
      <c r="C219"/>
      <c r="D219"/>
      <c r="F219"/>
      <c r="G219"/>
      <c r="I219"/>
    </row>
    <row r="220" spans="1:9" x14ac:dyDescent="0.35">
      <c r="A220"/>
      <c r="B220"/>
      <c r="C220"/>
      <c r="D220"/>
      <c r="F220"/>
      <c r="G220"/>
      <c r="I220"/>
    </row>
    <row r="221" spans="1:9" x14ac:dyDescent="0.35">
      <c r="A221"/>
      <c r="B221"/>
      <c r="C221"/>
      <c r="D221"/>
      <c r="F221"/>
      <c r="G221"/>
      <c r="I221"/>
    </row>
    <row r="222" spans="1:9" x14ac:dyDescent="0.35">
      <c r="A222"/>
      <c r="B222"/>
      <c r="C222"/>
      <c r="D222"/>
      <c r="F222"/>
      <c r="G222"/>
      <c r="I222"/>
    </row>
    <row r="223" spans="1:9" x14ac:dyDescent="0.35">
      <c r="A223"/>
      <c r="B223"/>
      <c r="C223"/>
      <c r="D223"/>
      <c r="F223"/>
      <c r="G223"/>
      <c r="I223"/>
    </row>
    <row r="224" spans="1:9" x14ac:dyDescent="0.35">
      <c r="A224"/>
      <c r="B224"/>
      <c r="C224"/>
      <c r="D224"/>
      <c r="F224"/>
      <c r="G224"/>
      <c r="I224"/>
    </row>
    <row r="225" spans="1:9" x14ac:dyDescent="0.35">
      <c r="A225"/>
      <c r="B225"/>
      <c r="C225"/>
      <c r="D225"/>
      <c r="F225"/>
      <c r="G225"/>
      <c r="I225"/>
    </row>
    <row r="226" spans="1:9" x14ac:dyDescent="0.35">
      <c r="A226"/>
      <c r="B226"/>
      <c r="C226"/>
      <c r="D226"/>
      <c r="F226"/>
      <c r="G226"/>
      <c r="I226"/>
    </row>
    <row r="227" spans="1:9" x14ac:dyDescent="0.35">
      <c r="A227"/>
      <c r="B227"/>
      <c r="C227"/>
      <c r="D227"/>
      <c r="F227"/>
      <c r="G227"/>
      <c r="I227"/>
    </row>
    <row r="228" spans="1:9" x14ac:dyDescent="0.35">
      <c r="A228"/>
      <c r="B228"/>
      <c r="C228"/>
      <c r="D228"/>
      <c r="F228"/>
      <c r="G228"/>
      <c r="I228"/>
    </row>
    <row r="229" spans="1:9" x14ac:dyDescent="0.35">
      <c r="A229"/>
      <c r="B229"/>
      <c r="C229"/>
      <c r="D229"/>
      <c r="F229"/>
      <c r="G229"/>
      <c r="I229"/>
    </row>
    <row r="230" spans="1:9" x14ac:dyDescent="0.35">
      <c r="A230"/>
      <c r="B230"/>
      <c r="C230"/>
      <c r="D230"/>
      <c r="F230"/>
      <c r="G230"/>
      <c r="I230"/>
    </row>
    <row r="231" spans="1:9" x14ac:dyDescent="0.35">
      <c r="A231"/>
      <c r="B231"/>
      <c r="C231"/>
      <c r="D231"/>
      <c r="F231"/>
      <c r="G231"/>
      <c r="I231"/>
    </row>
    <row r="232" spans="1:9" x14ac:dyDescent="0.35">
      <c r="A232"/>
      <c r="B232"/>
      <c r="C232"/>
      <c r="D232"/>
      <c r="F232"/>
      <c r="G232"/>
      <c r="I232"/>
    </row>
    <row r="233" spans="1:9" x14ac:dyDescent="0.35">
      <c r="A233"/>
      <c r="B233"/>
      <c r="C233"/>
      <c r="D233"/>
      <c r="F233"/>
      <c r="G233"/>
      <c r="I233"/>
    </row>
    <row r="234" spans="1:9" x14ac:dyDescent="0.35">
      <c r="A234"/>
      <c r="B234"/>
      <c r="C234"/>
      <c r="D234"/>
      <c r="F234"/>
      <c r="G234"/>
      <c r="I234"/>
    </row>
    <row r="235" spans="1:9" x14ac:dyDescent="0.35">
      <c r="A235"/>
      <c r="B235"/>
      <c r="C235"/>
      <c r="D235"/>
      <c r="F235"/>
      <c r="G235"/>
      <c r="I235"/>
    </row>
    <row r="236" spans="1:9" x14ac:dyDescent="0.35">
      <c r="A236"/>
      <c r="B236"/>
      <c r="C236"/>
      <c r="D236"/>
      <c r="F236"/>
      <c r="G236"/>
      <c r="I236"/>
    </row>
    <row r="237" spans="1:9" x14ac:dyDescent="0.35">
      <c r="A237"/>
      <c r="B237"/>
      <c r="C237"/>
      <c r="D237"/>
      <c r="F237"/>
      <c r="G237"/>
      <c r="I237"/>
    </row>
    <row r="238" spans="1:9" x14ac:dyDescent="0.35">
      <c r="A238"/>
      <c r="B238"/>
      <c r="C238"/>
      <c r="D238"/>
      <c r="F238"/>
      <c r="G238"/>
      <c r="I238"/>
    </row>
    <row r="239" spans="1:9" x14ac:dyDescent="0.35">
      <c r="A239"/>
      <c r="B239"/>
      <c r="C239"/>
      <c r="D239"/>
      <c r="F239"/>
      <c r="G239"/>
      <c r="I239"/>
    </row>
    <row r="240" spans="1:9" x14ac:dyDescent="0.35">
      <c r="A240"/>
      <c r="B240"/>
      <c r="C240"/>
      <c r="D240"/>
      <c r="F240"/>
      <c r="G240"/>
      <c r="I240"/>
    </row>
    <row r="241" spans="1:9" x14ac:dyDescent="0.35">
      <c r="A241"/>
      <c r="B241"/>
      <c r="C241"/>
      <c r="D241"/>
      <c r="F241"/>
      <c r="G241"/>
      <c r="I241"/>
    </row>
    <row r="242" spans="1:9" x14ac:dyDescent="0.35">
      <c r="A242"/>
      <c r="B242"/>
      <c r="C242"/>
      <c r="D242"/>
      <c r="F242"/>
      <c r="G242"/>
      <c r="I242"/>
    </row>
    <row r="243" spans="1:9" x14ac:dyDescent="0.35">
      <c r="A243"/>
      <c r="B243"/>
      <c r="C243"/>
      <c r="D243"/>
      <c r="F243"/>
      <c r="G243"/>
      <c r="I243"/>
    </row>
    <row r="244" spans="1:9" x14ac:dyDescent="0.35">
      <c r="A244"/>
      <c r="B244"/>
      <c r="C244"/>
      <c r="D244"/>
      <c r="F244"/>
      <c r="G244"/>
      <c r="I244"/>
    </row>
    <row r="245" spans="1:9" x14ac:dyDescent="0.35">
      <c r="A245"/>
      <c r="B245"/>
      <c r="C245"/>
      <c r="D245"/>
      <c r="F245"/>
      <c r="G245"/>
      <c r="I245"/>
    </row>
    <row r="246" spans="1:9" x14ac:dyDescent="0.35">
      <c r="A246"/>
      <c r="B246"/>
      <c r="C246"/>
      <c r="D246"/>
      <c r="F246"/>
      <c r="G246"/>
      <c r="I246"/>
    </row>
    <row r="247" spans="1:9" x14ac:dyDescent="0.35">
      <c r="A247"/>
      <c r="B247"/>
      <c r="C247"/>
      <c r="D247"/>
      <c r="F247"/>
      <c r="G247"/>
      <c r="I247"/>
    </row>
    <row r="248" spans="1:9" x14ac:dyDescent="0.35">
      <c r="A248"/>
      <c r="B248"/>
      <c r="C248"/>
      <c r="D248"/>
      <c r="F248"/>
      <c r="G248"/>
      <c r="I248"/>
    </row>
    <row r="249" spans="1:9" x14ac:dyDescent="0.35">
      <c r="A249"/>
      <c r="B249"/>
      <c r="C249"/>
      <c r="D249"/>
      <c r="F249"/>
      <c r="G249"/>
      <c r="I249"/>
    </row>
    <row r="250" spans="1:9" x14ac:dyDescent="0.35">
      <c r="A250"/>
      <c r="B250"/>
      <c r="C250"/>
      <c r="D250"/>
      <c r="F250"/>
      <c r="G250"/>
      <c r="I250"/>
    </row>
    <row r="251" spans="1:9" x14ac:dyDescent="0.35">
      <c r="A251"/>
      <c r="B251"/>
      <c r="C251"/>
      <c r="D251"/>
      <c r="F251"/>
      <c r="G251"/>
      <c r="I251"/>
    </row>
    <row r="252" spans="1:9" x14ac:dyDescent="0.35">
      <c r="A252"/>
      <c r="B252"/>
      <c r="C252"/>
      <c r="D252"/>
      <c r="F252"/>
      <c r="G252"/>
      <c r="I252"/>
    </row>
    <row r="253" spans="1:9" x14ac:dyDescent="0.35">
      <c r="A253"/>
      <c r="B253"/>
      <c r="C253"/>
      <c r="D253"/>
      <c r="F253"/>
      <c r="G253"/>
      <c r="I253"/>
    </row>
    <row r="254" spans="1:9" x14ac:dyDescent="0.35">
      <c r="A254"/>
      <c r="B254"/>
      <c r="C254"/>
      <c r="D254"/>
      <c r="F254"/>
      <c r="G254"/>
      <c r="I254"/>
    </row>
    <row r="255" spans="1:9" x14ac:dyDescent="0.35">
      <c r="A255"/>
      <c r="B255"/>
      <c r="C255"/>
      <c r="D255"/>
      <c r="F255"/>
      <c r="G255"/>
      <c r="I255"/>
    </row>
    <row r="256" spans="1:9" x14ac:dyDescent="0.35">
      <c r="A256"/>
      <c r="B256"/>
      <c r="C256"/>
      <c r="D256"/>
      <c r="F256"/>
      <c r="G256"/>
      <c r="I256"/>
    </row>
    <row r="257" spans="1:9" x14ac:dyDescent="0.35">
      <c r="A257"/>
      <c r="B257"/>
      <c r="C257"/>
      <c r="D257"/>
      <c r="F257"/>
      <c r="G257"/>
      <c r="I257"/>
    </row>
    <row r="258" spans="1:9" x14ac:dyDescent="0.35">
      <c r="A258"/>
      <c r="B258"/>
      <c r="C258"/>
      <c r="D258"/>
      <c r="F258"/>
      <c r="G258"/>
      <c r="I258"/>
    </row>
    <row r="259" spans="1:9" x14ac:dyDescent="0.35">
      <c r="A259"/>
      <c r="B259"/>
      <c r="C259"/>
      <c r="D259"/>
      <c r="F259"/>
      <c r="G259"/>
      <c r="I259"/>
    </row>
    <row r="260" spans="1:9" x14ac:dyDescent="0.35">
      <c r="A260"/>
      <c r="B260"/>
      <c r="C260"/>
      <c r="D260"/>
      <c r="F260"/>
      <c r="G260"/>
      <c r="I260"/>
    </row>
    <row r="261" spans="1:9" x14ac:dyDescent="0.35">
      <c r="A261"/>
      <c r="B261"/>
      <c r="C261"/>
      <c r="D261"/>
      <c r="F261"/>
      <c r="G261"/>
      <c r="I261"/>
    </row>
    <row r="262" spans="1:9" x14ac:dyDescent="0.35">
      <c r="A262"/>
      <c r="B262"/>
      <c r="C262"/>
      <c r="D262"/>
      <c r="F262"/>
      <c r="G262"/>
      <c r="I262"/>
    </row>
    <row r="263" spans="1:9" x14ac:dyDescent="0.35">
      <c r="A263"/>
      <c r="B263"/>
      <c r="C263"/>
      <c r="D263"/>
      <c r="F263"/>
      <c r="G263"/>
      <c r="I263"/>
    </row>
    <row r="264" spans="1:9" x14ac:dyDescent="0.35">
      <c r="A264"/>
      <c r="B264"/>
      <c r="C264"/>
      <c r="D264"/>
      <c r="F264"/>
      <c r="G264"/>
      <c r="I264"/>
    </row>
    <row r="265" spans="1:9" x14ac:dyDescent="0.35">
      <c r="A265"/>
      <c r="B265"/>
      <c r="C265"/>
      <c r="D265"/>
      <c r="F265"/>
      <c r="G265"/>
      <c r="I265"/>
    </row>
    <row r="266" spans="1:9" x14ac:dyDescent="0.35">
      <c r="A266"/>
      <c r="B266"/>
      <c r="C266"/>
      <c r="D266"/>
      <c r="F266"/>
      <c r="G266"/>
      <c r="I266"/>
    </row>
    <row r="267" spans="1:9" x14ac:dyDescent="0.35">
      <c r="A267"/>
      <c r="B267"/>
      <c r="C267"/>
      <c r="D267"/>
      <c r="F267"/>
      <c r="G267"/>
      <c r="I267"/>
    </row>
    <row r="268" spans="1:9" x14ac:dyDescent="0.35">
      <c r="A268"/>
      <c r="B268"/>
      <c r="C268"/>
      <c r="D268"/>
      <c r="F268"/>
      <c r="G268"/>
      <c r="I268"/>
    </row>
    <row r="269" spans="1:9" x14ac:dyDescent="0.35">
      <c r="A269"/>
      <c r="B269"/>
      <c r="C269"/>
      <c r="D269"/>
      <c r="F269"/>
      <c r="G269"/>
      <c r="I269"/>
    </row>
    <row r="270" spans="1:9" x14ac:dyDescent="0.35">
      <c r="A270"/>
      <c r="B270"/>
      <c r="C270"/>
      <c r="D270"/>
      <c r="F270"/>
      <c r="G270"/>
      <c r="I270"/>
    </row>
    <row r="271" spans="1:9" x14ac:dyDescent="0.35">
      <c r="A271"/>
      <c r="B271"/>
      <c r="C271"/>
      <c r="D271"/>
      <c r="F271"/>
      <c r="G271"/>
      <c r="I271"/>
    </row>
    <row r="272" spans="1:9" x14ac:dyDescent="0.35">
      <c r="A272"/>
      <c r="B272"/>
      <c r="C272"/>
      <c r="D272"/>
      <c r="F272"/>
      <c r="G272"/>
      <c r="I272"/>
    </row>
    <row r="273" spans="1:9" x14ac:dyDescent="0.35">
      <c r="A273"/>
      <c r="B273"/>
      <c r="C273"/>
      <c r="D273"/>
      <c r="F273"/>
      <c r="G273"/>
      <c r="I273"/>
    </row>
    <row r="274" spans="1:9" x14ac:dyDescent="0.35">
      <c r="A274"/>
      <c r="B274"/>
      <c r="C274"/>
      <c r="D274"/>
      <c r="F274"/>
      <c r="G274"/>
      <c r="I274"/>
    </row>
    <row r="275" spans="1:9" x14ac:dyDescent="0.35">
      <c r="A275"/>
      <c r="B275"/>
      <c r="C275"/>
      <c r="D275"/>
      <c r="F275"/>
      <c r="G275"/>
      <c r="I275"/>
    </row>
    <row r="276" spans="1:9" x14ac:dyDescent="0.35">
      <c r="A276"/>
      <c r="B276"/>
      <c r="C276"/>
      <c r="D276"/>
      <c r="F276"/>
      <c r="G276"/>
      <c r="I276"/>
    </row>
    <row r="277" spans="1:9" x14ac:dyDescent="0.35">
      <c r="A277"/>
      <c r="B277"/>
      <c r="C277"/>
      <c r="D277"/>
      <c r="F277"/>
      <c r="G277"/>
      <c r="I277"/>
    </row>
    <row r="278" spans="1:9" x14ac:dyDescent="0.35">
      <c r="A278"/>
      <c r="B278"/>
      <c r="C278"/>
      <c r="D278"/>
      <c r="F278"/>
      <c r="G278"/>
      <c r="I278"/>
    </row>
    <row r="279" spans="1:9" x14ac:dyDescent="0.35">
      <c r="A279"/>
      <c r="B279"/>
      <c r="C279"/>
      <c r="D279"/>
      <c r="F279"/>
      <c r="G279"/>
      <c r="I279"/>
    </row>
    <row r="280" spans="1:9" x14ac:dyDescent="0.35">
      <c r="A280"/>
      <c r="B280"/>
      <c r="C280"/>
      <c r="D280"/>
      <c r="F280"/>
      <c r="G280"/>
      <c r="I280"/>
    </row>
    <row r="281" spans="1:9" x14ac:dyDescent="0.35">
      <c r="A281"/>
      <c r="B281"/>
      <c r="C281"/>
      <c r="D281"/>
      <c r="F281"/>
      <c r="G281"/>
      <c r="I281"/>
    </row>
    <row r="282" spans="1:9" x14ac:dyDescent="0.35">
      <c r="A282"/>
      <c r="B282"/>
      <c r="C282"/>
      <c r="D282"/>
      <c r="F282"/>
      <c r="G282"/>
      <c r="I282"/>
    </row>
    <row r="283" spans="1:9" x14ac:dyDescent="0.35">
      <c r="A283"/>
      <c r="B283"/>
      <c r="C283"/>
      <c r="D283"/>
      <c r="F283"/>
      <c r="G283"/>
      <c r="I283"/>
    </row>
    <row r="284" spans="1:9" x14ac:dyDescent="0.35">
      <c r="A284"/>
      <c r="B284"/>
      <c r="C284"/>
      <c r="D284"/>
      <c r="F284"/>
      <c r="G284"/>
      <c r="I284"/>
    </row>
    <row r="285" spans="1:9" x14ac:dyDescent="0.35">
      <c r="A285"/>
      <c r="B285"/>
      <c r="C285"/>
      <c r="D285"/>
      <c r="F285"/>
      <c r="G285"/>
      <c r="I285"/>
    </row>
    <row r="286" spans="1:9" x14ac:dyDescent="0.35">
      <c r="A286"/>
      <c r="B286"/>
      <c r="C286"/>
      <c r="D286"/>
      <c r="F286"/>
      <c r="G286"/>
      <c r="I286"/>
    </row>
    <row r="287" spans="1:9" x14ac:dyDescent="0.35">
      <c r="A287"/>
      <c r="B287"/>
      <c r="C287"/>
      <c r="D287"/>
      <c r="F287"/>
      <c r="G287"/>
      <c r="I287"/>
    </row>
    <row r="288" spans="1:9" x14ac:dyDescent="0.35">
      <c r="A288"/>
      <c r="B288"/>
      <c r="C288"/>
      <c r="D288"/>
      <c r="F288"/>
      <c r="G288"/>
      <c r="I288"/>
    </row>
    <row r="289" spans="1:9" x14ac:dyDescent="0.35">
      <c r="A289"/>
      <c r="B289"/>
      <c r="C289"/>
      <c r="D289"/>
      <c r="F289"/>
      <c r="G289"/>
      <c r="I289"/>
    </row>
    <row r="290" spans="1:9" x14ac:dyDescent="0.35">
      <c r="A290"/>
      <c r="B290"/>
      <c r="C290"/>
      <c r="D290"/>
      <c r="F290"/>
      <c r="G290"/>
      <c r="I290"/>
    </row>
    <row r="291" spans="1:9" x14ac:dyDescent="0.35">
      <c r="A291"/>
      <c r="B291"/>
      <c r="C291"/>
      <c r="D291"/>
      <c r="F291"/>
      <c r="G291"/>
      <c r="I291"/>
    </row>
    <row r="292" spans="1:9" x14ac:dyDescent="0.35">
      <c r="A292"/>
      <c r="B292"/>
      <c r="C292"/>
      <c r="D292"/>
      <c r="F292"/>
      <c r="G292"/>
      <c r="I292"/>
    </row>
    <row r="293" spans="1:9" x14ac:dyDescent="0.35">
      <c r="A293"/>
      <c r="B293"/>
      <c r="C293"/>
      <c r="D293"/>
      <c r="F293"/>
      <c r="G293"/>
      <c r="I293"/>
    </row>
    <row r="294" spans="1:9" x14ac:dyDescent="0.35">
      <c r="A294"/>
      <c r="B294"/>
      <c r="C294"/>
      <c r="D294"/>
      <c r="F294"/>
      <c r="G294"/>
      <c r="I294"/>
    </row>
    <row r="295" spans="1:9" x14ac:dyDescent="0.35">
      <c r="A295"/>
      <c r="B295"/>
      <c r="C295"/>
      <c r="D295"/>
      <c r="F295"/>
      <c r="G295"/>
      <c r="I295"/>
    </row>
    <row r="296" spans="1:9" x14ac:dyDescent="0.35">
      <c r="A296"/>
      <c r="B296"/>
      <c r="C296"/>
      <c r="D296"/>
      <c r="F296"/>
      <c r="G296"/>
      <c r="I296"/>
    </row>
    <row r="297" spans="1:9" x14ac:dyDescent="0.35">
      <c r="A297"/>
      <c r="B297"/>
      <c r="C297"/>
      <c r="D297"/>
      <c r="F297"/>
      <c r="G297"/>
      <c r="I297"/>
    </row>
    <row r="298" spans="1:9" x14ac:dyDescent="0.35">
      <c r="A298"/>
      <c r="B298"/>
      <c r="C298"/>
      <c r="D298"/>
      <c r="F298"/>
      <c r="G298"/>
      <c r="I298"/>
    </row>
    <row r="299" spans="1:9" x14ac:dyDescent="0.35">
      <c r="A299"/>
      <c r="B299"/>
      <c r="C299"/>
      <c r="D299"/>
      <c r="F299"/>
      <c r="G299"/>
      <c r="I299"/>
    </row>
    <row r="300" spans="1:9" x14ac:dyDescent="0.35">
      <c r="A300"/>
      <c r="B300"/>
      <c r="C300"/>
      <c r="D300"/>
      <c r="F300"/>
      <c r="G300"/>
      <c r="I300"/>
    </row>
    <row r="301" spans="1:9" x14ac:dyDescent="0.35">
      <c r="A301"/>
      <c r="B301"/>
      <c r="C301"/>
      <c r="D301"/>
      <c r="F301"/>
      <c r="G301"/>
      <c r="I301"/>
    </row>
    <row r="302" spans="1:9" x14ac:dyDescent="0.35">
      <c r="A302"/>
      <c r="B302"/>
      <c r="C302"/>
      <c r="D302"/>
      <c r="F302"/>
      <c r="G302"/>
      <c r="I302"/>
    </row>
    <row r="303" spans="1:9" x14ac:dyDescent="0.35">
      <c r="A303"/>
      <c r="B303"/>
      <c r="C303"/>
      <c r="D303"/>
      <c r="F303"/>
      <c r="G303"/>
      <c r="I303"/>
    </row>
    <row r="304" spans="1:9" x14ac:dyDescent="0.35">
      <c r="A304"/>
      <c r="B304"/>
      <c r="C304"/>
      <c r="D304"/>
      <c r="F304"/>
      <c r="G304"/>
      <c r="I304"/>
    </row>
    <row r="305" spans="1:9" x14ac:dyDescent="0.35">
      <c r="A305"/>
      <c r="B305"/>
      <c r="C305"/>
      <c r="D305"/>
      <c r="F305"/>
      <c r="G305"/>
      <c r="I305"/>
    </row>
    <row r="306" spans="1:9" x14ac:dyDescent="0.35">
      <c r="A306"/>
      <c r="B306"/>
      <c r="C306"/>
      <c r="D306"/>
      <c r="F306"/>
      <c r="G306"/>
      <c r="I306"/>
    </row>
    <row r="307" spans="1:9" x14ac:dyDescent="0.35">
      <c r="A307"/>
      <c r="B307"/>
      <c r="C307"/>
      <c r="D307"/>
      <c r="F307"/>
      <c r="G307"/>
      <c r="I307"/>
    </row>
    <row r="308" spans="1:9" x14ac:dyDescent="0.35">
      <c r="A308"/>
      <c r="B308"/>
      <c r="C308"/>
      <c r="D308"/>
      <c r="F308"/>
      <c r="G308"/>
      <c r="I308"/>
    </row>
    <row r="309" spans="1:9" x14ac:dyDescent="0.35">
      <c r="A309"/>
      <c r="B309"/>
      <c r="C309"/>
      <c r="D309"/>
      <c r="F309"/>
      <c r="G309"/>
      <c r="I309"/>
    </row>
    <row r="310" spans="1:9" x14ac:dyDescent="0.35">
      <c r="A310"/>
      <c r="B310"/>
      <c r="C310"/>
      <c r="D310"/>
      <c r="F310"/>
      <c r="G310"/>
      <c r="I310"/>
    </row>
    <row r="311" spans="1:9" x14ac:dyDescent="0.35">
      <c r="A311"/>
      <c r="B311"/>
      <c r="C311"/>
      <c r="D311"/>
      <c r="F311"/>
      <c r="G311"/>
      <c r="I311"/>
    </row>
    <row r="312" spans="1:9" x14ac:dyDescent="0.35">
      <c r="A312"/>
      <c r="B312"/>
      <c r="C312"/>
      <c r="D312"/>
      <c r="F312"/>
      <c r="G312"/>
      <c r="I312"/>
    </row>
    <row r="313" spans="1:9" x14ac:dyDescent="0.35">
      <c r="A313"/>
      <c r="B313"/>
      <c r="C313"/>
      <c r="D313"/>
      <c r="F313"/>
      <c r="G313"/>
      <c r="I313"/>
    </row>
    <row r="314" spans="1:9" x14ac:dyDescent="0.35">
      <c r="A314"/>
      <c r="B314"/>
      <c r="C314"/>
      <c r="D314"/>
      <c r="F314"/>
      <c r="G314"/>
      <c r="I314"/>
    </row>
    <row r="315" spans="1:9" x14ac:dyDescent="0.35">
      <c r="A315"/>
      <c r="B315"/>
      <c r="C315"/>
      <c r="D315"/>
      <c r="F315"/>
      <c r="G315"/>
      <c r="I315"/>
    </row>
    <row r="316" spans="1:9" x14ac:dyDescent="0.35">
      <c r="A316"/>
      <c r="B316"/>
      <c r="C316"/>
      <c r="D316"/>
      <c r="F316"/>
      <c r="G316"/>
      <c r="I316"/>
    </row>
    <row r="317" spans="1:9" x14ac:dyDescent="0.35">
      <c r="A317"/>
      <c r="B317"/>
      <c r="C317"/>
      <c r="D317"/>
      <c r="F317"/>
      <c r="G317"/>
      <c r="I317"/>
    </row>
    <row r="318" spans="1:9" x14ac:dyDescent="0.35">
      <c r="A318"/>
      <c r="B318"/>
      <c r="C318"/>
      <c r="D318"/>
      <c r="F318"/>
      <c r="G318"/>
      <c r="I318"/>
    </row>
    <row r="319" spans="1:9" x14ac:dyDescent="0.35">
      <c r="A319"/>
      <c r="B319"/>
      <c r="C319"/>
      <c r="D319"/>
      <c r="F319"/>
      <c r="G319"/>
      <c r="I319"/>
    </row>
    <row r="320" spans="1:9" x14ac:dyDescent="0.35">
      <c r="A320"/>
      <c r="B320"/>
      <c r="C320"/>
      <c r="D320"/>
      <c r="F320"/>
      <c r="G320"/>
      <c r="I320"/>
    </row>
    <row r="321" spans="1:9" x14ac:dyDescent="0.35">
      <c r="A321"/>
      <c r="B321"/>
      <c r="C321"/>
      <c r="D321"/>
      <c r="F321"/>
      <c r="G321"/>
      <c r="I321"/>
    </row>
    <row r="322" spans="1:9" x14ac:dyDescent="0.35">
      <c r="A322"/>
      <c r="B322"/>
      <c r="C322"/>
      <c r="D322"/>
      <c r="F322"/>
      <c r="G322"/>
      <c r="I322"/>
    </row>
    <row r="323" spans="1:9" x14ac:dyDescent="0.35">
      <c r="A323"/>
      <c r="B323"/>
      <c r="C323"/>
      <c r="D323"/>
      <c r="F323"/>
      <c r="G323"/>
      <c r="I323"/>
    </row>
    <row r="324" spans="1:9" x14ac:dyDescent="0.35">
      <c r="A324"/>
      <c r="B324"/>
      <c r="C324"/>
      <c r="D324"/>
      <c r="F324"/>
      <c r="G324"/>
      <c r="I324"/>
    </row>
    <row r="325" spans="1:9" x14ac:dyDescent="0.35">
      <c r="A325"/>
      <c r="B325"/>
      <c r="C325"/>
      <c r="D325"/>
      <c r="F325"/>
      <c r="G325"/>
      <c r="I325"/>
    </row>
    <row r="326" spans="1:9" x14ac:dyDescent="0.35">
      <c r="A326"/>
      <c r="B326"/>
      <c r="C326"/>
      <c r="D326"/>
      <c r="F326"/>
      <c r="G326"/>
      <c r="I326"/>
    </row>
    <row r="327" spans="1:9" x14ac:dyDescent="0.35">
      <c r="A327"/>
      <c r="B327"/>
      <c r="C327"/>
      <c r="D327"/>
      <c r="F327"/>
      <c r="G327"/>
      <c r="I327"/>
    </row>
    <row r="328" spans="1:9" x14ac:dyDescent="0.35">
      <c r="A328"/>
      <c r="B328"/>
      <c r="C328"/>
      <c r="D328"/>
      <c r="F328"/>
      <c r="G328"/>
      <c r="I328"/>
    </row>
    <row r="329" spans="1:9" x14ac:dyDescent="0.35">
      <c r="A329"/>
      <c r="B329"/>
      <c r="C329"/>
      <c r="D329"/>
      <c r="F329"/>
      <c r="G329"/>
      <c r="I329"/>
    </row>
    <row r="330" spans="1:9" x14ac:dyDescent="0.35">
      <c r="A330"/>
      <c r="B330"/>
      <c r="C330"/>
      <c r="D330"/>
      <c r="F330"/>
      <c r="G330"/>
      <c r="I330"/>
    </row>
    <row r="331" spans="1:9" x14ac:dyDescent="0.35">
      <c r="A331"/>
      <c r="B331"/>
      <c r="C331"/>
      <c r="D331"/>
      <c r="F331"/>
      <c r="G331"/>
      <c r="I331"/>
    </row>
    <row r="332" spans="1:9" x14ac:dyDescent="0.35">
      <c r="A332"/>
      <c r="B332"/>
      <c r="C332"/>
      <c r="D332"/>
      <c r="F332"/>
      <c r="G332"/>
      <c r="I332"/>
    </row>
    <row r="333" spans="1:9" x14ac:dyDescent="0.35">
      <c r="A333"/>
      <c r="B333"/>
      <c r="C333"/>
      <c r="D333"/>
      <c r="F333"/>
      <c r="G333"/>
      <c r="I333"/>
    </row>
    <row r="334" spans="1:9" x14ac:dyDescent="0.35">
      <c r="A334"/>
      <c r="B334"/>
      <c r="C334"/>
      <c r="D334"/>
      <c r="F334"/>
      <c r="G334"/>
      <c r="I334"/>
    </row>
    <row r="335" spans="1:9" x14ac:dyDescent="0.35">
      <c r="A335"/>
      <c r="B335"/>
      <c r="C335"/>
      <c r="D335"/>
      <c r="F335"/>
      <c r="G335"/>
      <c r="I335"/>
    </row>
    <row r="336" spans="1:9" x14ac:dyDescent="0.35">
      <c r="A336"/>
      <c r="B336"/>
      <c r="C336"/>
      <c r="D336"/>
      <c r="F336"/>
      <c r="G336"/>
      <c r="I336"/>
    </row>
    <row r="337" spans="1:9" x14ac:dyDescent="0.35">
      <c r="A337"/>
      <c r="B337"/>
      <c r="C337"/>
      <c r="D337"/>
      <c r="F337"/>
      <c r="G337"/>
      <c r="I337"/>
    </row>
    <row r="338" spans="1:9" x14ac:dyDescent="0.35">
      <c r="A338"/>
      <c r="B338"/>
      <c r="C338"/>
      <c r="D338"/>
      <c r="F338"/>
      <c r="G338"/>
      <c r="I338"/>
    </row>
    <row r="339" spans="1:9" x14ac:dyDescent="0.35">
      <c r="A339"/>
      <c r="B339"/>
      <c r="C339"/>
      <c r="D339"/>
      <c r="F339"/>
      <c r="G339"/>
      <c r="I339"/>
    </row>
    <row r="340" spans="1:9" x14ac:dyDescent="0.35">
      <c r="A340"/>
      <c r="B340"/>
      <c r="C340"/>
      <c r="D340"/>
      <c r="F340"/>
      <c r="G340"/>
      <c r="I340"/>
    </row>
    <row r="341" spans="1:9" x14ac:dyDescent="0.35">
      <c r="A341"/>
      <c r="B341"/>
      <c r="C341"/>
      <c r="D341"/>
      <c r="F341"/>
      <c r="G341"/>
      <c r="I341"/>
    </row>
    <row r="342" spans="1:9" x14ac:dyDescent="0.35">
      <c r="A342"/>
      <c r="B342"/>
      <c r="C342"/>
      <c r="D342"/>
      <c r="F342"/>
      <c r="G342"/>
      <c r="I342"/>
    </row>
    <row r="343" spans="1:9" x14ac:dyDescent="0.35">
      <c r="A343"/>
      <c r="B343"/>
      <c r="C343"/>
      <c r="D343"/>
      <c r="F343"/>
      <c r="G343"/>
      <c r="I343"/>
    </row>
    <row r="344" spans="1:9" x14ac:dyDescent="0.35">
      <c r="A344"/>
      <c r="B344"/>
      <c r="C344"/>
      <c r="D344"/>
      <c r="F344"/>
      <c r="G344"/>
      <c r="I344"/>
    </row>
    <row r="345" spans="1:9" x14ac:dyDescent="0.35">
      <c r="A345"/>
      <c r="B345"/>
      <c r="C345"/>
      <c r="D345"/>
      <c r="F345"/>
      <c r="G345"/>
      <c r="I345"/>
    </row>
    <row r="346" spans="1:9" x14ac:dyDescent="0.35">
      <c r="A346"/>
      <c r="B346"/>
      <c r="C346"/>
      <c r="D346"/>
      <c r="F346"/>
      <c r="G346"/>
      <c r="I346"/>
    </row>
    <row r="347" spans="1:9" x14ac:dyDescent="0.35">
      <c r="A347"/>
      <c r="B347"/>
      <c r="C347"/>
      <c r="D347"/>
      <c r="F347"/>
      <c r="G347"/>
      <c r="I347"/>
    </row>
    <row r="348" spans="1:9" x14ac:dyDescent="0.35">
      <c r="A348"/>
      <c r="B348"/>
      <c r="C348"/>
      <c r="D348"/>
      <c r="F348"/>
      <c r="G348"/>
      <c r="I348"/>
    </row>
    <row r="349" spans="1:9" x14ac:dyDescent="0.35">
      <c r="A349"/>
      <c r="B349"/>
      <c r="C349"/>
      <c r="D349"/>
      <c r="F349"/>
      <c r="G349"/>
      <c r="I349"/>
    </row>
    <row r="350" spans="1:9" x14ac:dyDescent="0.35">
      <c r="A350"/>
      <c r="B350"/>
      <c r="C350"/>
      <c r="D350"/>
      <c r="F350"/>
      <c r="G350"/>
      <c r="I350"/>
    </row>
    <row r="351" spans="1:9" x14ac:dyDescent="0.35">
      <c r="A351"/>
      <c r="B351"/>
      <c r="C351"/>
      <c r="D351"/>
      <c r="F351"/>
      <c r="G351"/>
      <c r="I351"/>
    </row>
    <row r="352" spans="1:9" x14ac:dyDescent="0.35">
      <c r="A352"/>
      <c r="B352"/>
      <c r="C352"/>
      <c r="D352"/>
      <c r="F352"/>
      <c r="G352"/>
      <c r="I352"/>
    </row>
    <row r="353" spans="1:9" x14ac:dyDescent="0.35">
      <c r="A353"/>
      <c r="B353"/>
      <c r="C353"/>
      <c r="D353"/>
      <c r="F353"/>
      <c r="G353"/>
      <c r="I353"/>
    </row>
    <row r="354" spans="1:9" x14ac:dyDescent="0.35">
      <c r="A354"/>
      <c r="B354"/>
      <c r="C354"/>
      <c r="D354"/>
      <c r="F354"/>
      <c r="G354"/>
      <c r="I354"/>
    </row>
    <row r="355" spans="1:9" x14ac:dyDescent="0.35">
      <c r="A355"/>
      <c r="B355"/>
      <c r="C355"/>
      <c r="D355"/>
      <c r="F355"/>
      <c r="G355"/>
      <c r="I355"/>
    </row>
    <row r="356" spans="1:9" x14ac:dyDescent="0.35">
      <c r="A356"/>
      <c r="B356"/>
      <c r="C356"/>
      <c r="D356"/>
      <c r="F356"/>
      <c r="G356"/>
      <c r="I356"/>
    </row>
    <row r="357" spans="1:9" x14ac:dyDescent="0.35">
      <c r="A357"/>
      <c r="B357"/>
      <c r="C357"/>
      <c r="D357"/>
      <c r="F357"/>
      <c r="G357"/>
      <c r="I357"/>
    </row>
    <row r="358" spans="1:9" x14ac:dyDescent="0.35">
      <c r="A358"/>
      <c r="B358"/>
      <c r="C358"/>
      <c r="D358"/>
      <c r="F358"/>
      <c r="G358"/>
      <c r="I358"/>
    </row>
    <row r="359" spans="1:9" x14ac:dyDescent="0.35">
      <c r="A359"/>
      <c r="B359"/>
      <c r="C359"/>
      <c r="D359"/>
      <c r="F359"/>
      <c r="G359"/>
      <c r="I359"/>
    </row>
    <row r="360" spans="1:9" x14ac:dyDescent="0.35">
      <c r="A360"/>
      <c r="B360"/>
      <c r="C360"/>
      <c r="D360"/>
      <c r="F360"/>
      <c r="G360"/>
      <c r="I360"/>
    </row>
    <row r="361" spans="1:9" x14ac:dyDescent="0.35">
      <c r="A361"/>
      <c r="B361"/>
      <c r="C361"/>
      <c r="D361"/>
      <c r="F361"/>
      <c r="G361"/>
      <c r="I361"/>
    </row>
    <row r="362" spans="1:9" x14ac:dyDescent="0.35">
      <c r="A362"/>
      <c r="B362"/>
      <c r="C362"/>
      <c r="D362"/>
      <c r="F362"/>
      <c r="G362"/>
      <c r="I362"/>
    </row>
    <row r="363" spans="1:9" x14ac:dyDescent="0.35">
      <c r="A363"/>
      <c r="B363"/>
      <c r="C363"/>
      <c r="D363"/>
      <c r="F363"/>
      <c r="G363"/>
      <c r="I363"/>
    </row>
    <row r="364" spans="1:9" x14ac:dyDescent="0.35">
      <c r="A364"/>
      <c r="B364"/>
      <c r="C364"/>
      <c r="D364"/>
      <c r="F364"/>
      <c r="G364"/>
      <c r="I364"/>
    </row>
    <row r="365" spans="1:9" x14ac:dyDescent="0.35">
      <c r="A365"/>
      <c r="B365"/>
      <c r="C365"/>
      <c r="D365"/>
      <c r="F365"/>
      <c r="G365"/>
      <c r="I365"/>
    </row>
    <row r="366" spans="1:9" x14ac:dyDescent="0.35">
      <c r="A366"/>
      <c r="B366"/>
      <c r="C366"/>
      <c r="D366"/>
      <c r="F366"/>
      <c r="G366"/>
      <c r="I366"/>
    </row>
    <row r="367" spans="1:9" x14ac:dyDescent="0.35">
      <c r="A367"/>
      <c r="B367"/>
      <c r="C367"/>
      <c r="D367"/>
      <c r="F367"/>
      <c r="G367"/>
      <c r="I367"/>
    </row>
    <row r="368" spans="1:9" x14ac:dyDescent="0.35">
      <c r="A368"/>
      <c r="B368"/>
      <c r="C368"/>
      <c r="D368"/>
      <c r="F368"/>
      <c r="G368"/>
      <c r="I368"/>
    </row>
    <row r="369" spans="1:9" x14ac:dyDescent="0.35">
      <c r="A369"/>
      <c r="B369"/>
      <c r="C369"/>
      <c r="D369"/>
      <c r="F369"/>
      <c r="G369"/>
      <c r="I369"/>
    </row>
    <row r="370" spans="1:9" x14ac:dyDescent="0.35">
      <c r="A370"/>
      <c r="B370"/>
      <c r="C370"/>
      <c r="D370"/>
      <c r="F370"/>
      <c r="G370"/>
      <c r="I370"/>
    </row>
    <row r="371" spans="1:9" x14ac:dyDescent="0.35">
      <c r="A371"/>
      <c r="B371"/>
      <c r="C371"/>
      <c r="D371"/>
      <c r="F371"/>
      <c r="G371"/>
      <c r="I371"/>
    </row>
    <row r="372" spans="1:9" x14ac:dyDescent="0.35">
      <c r="A372"/>
      <c r="B372"/>
      <c r="C372"/>
      <c r="D372"/>
      <c r="F372"/>
      <c r="G372"/>
      <c r="I372"/>
    </row>
    <row r="373" spans="1:9" x14ac:dyDescent="0.35">
      <c r="A373"/>
      <c r="B373"/>
      <c r="C373"/>
      <c r="D373"/>
      <c r="F373"/>
      <c r="G373"/>
      <c r="I373"/>
    </row>
    <row r="374" spans="1:9" x14ac:dyDescent="0.35">
      <c r="A374"/>
      <c r="B374"/>
      <c r="C374"/>
      <c r="D374"/>
      <c r="F374"/>
      <c r="G374"/>
      <c r="I374"/>
    </row>
    <row r="375" spans="1:9" x14ac:dyDescent="0.35">
      <c r="A375"/>
      <c r="B375"/>
      <c r="C375"/>
      <c r="D375"/>
      <c r="F375"/>
      <c r="G375"/>
      <c r="I375"/>
    </row>
    <row r="376" spans="1:9" x14ac:dyDescent="0.35">
      <c r="A376"/>
      <c r="B376"/>
      <c r="C376"/>
      <c r="D376"/>
      <c r="F376"/>
      <c r="G376"/>
      <c r="I376"/>
    </row>
    <row r="377" spans="1:9" x14ac:dyDescent="0.35">
      <c r="A377"/>
      <c r="B377"/>
      <c r="C377"/>
      <c r="D377"/>
      <c r="F377"/>
      <c r="G377"/>
      <c r="I377"/>
    </row>
    <row r="378" spans="1:9" x14ac:dyDescent="0.35">
      <c r="A378"/>
      <c r="B378"/>
      <c r="C378"/>
      <c r="D378"/>
      <c r="F378"/>
      <c r="G378"/>
      <c r="I378"/>
    </row>
    <row r="379" spans="1:9" x14ac:dyDescent="0.35">
      <c r="A379"/>
      <c r="B379"/>
      <c r="C379"/>
      <c r="D379"/>
      <c r="F379"/>
      <c r="G379"/>
      <c r="I379"/>
    </row>
    <row r="380" spans="1:9" x14ac:dyDescent="0.35">
      <c r="A380"/>
      <c r="B380"/>
      <c r="C380"/>
      <c r="D380"/>
      <c r="F380"/>
      <c r="G380"/>
      <c r="I380"/>
    </row>
    <row r="381" spans="1:9" x14ac:dyDescent="0.35">
      <c r="A381"/>
      <c r="B381"/>
      <c r="C381"/>
      <c r="D381"/>
      <c r="F381"/>
      <c r="G381"/>
      <c r="I381"/>
    </row>
    <row r="382" spans="1:9" x14ac:dyDescent="0.35">
      <c r="A382"/>
      <c r="B382"/>
      <c r="C382"/>
      <c r="D382"/>
      <c r="F382"/>
      <c r="G382"/>
      <c r="I382"/>
    </row>
    <row r="383" spans="1:9" x14ac:dyDescent="0.35">
      <c r="A383"/>
      <c r="B383"/>
      <c r="C383"/>
      <c r="D383"/>
      <c r="F383"/>
      <c r="G383"/>
      <c r="I383"/>
    </row>
    <row r="384" spans="1:9" x14ac:dyDescent="0.35">
      <c r="A384"/>
      <c r="B384"/>
      <c r="C384"/>
      <c r="D384"/>
      <c r="F384"/>
      <c r="G384"/>
      <c r="I384"/>
    </row>
    <row r="385" spans="1:9" x14ac:dyDescent="0.35">
      <c r="A385"/>
      <c r="B385"/>
      <c r="C385"/>
      <c r="D385"/>
      <c r="F385"/>
      <c r="G385"/>
      <c r="I385"/>
    </row>
    <row r="386" spans="1:9" x14ac:dyDescent="0.35">
      <c r="A386"/>
      <c r="B386"/>
      <c r="C386"/>
      <c r="D386"/>
      <c r="F386"/>
      <c r="G386"/>
      <c r="I386"/>
    </row>
    <row r="387" spans="1:9" x14ac:dyDescent="0.35">
      <c r="A387"/>
      <c r="B387"/>
      <c r="C387"/>
      <c r="D387"/>
      <c r="F387"/>
      <c r="G387"/>
      <c r="I387"/>
    </row>
    <row r="388" spans="1:9" x14ac:dyDescent="0.35">
      <c r="A388"/>
      <c r="B388"/>
      <c r="C388"/>
      <c r="D388"/>
      <c r="F388"/>
      <c r="G388"/>
      <c r="I388"/>
    </row>
    <row r="389" spans="1:9" x14ac:dyDescent="0.35">
      <c r="A389"/>
      <c r="B389"/>
      <c r="C389"/>
      <c r="D389"/>
      <c r="F389"/>
      <c r="G389"/>
      <c r="I389"/>
    </row>
    <row r="390" spans="1:9" x14ac:dyDescent="0.35">
      <c r="A390"/>
      <c r="B390"/>
      <c r="C390"/>
      <c r="D390"/>
      <c r="F390"/>
      <c r="G390"/>
      <c r="I390"/>
    </row>
    <row r="391" spans="1:9" x14ac:dyDescent="0.35">
      <c r="A391"/>
      <c r="B391"/>
      <c r="C391"/>
      <c r="D391"/>
      <c r="F391"/>
      <c r="G391"/>
      <c r="I391"/>
    </row>
    <row r="392" spans="1:9" x14ac:dyDescent="0.35">
      <c r="A392"/>
      <c r="B392"/>
      <c r="C392"/>
      <c r="D392"/>
      <c r="F392"/>
      <c r="G392"/>
      <c r="I392"/>
    </row>
    <row r="393" spans="1:9" x14ac:dyDescent="0.35">
      <c r="A393"/>
      <c r="B393"/>
      <c r="C393"/>
      <c r="D393"/>
      <c r="F393"/>
      <c r="G393"/>
      <c r="I393"/>
    </row>
    <row r="394" spans="1:9" x14ac:dyDescent="0.35">
      <c r="A394"/>
      <c r="B394"/>
      <c r="C394"/>
      <c r="D394"/>
      <c r="F394"/>
      <c r="G394"/>
      <c r="I394"/>
    </row>
    <row r="395" spans="1:9" x14ac:dyDescent="0.35">
      <c r="A395"/>
      <c r="B395"/>
      <c r="C395"/>
      <c r="D395"/>
      <c r="F395"/>
      <c r="G395"/>
      <c r="I395"/>
    </row>
    <row r="396" spans="1:9" x14ac:dyDescent="0.35">
      <c r="A396"/>
      <c r="B396"/>
      <c r="C396"/>
      <c r="D396"/>
      <c r="F396"/>
      <c r="G396"/>
      <c r="I396"/>
    </row>
    <row r="397" spans="1:9" x14ac:dyDescent="0.35">
      <c r="A397"/>
      <c r="B397"/>
      <c r="C397"/>
      <c r="D397"/>
      <c r="F397"/>
      <c r="G397"/>
      <c r="I397"/>
    </row>
    <row r="398" spans="1:9" x14ac:dyDescent="0.35">
      <c r="A398"/>
      <c r="B398"/>
      <c r="C398"/>
      <c r="D398"/>
      <c r="F398"/>
      <c r="G398"/>
      <c r="I398"/>
    </row>
    <row r="399" spans="1:9" x14ac:dyDescent="0.35">
      <c r="A399"/>
      <c r="B399"/>
      <c r="C399"/>
      <c r="D399"/>
      <c r="F399"/>
      <c r="G399"/>
      <c r="I399"/>
    </row>
    <row r="400" spans="1:9" x14ac:dyDescent="0.35">
      <c r="A400"/>
      <c r="B400"/>
      <c r="C400"/>
      <c r="D400"/>
      <c r="F400"/>
      <c r="G400"/>
      <c r="I400"/>
    </row>
    <row r="401" spans="1:9" x14ac:dyDescent="0.35">
      <c r="A401"/>
      <c r="B401"/>
      <c r="C401"/>
      <c r="D401"/>
      <c r="F401"/>
      <c r="G401"/>
      <c r="I401"/>
    </row>
    <row r="402" spans="1:9" x14ac:dyDescent="0.35">
      <c r="A402"/>
      <c r="B402"/>
      <c r="C402"/>
      <c r="D402"/>
      <c r="F402"/>
      <c r="G402"/>
      <c r="I402"/>
    </row>
    <row r="403" spans="1:9" x14ac:dyDescent="0.35">
      <c r="A403"/>
      <c r="B403"/>
      <c r="C403"/>
      <c r="D403"/>
      <c r="F403"/>
      <c r="G403"/>
      <c r="I403"/>
    </row>
    <row r="404" spans="1:9" x14ac:dyDescent="0.35">
      <c r="A404"/>
      <c r="B404"/>
      <c r="C404"/>
      <c r="D404"/>
      <c r="F404"/>
      <c r="G404"/>
      <c r="I404"/>
    </row>
    <row r="405" spans="1:9" x14ac:dyDescent="0.35">
      <c r="A405"/>
      <c r="B405"/>
      <c r="C405"/>
      <c r="D405"/>
      <c r="F405"/>
      <c r="G405"/>
      <c r="I405"/>
    </row>
    <row r="406" spans="1:9" x14ac:dyDescent="0.35">
      <c r="A406"/>
      <c r="B406"/>
      <c r="C406"/>
      <c r="D406"/>
      <c r="F406"/>
      <c r="G406"/>
      <c r="I406"/>
    </row>
    <row r="407" spans="1:9" x14ac:dyDescent="0.35">
      <c r="A407"/>
      <c r="B407"/>
      <c r="C407"/>
      <c r="D407"/>
      <c r="F407"/>
      <c r="G407"/>
      <c r="I407"/>
    </row>
    <row r="408" spans="1:9" x14ac:dyDescent="0.35">
      <c r="A408"/>
      <c r="B408"/>
      <c r="C408"/>
      <c r="D408"/>
      <c r="F408"/>
      <c r="G408"/>
      <c r="I408"/>
    </row>
    <row r="409" spans="1:9" x14ac:dyDescent="0.35">
      <c r="A409"/>
      <c r="B409"/>
      <c r="C409"/>
      <c r="D409"/>
      <c r="F409"/>
      <c r="G409"/>
      <c r="I409"/>
    </row>
    <row r="410" spans="1:9" x14ac:dyDescent="0.35">
      <c r="A410"/>
      <c r="B410"/>
      <c r="C410"/>
      <c r="D410"/>
      <c r="F410"/>
      <c r="G410"/>
      <c r="I410"/>
    </row>
    <row r="411" spans="1:9" x14ac:dyDescent="0.35">
      <c r="A411"/>
      <c r="B411"/>
      <c r="C411"/>
      <c r="D411"/>
      <c r="F411"/>
      <c r="G411"/>
      <c r="I411"/>
    </row>
    <row r="412" spans="1:9" x14ac:dyDescent="0.35">
      <c r="A412"/>
      <c r="B412"/>
      <c r="C412"/>
      <c r="D412"/>
      <c r="F412"/>
      <c r="G412"/>
      <c r="I412"/>
    </row>
    <row r="413" spans="1:9" x14ac:dyDescent="0.35">
      <c r="A413"/>
      <c r="B413"/>
      <c r="C413"/>
      <c r="D413"/>
      <c r="F413"/>
      <c r="G413"/>
      <c r="I413"/>
    </row>
    <row r="414" spans="1:9" x14ac:dyDescent="0.35">
      <c r="A414"/>
      <c r="B414"/>
      <c r="C414"/>
      <c r="D414"/>
      <c r="F414"/>
      <c r="G414"/>
      <c r="I414"/>
    </row>
    <row r="415" spans="1:9" x14ac:dyDescent="0.35">
      <c r="A415"/>
      <c r="B415"/>
      <c r="C415"/>
      <c r="D415"/>
      <c r="F415"/>
      <c r="G415"/>
      <c r="I415"/>
    </row>
    <row r="416" spans="1:9" x14ac:dyDescent="0.35">
      <c r="A416"/>
      <c r="B416"/>
      <c r="C416"/>
      <c r="D416"/>
      <c r="F416"/>
      <c r="G416"/>
      <c r="I416"/>
    </row>
    <row r="417" spans="1:9" x14ac:dyDescent="0.35">
      <c r="A417"/>
      <c r="B417"/>
      <c r="C417"/>
      <c r="D417"/>
      <c r="F417"/>
      <c r="G417"/>
      <c r="I417"/>
    </row>
    <row r="418" spans="1:9" x14ac:dyDescent="0.35">
      <c r="A418"/>
      <c r="B418"/>
      <c r="C418"/>
      <c r="D418"/>
      <c r="F418"/>
      <c r="G418"/>
      <c r="I418"/>
    </row>
    <row r="419" spans="1:9" x14ac:dyDescent="0.35">
      <c r="A419"/>
      <c r="B419"/>
      <c r="C419"/>
      <c r="D419"/>
      <c r="F419"/>
      <c r="G419"/>
      <c r="I419"/>
    </row>
    <row r="420" spans="1:9" x14ac:dyDescent="0.35">
      <c r="A420"/>
      <c r="B420"/>
      <c r="C420"/>
      <c r="D420"/>
      <c r="F420"/>
      <c r="G420"/>
      <c r="I420"/>
    </row>
    <row r="421" spans="1:9" x14ac:dyDescent="0.35">
      <c r="A421"/>
      <c r="B421"/>
      <c r="C421"/>
      <c r="D421"/>
      <c r="F421"/>
      <c r="G421"/>
      <c r="I421"/>
    </row>
    <row r="422" spans="1:9" x14ac:dyDescent="0.35">
      <c r="A422"/>
      <c r="B422"/>
      <c r="C422"/>
      <c r="D422"/>
      <c r="F422"/>
      <c r="G422"/>
      <c r="I422"/>
    </row>
    <row r="423" spans="1:9" x14ac:dyDescent="0.35">
      <c r="A423"/>
      <c r="B423"/>
      <c r="C423"/>
      <c r="D423"/>
      <c r="F423"/>
      <c r="G423"/>
      <c r="I423"/>
    </row>
    <row r="424" spans="1:9" x14ac:dyDescent="0.35">
      <c r="A424"/>
      <c r="B424"/>
      <c r="C424"/>
      <c r="D424"/>
      <c r="F424"/>
      <c r="G424"/>
      <c r="I424"/>
    </row>
    <row r="425" spans="1:9" x14ac:dyDescent="0.35">
      <c r="A425"/>
      <c r="B425"/>
      <c r="C425"/>
      <c r="D425"/>
      <c r="F425"/>
      <c r="G425"/>
      <c r="I425"/>
    </row>
    <row r="426" spans="1:9" x14ac:dyDescent="0.35">
      <c r="A426"/>
      <c r="B426"/>
      <c r="C426"/>
      <c r="D426"/>
      <c r="F426"/>
      <c r="G426"/>
      <c r="I426"/>
    </row>
    <row r="427" spans="1:9" x14ac:dyDescent="0.35">
      <c r="A427"/>
      <c r="B427"/>
      <c r="C427"/>
      <c r="D427"/>
      <c r="F427"/>
      <c r="G427"/>
      <c r="I427"/>
    </row>
    <row r="428" spans="1:9" x14ac:dyDescent="0.35">
      <c r="A428"/>
      <c r="B428"/>
      <c r="C428"/>
      <c r="D428"/>
      <c r="F428"/>
      <c r="G428"/>
      <c r="I428"/>
    </row>
    <row r="429" spans="1:9" x14ac:dyDescent="0.35">
      <c r="A429"/>
      <c r="B429"/>
      <c r="C429"/>
      <c r="D429"/>
      <c r="F429"/>
      <c r="G429"/>
      <c r="I429"/>
    </row>
    <row r="430" spans="1:9" x14ac:dyDescent="0.35">
      <c r="A430"/>
      <c r="B430"/>
      <c r="C430"/>
      <c r="D430"/>
      <c r="F430"/>
      <c r="G430"/>
      <c r="I430"/>
    </row>
    <row r="431" spans="1:9" x14ac:dyDescent="0.35">
      <c r="A431"/>
      <c r="B431"/>
      <c r="C431"/>
      <c r="D431"/>
      <c r="F431"/>
      <c r="G431"/>
      <c r="I431"/>
    </row>
    <row r="432" spans="1:9" x14ac:dyDescent="0.35">
      <c r="A432"/>
      <c r="B432"/>
      <c r="C432"/>
      <c r="D432"/>
      <c r="F432"/>
      <c r="G432"/>
      <c r="I432"/>
    </row>
    <row r="433" spans="1:9" x14ac:dyDescent="0.35">
      <c r="A433"/>
      <c r="B433"/>
      <c r="C433"/>
      <c r="D433"/>
      <c r="F433"/>
      <c r="G433"/>
      <c r="I433"/>
    </row>
    <row r="434" spans="1:9" x14ac:dyDescent="0.35">
      <c r="A434"/>
      <c r="B434"/>
      <c r="C434"/>
      <c r="D434"/>
      <c r="F434"/>
      <c r="G434"/>
      <c r="I434"/>
    </row>
    <row r="435" spans="1:9" x14ac:dyDescent="0.35">
      <c r="A435"/>
      <c r="B435"/>
      <c r="C435"/>
      <c r="D435"/>
      <c r="F435"/>
      <c r="G435"/>
      <c r="I435"/>
    </row>
    <row r="436" spans="1:9" x14ac:dyDescent="0.35">
      <c r="A436"/>
      <c r="B436"/>
      <c r="C436"/>
      <c r="D436"/>
      <c r="F436"/>
      <c r="G436"/>
      <c r="I436"/>
    </row>
    <row r="437" spans="1:9" x14ac:dyDescent="0.35">
      <c r="A437"/>
      <c r="B437"/>
      <c r="C437"/>
      <c r="D437"/>
      <c r="F437"/>
      <c r="G437"/>
      <c r="I437"/>
    </row>
    <row r="438" spans="1:9" x14ac:dyDescent="0.35">
      <c r="A438"/>
      <c r="B438"/>
      <c r="C438"/>
      <c r="D438"/>
      <c r="F438"/>
      <c r="G438"/>
      <c r="I438"/>
    </row>
    <row r="439" spans="1:9" x14ac:dyDescent="0.35">
      <c r="A439"/>
      <c r="B439"/>
      <c r="C439"/>
      <c r="D439"/>
      <c r="F439"/>
      <c r="G439"/>
      <c r="I439"/>
    </row>
    <row r="440" spans="1:9" x14ac:dyDescent="0.35">
      <c r="A440"/>
      <c r="B440"/>
      <c r="C440"/>
      <c r="D440"/>
      <c r="F440"/>
      <c r="G440"/>
      <c r="I440"/>
    </row>
    <row r="441" spans="1:9" x14ac:dyDescent="0.35">
      <c r="A441"/>
      <c r="B441"/>
      <c r="C441"/>
      <c r="D441"/>
      <c r="F441"/>
      <c r="G441"/>
      <c r="I441"/>
    </row>
    <row r="442" spans="1:9" x14ac:dyDescent="0.35">
      <c r="A442"/>
      <c r="B442"/>
      <c r="C442"/>
      <c r="D442"/>
      <c r="F442"/>
      <c r="G442"/>
      <c r="I442"/>
    </row>
    <row r="443" spans="1:9" x14ac:dyDescent="0.35">
      <c r="A443"/>
      <c r="B443"/>
      <c r="C443"/>
      <c r="D443"/>
      <c r="F443"/>
      <c r="G443"/>
      <c r="I443"/>
    </row>
    <row r="444" spans="1:9" x14ac:dyDescent="0.35">
      <c r="A444"/>
      <c r="B444"/>
      <c r="C444"/>
      <c r="D444"/>
      <c r="F444"/>
      <c r="G444"/>
      <c r="I444"/>
    </row>
    <row r="445" spans="1:9" x14ac:dyDescent="0.35">
      <c r="A445"/>
      <c r="B445"/>
      <c r="C445"/>
      <c r="D445"/>
      <c r="F445"/>
      <c r="G445"/>
      <c r="I445"/>
    </row>
    <row r="446" spans="1:9" x14ac:dyDescent="0.35">
      <c r="A446"/>
      <c r="B446"/>
      <c r="C446"/>
      <c r="D446"/>
      <c r="F446"/>
      <c r="G446"/>
      <c r="I446"/>
    </row>
    <row r="447" spans="1:9" x14ac:dyDescent="0.35">
      <c r="A447"/>
      <c r="B447"/>
      <c r="C447"/>
      <c r="D447"/>
      <c r="F447"/>
      <c r="G447"/>
      <c r="I447"/>
    </row>
    <row r="448" spans="1:9" x14ac:dyDescent="0.35">
      <c r="A448"/>
      <c r="B448"/>
      <c r="C448"/>
      <c r="D448"/>
      <c r="F448"/>
      <c r="G448"/>
      <c r="I448"/>
    </row>
    <row r="449" spans="1:9" x14ac:dyDescent="0.35">
      <c r="A449"/>
      <c r="B449"/>
      <c r="C449"/>
      <c r="D449"/>
      <c r="F449"/>
      <c r="G449"/>
      <c r="I449"/>
    </row>
    <row r="450" spans="1:9" x14ac:dyDescent="0.35">
      <c r="A450"/>
      <c r="B450"/>
      <c r="C450"/>
      <c r="D450"/>
      <c r="F450"/>
      <c r="G450"/>
      <c r="I450"/>
    </row>
    <row r="451" spans="1:9" x14ac:dyDescent="0.35">
      <c r="A451"/>
      <c r="B451"/>
      <c r="C451"/>
      <c r="D451"/>
      <c r="F451"/>
      <c r="G451"/>
      <c r="I451"/>
    </row>
    <row r="452" spans="1:9" x14ac:dyDescent="0.35">
      <c r="A452"/>
      <c r="B452"/>
      <c r="C452"/>
      <c r="D452"/>
      <c r="F452"/>
      <c r="G452"/>
      <c r="I452"/>
    </row>
    <row r="453" spans="1:9" x14ac:dyDescent="0.35">
      <c r="A453"/>
      <c r="B453"/>
      <c r="C453"/>
      <c r="D453"/>
      <c r="F453"/>
      <c r="G453"/>
      <c r="I453"/>
    </row>
    <row r="454" spans="1:9" x14ac:dyDescent="0.35">
      <c r="A454"/>
      <c r="B454"/>
      <c r="C454"/>
      <c r="D454"/>
      <c r="F454"/>
      <c r="G454"/>
      <c r="I454"/>
    </row>
    <row r="455" spans="1:9" x14ac:dyDescent="0.35">
      <c r="A455"/>
      <c r="B455"/>
      <c r="C455"/>
      <c r="D455"/>
      <c r="F455"/>
      <c r="G455"/>
      <c r="I455"/>
    </row>
    <row r="456" spans="1:9" x14ac:dyDescent="0.35">
      <c r="A456"/>
      <c r="B456"/>
      <c r="C456"/>
      <c r="D456"/>
      <c r="F456"/>
      <c r="G456"/>
      <c r="I456"/>
    </row>
    <row r="457" spans="1:9" x14ac:dyDescent="0.35">
      <c r="A457"/>
      <c r="B457"/>
      <c r="C457"/>
      <c r="D457"/>
      <c r="F457"/>
      <c r="G457"/>
      <c r="I457"/>
    </row>
    <row r="458" spans="1:9" x14ac:dyDescent="0.35">
      <c r="A458"/>
      <c r="B458"/>
      <c r="C458"/>
      <c r="D458"/>
      <c r="F458"/>
      <c r="G458"/>
      <c r="I458"/>
    </row>
    <row r="459" spans="1:9" x14ac:dyDescent="0.35">
      <c r="A459"/>
      <c r="B459"/>
      <c r="C459"/>
      <c r="D459"/>
      <c r="F459"/>
      <c r="G459"/>
      <c r="I459"/>
    </row>
    <row r="460" spans="1:9" x14ac:dyDescent="0.35">
      <c r="A460"/>
      <c r="B460"/>
      <c r="C460"/>
      <c r="D460"/>
      <c r="F460"/>
      <c r="G460"/>
      <c r="I460"/>
    </row>
    <row r="461" spans="1:9" x14ac:dyDescent="0.35">
      <c r="A461"/>
      <c r="B461"/>
      <c r="C461"/>
      <c r="D461"/>
      <c r="F461"/>
      <c r="G461"/>
      <c r="I461"/>
    </row>
    <row r="462" spans="1:9" x14ac:dyDescent="0.35">
      <c r="A462"/>
      <c r="B462"/>
      <c r="C462"/>
      <c r="D462"/>
      <c r="F462"/>
      <c r="G462"/>
      <c r="I462"/>
    </row>
    <row r="463" spans="1:9" x14ac:dyDescent="0.35">
      <c r="A463"/>
      <c r="B463"/>
      <c r="C463"/>
      <c r="D463"/>
      <c r="F463"/>
      <c r="G463"/>
      <c r="I463"/>
    </row>
    <row r="464" spans="1:9" x14ac:dyDescent="0.35">
      <c r="A464"/>
      <c r="B464"/>
      <c r="C464"/>
      <c r="D464"/>
      <c r="F464"/>
      <c r="G464"/>
      <c r="I464"/>
    </row>
    <row r="465" spans="1:9" x14ac:dyDescent="0.35">
      <c r="A465"/>
      <c r="B465"/>
      <c r="C465"/>
      <c r="D465"/>
      <c r="F465"/>
      <c r="G465"/>
      <c r="I465"/>
    </row>
    <row r="466" spans="1:9" x14ac:dyDescent="0.35">
      <c r="A466"/>
      <c r="B466"/>
      <c r="C466"/>
      <c r="D466"/>
      <c r="F466"/>
      <c r="G466"/>
      <c r="I466"/>
    </row>
    <row r="467" spans="1:9" x14ac:dyDescent="0.35">
      <c r="A467"/>
      <c r="B467"/>
      <c r="C467"/>
      <c r="D467"/>
      <c r="F467"/>
      <c r="G467"/>
      <c r="I467"/>
    </row>
    <row r="468" spans="1:9" x14ac:dyDescent="0.35">
      <c r="A468"/>
      <c r="B468"/>
      <c r="C468"/>
      <c r="D468"/>
      <c r="F468"/>
      <c r="G468"/>
      <c r="I468"/>
    </row>
    <row r="469" spans="1:9" x14ac:dyDescent="0.35">
      <c r="A469"/>
      <c r="B469"/>
      <c r="C469"/>
      <c r="D469"/>
      <c r="F469"/>
      <c r="G469"/>
      <c r="I469"/>
    </row>
    <row r="470" spans="1:9" x14ac:dyDescent="0.35">
      <c r="A470"/>
      <c r="B470"/>
      <c r="C470"/>
      <c r="D470"/>
      <c r="F470"/>
      <c r="G470"/>
      <c r="I470"/>
    </row>
    <row r="471" spans="1:9" x14ac:dyDescent="0.35">
      <c r="A471"/>
      <c r="B471"/>
      <c r="C471"/>
      <c r="D471"/>
      <c r="F471"/>
      <c r="G471"/>
      <c r="I471"/>
    </row>
    <row r="472" spans="1:9" x14ac:dyDescent="0.35">
      <c r="A472"/>
      <c r="B472"/>
      <c r="C472"/>
      <c r="D472"/>
      <c r="F472"/>
      <c r="G472"/>
      <c r="I472"/>
    </row>
    <row r="473" spans="1:9" x14ac:dyDescent="0.35">
      <c r="A473"/>
      <c r="B473"/>
      <c r="C473"/>
      <c r="D473"/>
      <c r="F473"/>
      <c r="G473"/>
      <c r="I473"/>
    </row>
    <row r="474" spans="1:9" x14ac:dyDescent="0.35">
      <c r="A474"/>
      <c r="B474"/>
      <c r="C474"/>
      <c r="D474"/>
      <c r="F474"/>
      <c r="G474"/>
      <c r="I474"/>
    </row>
    <row r="475" spans="1:9" x14ac:dyDescent="0.35">
      <c r="A475"/>
      <c r="B475"/>
      <c r="C475"/>
      <c r="D475"/>
      <c r="F475"/>
      <c r="G475"/>
      <c r="I475"/>
    </row>
    <row r="476" spans="1:9" x14ac:dyDescent="0.35">
      <c r="A476"/>
      <c r="B476"/>
      <c r="C476"/>
      <c r="D476"/>
      <c r="F476"/>
      <c r="G476"/>
      <c r="I476"/>
    </row>
    <row r="477" spans="1:9" x14ac:dyDescent="0.35">
      <c r="A477"/>
      <c r="B477"/>
      <c r="C477"/>
      <c r="D477"/>
      <c r="F477"/>
      <c r="G477"/>
      <c r="I477"/>
    </row>
    <row r="478" spans="1:9" x14ac:dyDescent="0.35">
      <c r="A478"/>
      <c r="B478"/>
      <c r="C478"/>
      <c r="D478"/>
      <c r="F478"/>
      <c r="G478"/>
      <c r="I478"/>
    </row>
    <row r="479" spans="1:9" x14ac:dyDescent="0.35">
      <c r="A479"/>
      <c r="B479"/>
      <c r="C479"/>
      <c r="D479"/>
      <c r="F479"/>
      <c r="G479"/>
      <c r="I479"/>
    </row>
    <row r="480" spans="1:9" x14ac:dyDescent="0.35">
      <c r="A480"/>
      <c r="B480"/>
      <c r="C480"/>
      <c r="D480"/>
      <c r="F480"/>
      <c r="G480"/>
      <c r="I480"/>
    </row>
    <row r="481" spans="1:9" x14ac:dyDescent="0.35">
      <c r="A481"/>
      <c r="B481"/>
      <c r="C481"/>
      <c r="D481"/>
      <c r="F481"/>
      <c r="G481"/>
      <c r="I481"/>
    </row>
    <row r="482" spans="1:9" x14ac:dyDescent="0.35">
      <c r="A482"/>
      <c r="B482"/>
      <c r="C482"/>
      <c r="D482"/>
      <c r="F482"/>
      <c r="G482"/>
      <c r="I482"/>
    </row>
    <row r="483" spans="1:9" x14ac:dyDescent="0.35">
      <c r="A483"/>
      <c r="B483"/>
      <c r="C483"/>
      <c r="D483"/>
      <c r="F483"/>
      <c r="G483"/>
      <c r="I483"/>
    </row>
    <row r="484" spans="1:9" x14ac:dyDescent="0.35">
      <c r="A484"/>
      <c r="B484"/>
      <c r="C484"/>
      <c r="D484"/>
      <c r="F484"/>
      <c r="G484"/>
      <c r="I484"/>
    </row>
    <row r="485" spans="1:9" x14ac:dyDescent="0.35">
      <c r="A485"/>
      <c r="B485"/>
      <c r="C485"/>
      <c r="D485"/>
      <c r="F485"/>
      <c r="G485"/>
      <c r="I485"/>
    </row>
    <row r="486" spans="1:9" x14ac:dyDescent="0.35">
      <c r="A486"/>
      <c r="B486"/>
      <c r="C486"/>
      <c r="D486"/>
      <c r="F486"/>
      <c r="G486"/>
      <c r="I486"/>
    </row>
    <row r="487" spans="1:9" x14ac:dyDescent="0.35">
      <c r="A487"/>
      <c r="B487"/>
      <c r="C487"/>
      <c r="D487"/>
      <c r="F487"/>
      <c r="G487"/>
      <c r="I487"/>
    </row>
    <row r="488" spans="1:9" x14ac:dyDescent="0.35">
      <c r="A488"/>
      <c r="B488"/>
      <c r="C488"/>
      <c r="D488"/>
      <c r="F488"/>
      <c r="G488"/>
      <c r="I488"/>
    </row>
    <row r="489" spans="1:9" x14ac:dyDescent="0.35">
      <c r="A489"/>
      <c r="B489"/>
      <c r="C489"/>
      <c r="D489"/>
      <c r="F489"/>
      <c r="G489"/>
      <c r="I489"/>
    </row>
    <row r="490" spans="1:9" x14ac:dyDescent="0.35">
      <c r="A490"/>
      <c r="B490"/>
      <c r="C490"/>
      <c r="D490"/>
      <c r="F490"/>
      <c r="G490"/>
      <c r="I490"/>
    </row>
    <row r="491" spans="1:9" x14ac:dyDescent="0.35">
      <c r="A491"/>
      <c r="B491"/>
      <c r="C491"/>
      <c r="D491"/>
      <c r="F491"/>
      <c r="G491"/>
      <c r="I491"/>
    </row>
    <row r="492" spans="1:9" x14ac:dyDescent="0.35">
      <c r="A492"/>
      <c r="B492"/>
      <c r="C492"/>
      <c r="D492"/>
      <c r="F492"/>
      <c r="G492"/>
      <c r="I492"/>
    </row>
    <row r="493" spans="1:9" x14ac:dyDescent="0.35">
      <c r="A493"/>
      <c r="B493"/>
      <c r="C493"/>
      <c r="D493"/>
      <c r="F493"/>
      <c r="G493"/>
      <c r="I493"/>
    </row>
    <row r="494" spans="1:9" x14ac:dyDescent="0.35">
      <c r="A494"/>
      <c r="B494"/>
      <c r="C494"/>
      <c r="D494"/>
      <c r="F494"/>
      <c r="G494"/>
      <c r="I494"/>
    </row>
    <row r="495" spans="1:9" x14ac:dyDescent="0.35">
      <c r="A495"/>
      <c r="B495"/>
      <c r="C495"/>
      <c r="D495"/>
      <c r="F495"/>
      <c r="G495"/>
      <c r="I495"/>
    </row>
    <row r="496" spans="1:9" x14ac:dyDescent="0.35">
      <c r="A496"/>
      <c r="B496"/>
      <c r="C496"/>
      <c r="D496"/>
      <c r="F496"/>
      <c r="G496"/>
      <c r="I496"/>
    </row>
    <row r="497" spans="1:9" x14ac:dyDescent="0.35">
      <c r="A497"/>
      <c r="B497"/>
      <c r="C497"/>
      <c r="D497"/>
      <c r="F497"/>
      <c r="G497"/>
      <c r="I497"/>
    </row>
    <row r="498" spans="1:9" x14ac:dyDescent="0.35">
      <c r="A498"/>
      <c r="B498"/>
      <c r="C498"/>
      <c r="D498"/>
      <c r="F498"/>
      <c r="G498"/>
      <c r="I498"/>
    </row>
    <row r="499" spans="1:9" x14ac:dyDescent="0.35">
      <c r="A499"/>
      <c r="B499"/>
      <c r="C499"/>
      <c r="D499"/>
      <c r="F499"/>
      <c r="G499"/>
      <c r="I499"/>
    </row>
    <row r="500" spans="1:9" x14ac:dyDescent="0.35">
      <c r="A500"/>
      <c r="B500"/>
      <c r="C500"/>
      <c r="D500"/>
      <c r="F500"/>
      <c r="G500"/>
      <c r="I500"/>
    </row>
    <row r="501" spans="1:9" x14ac:dyDescent="0.35">
      <c r="A501"/>
      <c r="B501"/>
      <c r="C501"/>
      <c r="D501"/>
      <c r="F501"/>
      <c r="G501"/>
      <c r="I501"/>
    </row>
    <row r="502" spans="1:9" x14ac:dyDescent="0.35">
      <c r="A502"/>
      <c r="B502"/>
      <c r="C502"/>
      <c r="D502"/>
      <c r="F502"/>
      <c r="G502"/>
      <c r="I502"/>
    </row>
    <row r="503" spans="1:9" x14ac:dyDescent="0.35">
      <c r="A503"/>
      <c r="B503"/>
      <c r="C503"/>
      <c r="D503"/>
      <c r="F503"/>
      <c r="G503"/>
      <c r="I503"/>
    </row>
    <row r="504" spans="1:9" x14ac:dyDescent="0.35">
      <c r="A504"/>
      <c r="B504"/>
      <c r="C504"/>
      <c r="D504"/>
      <c r="F504"/>
      <c r="G504"/>
      <c r="I504"/>
    </row>
    <row r="505" spans="1:9" x14ac:dyDescent="0.35">
      <c r="A505"/>
      <c r="B505"/>
      <c r="C505"/>
      <c r="D505"/>
      <c r="F505"/>
      <c r="G505"/>
      <c r="I505"/>
    </row>
    <row r="506" spans="1:9" x14ac:dyDescent="0.35">
      <c r="A506"/>
      <c r="B506"/>
      <c r="C506"/>
      <c r="D506"/>
      <c r="F506"/>
      <c r="G506"/>
      <c r="I506"/>
    </row>
    <row r="507" spans="1:9" x14ac:dyDescent="0.35">
      <c r="A507"/>
      <c r="B507"/>
      <c r="C507"/>
      <c r="D507"/>
      <c r="F507"/>
      <c r="G507"/>
      <c r="I507"/>
    </row>
    <row r="508" spans="1:9" x14ac:dyDescent="0.35">
      <c r="A508"/>
      <c r="B508"/>
      <c r="C508"/>
      <c r="D508"/>
      <c r="F508"/>
      <c r="G508"/>
      <c r="I508"/>
    </row>
    <row r="509" spans="1:9" x14ac:dyDescent="0.35">
      <c r="A509"/>
      <c r="B509"/>
      <c r="C509"/>
      <c r="D509"/>
      <c r="F509"/>
      <c r="G509"/>
      <c r="I509"/>
    </row>
    <row r="510" spans="1:9" x14ac:dyDescent="0.35">
      <c r="A510"/>
      <c r="B510"/>
      <c r="C510"/>
      <c r="D510"/>
      <c r="F510"/>
      <c r="G510"/>
      <c r="I510"/>
    </row>
    <row r="511" spans="1:9" x14ac:dyDescent="0.35">
      <c r="A511"/>
      <c r="B511"/>
      <c r="C511"/>
      <c r="D511"/>
      <c r="F511"/>
      <c r="G511"/>
      <c r="I511"/>
    </row>
    <row r="512" spans="1:9" x14ac:dyDescent="0.35">
      <c r="A512"/>
      <c r="B512"/>
      <c r="C512"/>
      <c r="D512"/>
      <c r="F512"/>
      <c r="G512"/>
      <c r="I512"/>
    </row>
    <row r="513" spans="1:9" x14ac:dyDescent="0.35">
      <c r="A513"/>
      <c r="B513"/>
      <c r="C513"/>
      <c r="D513"/>
      <c r="F513"/>
      <c r="G513"/>
      <c r="I513"/>
    </row>
    <row r="514" spans="1:9" x14ac:dyDescent="0.35">
      <c r="A514"/>
      <c r="B514"/>
      <c r="C514"/>
      <c r="D514"/>
      <c r="F514"/>
      <c r="G514"/>
      <c r="I514"/>
    </row>
    <row r="515" spans="1:9" x14ac:dyDescent="0.35">
      <c r="A515"/>
      <c r="B515"/>
      <c r="C515"/>
      <c r="D515"/>
      <c r="F515"/>
      <c r="G515"/>
      <c r="I515"/>
    </row>
    <row r="516" spans="1:9" x14ac:dyDescent="0.35">
      <c r="A516"/>
      <c r="B516"/>
      <c r="C516"/>
      <c r="D516"/>
      <c r="F516"/>
      <c r="G516"/>
      <c r="I516"/>
    </row>
    <row r="517" spans="1:9" x14ac:dyDescent="0.35">
      <c r="A517"/>
      <c r="B517"/>
      <c r="C517"/>
      <c r="D517"/>
      <c r="F517"/>
      <c r="G517"/>
      <c r="I517"/>
    </row>
    <row r="518" spans="1:9" x14ac:dyDescent="0.35">
      <c r="A518"/>
      <c r="B518"/>
      <c r="C518"/>
      <c r="D518"/>
      <c r="F518"/>
      <c r="G518"/>
      <c r="I518"/>
    </row>
    <row r="519" spans="1:9" x14ac:dyDescent="0.35">
      <c r="A519"/>
      <c r="B519"/>
      <c r="C519"/>
      <c r="D519"/>
      <c r="F519"/>
      <c r="G519"/>
      <c r="I519"/>
    </row>
    <row r="520" spans="1:9" x14ac:dyDescent="0.35">
      <c r="A520"/>
      <c r="B520"/>
      <c r="C520"/>
      <c r="D520"/>
      <c r="F520"/>
      <c r="G520"/>
      <c r="I520"/>
    </row>
    <row r="521" spans="1:9" x14ac:dyDescent="0.35">
      <c r="A521"/>
      <c r="B521"/>
      <c r="C521"/>
      <c r="D521"/>
      <c r="F521"/>
      <c r="G521"/>
      <c r="I521"/>
    </row>
    <row r="522" spans="1:9" x14ac:dyDescent="0.35">
      <c r="A522"/>
      <c r="B522"/>
      <c r="C522"/>
      <c r="D522"/>
      <c r="F522"/>
      <c r="G522"/>
      <c r="I522"/>
    </row>
    <row r="523" spans="1:9" x14ac:dyDescent="0.35">
      <c r="A523"/>
      <c r="B523"/>
      <c r="C523"/>
      <c r="D523"/>
      <c r="F523"/>
      <c r="G523"/>
      <c r="I523"/>
    </row>
    <row r="524" spans="1:9" x14ac:dyDescent="0.35">
      <c r="A524"/>
      <c r="B524"/>
      <c r="C524"/>
      <c r="D524"/>
      <c r="F524"/>
      <c r="G524"/>
      <c r="I524"/>
    </row>
    <row r="525" spans="1:9" x14ac:dyDescent="0.35">
      <c r="A525"/>
      <c r="B525"/>
      <c r="C525"/>
      <c r="D525"/>
      <c r="F525"/>
      <c r="G525"/>
      <c r="I525"/>
    </row>
    <row r="526" spans="1:9" x14ac:dyDescent="0.35">
      <c r="A526"/>
      <c r="B526"/>
      <c r="C526"/>
      <c r="D526"/>
      <c r="F526"/>
      <c r="G526"/>
      <c r="I526"/>
    </row>
    <row r="527" spans="1:9" x14ac:dyDescent="0.35">
      <c r="A527"/>
      <c r="B527"/>
      <c r="C527"/>
      <c r="D527"/>
      <c r="F527"/>
      <c r="G527"/>
      <c r="I527"/>
    </row>
    <row r="528" spans="1:9" x14ac:dyDescent="0.35">
      <c r="A528"/>
      <c r="B528"/>
      <c r="C528"/>
      <c r="D528"/>
      <c r="F528"/>
      <c r="G528"/>
      <c r="I528"/>
    </row>
    <row r="529" spans="1:9" x14ac:dyDescent="0.35">
      <c r="A529"/>
      <c r="B529"/>
      <c r="C529"/>
      <c r="D529"/>
      <c r="F529"/>
      <c r="G529"/>
      <c r="I529"/>
    </row>
    <row r="530" spans="1:9" x14ac:dyDescent="0.35">
      <c r="A530"/>
      <c r="B530"/>
      <c r="C530"/>
      <c r="D530"/>
      <c r="F530"/>
      <c r="G530"/>
      <c r="I530"/>
    </row>
    <row r="531" spans="1:9" x14ac:dyDescent="0.35">
      <c r="A531"/>
      <c r="B531"/>
      <c r="C531"/>
      <c r="D531"/>
      <c r="F531"/>
      <c r="G531"/>
      <c r="I531"/>
    </row>
    <row r="532" spans="1:9" x14ac:dyDescent="0.35">
      <c r="A532"/>
      <c r="B532"/>
      <c r="C532"/>
      <c r="D532"/>
      <c r="F532"/>
      <c r="G532"/>
      <c r="I532"/>
    </row>
    <row r="533" spans="1:9" x14ac:dyDescent="0.35">
      <c r="A533"/>
      <c r="B533"/>
      <c r="C533"/>
      <c r="D533"/>
      <c r="F533"/>
      <c r="G533"/>
      <c r="I533"/>
    </row>
    <row r="534" spans="1:9" x14ac:dyDescent="0.35">
      <c r="A534"/>
      <c r="B534"/>
      <c r="C534"/>
      <c r="D534"/>
      <c r="F534"/>
      <c r="G534"/>
      <c r="I534"/>
    </row>
    <row r="535" spans="1:9" x14ac:dyDescent="0.35">
      <c r="A535"/>
      <c r="B535"/>
      <c r="C535"/>
      <c r="D535"/>
      <c r="F535"/>
      <c r="G535"/>
      <c r="I535"/>
    </row>
    <row r="536" spans="1:9" x14ac:dyDescent="0.35">
      <c r="A536"/>
      <c r="B536"/>
      <c r="C536"/>
      <c r="D536"/>
      <c r="F536"/>
      <c r="G536"/>
      <c r="I536"/>
    </row>
    <row r="537" spans="1:9" x14ac:dyDescent="0.35">
      <c r="A537"/>
      <c r="B537"/>
      <c r="C537"/>
      <c r="D537"/>
      <c r="F537"/>
      <c r="G537"/>
      <c r="I537"/>
    </row>
    <row r="538" spans="1:9" x14ac:dyDescent="0.35">
      <c r="A538"/>
      <c r="B538"/>
      <c r="C538"/>
      <c r="D538"/>
      <c r="F538"/>
      <c r="G538"/>
      <c r="I538"/>
    </row>
    <row r="539" spans="1:9" x14ac:dyDescent="0.35">
      <c r="A539"/>
      <c r="B539"/>
      <c r="C539"/>
      <c r="D539"/>
      <c r="F539"/>
      <c r="G539"/>
      <c r="I539"/>
    </row>
    <row r="540" spans="1:9" x14ac:dyDescent="0.35">
      <c r="A540"/>
      <c r="B540"/>
      <c r="C540"/>
      <c r="D540"/>
      <c r="F540"/>
      <c r="G540"/>
      <c r="I540"/>
    </row>
    <row r="541" spans="1:9" x14ac:dyDescent="0.35">
      <c r="A541"/>
      <c r="B541"/>
      <c r="C541"/>
      <c r="D541"/>
      <c r="F541"/>
      <c r="G541"/>
      <c r="I541"/>
    </row>
    <row r="542" spans="1:9" x14ac:dyDescent="0.35">
      <c r="A542"/>
      <c r="B542"/>
      <c r="C542"/>
      <c r="D542"/>
      <c r="F542"/>
      <c r="G542"/>
      <c r="I542"/>
    </row>
    <row r="543" spans="1:9" x14ac:dyDescent="0.35">
      <c r="A543"/>
      <c r="B543"/>
      <c r="C543"/>
      <c r="D543"/>
      <c r="F543"/>
      <c r="G543"/>
      <c r="I543"/>
    </row>
    <row r="544" spans="1:9" x14ac:dyDescent="0.35">
      <c r="A544"/>
      <c r="B544"/>
      <c r="C544"/>
      <c r="D544"/>
      <c r="F544"/>
      <c r="G544"/>
      <c r="I544"/>
    </row>
    <row r="545" spans="1:9" x14ac:dyDescent="0.35">
      <c r="A545"/>
      <c r="B545"/>
      <c r="C545"/>
      <c r="D545"/>
      <c r="F545"/>
      <c r="G545"/>
      <c r="I545"/>
    </row>
    <row r="546" spans="1:9" x14ac:dyDescent="0.35">
      <c r="A546"/>
      <c r="B546"/>
      <c r="C546"/>
      <c r="D546"/>
      <c r="F546"/>
      <c r="G546"/>
      <c r="I546"/>
    </row>
    <row r="547" spans="1:9" x14ac:dyDescent="0.35">
      <c r="A547"/>
      <c r="B547"/>
      <c r="C547"/>
      <c r="D547"/>
      <c r="F547"/>
      <c r="G547"/>
      <c r="I547"/>
    </row>
    <row r="548" spans="1:9" x14ac:dyDescent="0.35">
      <c r="A548"/>
      <c r="B548"/>
      <c r="C548"/>
      <c r="D548"/>
      <c r="F548"/>
      <c r="G548"/>
      <c r="I548"/>
    </row>
    <row r="549" spans="1:9" x14ac:dyDescent="0.35">
      <c r="A549"/>
      <c r="B549"/>
      <c r="C549"/>
      <c r="D549"/>
      <c r="F549"/>
      <c r="G549"/>
      <c r="I549"/>
    </row>
    <row r="550" spans="1:9" x14ac:dyDescent="0.35">
      <c r="A550"/>
      <c r="B550"/>
      <c r="C550"/>
      <c r="D550"/>
      <c r="F550"/>
      <c r="G550"/>
      <c r="I550"/>
    </row>
    <row r="551" spans="1:9" x14ac:dyDescent="0.35">
      <c r="A551"/>
      <c r="B551"/>
      <c r="C551"/>
      <c r="D551"/>
      <c r="F551"/>
      <c r="G551"/>
      <c r="I551"/>
    </row>
    <row r="552" spans="1:9" x14ac:dyDescent="0.35">
      <c r="A552"/>
      <c r="B552"/>
      <c r="C552"/>
      <c r="D552"/>
      <c r="F552"/>
      <c r="G552"/>
      <c r="I552"/>
    </row>
    <row r="553" spans="1:9" x14ac:dyDescent="0.35">
      <c r="A553"/>
      <c r="B553"/>
      <c r="C553"/>
      <c r="D553"/>
      <c r="F553"/>
      <c r="G553"/>
      <c r="I553"/>
    </row>
    <row r="554" spans="1:9" x14ac:dyDescent="0.35">
      <c r="A554"/>
      <c r="B554"/>
      <c r="C554"/>
      <c r="D554"/>
      <c r="F554"/>
      <c r="G554"/>
      <c r="I554"/>
    </row>
    <row r="555" spans="1:9" x14ac:dyDescent="0.35">
      <c r="A555"/>
      <c r="B555"/>
      <c r="C555"/>
      <c r="D555"/>
      <c r="F555"/>
      <c r="G555"/>
      <c r="I555"/>
    </row>
    <row r="556" spans="1:9" x14ac:dyDescent="0.35">
      <c r="A556"/>
      <c r="B556"/>
      <c r="C556"/>
      <c r="D556"/>
      <c r="F556"/>
      <c r="G556"/>
      <c r="I556"/>
    </row>
    <row r="557" spans="1:9" x14ac:dyDescent="0.35">
      <c r="A557"/>
      <c r="B557"/>
      <c r="C557"/>
      <c r="D557"/>
      <c r="F557"/>
      <c r="G557"/>
      <c r="I557"/>
    </row>
    <row r="558" spans="1:9" x14ac:dyDescent="0.35">
      <c r="A558"/>
      <c r="B558"/>
      <c r="C558"/>
      <c r="D558"/>
      <c r="F558"/>
      <c r="G558"/>
      <c r="I558"/>
    </row>
    <row r="559" spans="1:9" x14ac:dyDescent="0.35">
      <c r="A559"/>
      <c r="B559"/>
      <c r="C559"/>
      <c r="D559"/>
      <c r="F559"/>
      <c r="G559"/>
      <c r="I559"/>
    </row>
    <row r="560" spans="1:9" x14ac:dyDescent="0.35">
      <c r="A560"/>
      <c r="B560"/>
      <c r="C560"/>
      <c r="D560"/>
      <c r="F560"/>
      <c r="G560"/>
      <c r="I560"/>
    </row>
    <row r="561" spans="1:9" x14ac:dyDescent="0.35">
      <c r="A561"/>
      <c r="B561"/>
      <c r="C561"/>
      <c r="D561"/>
      <c r="F561"/>
      <c r="G561"/>
      <c r="I561"/>
    </row>
    <row r="562" spans="1:9" x14ac:dyDescent="0.35">
      <c r="A562"/>
      <c r="B562"/>
      <c r="C562"/>
      <c r="D562"/>
      <c r="F562"/>
      <c r="G562"/>
      <c r="I562"/>
    </row>
    <row r="563" spans="1:9" x14ac:dyDescent="0.35">
      <c r="A563"/>
      <c r="B563"/>
      <c r="C563"/>
      <c r="D563"/>
      <c r="F563"/>
      <c r="G563"/>
      <c r="I563"/>
    </row>
    <row r="564" spans="1:9" x14ac:dyDescent="0.35">
      <c r="A564"/>
      <c r="B564"/>
      <c r="C564"/>
      <c r="D564"/>
      <c r="F564"/>
      <c r="G564"/>
      <c r="I564"/>
    </row>
    <row r="565" spans="1:9" x14ac:dyDescent="0.35">
      <c r="A565"/>
      <c r="B565"/>
      <c r="C565"/>
      <c r="D565"/>
      <c r="F565"/>
      <c r="G565"/>
      <c r="I565"/>
    </row>
    <row r="566" spans="1:9" x14ac:dyDescent="0.35">
      <c r="A566"/>
      <c r="B566"/>
      <c r="C566"/>
      <c r="D566"/>
      <c r="F566"/>
      <c r="G566"/>
      <c r="I566"/>
    </row>
    <row r="567" spans="1:9" x14ac:dyDescent="0.35">
      <c r="A567"/>
      <c r="B567"/>
      <c r="C567"/>
      <c r="D567"/>
      <c r="F567"/>
      <c r="G567"/>
      <c r="I567"/>
    </row>
    <row r="568" spans="1:9" x14ac:dyDescent="0.35">
      <c r="A568"/>
      <c r="B568"/>
      <c r="C568"/>
      <c r="D568"/>
      <c r="F568"/>
      <c r="G568"/>
      <c r="I568"/>
    </row>
    <row r="569" spans="1:9" x14ac:dyDescent="0.35">
      <c r="A569"/>
      <c r="B569"/>
      <c r="C569"/>
      <c r="D569"/>
      <c r="F569"/>
      <c r="G569"/>
      <c r="I569"/>
    </row>
    <row r="570" spans="1:9" x14ac:dyDescent="0.35">
      <c r="A570"/>
      <c r="B570"/>
      <c r="C570"/>
      <c r="D570"/>
      <c r="F570"/>
      <c r="G570"/>
      <c r="I570"/>
    </row>
    <row r="571" spans="1:9" x14ac:dyDescent="0.35">
      <c r="A571"/>
      <c r="B571"/>
      <c r="C571"/>
      <c r="D571"/>
      <c r="F571"/>
      <c r="G571"/>
      <c r="I571"/>
    </row>
    <row r="572" spans="1:9" x14ac:dyDescent="0.35">
      <c r="A572"/>
      <c r="B572"/>
      <c r="C572"/>
      <c r="D572"/>
      <c r="F572"/>
      <c r="G572"/>
      <c r="I572"/>
    </row>
    <row r="573" spans="1:9" x14ac:dyDescent="0.35">
      <c r="A573"/>
      <c r="B573"/>
      <c r="C573"/>
      <c r="D573"/>
      <c r="F573"/>
      <c r="G573"/>
      <c r="I573"/>
    </row>
    <row r="574" spans="1:9" x14ac:dyDescent="0.35">
      <c r="A574"/>
      <c r="B574"/>
      <c r="C574"/>
      <c r="D574"/>
      <c r="F574"/>
      <c r="G574"/>
      <c r="I574"/>
    </row>
    <row r="575" spans="1:9" x14ac:dyDescent="0.35">
      <c r="A575"/>
      <c r="B575"/>
      <c r="C575"/>
      <c r="D575"/>
      <c r="F575"/>
      <c r="G575"/>
      <c r="I575"/>
    </row>
    <row r="576" spans="1:9" x14ac:dyDescent="0.35">
      <c r="A576"/>
      <c r="B576"/>
      <c r="C576"/>
      <c r="D576"/>
      <c r="F576"/>
      <c r="G576"/>
      <c r="I576"/>
    </row>
    <row r="577" spans="1:9" x14ac:dyDescent="0.35">
      <c r="A577"/>
      <c r="B577"/>
      <c r="C577"/>
      <c r="D577"/>
      <c r="F577"/>
      <c r="G577"/>
      <c r="I577"/>
    </row>
    <row r="578" spans="1:9" x14ac:dyDescent="0.35">
      <c r="A578"/>
      <c r="B578"/>
      <c r="C578"/>
      <c r="D578"/>
      <c r="F578"/>
      <c r="G578"/>
      <c r="I578"/>
    </row>
    <row r="579" spans="1:9" x14ac:dyDescent="0.35">
      <c r="A579"/>
      <c r="B579"/>
      <c r="C579"/>
      <c r="D579"/>
      <c r="F579"/>
      <c r="G579"/>
      <c r="I579"/>
    </row>
    <row r="580" spans="1:9" x14ac:dyDescent="0.35">
      <c r="A580"/>
      <c r="B580"/>
      <c r="C580"/>
      <c r="D580"/>
      <c r="F580"/>
      <c r="G580"/>
      <c r="I580"/>
    </row>
    <row r="581" spans="1:9" x14ac:dyDescent="0.35">
      <c r="A581"/>
      <c r="B581"/>
      <c r="C581"/>
      <c r="D581"/>
      <c r="F581"/>
      <c r="G581"/>
      <c r="I581"/>
    </row>
    <row r="582" spans="1:9" x14ac:dyDescent="0.35">
      <c r="A582"/>
      <c r="B582"/>
      <c r="C582"/>
      <c r="D582"/>
      <c r="F582"/>
      <c r="G582"/>
      <c r="I582"/>
    </row>
    <row r="583" spans="1:9" x14ac:dyDescent="0.35">
      <c r="A583"/>
      <c r="B583"/>
      <c r="C583"/>
      <c r="D583"/>
      <c r="F583"/>
      <c r="G583"/>
      <c r="I583"/>
    </row>
    <row r="584" spans="1:9" x14ac:dyDescent="0.35">
      <c r="A584"/>
      <c r="B584"/>
      <c r="C584"/>
      <c r="D584"/>
      <c r="F584"/>
      <c r="G584"/>
      <c r="I584"/>
    </row>
    <row r="585" spans="1:9" x14ac:dyDescent="0.35">
      <c r="A585"/>
      <c r="B585"/>
      <c r="C585"/>
      <c r="D585"/>
      <c r="F585"/>
      <c r="G585"/>
      <c r="I585"/>
    </row>
    <row r="586" spans="1:9" x14ac:dyDescent="0.35">
      <c r="A586"/>
      <c r="B586"/>
      <c r="C586"/>
      <c r="D586"/>
      <c r="F586"/>
      <c r="G586"/>
      <c r="I586"/>
    </row>
    <row r="587" spans="1:9" x14ac:dyDescent="0.35">
      <c r="A587"/>
      <c r="B587"/>
      <c r="C587"/>
      <c r="D587"/>
      <c r="F587"/>
      <c r="G587"/>
      <c r="I587"/>
    </row>
    <row r="588" spans="1:9" x14ac:dyDescent="0.35">
      <c r="A588"/>
      <c r="B588"/>
      <c r="C588"/>
      <c r="D588"/>
      <c r="F588"/>
      <c r="G588"/>
      <c r="I588"/>
    </row>
    <row r="589" spans="1:9" x14ac:dyDescent="0.35">
      <c r="A589"/>
      <c r="B589"/>
      <c r="C589"/>
      <c r="D589"/>
      <c r="F589"/>
      <c r="G589"/>
      <c r="I589"/>
    </row>
    <row r="590" spans="1:9" x14ac:dyDescent="0.35">
      <c r="A590"/>
      <c r="B590"/>
      <c r="C590"/>
      <c r="D590"/>
      <c r="F590"/>
      <c r="G590"/>
      <c r="I590"/>
    </row>
    <row r="591" spans="1:9" x14ac:dyDescent="0.35">
      <c r="A591"/>
      <c r="B591"/>
      <c r="C591"/>
      <c r="D591"/>
      <c r="F591"/>
      <c r="G591"/>
      <c r="I591"/>
    </row>
    <row r="592" spans="1:9" x14ac:dyDescent="0.35">
      <c r="A592"/>
      <c r="B592"/>
      <c r="C592"/>
      <c r="D592"/>
      <c r="F592"/>
      <c r="G592"/>
      <c r="I592"/>
    </row>
    <row r="593" spans="1:9" x14ac:dyDescent="0.35">
      <c r="A593"/>
      <c r="B593"/>
      <c r="C593"/>
      <c r="D593"/>
      <c r="F593"/>
      <c r="G593"/>
      <c r="I593"/>
    </row>
    <row r="594" spans="1:9" x14ac:dyDescent="0.35">
      <c r="A594"/>
      <c r="B594"/>
      <c r="C594"/>
      <c r="D594"/>
      <c r="F594"/>
      <c r="G594"/>
      <c r="I594"/>
    </row>
    <row r="595" spans="1:9" x14ac:dyDescent="0.35">
      <c r="A595"/>
      <c r="B595"/>
      <c r="C595"/>
      <c r="D595"/>
      <c r="F595"/>
      <c r="G595"/>
      <c r="I595"/>
    </row>
    <row r="596" spans="1:9" x14ac:dyDescent="0.35">
      <c r="A596"/>
      <c r="B596"/>
      <c r="C596"/>
      <c r="D596"/>
      <c r="F596"/>
      <c r="G596"/>
      <c r="I596"/>
    </row>
    <row r="597" spans="1:9" x14ac:dyDescent="0.35">
      <c r="A597"/>
      <c r="B597"/>
      <c r="C597"/>
      <c r="D597"/>
      <c r="F597"/>
      <c r="G597"/>
      <c r="I597"/>
    </row>
    <row r="598" spans="1:9" x14ac:dyDescent="0.35">
      <c r="A598"/>
      <c r="B598"/>
      <c r="C598"/>
      <c r="D598"/>
      <c r="F598"/>
      <c r="G598"/>
      <c r="I598"/>
    </row>
    <row r="599" spans="1:9" x14ac:dyDescent="0.35">
      <c r="A599"/>
      <c r="B599"/>
      <c r="C599"/>
      <c r="D599"/>
      <c r="F599"/>
      <c r="G599"/>
      <c r="I599"/>
    </row>
    <row r="600" spans="1:9" x14ac:dyDescent="0.35">
      <c r="A600"/>
      <c r="B600"/>
      <c r="C600"/>
      <c r="D600"/>
      <c r="F600"/>
      <c r="G600"/>
      <c r="I600"/>
    </row>
    <row r="601" spans="1:9" x14ac:dyDescent="0.35">
      <c r="A601"/>
      <c r="B601"/>
      <c r="C601"/>
      <c r="D601"/>
      <c r="F601"/>
      <c r="G601"/>
      <c r="I601"/>
    </row>
    <row r="602" spans="1:9" x14ac:dyDescent="0.35">
      <c r="A602"/>
      <c r="B602"/>
      <c r="C602"/>
      <c r="D602"/>
      <c r="F602"/>
      <c r="G602"/>
      <c r="I602"/>
    </row>
    <row r="603" spans="1:9" x14ac:dyDescent="0.35">
      <c r="A603"/>
      <c r="B603"/>
      <c r="C603"/>
      <c r="D603"/>
      <c r="F603"/>
      <c r="G603"/>
      <c r="I603"/>
    </row>
    <row r="604" spans="1:9" x14ac:dyDescent="0.35">
      <c r="A604"/>
      <c r="B604"/>
      <c r="C604"/>
      <c r="D604"/>
      <c r="F604"/>
      <c r="G604"/>
      <c r="I604"/>
    </row>
    <row r="605" spans="1:9" x14ac:dyDescent="0.35">
      <c r="A605"/>
      <c r="B605"/>
      <c r="C605"/>
      <c r="D605"/>
      <c r="F605"/>
      <c r="G605"/>
      <c r="I605"/>
    </row>
    <row r="606" spans="1:9" x14ac:dyDescent="0.35">
      <c r="A606"/>
      <c r="B606"/>
      <c r="C606"/>
      <c r="D606"/>
      <c r="F606"/>
      <c r="G606"/>
      <c r="I606"/>
    </row>
    <row r="607" spans="1:9" x14ac:dyDescent="0.35">
      <c r="A607"/>
      <c r="B607"/>
      <c r="C607"/>
      <c r="D607"/>
      <c r="F607"/>
      <c r="G607"/>
      <c r="I607"/>
    </row>
    <row r="608" spans="1:9" x14ac:dyDescent="0.35">
      <c r="A608"/>
      <c r="B608"/>
      <c r="C608"/>
      <c r="D608"/>
      <c r="F608"/>
      <c r="G608"/>
      <c r="I608"/>
    </row>
    <row r="609" spans="1:9" x14ac:dyDescent="0.35">
      <c r="A609"/>
      <c r="B609"/>
      <c r="C609"/>
      <c r="D609"/>
      <c r="F609"/>
      <c r="G609"/>
      <c r="I609"/>
    </row>
    <row r="610" spans="1:9" x14ac:dyDescent="0.35">
      <c r="A610"/>
      <c r="B610"/>
      <c r="C610"/>
      <c r="D610"/>
      <c r="F610"/>
      <c r="G610"/>
      <c r="I610"/>
    </row>
    <row r="611" spans="1:9" x14ac:dyDescent="0.35">
      <c r="A611"/>
      <c r="B611"/>
      <c r="C611"/>
      <c r="D611"/>
      <c r="F611"/>
      <c r="G611"/>
      <c r="I611"/>
    </row>
    <row r="612" spans="1:9" x14ac:dyDescent="0.35">
      <c r="A612"/>
      <c r="B612"/>
      <c r="C612"/>
      <c r="D612"/>
      <c r="F612"/>
      <c r="G612"/>
      <c r="I612"/>
    </row>
    <row r="613" spans="1:9" x14ac:dyDescent="0.35">
      <c r="A613"/>
      <c r="B613"/>
      <c r="C613"/>
      <c r="D613"/>
      <c r="F613"/>
      <c r="G613"/>
      <c r="I613"/>
    </row>
    <row r="614" spans="1:9" x14ac:dyDescent="0.35">
      <c r="A614"/>
      <c r="B614"/>
      <c r="C614"/>
      <c r="D614"/>
      <c r="F614"/>
      <c r="G614"/>
      <c r="I614"/>
    </row>
    <row r="615" spans="1:9" x14ac:dyDescent="0.35">
      <c r="A615"/>
      <c r="B615"/>
      <c r="C615"/>
      <c r="D615"/>
      <c r="F615"/>
      <c r="G615"/>
      <c r="I615"/>
    </row>
    <row r="616" spans="1:9" x14ac:dyDescent="0.35">
      <c r="A616"/>
      <c r="B616"/>
      <c r="C616"/>
      <c r="D616"/>
      <c r="F616"/>
      <c r="G616"/>
      <c r="I616"/>
    </row>
    <row r="617" spans="1:9" x14ac:dyDescent="0.35">
      <c r="A617"/>
      <c r="B617"/>
      <c r="C617"/>
      <c r="D617"/>
      <c r="F617"/>
      <c r="G617"/>
      <c r="I617"/>
    </row>
    <row r="618" spans="1:9" x14ac:dyDescent="0.35">
      <c r="A618"/>
      <c r="B618"/>
      <c r="C618"/>
      <c r="D618"/>
      <c r="F618"/>
      <c r="G618"/>
      <c r="I618"/>
    </row>
    <row r="619" spans="1:9" x14ac:dyDescent="0.35">
      <c r="A619"/>
      <c r="B619"/>
      <c r="C619"/>
      <c r="D619"/>
      <c r="F619"/>
      <c r="G619"/>
      <c r="I619"/>
    </row>
    <row r="620" spans="1:9" x14ac:dyDescent="0.35">
      <c r="A620"/>
      <c r="B620"/>
      <c r="C620"/>
      <c r="D620"/>
      <c r="F620"/>
      <c r="G620"/>
      <c r="I620"/>
    </row>
    <row r="621" spans="1:9" x14ac:dyDescent="0.35">
      <c r="A621"/>
      <c r="B621"/>
      <c r="C621"/>
      <c r="D621"/>
      <c r="F621"/>
      <c r="G621"/>
      <c r="I621"/>
    </row>
    <row r="622" spans="1:9" x14ac:dyDescent="0.35">
      <c r="A622"/>
      <c r="B622"/>
      <c r="C622"/>
      <c r="D622"/>
      <c r="F622"/>
      <c r="G622"/>
      <c r="I622"/>
    </row>
    <row r="623" spans="1:9" x14ac:dyDescent="0.35">
      <c r="A623"/>
      <c r="B623"/>
      <c r="C623"/>
      <c r="D623"/>
      <c r="F623"/>
      <c r="G623"/>
      <c r="I623"/>
    </row>
    <row r="624" spans="1:9" x14ac:dyDescent="0.35">
      <c r="A624"/>
      <c r="B624"/>
      <c r="C624"/>
      <c r="D624"/>
      <c r="F624"/>
      <c r="G624"/>
      <c r="I624"/>
    </row>
    <row r="625" spans="1:9" x14ac:dyDescent="0.35">
      <c r="A625"/>
      <c r="B625"/>
      <c r="C625"/>
      <c r="D625"/>
      <c r="F625"/>
      <c r="G625"/>
      <c r="I625"/>
    </row>
    <row r="626" spans="1:9" x14ac:dyDescent="0.35">
      <c r="A626"/>
      <c r="B626"/>
      <c r="C626"/>
      <c r="D626"/>
      <c r="F626"/>
      <c r="G626"/>
      <c r="I626"/>
    </row>
    <row r="627" spans="1:9" x14ac:dyDescent="0.35">
      <c r="A627"/>
      <c r="B627"/>
      <c r="C627"/>
      <c r="D627"/>
      <c r="F627"/>
      <c r="G627"/>
      <c r="I627"/>
    </row>
    <row r="628" spans="1:9" x14ac:dyDescent="0.35">
      <c r="A628"/>
      <c r="B628"/>
      <c r="C628"/>
      <c r="D628"/>
      <c r="F628"/>
      <c r="G628"/>
      <c r="I628"/>
    </row>
    <row r="629" spans="1:9" x14ac:dyDescent="0.35">
      <c r="A629"/>
      <c r="B629"/>
      <c r="C629"/>
      <c r="D629"/>
      <c r="F629"/>
      <c r="G629"/>
      <c r="I629"/>
    </row>
    <row r="630" spans="1:9" x14ac:dyDescent="0.35">
      <c r="A630"/>
      <c r="B630"/>
      <c r="C630"/>
      <c r="D630"/>
      <c r="F630"/>
      <c r="G630"/>
      <c r="I630"/>
    </row>
    <row r="631" spans="1:9" x14ac:dyDescent="0.35">
      <c r="A631"/>
      <c r="B631"/>
      <c r="C631"/>
      <c r="D631"/>
      <c r="F631"/>
      <c r="G631"/>
      <c r="I631"/>
    </row>
    <row r="632" spans="1:9" x14ac:dyDescent="0.35">
      <c r="A632"/>
      <c r="B632"/>
      <c r="C632"/>
      <c r="D632"/>
      <c r="F632"/>
      <c r="G632"/>
      <c r="I632"/>
    </row>
    <row r="633" spans="1:9" x14ac:dyDescent="0.35">
      <c r="A633"/>
      <c r="B633"/>
      <c r="C633"/>
      <c r="D633"/>
      <c r="F633"/>
      <c r="G633"/>
      <c r="I633"/>
    </row>
    <row r="634" spans="1:9" x14ac:dyDescent="0.35">
      <c r="A634"/>
      <c r="B634"/>
      <c r="C634"/>
      <c r="D634"/>
      <c r="F634"/>
      <c r="G634"/>
      <c r="I634"/>
    </row>
    <row r="635" spans="1:9" x14ac:dyDescent="0.35">
      <c r="A635"/>
      <c r="B635"/>
      <c r="C635"/>
      <c r="D635"/>
      <c r="F635"/>
      <c r="G635"/>
      <c r="I635"/>
    </row>
    <row r="636" spans="1:9" x14ac:dyDescent="0.35">
      <c r="A636"/>
      <c r="B636"/>
      <c r="C636"/>
      <c r="D636"/>
      <c r="F636"/>
      <c r="G636"/>
      <c r="I636"/>
    </row>
    <row r="637" spans="1:9" x14ac:dyDescent="0.35">
      <c r="A637"/>
      <c r="B637"/>
      <c r="C637"/>
      <c r="D637"/>
      <c r="F637"/>
      <c r="G637"/>
      <c r="I637"/>
    </row>
    <row r="638" spans="1:9" x14ac:dyDescent="0.35">
      <c r="A638"/>
      <c r="B638"/>
      <c r="C638"/>
      <c r="D638"/>
      <c r="F638"/>
      <c r="G638"/>
      <c r="I638"/>
    </row>
    <row r="639" spans="1:9" x14ac:dyDescent="0.35">
      <c r="A639"/>
      <c r="B639"/>
      <c r="C639"/>
      <c r="D639"/>
      <c r="F639"/>
      <c r="G639"/>
      <c r="I639"/>
    </row>
    <row r="640" spans="1:9" x14ac:dyDescent="0.35">
      <c r="A640"/>
      <c r="B640"/>
      <c r="C640"/>
      <c r="D640"/>
      <c r="F640"/>
      <c r="G640"/>
      <c r="I640"/>
    </row>
    <row r="641" spans="1:9" x14ac:dyDescent="0.35">
      <c r="A641"/>
      <c r="B641"/>
      <c r="C641"/>
      <c r="D641"/>
      <c r="F641"/>
      <c r="G641"/>
      <c r="I641"/>
    </row>
    <row r="642" spans="1:9" x14ac:dyDescent="0.35">
      <c r="A642"/>
      <c r="B642"/>
      <c r="C642"/>
      <c r="D642"/>
      <c r="F642"/>
      <c r="G642"/>
      <c r="I642"/>
    </row>
    <row r="643" spans="1:9" x14ac:dyDescent="0.35">
      <c r="A643"/>
      <c r="B643"/>
      <c r="C643"/>
      <c r="D643"/>
      <c r="F643"/>
      <c r="G643"/>
      <c r="I643"/>
    </row>
    <row r="644" spans="1:9" x14ac:dyDescent="0.35">
      <c r="A644"/>
      <c r="B644"/>
      <c r="C644"/>
      <c r="D644"/>
      <c r="F644"/>
      <c r="G644"/>
      <c r="I644"/>
    </row>
    <row r="645" spans="1:9" x14ac:dyDescent="0.35">
      <c r="A645"/>
      <c r="B645"/>
      <c r="C645"/>
      <c r="D645"/>
      <c r="F645"/>
      <c r="G645"/>
      <c r="I645"/>
    </row>
    <row r="646" spans="1:9" x14ac:dyDescent="0.35">
      <c r="A646"/>
      <c r="B646"/>
      <c r="C646"/>
      <c r="D646"/>
      <c r="F646"/>
      <c r="G646"/>
      <c r="I646"/>
    </row>
    <row r="647" spans="1:9" x14ac:dyDescent="0.35">
      <c r="A647"/>
      <c r="B647"/>
      <c r="C647"/>
      <c r="D647"/>
      <c r="F647"/>
      <c r="G647"/>
      <c r="I647"/>
    </row>
    <row r="648" spans="1:9" x14ac:dyDescent="0.35">
      <c r="A648"/>
      <c r="B648"/>
      <c r="C648"/>
      <c r="D648"/>
      <c r="F648"/>
      <c r="G648"/>
      <c r="I648"/>
    </row>
    <row r="649" spans="1:9" x14ac:dyDescent="0.35">
      <c r="A649"/>
      <c r="B649"/>
      <c r="C649"/>
      <c r="D649"/>
      <c r="F649"/>
      <c r="G649"/>
      <c r="I649"/>
    </row>
    <row r="650" spans="1:9" x14ac:dyDescent="0.35">
      <c r="A650"/>
      <c r="B650"/>
      <c r="C650"/>
      <c r="D650"/>
      <c r="F650"/>
      <c r="G650"/>
      <c r="I650"/>
    </row>
    <row r="651" spans="1:9" x14ac:dyDescent="0.35">
      <c r="A651"/>
      <c r="B651"/>
      <c r="C651"/>
      <c r="D651"/>
      <c r="F651"/>
      <c r="G651"/>
      <c r="I651"/>
    </row>
    <row r="652" spans="1:9" x14ac:dyDescent="0.35">
      <c r="A652"/>
      <c r="B652"/>
      <c r="C652"/>
      <c r="D652"/>
      <c r="F652"/>
      <c r="G652"/>
      <c r="I652"/>
    </row>
    <row r="653" spans="1:9" x14ac:dyDescent="0.35">
      <c r="A653"/>
      <c r="B653"/>
      <c r="C653"/>
      <c r="D653"/>
      <c r="F653"/>
      <c r="G653"/>
      <c r="I653"/>
    </row>
    <row r="654" spans="1:9" x14ac:dyDescent="0.35">
      <c r="A654"/>
      <c r="B654"/>
      <c r="C654"/>
      <c r="D654"/>
      <c r="F654"/>
      <c r="G654"/>
      <c r="I654"/>
    </row>
    <row r="655" spans="1:9" x14ac:dyDescent="0.35">
      <c r="A655"/>
      <c r="B655"/>
      <c r="C655"/>
      <c r="D655"/>
      <c r="F655"/>
      <c r="G655"/>
      <c r="I655"/>
    </row>
    <row r="656" spans="1:9" x14ac:dyDescent="0.35">
      <c r="A656"/>
      <c r="B656"/>
      <c r="C656"/>
      <c r="D656"/>
      <c r="F656"/>
      <c r="G656"/>
      <c r="I656"/>
    </row>
    <row r="657" spans="1:9" x14ac:dyDescent="0.35">
      <c r="A657"/>
      <c r="B657"/>
      <c r="C657"/>
      <c r="D657"/>
      <c r="F657"/>
      <c r="G657"/>
      <c r="I657"/>
    </row>
    <row r="658" spans="1:9" x14ac:dyDescent="0.35">
      <c r="A658"/>
      <c r="B658"/>
      <c r="C658"/>
      <c r="D658"/>
      <c r="F658"/>
      <c r="G658"/>
      <c r="I658"/>
    </row>
    <row r="659" spans="1:9" x14ac:dyDescent="0.35">
      <c r="A659"/>
      <c r="B659"/>
      <c r="C659"/>
      <c r="D659"/>
      <c r="F659"/>
      <c r="G659"/>
      <c r="I659"/>
    </row>
    <row r="660" spans="1:9" x14ac:dyDescent="0.35">
      <c r="A660"/>
      <c r="B660"/>
      <c r="C660"/>
      <c r="D660"/>
      <c r="F660"/>
      <c r="G660"/>
      <c r="I660"/>
    </row>
    <row r="661" spans="1:9" x14ac:dyDescent="0.35">
      <c r="A661"/>
      <c r="B661"/>
      <c r="C661"/>
      <c r="D661"/>
      <c r="F661"/>
      <c r="G661"/>
      <c r="I661"/>
    </row>
    <row r="662" spans="1:9" x14ac:dyDescent="0.35">
      <c r="A662"/>
      <c r="B662"/>
      <c r="C662"/>
      <c r="D662"/>
      <c r="F662"/>
      <c r="G662"/>
      <c r="I662"/>
    </row>
    <row r="663" spans="1:9" x14ac:dyDescent="0.35">
      <c r="A663"/>
      <c r="B663"/>
      <c r="C663"/>
      <c r="D663"/>
      <c r="F663"/>
      <c r="G663"/>
      <c r="I663"/>
    </row>
    <row r="664" spans="1:9" x14ac:dyDescent="0.35">
      <c r="A664"/>
      <c r="B664"/>
      <c r="C664"/>
      <c r="D664"/>
      <c r="F664"/>
      <c r="G664"/>
      <c r="I664"/>
    </row>
    <row r="665" spans="1:9" x14ac:dyDescent="0.35">
      <c r="A665"/>
      <c r="B665"/>
      <c r="C665"/>
      <c r="D665"/>
      <c r="F665"/>
      <c r="G665"/>
      <c r="I665"/>
    </row>
    <row r="666" spans="1:9" x14ac:dyDescent="0.35">
      <c r="A666"/>
      <c r="B666"/>
      <c r="C666"/>
      <c r="D666"/>
      <c r="F666"/>
      <c r="G666"/>
      <c r="I666"/>
    </row>
    <row r="667" spans="1:9" x14ac:dyDescent="0.35">
      <c r="A667"/>
      <c r="B667"/>
      <c r="C667"/>
      <c r="D667"/>
      <c r="F667"/>
      <c r="G667"/>
      <c r="I667"/>
    </row>
    <row r="668" spans="1:9" x14ac:dyDescent="0.35">
      <c r="A668"/>
      <c r="B668"/>
      <c r="C668"/>
      <c r="D668"/>
      <c r="F668"/>
      <c r="G668"/>
      <c r="I668"/>
    </row>
    <row r="669" spans="1:9" x14ac:dyDescent="0.35">
      <c r="A669"/>
      <c r="B669"/>
      <c r="C669"/>
      <c r="D669"/>
      <c r="F669"/>
      <c r="G669"/>
      <c r="I669"/>
    </row>
    <row r="670" spans="1:9" x14ac:dyDescent="0.35">
      <c r="A670"/>
      <c r="B670"/>
      <c r="C670"/>
      <c r="D670"/>
      <c r="F670"/>
      <c r="G670"/>
      <c r="I670"/>
    </row>
    <row r="671" spans="1:9" x14ac:dyDescent="0.35">
      <c r="A671"/>
      <c r="B671"/>
      <c r="C671"/>
      <c r="D671"/>
      <c r="F671"/>
      <c r="G671"/>
      <c r="I671"/>
    </row>
    <row r="672" spans="1:9" x14ac:dyDescent="0.35">
      <c r="A672"/>
      <c r="B672"/>
      <c r="C672"/>
      <c r="D672"/>
      <c r="F672"/>
      <c r="G672"/>
      <c r="I672"/>
    </row>
    <row r="673" spans="1:9" x14ac:dyDescent="0.35">
      <c r="A673"/>
      <c r="B673"/>
      <c r="C673"/>
      <c r="D673"/>
      <c r="F673"/>
      <c r="G673"/>
      <c r="I673"/>
    </row>
    <row r="674" spans="1:9" x14ac:dyDescent="0.35">
      <c r="A674"/>
      <c r="B674"/>
      <c r="C674"/>
      <c r="D674"/>
      <c r="F674"/>
      <c r="G674"/>
      <c r="I674"/>
    </row>
    <row r="675" spans="1:9" x14ac:dyDescent="0.35">
      <c r="A675"/>
      <c r="B675"/>
      <c r="C675"/>
      <c r="D675"/>
      <c r="F675"/>
      <c r="G675"/>
      <c r="I675"/>
    </row>
    <row r="676" spans="1:9" x14ac:dyDescent="0.35">
      <c r="A676"/>
      <c r="B676"/>
      <c r="C676"/>
      <c r="D676"/>
      <c r="F676"/>
      <c r="G676"/>
      <c r="I676"/>
    </row>
    <row r="677" spans="1:9" x14ac:dyDescent="0.35">
      <c r="A677"/>
      <c r="B677"/>
      <c r="C677"/>
      <c r="D677"/>
      <c r="F677"/>
      <c r="G677"/>
      <c r="I677"/>
    </row>
    <row r="678" spans="1:9" x14ac:dyDescent="0.35">
      <c r="A678"/>
      <c r="B678"/>
      <c r="C678"/>
      <c r="D678"/>
      <c r="F678"/>
      <c r="G678"/>
      <c r="I678"/>
    </row>
    <row r="679" spans="1:9" x14ac:dyDescent="0.35">
      <c r="A679"/>
      <c r="B679"/>
      <c r="C679"/>
      <c r="D679"/>
      <c r="F679"/>
      <c r="G679"/>
      <c r="I679"/>
    </row>
    <row r="680" spans="1:9" x14ac:dyDescent="0.35">
      <c r="A680"/>
      <c r="B680"/>
      <c r="C680"/>
      <c r="D680"/>
      <c r="F680"/>
      <c r="G680"/>
      <c r="I680"/>
    </row>
    <row r="681" spans="1:9" x14ac:dyDescent="0.35">
      <c r="A681"/>
      <c r="B681"/>
      <c r="C681"/>
      <c r="D681"/>
      <c r="F681"/>
      <c r="G681"/>
      <c r="I681"/>
    </row>
    <row r="682" spans="1:9" x14ac:dyDescent="0.35">
      <c r="A682"/>
      <c r="B682"/>
      <c r="C682"/>
      <c r="D682"/>
      <c r="F682"/>
      <c r="G682"/>
      <c r="I682"/>
    </row>
    <row r="683" spans="1:9" x14ac:dyDescent="0.35">
      <c r="A683"/>
      <c r="B683"/>
      <c r="C683"/>
      <c r="D683"/>
      <c r="F683"/>
      <c r="G683"/>
      <c r="I683"/>
    </row>
    <row r="684" spans="1:9" x14ac:dyDescent="0.35">
      <c r="A684"/>
      <c r="B684"/>
      <c r="C684"/>
      <c r="D684"/>
      <c r="F684"/>
      <c r="G684"/>
      <c r="I684"/>
    </row>
    <row r="685" spans="1:9" x14ac:dyDescent="0.35">
      <c r="A685"/>
      <c r="B685"/>
      <c r="C685"/>
      <c r="D685"/>
      <c r="F685"/>
      <c r="G685"/>
      <c r="I685"/>
    </row>
    <row r="686" spans="1:9" x14ac:dyDescent="0.35">
      <c r="A686"/>
      <c r="B686"/>
      <c r="C686"/>
      <c r="D686"/>
      <c r="F686"/>
      <c r="G686"/>
      <c r="I686"/>
    </row>
    <row r="687" spans="1:9" x14ac:dyDescent="0.35">
      <c r="A687"/>
      <c r="B687"/>
      <c r="C687"/>
      <c r="D687"/>
      <c r="F687"/>
      <c r="G687"/>
      <c r="I687"/>
    </row>
    <row r="688" spans="1:9" x14ac:dyDescent="0.35">
      <c r="A688"/>
      <c r="B688"/>
      <c r="C688"/>
      <c r="D688"/>
      <c r="F688"/>
      <c r="G688"/>
      <c r="I688"/>
    </row>
    <row r="689" spans="1:9" x14ac:dyDescent="0.35">
      <c r="A689"/>
      <c r="B689"/>
      <c r="C689"/>
      <c r="D689"/>
      <c r="F689"/>
      <c r="G689"/>
      <c r="I689"/>
    </row>
    <row r="690" spans="1:9" x14ac:dyDescent="0.35">
      <c r="A690"/>
      <c r="B690"/>
      <c r="C690"/>
      <c r="D690"/>
      <c r="F690"/>
      <c r="G690"/>
      <c r="I690"/>
    </row>
    <row r="691" spans="1:9" x14ac:dyDescent="0.35">
      <c r="A691"/>
      <c r="B691"/>
      <c r="C691"/>
      <c r="D691"/>
      <c r="F691"/>
      <c r="G691"/>
      <c r="I691"/>
    </row>
    <row r="692" spans="1:9" x14ac:dyDescent="0.35">
      <c r="A692"/>
      <c r="B692"/>
      <c r="C692"/>
      <c r="D692"/>
      <c r="F692"/>
      <c r="G692"/>
      <c r="I692"/>
    </row>
    <row r="693" spans="1:9" x14ac:dyDescent="0.35">
      <c r="A693"/>
      <c r="B693"/>
      <c r="C693"/>
      <c r="D693"/>
      <c r="F693"/>
      <c r="G693"/>
      <c r="I693"/>
    </row>
    <row r="694" spans="1:9" x14ac:dyDescent="0.35">
      <c r="A694"/>
      <c r="B694"/>
      <c r="C694"/>
      <c r="D694"/>
      <c r="F694"/>
      <c r="G694"/>
      <c r="I694"/>
    </row>
    <row r="695" spans="1:9" x14ac:dyDescent="0.35">
      <c r="A695"/>
      <c r="B695"/>
      <c r="C695"/>
      <c r="D695"/>
      <c r="F695"/>
      <c r="G695"/>
      <c r="I695"/>
    </row>
    <row r="696" spans="1:9" x14ac:dyDescent="0.35">
      <c r="A696"/>
      <c r="B696"/>
      <c r="C696"/>
      <c r="D696"/>
      <c r="F696"/>
      <c r="G696"/>
      <c r="I696"/>
    </row>
    <row r="697" spans="1:9" x14ac:dyDescent="0.35">
      <c r="A697"/>
      <c r="B697"/>
      <c r="C697"/>
      <c r="D697"/>
      <c r="F697"/>
      <c r="G697"/>
      <c r="I697"/>
    </row>
    <row r="698" spans="1:9" x14ac:dyDescent="0.35">
      <c r="A698"/>
      <c r="B698"/>
      <c r="C698"/>
      <c r="D698"/>
      <c r="F698"/>
      <c r="G698"/>
      <c r="I698"/>
    </row>
    <row r="699" spans="1:9" x14ac:dyDescent="0.35">
      <c r="A699"/>
      <c r="B699"/>
      <c r="C699"/>
      <c r="D699"/>
      <c r="F699"/>
      <c r="G699"/>
      <c r="I699"/>
    </row>
    <row r="700" spans="1:9" x14ac:dyDescent="0.35">
      <c r="A700"/>
      <c r="B700"/>
      <c r="C700"/>
      <c r="D700"/>
      <c r="F700"/>
      <c r="G700"/>
      <c r="I700"/>
    </row>
    <row r="701" spans="1:9" x14ac:dyDescent="0.35">
      <c r="A701"/>
      <c r="B701"/>
      <c r="C701"/>
      <c r="D701"/>
      <c r="F701"/>
      <c r="G701"/>
      <c r="I701"/>
    </row>
    <row r="702" spans="1:9" x14ac:dyDescent="0.35">
      <c r="A702"/>
      <c r="B702"/>
      <c r="C702"/>
      <c r="D702"/>
      <c r="F702"/>
      <c r="G702"/>
      <c r="I702"/>
    </row>
    <row r="703" spans="1:9" x14ac:dyDescent="0.35">
      <c r="A703"/>
      <c r="B703"/>
      <c r="C703"/>
      <c r="D703"/>
      <c r="F703"/>
      <c r="G703"/>
      <c r="I703"/>
    </row>
    <row r="704" spans="1:9" x14ac:dyDescent="0.35">
      <c r="A704"/>
      <c r="B704"/>
      <c r="C704"/>
      <c r="D704"/>
      <c r="F704"/>
      <c r="G704"/>
      <c r="I704"/>
    </row>
    <row r="705" spans="1:9" x14ac:dyDescent="0.35">
      <c r="A705"/>
      <c r="B705"/>
      <c r="C705"/>
      <c r="D705"/>
      <c r="F705"/>
      <c r="G705"/>
      <c r="I705"/>
    </row>
    <row r="706" spans="1:9" x14ac:dyDescent="0.35">
      <c r="A706"/>
      <c r="B706"/>
      <c r="C706"/>
      <c r="D706"/>
      <c r="F706"/>
      <c r="G706"/>
      <c r="I706"/>
    </row>
    <row r="707" spans="1:9" x14ac:dyDescent="0.35">
      <c r="A707"/>
      <c r="B707"/>
      <c r="C707"/>
      <c r="D707"/>
      <c r="F707"/>
      <c r="G707"/>
      <c r="I707"/>
    </row>
    <row r="708" spans="1:9" x14ac:dyDescent="0.35">
      <c r="A708"/>
      <c r="B708"/>
      <c r="C708"/>
      <c r="D708"/>
      <c r="F708"/>
      <c r="G708"/>
      <c r="I708"/>
    </row>
    <row r="709" spans="1:9" x14ac:dyDescent="0.35">
      <c r="A709"/>
      <c r="B709"/>
      <c r="C709"/>
      <c r="D709"/>
      <c r="F709"/>
      <c r="G709"/>
      <c r="I709"/>
    </row>
    <row r="710" spans="1:9" x14ac:dyDescent="0.35">
      <c r="A710"/>
      <c r="B710"/>
      <c r="C710"/>
      <c r="D710"/>
      <c r="F710"/>
      <c r="G710"/>
      <c r="I710"/>
    </row>
    <row r="711" spans="1:9" x14ac:dyDescent="0.35">
      <c r="A711"/>
      <c r="B711"/>
      <c r="C711"/>
      <c r="D711"/>
      <c r="F711"/>
      <c r="G711"/>
      <c r="I711"/>
    </row>
    <row r="712" spans="1:9" x14ac:dyDescent="0.35">
      <c r="A712"/>
      <c r="B712"/>
      <c r="C712"/>
      <c r="D712"/>
      <c r="F712"/>
      <c r="G712"/>
      <c r="I712"/>
    </row>
    <row r="713" spans="1:9" x14ac:dyDescent="0.35">
      <c r="A713"/>
      <c r="B713"/>
      <c r="C713"/>
      <c r="D713"/>
      <c r="F713"/>
      <c r="G713"/>
      <c r="I713"/>
    </row>
    <row r="714" spans="1:9" x14ac:dyDescent="0.35">
      <c r="A714"/>
      <c r="B714"/>
      <c r="C714"/>
      <c r="D714"/>
      <c r="F714"/>
      <c r="G714"/>
      <c r="I714"/>
    </row>
    <row r="715" spans="1:9" x14ac:dyDescent="0.35">
      <c r="A715"/>
      <c r="B715"/>
      <c r="C715"/>
      <c r="D715"/>
      <c r="F715"/>
      <c r="G715"/>
      <c r="I715"/>
    </row>
    <row r="716" spans="1:9" x14ac:dyDescent="0.35">
      <c r="A716"/>
      <c r="B716"/>
      <c r="C716"/>
      <c r="D716"/>
      <c r="F716"/>
      <c r="G716"/>
      <c r="I716"/>
    </row>
    <row r="717" spans="1:9" x14ac:dyDescent="0.35">
      <c r="A717"/>
      <c r="B717"/>
      <c r="C717"/>
      <c r="D717"/>
      <c r="F717"/>
      <c r="G717"/>
      <c r="I717"/>
    </row>
    <row r="718" spans="1:9" x14ac:dyDescent="0.35">
      <c r="A718"/>
      <c r="B718"/>
      <c r="C718"/>
      <c r="D718"/>
      <c r="F718"/>
      <c r="G718"/>
      <c r="I718"/>
    </row>
    <row r="719" spans="1:9" x14ac:dyDescent="0.35">
      <c r="A719"/>
      <c r="B719"/>
      <c r="C719"/>
      <c r="D719"/>
      <c r="F719"/>
      <c r="G719"/>
      <c r="I719"/>
    </row>
    <row r="720" spans="1:9" x14ac:dyDescent="0.35">
      <c r="A720"/>
      <c r="B720"/>
      <c r="C720"/>
      <c r="D720"/>
      <c r="F720"/>
      <c r="G720"/>
      <c r="I720"/>
    </row>
    <row r="721" spans="1:9" x14ac:dyDescent="0.35">
      <c r="A721"/>
      <c r="B721"/>
      <c r="C721"/>
      <c r="D721"/>
      <c r="F721"/>
      <c r="G721"/>
      <c r="I721"/>
    </row>
    <row r="722" spans="1:9" x14ac:dyDescent="0.35">
      <c r="A722"/>
      <c r="B722"/>
      <c r="C722"/>
      <c r="D722"/>
      <c r="F722"/>
      <c r="G722"/>
      <c r="I722"/>
    </row>
    <row r="723" spans="1:9" x14ac:dyDescent="0.35">
      <c r="A723"/>
      <c r="B723"/>
      <c r="C723"/>
      <c r="D723"/>
      <c r="F723"/>
      <c r="G723"/>
      <c r="I723"/>
    </row>
    <row r="724" spans="1:9" x14ac:dyDescent="0.35">
      <c r="A724"/>
      <c r="B724"/>
      <c r="C724"/>
      <c r="D724"/>
      <c r="F724"/>
      <c r="G724"/>
      <c r="I724"/>
    </row>
    <row r="725" spans="1:9" x14ac:dyDescent="0.35">
      <c r="A725"/>
      <c r="B725"/>
      <c r="C725"/>
      <c r="D725"/>
      <c r="F725"/>
      <c r="G725"/>
      <c r="I725"/>
    </row>
    <row r="726" spans="1:9" x14ac:dyDescent="0.35">
      <c r="A726"/>
      <c r="B726"/>
      <c r="C726"/>
      <c r="D726"/>
      <c r="F726"/>
      <c r="G726"/>
      <c r="I726"/>
    </row>
    <row r="727" spans="1:9" x14ac:dyDescent="0.35">
      <c r="A727"/>
      <c r="B727"/>
      <c r="C727"/>
      <c r="D727"/>
      <c r="F727"/>
      <c r="G727"/>
      <c r="I727"/>
    </row>
    <row r="728" spans="1:9" x14ac:dyDescent="0.35">
      <c r="A728"/>
      <c r="B728"/>
      <c r="C728"/>
      <c r="D728"/>
      <c r="F728"/>
      <c r="G728"/>
      <c r="I728"/>
    </row>
    <row r="729" spans="1:9" x14ac:dyDescent="0.35">
      <c r="A729"/>
      <c r="B729"/>
      <c r="C729"/>
      <c r="D729"/>
      <c r="F729"/>
      <c r="G729"/>
      <c r="I729"/>
    </row>
    <row r="730" spans="1:9" x14ac:dyDescent="0.35">
      <c r="A730"/>
      <c r="B730"/>
      <c r="C730"/>
      <c r="D730"/>
      <c r="F730"/>
      <c r="G730"/>
      <c r="I730"/>
    </row>
    <row r="731" spans="1:9" x14ac:dyDescent="0.35">
      <c r="A731"/>
      <c r="B731"/>
      <c r="C731"/>
      <c r="D731"/>
      <c r="F731"/>
      <c r="G731"/>
      <c r="I731"/>
    </row>
    <row r="732" spans="1:9" x14ac:dyDescent="0.35">
      <c r="A732"/>
      <c r="B732"/>
      <c r="C732"/>
      <c r="D732"/>
      <c r="F732"/>
      <c r="G732"/>
      <c r="I732"/>
    </row>
    <row r="733" spans="1:9" x14ac:dyDescent="0.35">
      <c r="A733"/>
      <c r="B733"/>
      <c r="C733"/>
      <c r="D733"/>
      <c r="F733"/>
      <c r="G733"/>
      <c r="I733"/>
    </row>
    <row r="734" spans="1:9" x14ac:dyDescent="0.35">
      <c r="A734"/>
      <c r="B734"/>
      <c r="C734"/>
      <c r="D734"/>
      <c r="F734"/>
      <c r="G734"/>
      <c r="I734"/>
    </row>
    <row r="735" spans="1:9" x14ac:dyDescent="0.35">
      <c r="A735"/>
      <c r="B735"/>
      <c r="C735"/>
      <c r="D735"/>
      <c r="F735"/>
      <c r="G735"/>
      <c r="I735"/>
    </row>
    <row r="736" spans="1:9" x14ac:dyDescent="0.35">
      <c r="A736"/>
      <c r="B736"/>
      <c r="C736"/>
      <c r="D736"/>
      <c r="F736"/>
      <c r="G736"/>
      <c r="I736"/>
    </row>
    <row r="737" spans="1:9" x14ac:dyDescent="0.35">
      <c r="A737"/>
      <c r="B737"/>
      <c r="C737"/>
      <c r="D737"/>
      <c r="F737"/>
      <c r="G737"/>
      <c r="I737"/>
    </row>
    <row r="738" spans="1:9" x14ac:dyDescent="0.35">
      <c r="A738"/>
      <c r="B738"/>
      <c r="C738"/>
      <c r="D738"/>
      <c r="F738"/>
      <c r="G738"/>
      <c r="I738"/>
    </row>
    <row r="739" spans="1:9" x14ac:dyDescent="0.35">
      <c r="A739"/>
      <c r="B739"/>
      <c r="C739"/>
      <c r="D739"/>
      <c r="F739"/>
      <c r="G739"/>
      <c r="I739"/>
    </row>
    <row r="740" spans="1:9" x14ac:dyDescent="0.35">
      <c r="A740"/>
      <c r="B740"/>
      <c r="C740"/>
      <c r="D740"/>
      <c r="F740"/>
      <c r="G740"/>
      <c r="I740"/>
    </row>
    <row r="741" spans="1:9" x14ac:dyDescent="0.35">
      <c r="A741"/>
      <c r="B741"/>
      <c r="C741"/>
      <c r="D741"/>
      <c r="F741"/>
      <c r="G741"/>
      <c r="I741"/>
    </row>
    <row r="742" spans="1:9" x14ac:dyDescent="0.35">
      <c r="A742"/>
      <c r="B742"/>
      <c r="C742"/>
      <c r="D742"/>
      <c r="F742"/>
      <c r="G742"/>
      <c r="I742"/>
    </row>
    <row r="743" spans="1:9" x14ac:dyDescent="0.35">
      <c r="A743"/>
      <c r="B743"/>
      <c r="C743"/>
      <c r="D743"/>
      <c r="F743"/>
      <c r="G743"/>
      <c r="I743"/>
    </row>
    <row r="744" spans="1:9" x14ac:dyDescent="0.35">
      <c r="A744"/>
      <c r="B744"/>
      <c r="C744"/>
      <c r="D744"/>
      <c r="F744"/>
      <c r="G744"/>
      <c r="I744"/>
    </row>
    <row r="745" spans="1:9" x14ac:dyDescent="0.35">
      <c r="A745"/>
      <c r="B745"/>
      <c r="C745"/>
      <c r="D745"/>
      <c r="F745"/>
      <c r="G745"/>
      <c r="I745"/>
    </row>
    <row r="746" spans="1:9" x14ac:dyDescent="0.35">
      <c r="A746"/>
      <c r="B746"/>
      <c r="C746"/>
      <c r="D746"/>
      <c r="F746"/>
      <c r="G746"/>
      <c r="I746"/>
    </row>
    <row r="747" spans="1:9" x14ac:dyDescent="0.35">
      <c r="A747"/>
      <c r="B747"/>
      <c r="C747"/>
      <c r="D747"/>
      <c r="F747"/>
      <c r="G747"/>
      <c r="I747"/>
    </row>
    <row r="748" spans="1:9" x14ac:dyDescent="0.35">
      <c r="A748"/>
      <c r="B748"/>
      <c r="C748"/>
      <c r="D748"/>
      <c r="F748"/>
      <c r="G748"/>
      <c r="I748"/>
    </row>
    <row r="749" spans="1:9" x14ac:dyDescent="0.35">
      <c r="A749"/>
      <c r="B749"/>
      <c r="C749"/>
      <c r="D749"/>
      <c r="F749"/>
      <c r="G749"/>
      <c r="I749"/>
    </row>
    <row r="750" spans="1:9" x14ac:dyDescent="0.35">
      <c r="A750"/>
      <c r="B750"/>
      <c r="C750"/>
      <c r="D750"/>
      <c r="F750"/>
      <c r="G750"/>
      <c r="I750"/>
    </row>
    <row r="751" spans="1:9" x14ac:dyDescent="0.35">
      <c r="A751"/>
      <c r="B751"/>
      <c r="C751"/>
      <c r="D751"/>
      <c r="F751"/>
      <c r="G751"/>
      <c r="I751"/>
    </row>
    <row r="752" spans="1:9" x14ac:dyDescent="0.35">
      <c r="A752"/>
      <c r="B752"/>
      <c r="C752"/>
      <c r="D752"/>
      <c r="F752"/>
      <c r="G752"/>
      <c r="I752"/>
    </row>
    <row r="753" spans="1:9" x14ac:dyDescent="0.35">
      <c r="A753"/>
      <c r="B753"/>
      <c r="C753"/>
      <c r="D753"/>
      <c r="F753"/>
      <c r="G753"/>
      <c r="I753"/>
    </row>
    <row r="754" spans="1:9" x14ac:dyDescent="0.35">
      <c r="A754"/>
      <c r="B754"/>
      <c r="C754"/>
      <c r="D754"/>
      <c r="F754"/>
      <c r="G754"/>
      <c r="I754"/>
    </row>
    <row r="755" spans="1:9" x14ac:dyDescent="0.35">
      <c r="A755"/>
      <c r="B755"/>
      <c r="C755"/>
      <c r="D755"/>
      <c r="F755"/>
      <c r="G755"/>
      <c r="I755"/>
    </row>
    <row r="756" spans="1:9" x14ac:dyDescent="0.35">
      <c r="A756"/>
      <c r="B756"/>
      <c r="C756"/>
      <c r="D756"/>
      <c r="F756"/>
      <c r="G756"/>
      <c r="I756"/>
    </row>
    <row r="757" spans="1:9" x14ac:dyDescent="0.35">
      <c r="A757"/>
      <c r="B757"/>
      <c r="C757"/>
      <c r="D757"/>
      <c r="F757"/>
      <c r="G757"/>
      <c r="I757"/>
    </row>
    <row r="758" spans="1:9" x14ac:dyDescent="0.35">
      <c r="A758"/>
      <c r="B758"/>
      <c r="C758"/>
      <c r="D758"/>
      <c r="F758"/>
      <c r="G758"/>
      <c r="I758"/>
    </row>
    <row r="759" spans="1:9" x14ac:dyDescent="0.35">
      <c r="A759"/>
      <c r="B759"/>
      <c r="C759"/>
      <c r="D759"/>
      <c r="F759"/>
      <c r="G759"/>
      <c r="I759"/>
    </row>
    <row r="760" spans="1:9" x14ac:dyDescent="0.35">
      <c r="A760"/>
      <c r="B760"/>
      <c r="C760"/>
      <c r="D760"/>
      <c r="F760"/>
      <c r="G760"/>
      <c r="I760"/>
    </row>
    <row r="761" spans="1:9" x14ac:dyDescent="0.35">
      <c r="A761"/>
      <c r="B761"/>
      <c r="C761"/>
      <c r="D761"/>
      <c r="F761"/>
      <c r="G761"/>
      <c r="I761"/>
    </row>
    <row r="762" spans="1:9" x14ac:dyDescent="0.35">
      <c r="A762"/>
      <c r="B762"/>
      <c r="C762"/>
      <c r="D762"/>
      <c r="F762"/>
      <c r="G762"/>
      <c r="I762"/>
    </row>
    <row r="763" spans="1:9" x14ac:dyDescent="0.35">
      <c r="A763"/>
      <c r="B763"/>
      <c r="C763"/>
      <c r="D763"/>
      <c r="F763"/>
      <c r="G763"/>
      <c r="I763"/>
    </row>
    <row r="764" spans="1:9" x14ac:dyDescent="0.35">
      <c r="A764"/>
      <c r="B764"/>
      <c r="C764"/>
      <c r="D764"/>
      <c r="F764"/>
      <c r="G764"/>
      <c r="I764"/>
    </row>
    <row r="765" spans="1:9" x14ac:dyDescent="0.35">
      <c r="A765"/>
      <c r="B765"/>
      <c r="C765"/>
      <c r="D765"/>
      <c r="F765"/>
      <c r="G765"/>
      <c r="I765"/>
    </row>
    <row r="766" spans="1:9" x14ac:dyDescent="0.35">
      <c r="A766"/>
      <c r="B766"/>
      <c r="C766"/>
      <c r="D766"/>
      <c r="F766"/>
      <c r="G766"/>
      <c r="I766"/>
    </row>
    <row r="767" spans="1:9" x14ac:dyDescent="0.35">
      <c r="A767"/>
      <c r="B767"/>
      <c r="C767"/>
      <c r="D767"/>
      <c r="F767"/>
      <c r="G767"/>
      <c r="I767"/>
    </row>
    <row r="768" spans="1:9" x14ac:dyDescent="0.35">
      <c r="A768"/>
      <c r="B768"/>
      <c r="C768"/>
      <c r="D768"/>
      <c r="F768"/>
      <c r="G768"/>
      <c r="I768"/>
    </row>
    <row r="769" spans="1:9" x14ac:dyDescent="0.35">
      <c r="A769"/>
      <c r="B769"/>
      <c r="C769"/>
      <c r="D769"/>
      <c r="F769"/>
      <c r="G769"/>
      <c r="I769"/>
    </row>
    <row r="770" spans="1:9" x14ac:dyDescent="0.35">
      <c r="A770"/>
      <c r="B770"/>
      <c r="C770"/>
      <c r="D770"/>
      <c r="F770"/>
      <c r="G770"/>
      <c r="I770"/>
    </row>
    <row r="771" spans="1:9" x14ac:dyDescent="0.35">
      <c r="A771"/>
      <c r="B771"/>
      <c r="C771"/>
      <c r="D771"/>
      <c r="F771"/>
      <c r="G771"/>
      <c r="I771"/>
    </row>
    <row r="772" spans="1:9" x14ac:dyDescent="0.35">
      <c r="A772"/>
      <c r="B772"/>
      <c r="C772"/>
      <c r="D772"/>
      <c r="F772"/>
      <c r="G772"/>
      <c r="I772"/>
    </row>
    <row r="773" spans="1:9" x14ac:dyDescent="0.35">
      <c r="A773"/>
      <c r="B773"/>
      <c r="C773"/>
      <c r="D773"/>
      <c r="F773"/>
      <c r="G773"/>
      <c r="I773"/>
    </row>
    <row r="774" spans="1:9" x14ac:dyDescent="0.35">
      <c r="A774"/>
      <c r="B774"/>
      <c r="C774"/>
      <c r="D774"/>
      <c r="F774"/>
      <c r="G774"/>
      <c r="I774"/>
    </row>
    <row r="775" spans="1:9" x14ac:dyDescent="0.35">
      <c r="A775"/>
      <c r="B775"/>
      <c r="C775"/>
      <c r="D775"/>
      <c r="F775"/>
      <c r="G775"/>
      <c r="I775"/>
    </row>
    <row r="776" spans="1:9" x14ac:dyDescent="0.35">
      <c r="A776"/>
      <c r="B776"/>
      <c r="C776"/>
      <c r="D776"/>
      <c r="F776"/>
      <c r="G776"/>
      <c r="I776"/>
    </row>
    <row r="777" spans="1:9" x14ac:dyDescent="0.35">
      <c r="A777"/>
      <c r="B777"/>
      <c r="C777"/>
      <c r="D777"/>
      <c r="F777"/>
      <c r="G777"/>
      <c r="I777"/>
    </row>
    <row r="778" spans="1:9" x14ac:dyDescent="0.35">
      <c r="A778"/>
      <c r="B778"/>
      <c r="C778"/>
      <c r="D778"/>
      <c r="F778"/>
      <c r="G778"/>
      <c r="I778"/>
    </row>
    <row r="779" spans="1:9" x14ac:dyDescent="0.35">
      <c r="A779"/>
      <c r="B779"/>
      <c r="C779"/>
      <c r="D779"/>
      <c r="F779"/>
      <c r="G779"/>
      <c r="I779"/>
    </row>
    <row r="780" spans="1:9" x14ac:dyDescent="0.35">
      <c r="A780"/>
      <c r="B780"/>
      <c r="C780"/>
      <c r="D780"/>
      <c r="F780"/>
      <c r="G780"/>
      <c r="I780"/>
    </row>
    <row r="781" spans="1:9" x14ac:dyDescent="0.35">
      <c r="A781"/>
      <c r="B781"/>
      <c r="C781"/>
      <c r="D781"/>
      <c r="F781"/>
      <c r="G781"/>
      <c r="I781"/>
    </row>
    <row r="782" spans="1:9" x14ac:dyDescent="0.35">
      <c r="A782"/>
      <c r="B782"/>
      <c r="C782"/>
      <c r="D782"/>
      <c r="F782"/>
      <c r="G782"/>
      <c r="I782"/>
    </row>
    <row r="783" spans="1:9" x14ac:dyDescent="0.35">
      <c r="A783"/>
      <c r="B783"/>
      <c r="C783"/>
      <c r="D783"/>
      <c r="F783"/>
      <c r="G783"/>
      <c r="I783"/>
    </row>
    <row r="784" spans="1:9" x14ac:dyDescent="0.35">
      <c r="A784"/>
      <c r="B784"/>
      <c r="C784"/>
      <c r="D784"/>
      <c r="F784"/>
      <c r="G784"/>
      <c r="I784"/>
    </row>
    <row r="785" spans="1:9" x14ac:dyDescent="0.35">
      <c r="A785"/>
      <c r="B785"/>
      <c r="C785"/>
      <c r="D785"/>
      <c r="F785"/>
      <c r="G785"/>
      <c r="I785"/>
    </row>
    <row r="786" spans="1:9" x14ac:dyDescent="0.35">
      <c r="A786"/>
      <c r="B786"/>
      <c r="C786"/>
      <c r="D786"/>
      <c r="F786"/>
      <c r="G786"/>
      <c r="I786"/>
    </row>
    <row r="787" spans="1:9" x14ac:dyDescent="0.35">
      <c r="A787"/>
      <c r="B787"/>
      <c r="C787"/>
      <c r="D787"/>
      <c r="F787"/>
      <c r="G787"/>
      <c r="I787"/>
    </row>
    <row r="788" spans="1:9" x14ac:dyDescent="0.35">
      <c r="A788"/>
      <c r="B788"/>
      <c r="C788"/>
      <c r="D788"/>
      <c r="F788"/>
      <c r="G788"/>
      <c r="I788"/>
    </row>
    <row r="789" spans="1:9" x14ac:dyDescent="0.35">
      <c r="A789"/>
      <c r="B789"/>
      <c r="C789"/>
      <c r="D789"/>
      <c r="F789"/>
      <c r="G789"/>
      <c r="I789"/>
    </row>
    <row r="790" spans="1:9" x14ac:dyDescent="0.35">
      <c r="A790"/>
      <c r="B790"/>
      <c r="C790"/>
      <c r="D790"/>
      <c r="F790"/>
      <c r="G790"/>
      <c r="I790"/>
    </row>
    <row r="791" spans="1:9" x14ac:dyDescent="0.35">
      <c r="A791"/>
      <c r="B791"/>
      <c r="C791"/>
      <c r="D791"/>
      <c r="F791"/>
      <c r="G791"/>
      <c r="I791"/>
    </row>
    <row r="792" spans="1:9" x14ac:dyDescent="0.35">
      <c r="A792"/>
      <c r="B792"/>
      <c r="C792"/>
      <c r="D792"/>
      <c r="F792"/>
      <c r="G792"/>
      <c r="I792"/>
    </row>
    <row r="793" spans="1:9" x14ac:dyDescent="0.35">
      <c r="A793"/>
      <c r="B793"/>
      <c r="C793"/>
      <c r="D793"/>
      <c r="F793"/>
      <c r="G793"/>
      <c r="I793"/>
    </row>
    <row r="794" spans="1:9" x14ac:dyDescent="0.35">
      <c r="A794"/>
      <c r="B794"/>
      <c r="C794"/>
      <c r="D794"/>
      <c r="F794"/>
      <c r="G794"/>
      <c r="I794"/>
    </row>
    <row r="795" spans="1:9" x14ac:dyDescent="0.35">
      <c r="A795"/>
      <c r="B795"/>
      <c r="C795"/>
      <c r="D795"/>
      <c r="F795"/>
      <c r="G795"/>
      <c r="I795"/>
    </row>
    <row r="796" spans="1:9" x14ac:dyDescent="0.35">
      <c r="A796"/>
      <c r="B796"/>
      <c r="C796"/>
      <c r="D796"/>
      <c r="F796"/>
      <c r="G796"/>
      <c r="I796"/>
    </row>
    <row r="797" spans="1:9" x14ac:dyDescent="0.35">
      <c r="A797"/>
      <c r="B797"/>
      <c r="C797"/>
      <c r="D797"/>
      <c r="F797"/>
      <c r="G797"/>
      <c r="I797"/>
    </row>
    <row r="798" spans="1:9" x14ac:dyDescent="0.35">
      <c r="A798"/>
      <c r="B798"/>
      <c r="C798"/>
      <c r="D798"/>
      <c r="F798"/>
      <c r="G798"/>
      <c r="I798"/>
    </row>
    <row r="799" spans="1:9" x14ac:dyDescent="0.35">
      <c r="A799"/>
      <c r="B799"/>
      <c r="C799"/>
      <c r="D799"/>
      <c r="F799"/>
      <c r="G799"/>
      <c r="I799"/>
    </row>
    <row r="800" spans="1:9" x14ac:dyDescent="0.35">
      <c r="A800"/>
      <c r="B800"/>
      <c r="C800"/>
      <c r="D800"/>
      <c r="F800"/>
      <c r="G800"/>
      <c r="I800"/>
    </row>
    <row r="801" spans="1:9" x14ac:dyDescent="0.35">
      <c r="A801"/>
      <c r="B801"/>
      <c r="C801"/>
      <c r="D801"/>
      <c r="F801"/>
      <c r="G801"/>
      <c r="I801"/>
    </row>
    <row r="802" spans="1:9" x14ac:dyDescent="0.35">
      <c r="A802"/>
      <c r="B802"/>
      <c r="C802"/>
      <c r="D802"/>
      <c r="F802"/>
      <c r="G802"/>
      <c r="I802"/>
    </row>
    <row r="803" spans="1:9" x14ac:dyDescent="0.35">
      <c r="A803"/>
      <c r="B803"/>
      <c r="C803"/>
      <c r="D803"/>
      <c r="F803"/>
      <c r="G803"/>
      <c r="I803"/>
    </row>
    <row r="804" spans="1:9" x14ac:dyDescent="0.35">
      <c r="A804"/>
      <c r="B804"/>
      <c r="C804"/>
      <c r="D804"/>
      <c r="F804"/>
      <c r="G804"/>
      <c r="I804"/>
    </row>
    <row r="805" spans="1:9" x14ac:dyDescent="0.35">
      <c r="A805"/>
      <c r="B805"/>
      <c r="C805"/>
      <c r="D805"/>
      <c r="F805"/>
      <c r="G805"/>
      <c r="I805"/>
    </row>
    <row r="806" spans="1:9" x14ac:dyDescent="0.35">
      <c r="A806"/>
      <c r="B806"/>
      <c r="C806"/>
      <c r="D806"/>
      <c r="F806"/>
      <c r="G806"/>
      <c r="I806"/>
    </row>
    <row r="807" spans="1:9" x14ac:dyDescent="0.35">
      <c r="A807"/>
      <c r="B807"/>
      <c r="C807"/>
      <c r="D807"/>
      <c r="F807"/>
      <c r="G807"/>
      <c r="I807"/>
    </row>
    <row r="808" spans="1:9" x14ac:dyDescent="0.35">
      <c r="A808"/>
      <c r="B808"/>
      <c r="C808"/>
      <c r="D808"/>
      <c r="F808"/>
      <c r="G808"/>
      <c r="I808"/>
    </row>
    <row r="809" spans="1:9" x14ac:dyDescent="0.35">
      <c r="A809"/>
      <c r="B809"/>
      <c r="C809"/>
      <c r="D809"/>
      <c r="F809"/>
      <c r="G809"/>
      <c r="I809"/>
    </row>
    <row r="810" spans="1:9" x14ac:dyDescent="0.35">
      <c r="A810"/>
      <c r="B810"/>
      <c r="C810"/>
      <c r="D810"/>
      <c r="F810"/>
      <c r="G810"/>
      <c r="I810"/>
    </row>
    <row r="811" spans="1:9" x14ac:dyDescent="0.35">
      <c r="A811"/>
      <c r="B811"/>
      <c r="C811"/>
      <c r="D811"/>
      <c r="F811"/>
      <c r="G811"/>
      <c r="I811"/>
    </row>
    <row r="812" spans="1:9" x14ac:dyDescent="0.35">
      <c r="A812"/>
      <c r="B812"/>
      <c r="C812"/>
      <c r="D812"/>
      <c r="F812"/>
      <c r="G812"/>
      <c r="I812"/>
    </row>
    <row r="813" spans="1:9" x14ac:dyDescent="0.35">
      <c r="A813"/>
      <c r="B813"/>
      <c r="C813"/>
      <c r="D813"/>
      <c r="F813"/>
      <c r="G813"/>
      <c r="I813"/>
    </row>
    <row r="814" spans="1:9" x14ac:dyDescent="0.35">
      <c r="A814"/>
      <c r="B814"/>
      <c r="C814"/>
      <c r="D814"/>
      <c r="F814"/>
      <c r="G814"/>
      <c r="I814"/>
    </row>
    <row r="815" spans="1:9" x14ac:dyDescent="0.35">
      <c r="A815"/>
      <c r="B815"/>
      <c r="C815"/>
      <c r="D815"/>
      <c r="F815"/>
      <c r="G815"/>
      <c r="I815"/>
    </row>
    <row r="816" spans="1:9" x14ac:dyDescent="0.35">
      <c r="A816"/>
      <c r="B816"/>
      <c r="C816"/>
      <c r="D816"/>
      <c r="F816"/>
      <c r="G816"/>
      <c r="I816"/>
    </row>
    <row r="817" spans="1:9" x14ac:dyDescent="0.35">
      <c r="A817"/>
      <c r="B817"/>
      <c r="C817"/>
      <c r="D817"/>
      <c r="F817"/>
      <c r="G817"/>
      <c r="I817"/>
    </row>
    <row r="818" spans="1:9" x14ac:dyDescent="0.35">
      <c r="A818"/>
      <c r="B818"/>
      <c r="C818"/>
      <c r="D818"/>
      <c r="F818"/>
      <c r="G818"/>
      <c r="I818"/>
    </row>
    <row r="819" spans="1:9" x14ac:dyDescent="0.35">
      <c r="A819"/>
      <c r="B819"/>
      <c r="C819"/>
      <c r="D819"/>
      <c r="F819"/>
      <c r="G819"/>
      <c r="I819"/>
    </row>
    <row r="820" spans="1:9" x14ac:dyDescent="0.35">
      <c r="A820"/>
      <c r="B820"/>
      <c r="C820"/>
      <c r="D820"/>
      <c r="F820"/>
      <c r="G820"/>
      <c r="I820"/>
    </row>
    <row r="821" spans="1:9" x14ac:dyDescent="0.35">
      <c r="A821"/>
      <c r="B821"/>
      <c r="C821"/>
      <c r="D821"/>
      <c r="F821"/>
      <c r="G821"/>
      <c r="I821"/>
    </row>
    <row r="822" spans="1:9" x14ac:dyDescent="0.35">
      <c r="A822"/>
      <c r="B822"/>
      <c r="C822"/>
      <c r="D822"/>
      <c r="F822"/>
      <c r="G822"/>
      <c r="I822"/>
    </row>
    <row r="823" spans="1:9" x14ac:dyDescent="0.35">
      <c r="A823"/>
      <c r="B823"/>
      <c r="C823"/>
      <c r="D823"/>
      <c r="F823"/>
      <c r="G823"/>
      <c r="I823"/>
    </row>
    <row r="824" spans="1:9" x14ac:dyDescent="0.35">
      <c r="A824"/>
      <c r="B824"/>
      <c r="C824"/>
      <c r="D824"/>
      <c r="F824"/>
      <c r="G824"/>
      <c r="I824"/>
    </row>
    <row r="825" spans="1:9" x14ac:dyDescent="0.35">
      <c r="A825"/>
      <c r="B825"/>
      <c r="C825"/>
      <c r="D825"/>
      <c r="F825"/>
      <c r="G825"/>
      <c r="I825"/>
    </row>
    <row r="826" spans="1:9" x14ac:dyDescent="0.35">
      <c r="A826"/>
      <c r="B826"/>
      <c r="C826"/>
      <c r="D826"/>
      <c r="F826"/>
      <c r="G826"/>
      <c r="I826"/>
    </row>
    <row r="827" spans="1:9" x14ac:dyDescent="0.35">
      <c r="A827"/>
      <c r="B827"/>
      <c r="C827"/>
      <c r="D827"/>
      <c r="F827"/>
      <c r="G827"/>
      <c r="I827"/>
    </row>
    <row r="828" spans="1:9" x14ac:dyDescent="0.35">
      <c r="A828"/>
      <c r="B828"/>
      <c r="C828"/>
      <c r="D828"/>
      <c r="F828"/>
      <c r="G828"/>
      <c r="I828"/>
    </row>
    <row r="829" spans="1:9" x14ac:dyDescent="0.35">
      <c r="A829"/>
      <c r="B829"/>
      <c r="C829"/>
      <c r="D829"/>
      <c r="F829"/>
      <c r="G829"/>
      <c r="I829"/>
    </row>
    <row r="830" spans="1:9" x14ac:dyDescent="0.35">
      <c r="A830"/>
      <c r="B830"/>
      <c r="C830"/>
      <c r="D830"/>
      <c r="F830"/>
      <c r="G830"/>
      <c r="I830"/>
    </row>
    <row r="831" spans="1:9" x14ac:dyDescent="0.35">
      <c r="A831"/>
      <c r="B831"/>
      <c r="C831"/>
      <c r="D831"/>
      <c r="F831"/>
      <c r="G831"/>
      <c r="I831"/>
    </row>
    <row r="832" spans="1:9" x14ac:dyDescent="0.35">
      <c r="A832"/>
      <c r="B832"/>
      <c r="C832"/>
      <c r="D832"/>
      <c r="F832"/>
      <c r="G832"/>
      <c r="I832"/>
    </row>
    <row r="833" spans="1:9" x14ac:dyDescent="0.35">
      <c r="A833"/>
      <c r="B833"/>
      <c r="C833"/>
      <c r="D833"/>
      <c r="F833"/>
      <c r="G833"/>
      <c r="I833"/>
    </row>
    <row r="834" spans="1:9" x14ac:dyDescent="0.35">
      <c r="A834"/>
      <c r="B834"/>
      <c r="C834"/>
      <c r="D834"/>
      <c r="F834"/>
      <c r="G834"/>
      <c r="I834"/>
    </row>
    <row r="835" spans="1:9" x14ac:dyDescent="0.35">
      <c r="A835"/>
      <c r="B835"/>
      <c r="C835"/>
      <c r="D835"/>
      <c r="F835"/>
      <c r="G835"/>
      <c r="I835"/>
    </row>
    <row r="836" spans="1:9" x14ac:dyDescent="0.35">
      <c r="A836"/>
      <c r="B836"/>
      <c r="C836"/>
      <c r="D836"/>
      <c r="F836"/>
      <c r="G836"/>
      <c r="I836"/>
    </row>
    <row r="837" spans="1:9" x14ac:dyDescent="0.35">
      <c r="A837"/>
      <c r="B837"/>
      <c r="C837"/>
      <c r="D837"/>
      <c r="F837"/>
      <c r="G837"/>
      <c r="I837"/>
    </row>
    <row r="838" spans="1:9" x14ac:dyDescent="0.35">
      <c r="A838"/>
      <c r="B838"/>
      <c r="C838"/>
      <c r="D838"/>
      <c r="F838"/>
      <c r="G838"/>
      <c r="I838"/>
    </row>
    <row r="839" spans="1:9" x14ac:dyDescent="0.35">
      <c r="A839"/>
      <c r="B839"/>
      <c r="C839"/>
      <c r="D839"/>
      <c r="F839"/>
      <c r="G839"/>
      <c r="I839"/>
    </row>
    <row r="840" spans="1:9" x14ac:dyDescent="0.35">
      <c r="A840"/>
      <c r="B840"/>
      <c r="C840"/>
      <c r="D840"/>
      <c r="F840"/>
      <c r="G840"/>
      <c r="I840"/>
    </row>
    <row r="841" spans="1:9" x14ac:dyDescent="0.35">
      <c r="A841"/>
      <c r="B841"/>
      <c r="C841"/>
      <c r="D841"/>
      <c r="F841"/>
      <c r="G841"/>
      <c r="I841"/>
    </row>
    <row r="842" spans="1:9" x14ac:dyDescent="0.35">
      <c r="A842"/>
      <c r="B842"/>
      <c r="C842"/>
      <c r="D842"/>
      <c r="F842"/>
      <c r="G842"/>
      <c r="I842"/>
    </row>
    <row r="843" spans="1:9" x14ac:dyDescent="0.35">
      <c r="A843"/>
      <c r="B843"/>
      <c r="C843"/>
      <c r="D843"/>
      <c r="F843"/>
      <c r="G843"/>
      <c r="I843"/>
    </row>
    <row r="844" spans="1:9" x14ac:dyDescent="0.35">
      <c r="A844"/>
      <c r="B844"/>
      <c r="C844"/>
      <c r="D844"/>
      <c r="F844"/>
      <c r="G844"/>
      <c r="I844"/>
    </row>
    <row r="845" spans="1:9" x14ac:dyDescent="0.35">
      <c r="A845"/>
      <c r="B845"/>
      <c r="C845"/>
      <c r="D845"/>
      <c r="F845"/>
      <c r="G845"/>
      <c r="I845"/>
    </row>
    <row r="846" spans="1:9" x14ac:dyDescent="0.35">
      <c r="A846"/>
      <c r="B846"/>
      <c r="C846"/>
      <c r="D846"/>
      <c r="F846"/>
      <c r="G846"/>
      <c r="I846"/>
    </row>
    <row r="847" spans="1:9" x14ac:dyDescent="0.35">
      <c r="A847"/>
      <c r="B847"/>
      <c r="C847"/>
      <c r="D847"/>
      <c r="F847"/>
      <c r="G847"/>
      <c r="I847"/>
    </row>
    <row r="848" spans="1:9" x14ac:dyDescent="0.35">
      <c r="A848"/>
      <c r="B848"/>
      <c r="C848"/>
      <c r="D848"/>
      <c r="F848"/>
      <c r="G848"/>
      <c r="I848"/>
    </row>
    <row r="849" spans="1:9" x14ac:dyDescent="0.35">
      <c r="A849"/>
      <c r="B849"/>
      <c r="C849"/>
      <c r="D849"/>
      <c r="F849"/>
      <c r="G849"/>
      <c r="I849"/>
    </row>
    <row r="850" spans="1:9" x14ac:dyDescent="0.35">
      <c r="A850"/>
      <c r="B850"/>
      <c r="C850"/>
      <c r="D850"/>
      <c r="F850"/>
      <c r="G850"/>
      <c r="I850"/>
    </row>
    <row r="851" spans="1:9" x14ac:dyDescent="0.35">
      <c r="A851"/>
      <c r="B851"/>
      <c r="C851"/>
      <c r="D851"/>
      <c r="F851"/>
      <c r="G851"/>
      <c r="I851"/>
    </row>
    <row r="852" spans="1:9" x14ac:dyDescent="0.35">
      <c r="A852"/>
      <c r="B852"/>
      <c r="C852"/>
      <c r="D852"/>
      <c r="F852"/>
      <c r="G852"/>
      <c r="I852"/>
    </row>
    <row r="853" spans="1:9" x14ac:dyDescent="0.35">
      <c r="A853"/>
      <c r="B853"/>
      <c r="C853"/>
      <c r="D853"/>
      <c r="F853"/>
      <c r="G853"/>
      <c r="I853"/>
    </row>
    <row r="854" spans="1:9" x14ac:dyDescent="0.35">
      <c r="A854"/>
      <c r="B854"/>
      <c r="C854"/>
      <c r="D854"/>
      <c r="F854"/>
      <c r="G854"/>
      <c r="I854"/>
    </row>
    <row r="855" spans="1:9" x14ac:dyDescent="0.35">
      <c r="A855"/>
      <c r="B855"/>
      <c r="C855"/>
      <c r="D855"/>
      <c r="F855"/>
      <c r="G855"/>
      <c r="I855"/>
    </row>
    <row r="856" spans="1:9" x14ac:dyDescent="0.35">
      <c r="A856"/>
      <c r="B856"/>
      <c r="C856"/>
      <c r="D856"/>
      <c r="F856"/>
      <c r="G856"/>
      <c r="I856"/>
    </row>
    <row r="857" spans="1:9" x14ac:dyDescent="0.35">
      <c r="A857"/>
      <c r="B857"/>
      <c r="C857"/>
      <c r="D857"/>
      <c r="F857"/>
      <c r="G857"/>
      <c r="I857"/>
    </row>
    <row r="858" spans="1:9" x14ac:dyDescent="0.35">
      <c r="A858"/>
      <c r="B858"/>
      <c r="C858"/>
      <c r="D858"/>
      <c r="F858"/>
      <c r="G858"/>
      <c r="I858"/>
    </row>
    <row r="859" spans="1:9" x14ac:dyDescent="0.35">
      <c r="A859"/>
      <c r="B859"/>
      <c r="C859"/>
      <c r="D859"/>
      <c r="F859"/>
      <c r="G859"/>
      <c r="I859"/>
    </row>
    <row r="860" spans="1:9" x14ac:dyDescent="0.35">
      <c r="A860"/>
      <c r="B860"/>
      <c r="C860"/>
      <c r="D860"/>
      <c r="F860"/>
      <c r="G860"/>
      <c r="I860"/>
    </row>
    <row r="861" spans="1:9" x14ac:dyDescent="0.35">
      <c r="A861"/>
      <c r="B861"/>
      <c r="C861"/>
      <c r="D861"/>
      <c r="F861"/>
      <c r="G861"/>
      <c r="I861"/>
    </row>
    <row r="862" spans="1:9" x14ac:dyDescent="0.35">
      <c r="A862"/>
      <c r="B862"/>
      <c r="C862"/>
      <c r="D862"/>
      <c r="F862"/>
      <c r="G862"/>
      <c r="I862"/>
    </row>
    <row r="863" spans="1:9" x14ac:dyDescent="0.35">
      <c r="A863"/>
      <c r="B863"/>
      <c r="C863"/>
      <c r="D863"/>
      <c r="F863"/>
      <c r="G863"/>
      <c r="I863"/>
    </row>
    <row r="864" spans="1:9" x14ac:dyDescent="0.35">
      <c r="A864"/>
      <c r="B864"/>
      <c r="C864"/>
      <c r="D864"/>
      <c r="F864"/>
      <c r="G864"/>
      <c r="I864"/>
    </row>
    <row r="865" spans="1:9" x14ac:dyDescent="0.35">
      <c r="A865"/>
      <c r="B865"/>
      <c r="C865"/>
      <c r="D865"/>
      <c r="F865"/>
      <c r="G865"/>
      <c r="I865"/>
    </row>
    <row r="866" spans="1:9" x14ac:dyDescent="0.35">
      <c r="A866"/>
      <c r="B866"/>
      <c r="C866"/>
      <c r="D866"/>
      <c r="F866"/>
      <c r="G866"/>
      <c r="I866"/>
    </row>
    <row r="867" spans="1:9" x14ac:dyDescent="0.35">
      <c r="A867"/>
      <c r="B867"/>
      <c r="C867"/>
      <c r="D867"/>
      <c r="F867"/>
      <c r="G867"/>
      <c r="I867"/>
    </row>
    <row r="868" spans="1:9" x14ac:dyDescent="0.35">
      <c r="A868"/>
      <c r="B868"/>
      <c r="C868"/>
      <c r="D868"/>
      <c r="F868"/>
      <c r="G868"/>
      <c r="I868"/>
    </row>
    <row r="869" spans="1:9" x14ac:dyDescent="0.35">
      <c r="A869"/>
      <c r="B869"/>
      <c r="C869"/>
      <c r="D869"/>
      <c r="F869"/>
      <c r="G869"/>
      <c r="I869"/>
    </row>
    <row r="870" spans="1:9" x14ac:dyDescent="0.35">
      <c r="A870"/>
      <c r="B870"/>
      <c r="C870"/>
      <c r="D870"/>
      <c r="F870"/>
      <c r="G870"/>
      <c r="I870"/>
    </row>
    <row r="871" spans="1:9" x14ac:dyDescent="0.35">
      <c r="A871"/>
      <c r="B871"/>
      <c r="C871"/>
      <c r="D871"/>
      <c r="F871"/>
      <c r="G871"/>
      <c r="I871"/>
    </row>
    <row r="872" spans="1:9" x14ac:dyDescent="0.35">
      <c r="A872"/>
      <c r="B872"/>
      <c r="C872"/>
      <c r="D872"/>
      <c r="F872"/>
      <c r="G872"/>
      <c r="I872"/>
    </row>
    <row r="873" spans="1:9" x14ac:dyDescent="0.35">
      <c r="A873"/>
      <c r="B873"/>
      <c r="C873"/>
      <c r="D873"/>
      <c r="F873"/>
      <c r="G873"/>
      <c r="I873"/>
    </row>
    <row r="874" spans="1:9" x14ac:dyDescent="0.35">
      <c r="A874"/>
      <c r="B874"/>
      <c r="C874"/>
      <c r="D874"/>
      <c r="F874"/>
      <c r="G874"/>
      <c r="I874"/>
    </row>
    <row r="875" spans="1:9" x14ac:dyDescent="0.35">
      <c r="A875"/>
      <c r="B875"/>
      <c r="C875"/>
      <c r="D875"/>
      <c r="F875"/>
      <c r="G875"/>
      <c r="I875"/>
    </row>
    <row r="876" spans="1:9" x14ac:dyDescent="0.35">
      <c r="A876"/>
      <c r="B876"/>
      <c r="C876"/>
      <c r="D876"/>
      <c r="F876"/>
      <c r="G876"/>
      <c r="I876"/>
    </row>
    <row r="877" spans="1:9" x14ac:dyDescent="0.35">
      <c r="A877"/>
      <c r="B877"/>
      <c r="C877"/>
      <c r="D877"/>
      <c r="F877"/>
      <c r="G877"/>
      <c r="I877"/>
    </row>
    <row r="878" spans="1:9" x14ac:dyDescent="0.35">
      <c r="A878"/>
      <c r="B878"/>
      <c r="C878"/>
      <c r="D878"/>
      <c r="F878"/>
      <c r="G878"/>
      <c r="I878"/>
    </row>
    <row r="879" spans="1:9" x14ac:dyDescent="0.35">
      <c r="A879"/>
      <c r="B879"/>
      <c r="C879"/>
      <c r="D879"/>
      <c r="F879"/>
      <c r="G879"/>
      <c r="I879"/>
    </row>
    <row r="880" spans="1:9" x14ac:dyDescent="0.35">
      <c r="A880"/>
      <c r="B880"/>
      <c r="C880"/>
      <c r="D880"/>
      <c r="F880"/>
      <c r="G880"/>
      <c r="I880"/>
    </row>
    <row r="881" spans="1:9" x14ac:dyDescent="0.35">
      <c r="A881"/>
      <c r="B881"/>
      <c r="C881"/>
      <c r="D881"/>
      <c r="F881"/>
      <c r="G881"/>
      <c r="I881"/>
    </row>
    <row r="882" spans="1:9" x14ac:dyDescent="0.35">
      <c r="A882"/>
      <c r="B882"/>
      <c r="C882"/>
      <c r="D882"/>
      <c r="F882"/>
      <c r="G882"/>
      <c r="I882"/>
    </row>
    <row r="883" spans="1:9" x14ac:dyDescent="0.35">
      <c r="A883"/>
      <c r="B883"/>
      <c r="C883"/>
      <c r="D883"/>
      <c r="F883"/>
      <c r="G883"/>
      <c r="I883"/>
    </row>
    <row r="884" spans="1:9" x14ac:dyDescent="0.35">
      <c r="A884"/>
      <c r="B884"/>
      <c r="C884"/>
      <c r="D884"/>
      <c r="F884"/>
      <c r="G884"/>
      <c r="I884"/>
    </row>
    <row r="885" spans="1:9" x14ac:dyDescent="0.35">
      <c r="A885"/>
      <c r="B885"/>
      <c r="C885"/>
      <c r="D885"/>
      <c r="F885"/>
      <c r="G885"/>
      <c r="I885"/>
    </row>
    <row r="886" spans="1:9" x14ac:dyDescent="0.35">
      <c r="A886"/>
      <c r="B886"/>
      <c r="C886"/>
      <c r="D886"/>
      <c r="F886"/>
      <c r="G886"/>
      <c r="I886"/>
    </row>
    <row r="887" spans="1:9" x14ac:dyDescent="0.35">
      <c r="A887"/>
      <c r="B887"/>
      <c r="C887"/>
      <c r="D887"/>
      <c r="F887"/>
      <c r="G887"/>
      <c r="I887"/>
    </row>
    <row r="888" spans="1:9" x14ac:dyDescent="0.35">
      <c r="A888"/>
      <c r="B888"/>
      <c r="C888"/>
      <c r="D888"/>
      <c r="F888"/>
      <c r="G888"/>
      <c r="I888"/>
    </row>
    <row r="889" spans="1:9" x14ac:dyDescent="0.35">
      <c r="A889"/>
      <c r="B889"/>
      <c r="C889"/>
      <c r="D889"/>
      <c r="F889"/>
      <c r="G889"/>
      <c r="I889"/>
    </row>
    <row r="890" spans="1:9" x14ac:dyDescent="0.35">
      <c r="A890"/>
      <c r="B890"/>
      <c r="C890"/>
      <c r="D890"/>
      <c r="F890"/>
      <c r="G890"/>
      <c r="I890"/>
    </row>
    <row r="891" spans="1:9" x14ac:dyDescent="0.35">
      <c r="A891"/>
      <c r="B891"/>
      <c r="C891"/>
      <c r="D891"/>
      <c r="F891"/>
      <c r="G891"/>
      <c r="I891"/>
    </row>
    <row r="892" spans="1:9" x14ac:dyDescent="0.35">
      <c r="A892"/>
      <c r="B892"/>
      <c r="C892"/>
      <c r="D892"/>
      <c r="F892"/>
      <c r="G892"/>
      <c r="I892"/>
    </row>
    <row r="893" spans="1:9" x14ac:dyDescent="0.35">
      <c r="A893"/>
      <c r="B893"/>
      <c r="C893"/>
      <c r="D893"/>
      <c r="F893"/>
      <c r="G893"/>
      <c r="I893"/>
    </row>
    <row r="894" spans="1:9" x14ac:dyDescent="0.35">
      <c r="A894"/>
      <c r="B894"/>
      <c r="C894"/>
      <c r="D894"/>
      <c r="F894"/>
      <c r="G894"/>
      <c r="I894"/>
    </row>
    <row r="895" spans="1:9" x14ac:dyDescent="0.35">
      <c r="A895"/>
      <c r="B895"/>
      <c r="C895"/>
      <c r="D895"/>
      <c r="F895"/>
      <c r="G895"/>
      <c r="I895"/>
    </row>
    <row r="896" spans="1:9" x14ac:dyDescent="0.35">
      <c r="A896"/>
      <c r="B896"/>
      <c r="C896"/>
      <c r="D896"/>
      <c r="F896"/>
      <c r="G896"/>
      <c r="I896"/>
    </row>
    <row r="897" spans="1:9" x14ac:dyDescent="0.35">
      <c r="A897"/>
      <c r="B897"/>
      <c r="C897"/>
      <c r="D897"/>
      <c r="F897"/>
      <c r="G897"/>
      <c r="I897"/>
    </row>
    <row r="898" spans="1:9" x14ac:dyDescent="0.35">
      <c r="A898"/>
      <c r="B898"/>
      <c r="C898"/>
      <c r="D898"/>
      <c r="F898"/>
      <c r="G898"/>
      <c r="I898"/>
    </row>
    <row r="899" spans="1:9" x14ac:dyDescent="0.35">
      <c r="A899"/>
      <c r="B899"/>
      <c r="C899"/>
      <c r="D899"/>
      <c r="F899"/>
      <c r="G899"/>
      <c r="I899"/>
    </row>
    <row r="900" spans="1:9" x14ac:dyDescent="0.35">
      <c r="A900"/>
      <c r="B900"/>
      <c r="C900"/>
      <c r="D900"/>
      <c r="F900"/>
      <c r="G900"/>
      <c r="I900"/>
    </row>
    <row r="901" spans="1:9" x14ac:dyDescent="0.35">
      <c r="A901"/>
      <c r="B901"/>
      <c r="C901"/>
      <c r="D901"/>
      <c r="F901"/>
      <c r="G901"/>
      <c r="I901"/>
    </row>
    <row r="902" spans="1:9" x14ac:dyDescent="0.35">
      <c r="A902"/>
      <c r="B902"/>
      <c r="C902"/>
      <c r="D902"/>
      <c r="F902"/>
      <c r="G902"/>
      <c r="I902"/>
    </row>
    <row r="903" spans="1:9" x14ac:dyDescent="0.35">
      <c r="A903"/>
      <c r="B903"/>
      <c r="C903"/>
      <c r="D903"/>
      <c r="F903"/>
      <c r="G903"/>
      <c r="I903"/>
    </row>
    <row r="904" spans="1:9" x14ac:dyDescent="0.35">
      <c r="A904"/>
      <c r="B904"/>
      <c r="C904"/>
      <c r="D904"/>
      <c r="F904"/>
      <c r="G904"/>
      <c r="I904"/>
    </row>
    <row r="905" spans="1:9" x14ac:dyDescent="0.35">
      <c r="A905"/>
      <c r="B905"/>
      <c r="C905"/>
      <c r="D905"/>
      <c r="F905"/>
      <c r="G905"/>
      <c r="I905"/>
    </row>
    <row r="906" spans="1:9" x14ac:dyDescent="0.35">
      <c r="A906"/>
      <c r="B906"/>
      <c r="C906"/>
      <c r="D906"/>
      <c r="F906"/>
      <c r="G906"/>
      <c r="I906"/>
    </row>
    <row r="907" spans="1:9" x14ac:dyDescent="0.35">
      <c r="A907"/>
      <c r="B907"/>
      <c r="C907"/>
      <c r="D907"/>
      <c r="F907"/>
      <c r="G907"/>
      <c r="I907"/>
    </row>
    <row r="908" spans="1:9" x14ac:dyDescent="0.35">
      <c r="A908"/>
      <c r="B908"/>
      <c r="C908"/>
      <c r="D908"/>
      <c r="F908"/>
      <c r="G908"/>
      <c r="I908"/>
    </row>
    <row r="909" spans="1:9" x14ac:dyDescent="0.35">
      <c r="A909"/>
      <c r="B909"/>
      <c r="C909"/>
      <c r="D909"/>
      <c r="F909"/>
      <c r="G909"/>
      <c r="I909"/>
    </row>
    <row r="910" spans="1:9" x14ac:dyDescent="0.35">
      <c r="A910"/>
      <c r="B910"/>
      <c r="C910"/>
      <c r="D910"/>
      <c r="F910"/>
      <c r="G910"/>
      <c r="I910"/>
    </row>
    <row r="911" spans="1:9" x14ac:dyDescent="0.35">
      <c r="A911"/>
      <c r="B911"/>
      <c r="C911"/>
      <c r="D911"/>
      <c r="F911"/>
      <c r="G911"/>
      <c r="I911"/>
    </row>
    <row r="912" spans="1:9" x14ac:dyDescent="0.35">
      <c r="A912"/>
      <c r="B912"/>
      <c r="C912"/>
      <c r="D912"/>
      <c r="F912"/>
      <c r="G912"/>
      <c r="I912"/>
    </row>
    <row r="913" spans="1:9" x14ac:dyDescent="0.35">
      <c r="A913"/>
      <c r="B913"/>
      <c r="C913"/>
      <c r="D913"/>
      <c r="F913"/>
      <c r="G913"/>
      <c r="I913"/>
    </row>
    <row r="914" spans="1:9" x14ac:dyDescent="0.35">
      <c r="A914"/>
      <c r="B914"/>
      <c r="C914"/>
      <c r="D914"/>
      <c r="F914"/>
      <c r="G914"/>
      <c r="I914"/>
    </row>
    <row r="915" spans="1:9" x14ac:dyDescent="0.35">
      <c r="A915"/>
      <c r="B915"/>
      <c r="C915"/>
      <c r="D915"/>
      <c r="F915"/>
      <c r="G915"/>
      <c r="I915"/>
    </row>
    <row r="916" spans="1:9" x14ac:dyDescent="0.35">
      <c r="A916"/>
      <c r="B916"/>
      <c r="C916"/>
      <c r="D916"/>
      <c r="F916"/>
      <c r="G916"/>
      <c r="I916"/>
    </row>
    <row r="917" spans="1:9" x14ac:dyDescent="0.35">
      <c r="A917"/>
      <c r="B917"/>
      <c r="C917"/>
      <c r="D917"/>
      <c r="F917"/>
      <c r="G917"/>
      <c r="I917"/>
    </row>
    <row r="918" spans="1:9" x14ac:dyDescent="0.35">
      <c r="A918"/>
      <c r="B918"/>
      <c r="C918"/>
      <c r="D918"/>
      <c r="F918"/>
      <c r="G918"/>
      <c r="I918"/>
    </row>
    <row r="919" spans="1:9" x14ac:dyDescent="0.35">
      <c r="A919"/>
      <c r="B919"/>
      <c r="C919"/>
      <c r="D919"/>
      <c r="F919"/>
      <c r="G919"/>
      <c r="I919"/>
    </row>
    <row r="920" spans="1:9" x14ac:dyDescent="0.35">
      <c r="A920"/>
      <c r="B920"/>
      <c r="C920"/>
      <c r="D920"/>
      <c r="F920"/>
      <c r="G920"/>
      <c r="I920"/>
    </row>
    <row r="921" spans="1:9" x14ac:dyDescent="0.35">
      <c r="A921"/>
      <c r="B921"/>
      <c r="C921"/>
      <c r="D921"/>
      <c r="F921"/>
      <c r="G921"/>
      <c r="I921"/>
    </row>
    <row r="922" spans="1:9" x14ac:dyDescent="0.35">
      <c r="A922"/>
      <c r="B922"/>
      <c r="C922"/>
      <c r="D922"/>
      <c r="F922"/>
      <c r="G922"/>
      <c r="I922"/>
    </row>
    <row r="923" spans="1:9" x14ac:dyDescent="0.35">
      <c r="A923"/>
      <c r="B923"/>
      <c r="C923"/>
      <c r="D923"/>
      <c r="F923"/>
      <c r="G923"/>
      <c r="I923"/>
    </row>
    <row r="924" spans="1:9" x14ac:dyDescent="0.35">
      <c r="A924"/>
      <c r="B924"/>
      <c r="C924"/>
      <c r="D924"/>
      <c r="F924"/>
      <c r="G924"/>
      <c r="I924"/>
    </row>
    <row r="925" spans="1:9" x14ac:dyDescent="0.35">
      <c r="A925"/>
      <c r="B925"/>
      <c r="C925"/>
      <c r="D925"/>
      <c r="F925"/>
      <c r="G925"/>
      <c r="I925"/>
    </row>
    <row r="926" spans="1:9" x14ac:dyDescent="0.35">
      <c r="A926"/>
      <c r="B926"/>
      <c r="C926"/>
      <c r="D926"/>
      <c r="F926"/>
      <c r="G926"/>
      <c r="I926"/>
    </row>
    <row r="927" spans="1:9" x14ac:dyDescent="0.35">
      <c r="A927"/>
      <c r="B927"/>
      <c r="C927"/>
      <c r="D927"/>
      <c r="F927"/>
      <c r="G927"/>
      <c r="I927"/>
    </row>
    <row r="928" spans="1:9" x14ac:dyDescent="0.35">
      <c r="A928"/>
      <c r="B928"/>
      <c r="C928"/>
      <c r="D928"/>
      <c r="F928"/>
      <c r="G928"/>
      <c r="I928"/>
    </row>
    <row r="929" spans="1:9" x14ac:dyDescent="0.35">
      <c r="A929"/>
      <c r="B929"/>
      <c r="C929"/>
      <c r="D929"/>
      <c r="F929"/>
      <c r="G929"/>
      <c r="I929"/>
    </row>
    <row r="930" spans="1:9" x14ac:dyDescent="0.35">
      <c r="A930"/>
      <c r="B930"/>
      <c r="C930"/>
      <c r="D930"/>
      <c r="F930"/>
      <c r="G930"/>
      <c r="I930"/>
    </row>
    <row r="931" spans="1:9" x14ac:dyDescent="0.35">
      <c r="A931"/>
      <c r="B931"/>
      <c r="C931"/>
      <c r="D931"/>
      <c r="F931"/>
      <c r="G931"/>
      <c r="I931"/>
    </row>
    <row r="932" spans="1:9" x14ac:dyDescent="0.35">
      <c r="A932"/>
      <c r="B932"/>
      <c r="C932"/>
      <c r="D932"/>
      <c r="F932"/>
      <c r="G932"/>
      <c r="I932"/>
    </row>
    <row r="933" spans="1:9" x14ac:dyDescent="0.35">
      <c r="A933"/>
      <c r="B933"/>
      <c r="C933"/>
      <c r="D933"/>
      <c r="F933"/>
      <c r="G933"/>
      <c r="I933"/>
    </row>
    <row r="934" spans="1:9" x14ac:dyDescent="0.35">
      <c r="A934"/>
      <c r="B934"/>
      <c r="C934"/>
      <c r="D934"/>
      <c r="F934"/>
      <c r="G934"/>
      <c r="I934"/>
    </row>
    <row r="935" spans="1:9" x14ac:dyDescent="0.35">
      <c r="A935"/>
      <c r="B935"/>
      <c r="C935"/>
      <c r="D935"/>
      <c r="F935"/>
      <c r="G935"/>
      <c r="I935"/>
    </row>
    <row r="936" spans="1:9" x14ac:dyDescent="0.35">
      <c r="A936"/>
      <c r="B936"/>
      <c r="C936"/>
      <c r="D936"/>
      <c r="F936"/>
      <c r="G936"/>
      <c r="I936"/>
    </row>
    <row r="937" spans="1:9" x14ac:dyDescent="0.35">
      <c r="A937"/>
      <c r="B937"/>
      <c r="C937"/>
      <c r="D937"/>
      <c r="F937"/>
      <c r="G937"/>
      <c r="I937"/>
    </row>
    <row r="938" spans="1:9" x14ac:dyDescent="0.35">
      <c r="A938"/>
      <c r="B938"/>
      <c r="C938"/>
      <c r="D938"/>
      <c r="F938"/>
      <c r="G938"/>
      <c r="I938"/>
    </row>
    <row r="939" spans="1:9" x14ac:dyDescent="0.35">
      <c r="A939"/>
      <c r="B939"/>
      <c r="C939"/>
      <c r="D939"/>
      <c r="F939"/>
      <c r="G939"/>
      <c r="I939"/>
    </row>
    <row r="940" spans="1:9" x14ac:dyDescent="0.35">
      <c r="A940"/>
      <c r="B940"/>
      <c r="C940"/>
      <c r="D940"/>
      <c r="F940"/>
      <c r="G940"/>
      <c r="I940"/>
    </row>
    <row r="941" spans="1:9" x14ac:dyDescent="0.35">
      <c r="A941"/>
      <c r="B941"/>
      <c r="C941"/>
      <c r="D941"/>
      <c r="F941"/>
      <c r="G941"/>
      <c r="I941"/>
    </row>
    <row r="942" spans="1:9" x14ac:dyDescent="0.35">
      <c r="A942"/>
      <c r="B942"/>
      <c r="C942"/>
      <c r="D942"/>
      <c r="F942"/>
      <c r="G942"/>
      <c r="I942"/>
    </row>
    <row r="943" spans="1:9" x14ac:dyDescent="0.35">
      <c r="A943"/>
      <c r="B943"/>
      <c r="C943"/>
      <c r="D943"/>
      <c r="F943"/>
      <c r="G943"/>
      <c r="I943"/>
    </row>
    <row r="944" spans="1:9" x14ac:dyDescent="0.35">
      <c r="A944"/>
      <c r="B944"/>
      <c r="C944"/>
      <c r="D944"/>
      <c r="F944"/>
      <c r="G944"/>
      <c r="I944"/>
    </row>
    <row r="945" spans="1:9" x14ac:dyDescent="0.35">
      <c r="A945"/>
      <c r="B945"/>
      <c r="C945"/>
      <c r="D945"/>
      <c r="F945"/>
      <c r="G945"/>
      <c r="I945"/>
    </row>
    <row r="946" spans="1:9" x14ac:dyDescent="0.35">
      <c r="A946"/>
      <c r="B946"/>
      <c r="C946"/>
      <c r="D946"/>
      <c r="F946"/>
      <c r="G946"/>
      <c r="I946"/>
    </row>
    <row r="947" spans="1:9" x14ac:dyDescent="0.35">
      <c r="A947"/>
      <c r="B947"/>
      <c r="C947"/>
      <c r="D947"/>
      <c r="F947"/>
      <c r="G947"/>
      <c r="I947"/>
    </row>
    <row r="948" spans="1:9" x14ac:dyDescent="0.35">
      <c r="A948"/>
      <c r="B948"/>
      <c r="C948"/>
      <c r="D948"/>
      <c r="F948"/>
      <c r="G948"/>
      <c r="I948"/>
    </row>
    <row r="949" spans="1:9" x14ac:dyDescent="0.35">
      <c r="A949"/>
      <c r="B949"/>
      <c r="C949"/>
      <c r="D949"/>
      <c r="F949"/>
      <c r="G949"/>
      <c r="I949"/>
    </row>
    <row r="950" spans="1:9" x14ac:dyDescent="0.35">
      <c r="A950"/>
      <c r="B950"/>
      <c r="C950"/>
      <c r="D950"/>
      <c r="F950"/>
      <c r="G950"/>
      <c r="I950"/>
    </row>
    <row r="951" spans="1:9" x14ac:dyDescent="0.35">
      <c r="A951"/>
      <c r="B951"/>
      <c r="C951"/>
      <c r="D951"/>
      <c r="F951"/>
      <c r="G951"/>
      <c r="I951"/>
    </row>
    <row r="952" spans="1:9" x14ac:dyDescent="0.35">
      <c r="A952"/>
      <c r="B952"/>
      <c r="C952"/>
      <c r="D952"/>
      <c r="F952"/>
      <c r="G952"/>
      <c r="I952"/>
    </row>
    <row r="953" spans="1:9" x14ac:dyDescent="0.35">
      <c r="A953"/>
      <c r="B953"/>
      <c r="C953"/>
      <c r="D953"/>
      <c r="F953"/>
      <c r="G953"/>
      <c r="I953"/>
    </row>
    <row r="954" spans="1:9" x14ac:dyDescent="0.35">
      <c r="A954"/>
      <c r="B954"/>
      <c r="C954"/>
      <c r="D954"/>
      <c r="F954"/>
      <c r="G954"/>
      <c r="I954"/>
    </row>
    <row r="955" spans="1:9" x14ac:dyDescent="0.35">
      <c r="A955"/>
      <c r="B955"/>
      <c r="C955"/>
      <c r="D955"/>
      <c r="F955"/>
      <c r="G955"/>
      <c r="I955"/>
    </row>
    <row r="956" spans="1:9" x14ac:dyDescent="0.35">
      <c r="A956"/>
      <c r="B956"/>
      <c r="C956"/>
      <c r="D956"/>
      <c r="F956"/>
      <c r="G956"/>
      <c r="I956"/>
    </row>
    <row r="957" spans="1:9" x14ac:dyDescent="0.35">
      <c r="A957"/>
      <c r="B957"/>
      <c r="C957"/>
      <c r="D957"/>
      <c r="F957"/>
      <c r="G957"/>
      <c r="I957"/>
    </row>
    <row r="958" spans="1:9" x14ac:dyDescent="0.35">
      <c r="A958"/>
      <c r="B958"/>
      <c r="C958"/>
      <c r="D958"/>
      <c r="F958"/>
      <c r="G958"/>
      <c r="I958"/>
    </row>
    <row r="959" spans="1:9" x14ac:dyDescent="0.35">
      <c r="A959"/>
      <c r="B959"/>
      <c r="C959"/>
      <c r="D959"/>
      <c r="F959"/>
      <c r="G959"/>
      <c r="I959"/>
    </row>
    <row r="960" spans="1:9" x14ac:dyDescent="0.35">
      <c r="A960"/>
      <c r="B960"/>
      <c r="C960"/>
      <c r="D960"/>
      <c r="F960"/>
      <c r="G960"/>
      <c r="I960"/>
    </row>
    <row r="961" spans="1:9" x14ac:dyDescent="0.35">
      <c r="A961"/>
      <c r="B961"/>
      <c r="C961"/>
      <c r="D961"/>
      <c r="F961"/>
      <c r="G961"/>
      <c r="I961"/>
    </row>
    <row r="962" spans="1:9" x14ac:dyDescent="0.35">
      <c r="A962"/>
      <c r="B962"/>
      <c r="C962"/>
      <c r="D962"/>
      <c r="F962"/>
      <c r="G962"/>
      <c r="I962"/>
    </row>
    <row r="963" spans="1:9" x14ac:dyDescent="0.35">
      <c r="A963"/>
      <c r="B963"/>
      <c r="C963"/>
      <c r="D963"/>
      <c r="F963"/>
      <c r="G963"/>
      <c r="I963"/>
    </row>
    <row r="964" spans="1:9" x14ac:dyDescent="0.35">
      <c r="A964"/>
      <c r="B964"/>
      <c r="C964"/>
      <c r="D964"/>
      <c r="F964"/>
      <c r="G964"/>
      <c r="I964"/>
    </row>
    <row r="965" spans="1:9" x14ac:dyDescent="0.35">
      <c r="A965"/>
      <c r="B965"/>
      <c r="C965"/>
      <c r="D965"/>
      <c r="F965"/>
      <c r="G965"/>
      <c r="I965"/>
    </row>
    <row r="966" spans="1:9" x14ac:dyDescent="0.35">
      <c r="A966"/>
      <c r="B966"/>
      <c r="C966"/>
      <c r="D966"/>
      <c r="F966"/>
      <c r="G966"/>
      <c r="I966"/>
    </row>
    <row r="967" spans="1:9" x14ac:dyDescent="0.35">
      <c r="A967"/>
      <c r="B967"/>
      <c r="C967"/>
      <c r="D967"/>
      <c r="F967"/>
      <c r="G967"/>
      <c r="I967"/>
    </row>
    <row r="968" spans="1:9" x14ac:dyDescent="0.35">
      <c r="A968"/>
      <c r="B968"/>
      <c r="C968"/>
      <c r="D968"/>
      <c r="F968"/>
      <c r="G968"/>
      <c r="I968"/>
    </row>
    <row r="969" spans="1:9" x14ac:dyDescent="0.35">
      <c r="A969"/>
      <c r="B969"/>
      <c r="C969"/>
      <c r="D969"/>
      <c r="F969"/>
      <c r="G969"/>
      <c r="I969"/>
    </row>
    <row r="970" spans="1:9" x14ac:dyDescent="0.35">
      <c r="A970"/>
      <c r="B970"/>
      <c r="C970"/>
      <c r="D970"/>
      <c r="F970"/>
      <c r="G970"/>
      <c r="I970"/>
    </row>
    <row r="971" spans="1:9" x14ac:dyDescent="0.35">
      <c r="A971"/>
      <c r="B971"/>
      <c r="C971"/>
      <c r="D971"/>
      <c r="F971"/>
      <c r="G971"/>
      <c r="I971"/>
    </row>
    <row r="972" spans="1:9" x14ac:dyDescent="0.35">
      <c r="A972"/>
      <c r="B972"/>
      <c r="C972"/>
      <c r="D972"/>
      <c r="F972"/>
      <c r="G972"/>
      <c r="I972"/>
    </row>
    <row r="973" spans="1:9" x14ac:dyDescent="0.35">
      <c r="A973"/>
      <c r="B973"/>
      <c r="C973"/>
      <c r="D973"/>
      <c r="F973"/>
      <c r="G973"/>
      <c r="I973"/>
    </row>
    <row r="974" spans="1:9" x14ac:dyDescent="0.35">
      <c r="A974"/>
      <c r="B974"/>
      <c r="C974"/>
      <c r="D974"/>
      <c r="F974"/>
      <c r="G974"/>
      <c r="I974"/>
    </row>
    <row r="975" spans="1:9" x14ac:dyDescent="0.35">
      <c r="A975"/>
      <c r="B975"/>
      <c r="C975"/>
      <c r="D975"/>
      <c r="F975"/>
      <c r="G975"/>
      <c r="I975"/>
    </row>
    <row r="976" spans="1:9" x14ac:dyDescent="0.35">
      <c r="A976"/>
      <c r="B976"/>
      <c r="C976"/>
      <c r="D976"/>
      <c r="F976"/>
      <c r="G976"/>
      <c r="I976"/>
    </row>
    <row r="977" spans="1:9" x14ac:dyDescent="0.35">
      <c r="A977"/>
      <c r="B977"/>
      <c r="C977"/>
      <c r="D977"/>
      <c r="F977"/>
      <c r="G977"/>
      <c r="I977"/>
    </row>
    <row r="978" spans="1:9" x14ac:dyDescent="0.35">
      <c r="A978"/>
      <c r="B978"/>
      <c r="C978"/>
      <c r="D978"/>
      <c r="F978"/>
      <c r="G978"/>
      <c r="I978"/>
    </row>
    <row r="979" spans="1:9" x14ac:dyDescent="0.35">
      <c r="A979"/>
      <c r="B979"/>
      <c r="C979"/>
      <c r="D979"/>
      <c r="F979"/>
      <c r="G979"/>
      <c r="I979"/>
    </row>
    <row r="980" spans="1:9" x14ac:dyDescent="0.35">
      <c r="A980"/>
      <c r="B980"/>
      <c r="C980"/>
      <c r="D980"/>
      <c r="F980"/>
      <c r="G980"/>
      <c r="I980"/>
    </row>
    <row r="981" spans="1:9" x14ac:dyDescent="0.35">
      <c r="A981"/>
      <c r="B981"/>
      <c r="C981"/>
      <c r="D981"/>
      <c r="F981"/>
      <c r="G981"/>
      <c r="I981"/>
    </row>
    <row r="982" spans="1:9" x14ac:dyDescent="0.35">
      <c r="A982"/>
      <c r="B982"/>
      <c r="C982"/>
      <c r="D982"/>
      <c r="F982"/>
      <c r="G982"/>
      <c r="I982"/>
    </row>
    <row r="983" spans="1:9" x14ac:dyDescent="0.35">
      <c r="A983"/>
      <c r="B983"/>
      <c r="C983"/>
      <c r="D983"/>
      <c r="F983"/>
      <c r="G983"/>
      <c r="I983"/>
    </row>
    <row r="984" spans="1:9" x14ac:dyDescent="0.35">
      <c r="A984"/>
      <c r="B984"/>
      <c r="C984"/>
      <c r="D984"/>
      <c r="F984"/>
      <c r="G984"/>
      <c r="I984"/>
    </row>
    <row r="985" spans="1:9" x14ac:dyDescent="0.35">
      <c r="A985"/>
      <c r="B985"/>
      <c r="C985"/>
      <c r="D985"/>
      <c r="F985"/>
      <c r="G985"/>
      <c r="I985"/>
    </row>
    <row r="986" spans="1:9" x14ac:dyDescent="0.35">
      <c r="A986"/>
      <c r="B986"/>
      <c r="C986"/>
      <c r="D986"/>
      <c r="F986"/>
      <c r="G986"/>
      <c r="I986"/>
    </row>
    <row r="987" spans="1:9" x14ac:dyDescent="0.35">
      <c r="A987"/>
      <c r="B987"/>
      <c r="C987"/>
      <c r="D987"/>
      <c r="F987"/>
      <c r="G987"/>
      <c r="I987"/>
    </row>
    <row r="988" spans="1:9" x14ac:dyDescent="0.35">
      <c r="A988"/>
      <c r="B988"/>
      <c r="C988"/>
      <c r="D988"/>
      <c r="F988"/>
      <c r="G988"/>
      <c r="I988"/>
    </row>
    <row r="989" spans="1:9" x14ac:dyDescent="0.35">
      <c r="A989"/>
      <c r="B989"/>
      <c r="C989"/>
      <c r="D989"/>
      <c r="F989"/>
      <c r="G989"/>
      <c r="I989"/>
    </row>
    <row r="990" spans="1:9" x14ac:dyDescent="0.35">
      <c r="A990"/>
      <c r="B990"/>
      <c r="C990"/>
      <c r="D990"/>
      <c r="F990"/>
      <c r="G990"/>
      <c r="I990"/>
    </row>
    <row r="991" spans="1:9" x14ac:dyDescent="0.35">
      <c r="A991"/>
      <c r="B991"/>
      <c r="C991"/>
      <c r="D991"/>
      <c r="F991"/>
      <c r="G991"/>
      <c r="I991"/>
    </row>
    <row r="992" spans="1:9" x14ac:dyDescent="0.35">
      <c r="A992"/>
      <c r="B992"/>
      <c r="C992"/>
      <c r="D992"/>
      <c r="F992"/>
      <c r="G992"/>
      <c r="I992"/>
    </row>
    <row r="993" spans="1:9" x14ac:dyDescent="0.35">
      <c r="A993"/>
      <c r="B993"/>
      <c r="C993"/>
      <c r="D993"/>
      <c r="F993"/>
      <c r="G993"/>
      <c r="I993"/>
    </row>
    <row r="994" spans="1:9" x14ac:dyDescent="0.35">
      <c r="A994"/>
      <c r="B994"/>
      <c r="C994"/>
      <c r="D994"/>
      <c r="F994"/>
      <c r="G994"/>
      <c r="I994"/>
    </row>
    <row r="995" spans="1:9" x14ac:dyDescent="0.35">
      <c r="A995"/>
      <c r="B995"/>
      <c r="C995"/>
      <c r="D995"/>
      <c r="F995"/>
      <c r="G995"/>
      <c r="I995"/>
    </row>
    <row r="996" spans="1:9" x14ac:dyDescent="0.35">
      <c r="A996"/>
      <c r="B996"/>
      <c r="C996"/>
      <c r="D996"/>
      <c r="F996"/>
      <c r="G996"/>
      <c r="I996"/>
    </row>
    <row r="997" spans="1:9" x14ac:dyDescent="0.35">
      <c r="A997"/>
      <c r="B997"/>
      <c r="C997"/>
      <c r="D997"/>
      <c r="F997"/>
      <c r="G997"/>
      <c r="I997"/>
    </row>
    <row r="998" spans="1:9" x14ac:dyDescent="0.35">
      <c r="A998"/>
      <c r="B998"/>
      <c r="C998"/>
      <c r="D998"/>
      <c r="F998"/>
      <c r="G998"/>
      <c r="I998"/>
    </row>
    <row r="999" spans="1:9" x14ac:dyDescent="0.35">
      <c r="A999"/>
      <c r="B999"/>
      <c r="C999"/>
      <c r="D999"/>
      <c r="F999"/>
      <c r="G999"/>
      <c r="I999"/>
    </row>
    <row r="1000" spans="1:9" x14ac:dyDescent="0.35">
      <c r="A1000"/>
      <c r="B1000"/>
      <c r="C1000"/>
      <c r="D1000"/>
      <c r="F1000"/>
      <c r="G1000"/>
      <c r="I1000"/>
    </row>
    <row r="1001" spans="1:9" x14ac:dyDescent="0.35">
      <c r="A1001"/>
      <c r="B1001"/>
      <c r="C1001"/>
      <c r="D1001"/>
      <c r="F1001"/>
      <c r="G1001"/>
      <c r="I1001"/>
    </row>
    <row r="1002" spans="1:9" x14ac:dyDescent="0.35">
      <c r="A1002"/>
      <c r="B1002"/>
      <c r="C1002"/>
      <c r="D1002"/>
      <c r="F1002"/>
      <c r="G1002"/>
      <c r="I1002"/>
    </row>
    <row r="1003" spans="1:9" x14ac:dyDescent="0.35">
      <c r="A1003"/>
      <c r="B1003"/>
      <c r="C1003"/>
      <c r="D1003"/>
      <c r="F1003"/>
      <c r="G1003"/>
      <c r="I1003"/>
    </row>
    <row r="1004" spans="1:9" x14ac:dyDescent="0.35">
      <c r="A1004"/>
      <c r="B1004"/>
      <c r="C1004"/>
      <c r="D1004"/>
      <c r="F1004"/>
      <c r="G1004"/>
      <c r="I1004"/>
    </row>
    <row r="1005" spans="1:9" x14ac:dyDescent="0.35">
      <c r="A1005"/>
      <c r="B1005"/>
      <c r="C1005"/>
      <c r="D1005"/>
      <c r="F1005"/>
      <c r="G1005"/>
      <c r="I1005"/>
    </row>
    <row r="1006" spans="1:9" x14ac:dyDescent="0.35">
      <c r="A1006"/>
      <c r="B1006"/>
      <c r="C1006"/>
      <c r="D1006"/>
      <c r="F1006"/>
      <c r="G1006"/>
      <c r="I1006"/>
    </row>
    <row r="1007" spans="1:9" x14ac:dyDescent="0.35">
      <c r="A1007"/>
      <c r="B1007"/>
      <c r="C1007"/>
      <c r="D1007"/>
      <c r="F1007"/>
      <c r="G1007"/>
      <c r="I1007"/>
    </row>
    <row r="1008" spans="1:9" x14ac:dyDescent="0.35">
      <c r="A1008"/>
      <c r="B1008"/>
      <c r="C1008"/>
      <c r="D1008"/>
      <c r="F1008"/>
      <c r="G1008"/>
      <c r="I1008"/>
    </row>
    <row r="1009" spans="1:9" x14ac:dyDescent="0.35">
      <c r="A1009"/>
      <c r="B1009"/>
      <c r="C1009"/>
      <c r="D1009"/>
      <c r="F1009"/>
      <c r="G1009"/>
      <c r="I1009"/>
    </row>
    <row r="1010" spans="1:9" x14ac:dyDescent="0.35">
      <c r="A1010"/>
      <c r="B1010"/>
      <c r="C1010"/>
      <c r="D1010"/>
      <c r="F1010"/>
      <c r="G1010"/>
      <c r="I1010"/>
    </row>
    <row r="1011" spans="1:9" x14ac:dyDescent="0.35">
      <c r="A1011"/>
      <c r="B1011"/>
      <c r="C1011"/>
      <c r="D1011"/>
      <c r="F1011"/>
      <c r="G1011"/>
      <c r="I1011"/>
    </row>
    <row r="1012" spans="1:9" x14ac:dyDescent="0.35">
      <c r="A1012"/>
      <c r="B1012"/>
      <c r="C1012"/>
      <c r="D1012"/>
      <c r="F1012"/>
      <c r="G1012"/>
      <c r="I1012"/>
    </row>
    <row r="1013" spans="1:9" x14ac:dyDescent="0.35">
      <c r="A1013"/>
      <c r="B1013"/>
      <c r="C1013"/>
      <c r="D1013"/>
      <c r="F1013"/>
      <c r="G1013"/>
      <c r="I1013"/>
    </row>
    <row r="1014" spans="1:9" x14ac:dyDescent="0.35">
      <c r="A1014"/>
      <c r="B1014"/>
      <c r="C1014"/>
      <c r="D1014"/>
      <c r="F1014"/>
      <c r="G1014"/>
      <c r="I1014"/>
    </row>
    <row r="1015" spans="1:9" x14ac:dyDescent="0.35">
      <c r="A1015"/>
      <c r="B1015"/>
      <c r="C1015"/>
      <c r="D1015"/>
      <c r="F1015"/>
      <c r="G1015"/>
      <c r="I1015"/>
    </row>
    <row r="1016" spans="1:9" x14ac:dyDescent="0.35">
      <c r="A1016"/>
      <c r="B1016"/>
      <c r="C1016"/>
      <c r="D1016"/>
      <c r="F1016"/>
      <c r="G1016"/>
      <c r="I1016"/>
    </row>
    <row r="1017" spans="1:9" x14ac:dyDescent="0.35">
      <c r="A1017"/>
      <c r="B1017"/>
      <c r="C1017"/>
      <c r="D1017"/>
      <c r="F1017"/>
      <c r="G1017"/>
      <c r="I1017"/>
    </row>
    <row r="1018" spans="1:9" x14ac:dyDescent="0.35">
      <c r="A1018"/>
      <c r="B1018"/>
      <c r="C1018"/>
      <c r="D1018"/>
      <c r="F1018"/>
      <c r="G1018"/>
      <c r="I1018"/>
    </row>
    <row r="1019" spans="1:9" x14ac:dyDescent="0.35">
      <c r="A1019"/>
      <c r="B1019"/>
      <c r="C1019"/>
      <c r="D1019"/>
      <c r="F1019"/>
      <c r="G1019"/>
      <c r="I1019"/>
    </row>
    <row r="1020" spans="1:9" x14ac:dyDescent="0.35">
      <c r="A1020"/>
      <c r="B1020"/>
      <c r="C1020"/>
      <c r="D1020"/>
      <c r="F1020"/>
      <c r="G1020"/>
      <c r="I1020"/>
    </row>
    <row r="1021" spans="1:9" x14ac:dyDescent="0.35">
      <c r="A1021"/>
      <c r="B1021"/>
      <c r="C1021"/>
      <c r="D1021"/>
      <c r="F1021"/>
      <c r="G1021"/>
      <c r="I1021"/>
    </row>
    <row r="1022" spans="1:9" x14ac:dyDescent="0.35">
      <c r="A1022"/>
      <c r="B1022"/>
      <c r="C1022"/>
      <c r="D1022"/>
      <c r="F1022"/>
      <c r="G1022"/>
      <c r="I1022"/>
    </row>
    <row r="1023" spans="1:9" x14ac:dyDescent="0.35">
      <c r="A1023"/>
      <c r="B1023"/>
      <c r="C1023"/>
      <c r="D1023"/>
      <c r="F1023"/>
      <c r="G1023"/>
      <c r="I1023"/>
    </row>
    <row r="1024" spans="1:9" x14ac:dyDescent="0.35">
      <c r="A1024"/>
      <c r="B1024"/>
      <c r="C1024"/>
      <c r="D1024"/>
      <c r="F1024"/>
      <c r="G1024"/>
      <c r="I1024"/>
    </row>
    <row r="1025" spans="1:9" x14ac:dyDescent="0.35">
      <c r="A1025"/>
      <c r="B1025"/>
      <c r="C1025"/>
      <c r="D1025"/>
      <c r="F1025"/>
      <c r="G1025"/>
      <c r="I1025"/>
    </row>
    <row r="1026" spans="1:9" x14ac:dyDescent="0.35">
      <c r="A1026"/>
      <c r="B1026"/>
      <c r="C1026"/>
      <c r="D1026"/>
      <c r="F1026"/>
      <c r="G1026"/>
      <c r="I1026"/>
    </row>
    <row r="1027" spans="1:9" x14ac:dyDescent="0.35">
      <c r="A1027"/>
      <c r="B1027"/>
      <c r="C1027"/>
      <c r="D1027"/>
      <c r="F1027"/>
      <c r="G1027"/>
      <c r="I1027"/>
    </row>
    <row r="1028" spans="1:9" x14ac:dyDescent="0.35">
      <c r="A1028"/>
      <c r="B1028"/>
      <c r="C1028"/>
      <c r="D1028"/>
      <c r="F1028"/>
      <c r="G1028"/>
      <c r="I1028"/>
    </row>
    <row r="1029" spans="1:9" x14ac:dyDescent="0.35">
      <c r="A1029"/>
      <c r="B1029"/>
      <c r="C1029"/>
      <c r="D1029"/>
      <c r="F1029"/>
      <c r="G1029"/>
      <c r="I1029"/>
    </row>
    <row r="1030" spans="1:9" x14ac:dyDescent="0.35">
      <c r="A1030"/>
      <c r="B1030"/>
      <c r="C1030"/>
      <c r="D1030"/>
      <c r="F1030"/>
      <c r="G1030"/>
      <c r="I1030"/>
    </row>
    <row r="1031" spans="1:9" x14ac:dyDescent="0.35">
      <c r="A1031"/>
      <c r="B1031"/>
      <c r="C1031"/>
      <c r="D1031"/>
      <c r="F1031"/>
      <c r="G1031"/>
      <c r="I1031"/>
    </row>
    <row r="1032" spans="1:9" x14ac:dyDescent="0.35">
      <c r="A1032"/>
      <c r="B1032"/>
      <c r="C1032"/>
      <c r="D1032"/>
      <c r="F1032"/>
      <c r="G1032"/>
      <c r="I1032"/>
    </row>
    <row r="1033" spans="1:9" x14ac:dyDescent="0.35">
      <c r="A1033"/>
      <c r="B1033"/>
      <c r="C1033"/>
      <c r="D1033"/>
      <c r="F1033"/>
      <c r="G1033"/>
      <c r="I1033"/>
    </row>
    <row r="1034" spans="1:9" x14ac:dyDescent="0.35">
      <c r="A1034"/>
      <c r="B1034"/>
      <c r="C1034"/>
      <c r="D1034"/>
      <c r="F1034"/>
      <c r="G1034"/>
      <c r="I1034"/>
    </row>
    <row r="1035" spans="1:9" x14ac:dyDescent="0.35">
      <c r="A1035"/>
      <c r="B1035"/>
      <c r="C1035"/>
      <c r="D1035"/>
      <c r="F1035"/>
      <c r="G1035"/>
      <c r="I1035"/>
    </row>
    <row r="1036" spans="1:9" x14ac:dyDescent="0.35">
      <c r="A1036"/>
      <c r="B1036"/>
      <c r="C1036"/>
      <c r="D1036"/>
      <c r="F1036"/>
      <c r="G1036"/>
      <c r="I1036"/>
    </row>
    <row r="1037" spans="1:9" x14ac:dyDescent="0.35">
      <c r="A1037"/>
      <c r="B1037"/>
      <c r="C1037"/>
      <c r="D1037"/>
      <c r="F1037"/>
      <c r="G1037"/>
      <c r="I1037"/>
    </row>
    <row r="1038" spans="1:9" x14ac:dyDescent="0.35">
      <c r="A1038"/>
      <c r="B1038"/>
      <c r="C1038"/>
      <c r="D1038"/>
      <c r="F1038"/>
      <c r="G1038"/>
      <c r="I1038"/>
    </row>
    <row r="1039" spans="1:9" x14ac:dyDescent="0.35">
      <c r="A1039"/>
      <c r="B1039"/>
      <c r="C1039"/>
      <c r="D1039"/>
      <c r="F1039"/>
      <c r="G1039"/>
      <c r="I1039"/>
    </row>
    <row r="1040" spans="1:9" x14ac:dyDescent="0.35">
      <c r="A1040"/>
      <c r="B1040"/>
      <c r="C1040"/>
      <c r="D1040"/>
      <c r="F1040"/>
      <c r="G1040"/>
      <c r="I1040"/>
    </row>
    <row r="1041" spans="1:9" x14ac:dyDescent="0.35">
      <c r="A1041"/>
      <c r="B1041"/>
      <c r="C1041"/>
      <c r="D1041"/>
      <c r="F1041"/>
      <c r="G1041"/>
      <c r="I1041"/>
    </row>
    <row r="1042" spans="1:9" x14ac:dyDescent="0.35">
      <c r="A1042"/>
      <c r="B1042"/>
      <c r="C1042"/>
      <c r="D1042"/>
      <c r="F1042"/>
      <c r="G1042"/>
      <c r="I1042"/>
    </row>
    <row r="1043" spans="1:9" x14ac:dyDescent="0.35">
      <c r="A1043"/>
      <c r="B1043"/>
      <c r="C1043"/>
      <c r="D1043"/>
      <c r="F1043"/>
      <c r="G1043"/>
      <c r="I1043"/>
    </row>
    <row r="1044" spans="1:9" x14ac:dyDescent="0.35">
      <c r="A1044"/>
      <c r="B1044"/>
      <c r="C1044"/>
      <c r="D1044"/>
      <c r="F1044"/>
      <c r="G1044"/>
      <c r="I1044"/>
    </row>
    <row r="1045" spans="1:9" x14ac:dyDescent="0.35">
      <c r="A1045"/>
      <c r="B1045"/>
      <c r="C1045"/>
      <c r="D1045"/>
      <c r="F1045"/>
      <c r="G1045"/>
      <c r="I1045"/>
    </row>
    <row r="1046" spans="1:9" x14ac:dyDescent="0.35">
      <c r="A1046"/>
      <c r="B1046"/>
      <c r="C1046"/>
      <c r="D1046"/>
      <c r="F1046"/>
      <c r="G1046"/>
      <c r="I1046"/>
    </row>
    <row r="1047" spans="1:9" x14ac:dyDescent="0.35">
      <c r="A1047"/>
      <c r="B1047"/>
      <c r="C1047"/>
      <c r="D1047"/>
      <c r="F1047"/>
      <c r="G1047"/>
      <c r="I1047"/>
    </row>
    <row r="1048" spans="1:9" x14ac:dyDescent="0.35">
      <c r="A1048"/>
      <c r="B1048"/>
      <c r="C1048"/>
      <c r="D1048"/>
      <c r="F1048"/>
      <c r="G1048"/>
      <c r="I1048"/>
    </row>
    <row r="1049" spans="1:9" x14ac:dyDescent="0.35">
      <c r="A1049"/>
      <c r="B1049"/>
      <c r="C1049"/>
      <c r="D1049"/>
      <c r="F1049"/>
      <c r="G1049"/>
      <c r="I1049"/>
    </row>
    <row r="1050" spans="1:9" x14ac:dyDescent="0.35">
      <c r="A1050"/>
      <c r="B1050"/>
      <c r="C1050"/>
      <c r="D1050"/>
      <c r="F1050"/>
      <c r="G1050"/>
      <c r="I1050"/>
    </row>
    <row r="1051" spans="1:9" x14ac:dyDescent="0.35">
      <c r="A1051"/>
      <c r="B1051"/>
      <c r="C1051"/>
      <c r="D1051"/>
      <c r="F1051"/>
      <c r="G1051"/>
      <c r="I1051"/>
    </row>
    <row r="1052" spans="1:9" x14ac:dyDescent="0.35">
      <c r="A1052"/>
      <c r="B1052"/>
      <c r="C1052"/>
      <c r="D1052"/>
      <c r="F1052"/>
      <c r="G1052"/>
      <c r="I1052"/>
    </row>
    <row r="1053" spans="1:9" x14ac:dyDescent="0.35">
      <c r="A1053"/>
      <c r="B1053"/>
      <c r="C1053"/>
      <c r="D1053"/>
      <c r="F1053"/>
      <c r="G1053"/>
      <c r="I1053"/>
    </row>
    <row r="1054" spans="1:9" x14ac:dyDescent="0.35">
      <c r="A1054"/>
      <c r="B1054"/>
      <c r="C1054"/>
      <c r="D1054"/>
      <c r="F1054"/>
      <c r="G1054"/>
      <c r="I1054"/>
    </row>
    <row r="1055" spans="1:9" x14ac:dyDescent="0.35">
      <c r="A1055"/>
      <c r="B1055"/>
      <c r="C1055"/>
      <c r="D1055"/>
      <c r="F1055"/>
      <c r="G1055"/>
      <c r="I1055"/>
    </row>
    <row r="1056" spans="1:9" x14ac:dyDescent="0.35">
      <c r="A1056"/>
      <c r="B1056"/>
      <c r="C1056"/>
      <c r="D1056"/>
      <c r="F1056"/>
      <c r="G1056"/>
      <c r="I1056"/>
    </row>
    <row r="1057" spans="1:9" x14ac:dyDescent="0.35">
      <c r="A1057"/>
      <c r="B1057"/>
      <c r="C1057"/>
      <c r="D1057"/>
      <c r="F1057"/>
      <c r="G1057"/>
      <c r="I1057"/>
    </row>
    <row r="1058" spans="1:9" x14ac:dyDescent="0.35">
      <c r="A1058"/>
      <c r="B1058"/>
      <c r="C1058"/>
      <c r="D1058"/>
      <c r="F1058"/>
      <c r="G1058"/>
      <c r="I1058"/>
    </row>
    <row r="1059" spans="1:9" x14ac:dyDescent="0.35">
      <c r="A1059"/>
      <c r="B1059"/>
      <c r="C1059"/>
      <c r="D1059"/>
      <c r="F1059"/>
      <c r="G1059"/>
      <c r="I1059"/>
    </row>
    <row r="1060" spans="1:9" x14ac:dyDescent="0.35">
      <c r="A1060"/>
      <c r="B1060"/>
      <c r="C1060"/>
      <c r="D1060"/>
      <c r="F1060"/>
      <c r="G1060"/>
      <c r="I1060"/>
    </row>
    <row r="1061" spans="1:9" x14ac:dyDescent="0.35">
      <c r="A1061"/>
      <c r="B1061"/>
      <c r="C1061"/>
      <c r="D1061"/>
      <c r="F1061"/>
      <c r="G1061"/>
      <c r="I1061"/>
    </row>
    <row r="1062" spans="1:9" x14ac:dyDescent="0.35">
      <c r="A1062"/>
      <c r="B1062"/>
      <c r="C1062"/>
      <c r="D1062"/>
      <c r="F1062"/>
      <c r="G1062"/>
      <c r="I1062"/>
    </row>
    <row r="1063" spans="1:9" x14ac:dyDescent="0.35">
      <c r="A1063"/>
      <c r="B1063"/>
      <c r="C1063"/>
      <c r="D1063"/>
      <c r="F1063"/>
      <c r="G1063"/>
      <c r="I1063"/>
    </row>
    <row r="1064" spans="1:9" x14ac:dyDescent="0.35">
      <c r="A1064"/>
      <c r="B1064"/>
      <c r="C1064"/>
      <c r="D1064"/>
      <c r="F1064"/>
      <c r="G1064"/>
      <c r="I1064"/>
    </row>
    <row r="1065" spans="1:9" x14ac:dyDescent="0.35">
      <c r="A1065"/>
      <c r="B1065"/>
      <c r="C1065"/>
      <c r="D1065"/>
      <c r="F1065"/>
      <c r="G1065"/>
      <c r="I1065"/>
    </row>
    <row r="1066" spans="1:9" x14ac:dyDescent="0.35">
      <c r="A1066"/>
      <c r="B1066"/>
      <c r="C1066"/>
      <c r="D1066"/>
      <c r="F1066"/>
      <c r="G1066"/>
      <c r="I1066"/>
    </row>
    <row r="1067" spans="1:9" x14ac:dyDescent="0.35">
      <c r="A1067"/>
      <c r="B1067"/>
      <c r="C1067"/>
      <c r="D1067"/>
      <c r="F1067"/>
      <c r="G1067"/>
      <c r="I1067"/>
    </row>
    <row r="1068" spans="1:9" x14ac:dyDescent="0.35">
      <c r="A1068"/>
      <c r="B1068"/>
      <c r="C1068"/>
      <c r="D1068"/>
      <c r="F1068"/>
      <c r="G1068"/>
      <c r="I1068"/>
    </row>
    <row r="1069" spans="1:9" x14ac:dyDescent="0.35">
      <c r="A1069"/>
      <c r="B1069"/>
      <c r="C1069"/>
      <c r="D1069"/>
      <c r="F1069"/>
      <c r="G1069"/>
      <c r="I1069"/>
    </row>
    <row r="1070" spans="1:9" x14ac:dyDescent="0.35">
      <c r="A1070"/>
      <c r="B1070"/>
      <c r="C1070"/>
      <c r="D1070"/>
      <c r="F1070"/>
      <c r="G1070"/>
      <c r="I1070"/>
    </row>
    <row r="1071" spans="1:9" x14ac:dyDescent="0.35">
      <c r="A1071"/>
      <c r="B1071"/>
      <c r="C1071"/>
      <c r="D1071"/>
      <c r="F1071"/>
      <c r="G1071"/>
      <c r="I1071"/>
    </row>
    <row r="1072" spans="1:9" x14ac:dyDescent="0.35">
      <c r="A1072"/>
      <c r="B1072"/>
      <c r="C1072"/>
      <c r="D1072"/>
      <c r="F1072"/>
      <c r="G1072"/>
      <c r="I1072"/>
    </row>
    <row r="1073" spans="1:9" x14ac:dyDescent="0.35">
      <c r="A1073"/>
      <c r="B1073"/>
      <c r="C1073"/>
      <c r="D1073"/>
      <c r="F1073"/>
      <c r="G1073"/>
      <c r="I1073"/>
    </row>
    <row r="1074" spans="1:9" x14ac:dyDescent="0.35">
      <c r="A1074"/>
      <c r="B1074"/>
      <c r="C1074"/>
      <c r="D1074"/>
      <c r="F1074"/>
      <c r="G1074"/>
      <c r="I1074"/>
    </row>
    <row r="1075" spans="1:9" x14ac:dyDescent="0.35">
      <c r="A1075"/>
      <c r="B1075"/>
      <c r="C1075"/>
      <c r="D1075"/>
      <c r="F1075"/>
      <c r="G1075"/>
      <c r="I1075"/>
    </row>
    <row r="1076" spans="1:9" x14ac:dyDescent="0.35">
      <c r="A1076"/>
      <c r="B1076"/>
      <c r="C1076"/>
      <c r="D1076"/>
      <c r="F1076"/>
      <c r="G1076"/>
      <c r="I1076"/>
    </row>
    <row r="1077" spans="1:9" x14ac:dyDescent="0.35">
      <c r="A1077"/>
      <c r="B1077"/>
      <c r="C1077"/>
      <c r="D1077"/>
      <c r="F1077"/>
      <c r="G1077"/>
      <c r="I1077"/>
    </row>
    <row r="1078" spans="1:9" x14ac:dyDescent="0.35">
      <c r="A1078"/>
      <c r="B1078"/>
      <c r="C1078"/>
      <c r="D1078"/>
      <c r="F1078"/>
      <c r="G1078"/>
      <c r="I1078"/>
    </row>
    <row r="1079" spans="1:9" x14ac:dyDescent="0.35">
      <c r="A1079"/>
      <c r="B1079"/>
      <c r="C1079"/>
      <c r="D1079"/>
      <c r="F1079"/>
      <c r="G1079"/>
      <c r="I1079"/>
    </row>
    <row r="1080" spans="1:9" x14ac:dyDescent="0.35">
      <c r="A1080"/>
      <c r="B1080"/>
      <c r="C1080"/>
      <c r="D1080"/>
      <c r="F1080"/>
      <c r="G1080"/>
      <c r="I1080"/>
    </row>
    <row r="1081" spans="1:9" x14ac:dyDescent="0.35">
      <c r="A1081"/>
      <c r="B1081"/>
      <c r="C1081"/>
      <c r="D1081"/>
      <c r="F1081"/>
      <c r="G1081"/>
      <c r="I1081"/>
    </row>
    <row r="1082" spans="1:9" x14ac:dyDescent="0.35">
      <c r="A1082"/>
      <c r="B1082"/>
      <c r="C1082"/>
      <c r="D1082"/>
      <c r="F1082"/>
      <c r="G1082"/>
      <c r="I1082"/>
    </row>
    <row r="1083" spans="1:9" x14ac:dyDescent="0.35">
      <c r="A1083"/>
      <c r="B1083"/>
      <c r="C1083"/>
      <c r="D1083"/>
      <c r="F1083"/>
      <c r="G1083"/>
      <c r="I1083"/>
    </row>
    <row r="1084" spans="1:9" x14ac:dyDescent="0.35">
      <c r="A1084"/>
      <c r="B1084"/>
      <c r="C1084"/>
      <c r="D1084"/>
      <c r="F1084"/>
      <c r="G1084"/>
      <c r="I1084"/>
    </row>
    <row r="1085" spans="1:9" x14ac:dyDescent="0.35">
      <c r="A1085"/>
      <c r="B1085"/>
      <c r="C1085"/>
      <c r="D1085"/>
      <c r="F1085"/>
      <c r="G1085"/>
      <c r="I1085"/>
    </row>
    <row r="1086" spans="1:9" x14ac:dyDescent="0.35">
      <c r="A1086"/>
      <c r="B1086"/>
      <c r="C1086"/>
      <c r="D1086"/>
      <c r="F1086"/>
      <c r="G1086"/>
      <c r="I1086"/>
    </row>
    <row r="1087" spans="1:9" x14ac:dyDescent="0.35">
      <c r="A1087"/>
      <c r="B1087"/>
      <c r="C1087"/>
      <c r="D1087"/>
      <c r="F1087"/>
      <c r="G1087"/>
      <c r="I1087"/>
    </row>
    <row r="1088" spans="1:9" x14ac:dyDescent="0.35">
      <c r="A1088"/>
      <c r="B1088"/>
      <c r="C1088"/>
      <c r="D1088"/>
      <c r="F1088"/>
      <c r="G1088"/>
      <c r="I1088"/>
    </row>
    <row r="1089" spans="1:9" x14ac:dyDescent="0.35">
      <c r="A1089"/>
      <c r="B1089"/>
      <c r="C1089"/>
      <c r="D1089"/>
      <c r="F1089"/>
      <c r="G1089"/>
      <c r="I1089"/>
    </row>
    <row r="1090" spans="1:9" x14ac:dyDescent="0.35">
      <c r="A1090"/>
      <c r="B1090"/>
      <c r="C1090"/>
      <c r="D1090"/>
      <c r="F1090"/>
      <c r="G1090"/>
      <c r="I1090"/>
    </row>
    <row r="1091" spans="1:9" x14ac:dyDescent="0.35">
      <c r="A1091"/>
      <c r="B1091"/>
      <c r="C1091"/>
      <c r="D1091"/>
      <c r="F1091"/>
      <c r="G1091"/>
      <c r="I1091"/>
    </row>
    <row r="1092" spans="1:9" x14ac:dyDescent="0.35">
      <c r="A1092"/>
      <c r="B1092"/>
      <c r="C1092"/>
      <c r="D1092"/>
      <c r="F1092"/>
      <c r="G1092"/>
      <c r="I1092"/>
    </row>
    <row r="1093" spans="1:9" x14ac:dyDescent="0.35">
      <c r="A1093"/>
      <c r="B1093"/>
      <c r="C1093"/>
      <c r="D1093"/>
      <c r="F1093"/>
      <c r="G1093"/>
      <c r="I1093"/>
    </row>
    <row r="1094" spans="1:9" x14ac:dyDescent="0.35">
      <c r="A1094"/>
      <c r="B1094"/>
      <c r="C1094"/>
      <c r="D1094"/>
      <c r="F1094"/>
      <c r="G1094"/>
      <c r="I1094"/>
    </row>
    <row r="1095" spans="1:9" x14ac:dyDescent="0.35">
      <c r="A1095"/>
      <c r="B1095"/>
      <c r="C1095"/>
      <c r="D1095"/>
      <c r="F1095"/>
      <c r="G1095"/>
      <c r="I1095"/>
    </row>
    <row r="1096" spans="1:9" x14ac:dyDescent="0.35">
      <c r="A1096"/>
      <c r="B1096"/>
      <c r="C1096"/>
      <c r="D1096"/>
      <c r="F1096"/>
      <c r="G1096"/>
      <c r="I1096"/>
    </row>
    <row r="1097" spans="1:9" x14ac:dyDescent="0.35">
      <c r="A1097"/>
      <c r="B1097"/>
      <c r="C1097"/>
      <c r="D1097"/>
      <c r="F1097"/>
      <c r="G1097"/>
      <c r="I1097"/>
    </row>
    <row r="1098" spans="1:9" x14ac:dyDescent="0.35">
      <c r="A1098"/>
      <c r="B1098"/>
      <c r="C1098"/>
      <c r="D1098"/>
      <c r="F1098"/>
      <c r="G1098"/>
      <c r="I1098"/>
    </row>
    <row r="1099" spans="1:9" x14ac:dyDescent="0.35">
      <c r="A1099"/>
      <c r="B1099"/>
      <c r="C1099"/>
      <c r="D1099"/>
      <c r="F1099"/>
      <c r="G1099"/>
      <c r="I1099"/>
    </row>
    <row r="1100" spans="1:9" x14ac:dyDescent="0.35">
      <c r="A1100"/>
      <c r="B1100"/>
      <c r="C1100"/>
      <c r="D1100"/>
      <c r="F1100"/>
      <c r="G1100"/>
      <c r="I1100"/>
    </row>
    <row r="1101" spans="1:9" x14ac:dyDescent="0.35">
      <c r="A1101"/>
      <c r="B1101"/>
      <c r="C1101"/>
      <c r="D1101"/>
      <c r="F1101"/>
      <c r="G1101"/>
      <c r="I1101"/>
    </row>
    <row r="1102" spans="1:9" x14ac:dyDescent="0.35">
      <c r="A1102"/>
      <c r="B1102"/>
      <c r="C1102"/>
      <c r="D1102"/>
      <c r="F1102"/>
      <c r="G1102"/>
      <c r="I1102"/>
    </row>
    <row r="1103" spans="1:9" x14ac:dyDescent="0.35">
      <c r="A1103"/>
      <c r="B1103"/>
      <c r="C1103"/>
      <c r="D1103"/>
      <c r="F1103"/>
      <c r="G1103"/>
      <c r="I1103"/>
    </row>
    <row r="1104" spans="1:9" x14ac:dyDescent="0.35">
      <c r="A1104"/>
      <c r="B1104"/>
      <c r="C1104"/>
      <c r="D1104"/>
      <c r="F1104"/>
      <c r="G1104"/>
      <c r="I1104"/>
    </row>
    <row r="1105" spans="1:9" x14ac:dyDescent="0.35">
      <c r="A1105"/>
      <c r="B1105"/>
      <c r="C1105"/>
      <c r="D1105"/>
      <c r="F1105"/>
      <c r="G1105"/>
      <c r="I1105"/>
    </row>
    <row r="1106" spans="1:9" x14ac:dyDescent="0.35">
      <c r="A1106"/>
      <c r="B1106"/>
      <c r="C1106"/>
      <c r="D1106"/>
      <c r="F1106"/>
      <c r="G1106"/>
      <c r="I1106"/>
    </row>
    <row r="1107" spans="1:9" x14ac:dyDescent="0.35">
      <c r="A1107"/>
      <c r="B1107"/>
      <c r="C1107"/>
      <c r="D1107"/>
      <c r="F1107"/>
      <c r="G1107"/>
      <c r="I1107"/>
    </row>
    <row r="1108" spans="1:9" x14ac:dyDescent="0.35">
      <c r="A1108"/>
      <c r="B1108"/>
      <c r="C1108"/>
      <c r="D1108"/>
      <c r="F1108"/>
      <c r="G1108"/>
      <c r="I1108"/>
    </row>
    <row r="1109" spans="1:9" x14ac:dyDescent="0.35">
      <c r="A1109"/>
      <c r="B1109"/>
      <c r="C1109"/>
      <c r="D1109"/>
      <c r="F1109"/>
      <c r="G1109"/>
      <c r="I1109"/>
    </row>
    <row r="1110" spans="1:9" x14ac:dyDescent="0.35">
      <c r="A1110"/>
      <c r="B1110"/>
      <c r="C1110"/>
      <c r="D1110"/>
      <c r="F1110"/>
      <c r="G1110"/>
      <c r="I1110"/>
    </row>
    <row r="1111" spans="1:9" x14ac:dyDescent="0.35">
      <c r="A1111"/>
      <c r="B1111"/>
      <c r="C1111"/>
      <c r="D1111"/>
      <c r="F1111"/>
      <c r="G1111"/>
      <c r="I1111"/>
    </row>
    <row r="1112" spans="1:9" x14ac:dyDescent="0.35">
      <c r="A1112"/>
      <c r="B1112"/>
      <c r="C1112"/>
      <c r="D1112"/>
      <c r="F1112"/>
      <c r="G1112"/>
      <c r="I1112"/>
    </row>
    <row r="1113" spans="1:9" x14ac:dyDescent="0.35">
      <c r="A1113"/>
      <c r="B1113"/>
      <c r="C1113"/>
      <c r="D1113"/>
      <c r="F1113"/>
      <c r="G1113"/>
      <c r="I1113"/>
    </row>
    <row r="1114" spans="1:9" x14ac:dyDescent="0.35">
      <c r="A1114"/>
      <c r="B1114"/>
      <c r="C1114"/>
      <c r="D1114"/>
      <c r="F1114"/>
      <c r="G1114"/>
      <c r="I1114"/>
    </row>
    <row r="1115" spans="1:9" x14ac:dyDescent="0.35">
      <c r="A1115"/>
      <c r="B1115"/>
      <c r="C1115"/>
      <c r="D1115"/>
      <c r="F1115"/>
      <c r="G1115"/>
      <c r="I1115"/>
    </row>
    <row r="1116" spans="1:9" x14ac:dyDescent="0.35">
      <c r="A1116"/>
      <c r="B1116"/>
      <c r="C1116"/>
      <c r="D1116"/>
      <c r="F1116"/>
      <c r="G1116"/>
      <c r="I1116"/>
    </row>
    <row r="1117" spans="1:9" x14ac:dyDescent="0.35">
      <c r="A1117"/>
      <c r="B1117"/>
      <c r="C1117"/>
      <c r="D1117"/>
      <c r="F1117"/>
      <c r="G1117"/>
      <c r="I1117"/>
    </row>
    <row r="1118" spans="1:9" x14ac:dyDescent="0.35">
      <c r="A1118"/>
      <c r="B1118"/>
      <c r="C1118"/>
      <c r="D1118"/>
      <c r="F1118"/>
      <c r="G1118"/>
      <c r="I1118"/>
    </row>
    <row r="1119" spans="1:9" x14ac:dyDescent="0.35">
      <c r="A1119"/>
      <c r="B1119"/>
      <c r="C1119"/>
      <c r="D1119"/>
      <c r="F1119"/>
      <c r="G1119"/>
      <c r="I1119"/>
    </row>
    <row r="1120" spans="1:9" x14ac:dyDescent="0.35">
      <c r="A1120"/>
      <c r="B1120"/>
      <c r="C1120"/>
      <c r="D1120"/>
      <c r="F1120"/>
      <c r="G1120"/>
      <c r="I1120"/>
    </row>
    <row r="1121" spans="1:9" x14ac:dyDescent="0.35">
      <c r="A1121"/>
      <c r="B1121"/>
      <c r="C1121"/>
      <c r="D1121"/>
      <c r="F1121"/>
      <c r="G1121"/>
      <c r="I1121"/>
    </row>
    <row r="1122" spans="1:9" x14ac:dyDescent="0.35">
      <c r="A1122"/>
      <c r="B1122"/>
      <c r="C1122"/>
      <c r="D1122"/>
      <c r="F1122"/>
      <c r="G1122"/>
      <c r="I1122"/>
    </row>
    <row r="1123" spans="1:9" x14ac:dyDescent="0.35">
      <c r="A1123"/>
      <c r="B1123"/>
      <c r="C1123"/>
      <c r="D1123"/>
      <c r="F1123"/>
      <c r="G1123"/>
      <c r="I1123"/>
    </row>
    <row r="1124" spans="1:9" x14ac:dyDescent="0.35">
      <c r="A1124"/>
      <c r="B1124"/>
      <c r="C1124"/>
      <c r="D1124"/>
      <c r="F1124"/>
      <c r="G1124"/>
      <c r="I1124"/>
    </row>
    <row r="1125" spans="1:9" x14ac:dyDescent="0.35">
      <c r="A1125"/>
      <c r="B1125"/>
      <c r="C1125"/>
      <c r="D1125"/>
      <c r="F1125"/>
      <c r="G1125"/>
      <c r="I1125"/>
    </row>
    <row r="1126" spans="1:9" x14ac:dyDescent="0.35">
      <c r="A1126"/>
      <c r="B1126"/>
      <c r="C1126"/>
      <c r="D1126"/>
      <c r="F1126"/>
      <c r="G1126"/>
      <c r="I1126"/>
    </row>
    <row r="1127" spans="1:9" x14ac:dyDescent="0.35">
      <c r="A1127"/>
      <c r="B1127"/>
      <c r="C1127"/>
      <c r="D1127"/>
      <c r="F1127"/>
      <c r="G1127"/>
      <c r="I1127"/>
    </row>
    <row r="1128" spans="1:9" x14ac:dyDescent="0.35">
      <c r="A1128"/>
      <c r="B1128"/>
      <c r="C1128"/>
      <c r="D1128"/>
      <c r="F1128"/>
      <c r="G1128"/>
      <c r="I1128"/>
    </row>
    <row r="1129" spans="1:9" x14ac:dyDescent="0.35">
      <c r="A1129"/>
      <c r="B1129"/>
      <c r="C1129"/>
      <c r="D1129"/>
      <c r="F1129"/>
      <c r="G1129"/>
      <c r="I1129"/>
    </row>
    <row r="1130" spans="1:9" x14ac:dyDescent="0.35">
      <c r="A1130"/>
      <c r="B1130"/>
      <c r="C1130"/>
      <c r="D1130"/>
      <c r="F1130"/>
      <c r="G1130"/>
      <c r="I1130"/>
    </row>
    <row r="1131" spans="1:9" x14ac:dyDescent="0.35">
      <c r="A1131"/>
      <c r="B1131"/>
      <c r="C1131"/>
      <c r="D1131"/>
      <c r="F1131"/>
      <c r="G1131"/>
      <c r="I1131"/>
    </row>
    <row r="1132" spans="1:9" x14ac:dyDescent="0.35">
      <c r="A1132"/>
      <c r="B1132"/>
      <c r="C1132"/>
      <c r="D1132"/>
      <c r="F1132"/>
      <c r="G1132"/>
      <c r="I1132"/>
    </row>
    <row r="1133" spans="1:9" x14ac:dyDescent="0.35">
      <c r="A1133"/>
      <c r="B1133"/>
      <c r="C1133"/>
      <c r="D1133"/>
      <c r="F1133"/>
      <c r="G1133"/>
      <c r="I1133"/>
    </row>
    <row r="1134" spans="1:9" x14ac:dyDescent="0.35">
      <c r="A1134"/>
      <c r="B1134"/>
      <c r="C1134"/>
      <c r="D1134"/>
      <c r="F1134"/>
      <c r="G1134"/>
      <c r="I1134"/>
    </row>
    <row r="1135" spans="1:9" x14ac:dyDescent="0.35">
      <c r="A1135"/>
      <c r="B1135"/>
      <c r="C1135"/>
      <c r="D1135"/>
      <c r="F1135"/>
      <c r="G1135"/>
      <c r="I1135"/>
    </row>
    <row r="1136" spans="1:9" x14ac:dyDescent="0.35">
      <c r="A1136"/>
      <c r="B1136"/>
      <c r="C1136"/>
      <c r="D1136"/>
      <c r="F1136"/>
      <c r="G1136"/>
      <c r="I1136"/>
    </row>
    <row r="1137" spans="1:9" x14ac:dyDescent="0.35">
      <c r="A1137"/>
      <c r="B1137"/>
      <c r="C1137"/>
      <c r="D1137"/>
      <c r="F1137"/>
      <c r="G1137"/>
      <c r="I1137"/>
    </row>
    <row r="1138" spans="1:9" x14ac:dyDescent="0.35">
      <c r="A1138"/>
      <c r="B1138"/>
      <c r="C1138"/>
      <c r="D1138"/>
      <c r="F1138"/>
      <c r="G1138"/>
      <c r="I1138"/>
    </row>
    <row r="1139" spans="1:9" x14ac:dyDescent="0.35">
      <c r="A1139"/>
      <c r="B1139"/>
      <c r="C1139"/>
      <c r="D1139"/>
      <c r="F1139"/>
      <c r="G1139"/>
      <c r="I1139"/>
    </row>
    <row r="1140" spans="1:9" x14ac:dyDescent="0.35">
      <c r="A1140"/>
      <c r="B1140"/>
      <c r="C1140"/>
      <c r="D1140"/>
      <c r="F1140"/>
      <c r="G1140"/>
      <c r="I1140"/>
    </row>
    <row r="1141" spans="1:9" x14ac:dyDescent="0.35">
      <c r="A1141"/>
      <c r="B1141"/>
      <c r="C1141"/>
      <c r="D1141"/>
      <c r="F1141"/>
      <c r="G1141"/>
      <c r="I1141"/>
    </row>
    <row r="1142" spans="1:9" x14ac:dyDescent="0.35">
      <c r="A1142"/>
      <c r="B1142"/>
      <c r="C1142"/>
      <c r="D1142"/>
      <c r="F1142"/>
      <c r="G1142"/>
      <c r="I1142"/>
    </row>
    <row r="1143" spans="1:9" x14ac:dyDescent="0.35">
      <c r="A1143"/>
      <c r="B1143"/>
      <c r="C1143"/>
      <c r="D1143"/>
      <c r="F1143"/>
      <c r="G1143"/>
      <c r="I1143"/>
    </row>
    <row r="1144" spans="1:9" x14ac:dyDescent="0.35">
      <c r="A1144"/>
      <c r="B1144"/>
      <c r="C1144"/>
      <c r="D1144"/>
      <c r="F1144"/>
      <c r="G1144"/>
      <c r="I1144"/>
    </row>
    <row r="1145" spans="1:9" x14ac:dyDescent="0.35">
      <c r="A1145"/>
      <c r="B1145"/>
      <c r="C1145"/>
      <c r="D1145"/>
      <c r="F1145"/>
      <c r="G1145"/>
      <c r="I1145"/>
    </row>
    <row r="1146" spans="1:9" x14ac:dyDescent="0.35">
      <c r="A1146"/>
      <c r="B1146"/>
      <c r="C1146"/>
      <c r="D1146"/>
      <c r="F1146"/>
      <c r="G1146"/>
      <c r="I1146"/>
    </row>
    <row r="1147" spans="1:9" x14ac:dyDescent="0.35">
      <c r="A1147"/>
      <c r="B1147"/>
      <c r="C1147"/>
      <c r="D1147"/>
      <c r="F1147"/>
      <c r="G1147"/>
      <c r="I1147"/>
    </row>
    <row r="1148" spans="1:9" x14ac:dyDescent="0.35">
      <c r="A1148"/>
      <c r="B1148"/>
      <c r="C1148"/>
      <c r="D1148"/>
      <c r="F1148"/>
      <c r="G1148"/>
      <c r="I1148"/>
    </row>
    <row r="1149" spans="1:9" x14ac:dyDescent="0.35">
      <c r="A1149"/>
      <c r="B1149"/>
      <c r="C1149"/>
      <c r="D1149"/>
      <c r="F1149"/>
      <c r="G1149"/>
      <c r="I1149"/>
    </row>
    <row r="1150" spans="1:9" x14ac:dyDescent="0.35">
      <c r="A1150"/>
      <c r="B1150"/>
      <c r="C1150"/>
      <c r="D1150"/>
      <c r="F1150"/>
      <c r="G1150"/>
      <c r="I1150"/>
    </row>
    <row r="1151" spans="1:9" x14ac:dyDescent="0.35">
      <c r="A1151"/>
      <c r="B1151"/>
      <c r="C1151"/>
      <c r="D1151"/>
      <c r="F1151"/>
      <c r="G1151"/>
      <c r="I1151"/>
    </row>
    <row r="1152" spans="1:9" x14ac:dyDescent="0.35">
      <c r="A1152"/>
      <c r="B1152"/>
      <c r="C1152"/>
      <c r="D1152"/>
      <c r="F1152"/>
      <c r="G1152"/>
      <c r="I1152"/>
    </row>
    <row r="1153" spans="1:9" x14ac:dyDescent="0.35">
      <c r="A1153"/>
      <c r="B1153"/>
      <c r="C1153"/>
      <c r="D1153"/>
      <c r="F1153"/>
      <c r="G1153"/>
      <c r="I1153"/>
    </row>
    <row r="1154" spans="1:9" x14ac:dyDescent="0.35">
      <c r="A1154"/>
      <c r="B1154"/>
      <c r="C1154"/>
      <c r="D1154"/>
      <c r="F1154"/>
      <c r="G1154"/>
      <c r="I1154"/>
    </row>
    <row r="1155" spans="1:9" x14ac:dyDescent="0.35">
      <c r="A1155"/>
      <c r="B1155"/>
      <c r="C1155"/>
      <c r="D1155"/>
      <c r="F1155"/>
      <c r="G1155"/>
      <c r="I1155"/>
    </row>
    <row r="1156" spans="1:9" x14ac:dyDescent="0.35">
      <c r="A1156"/>
      <c r="B1156"/>
      <c r="C1156"/>
      <c r="D1156"/>
      <c r="F1156"/>
      <c r="G1156"/>
      <c r="I1156"/>
    </row>
    <row r="1157" spans="1:9" x14ac:dyDescent="0.35">
      <c r="A1157"/>
      <c r="B1157"/>
      <c r="C1157"/>
      <c r="D1157"/>
      <c r="F1157"/>
      <c r="G1157"/>
      <c r="I1157"/>
    </row>
    <row r="1158" spans="1:9" x14ac:dyDescent="0.35">
      <c r="A1158"/>
      <c r="B1158"/>
      <c r="C1158"/>
      <c r="D1158"/>
      <c r="F1158"/>
      <c r="G1158"/>
      <c r="I1158"/>
    </row>
    <row r="1159" spans="1:9" x14ac:dyDescent="0.35">
      <c r="A1159"/>
      <c r="B1159"/>
      <c r="C1159"/>
      <c r="D1159"/>
      <c r="F1159"/>
      <c r="G1159"/>
      <c r="I1159"/>
    </row>
    <row r="1160" spans="1:9" x14ac:dyDescent="0.35">
      <c r="A1160"/>
      <c r="B1160"/>
      <c r="C1160"/>
      <c r="D1160"/>
      <c r="F1160"/>
      <c r="G1160"/>
      <c r="I1160"/>
    </row>
    <row r="1161" spans="1:9" x14ac:dyDescent="0.35">
      <c r="A1161"/>
      <c r="B1161"/>
      <c r="C1161"/>
      <c r="D1161"/>
      <c r="F1161"/>
      <c r="G1161"/>
      <c r="I1161"/>
    </row>
    <row r="1162" spans="1:9" x14ac:dyDescent="0.35">
      <c r="A1162"/>
      <c r="B1162"/>
      <c r="C1162"/>
      <c r="D1162"/>
      <c r="F1162"/>
      <c r="G1162"/>
      <c r="I1162"/>
    </row>
    <row r="1163" spans="1:9" x14ac:dyDescent="0.35">
      <c r="A1163"/>
      <c r="B1163"/>
      <c r="C1163"/>
      <c r="D1163"/>
      <c r="F1163"/>
      <c r="G1163"/>
      <c r="I1163"/>
    </row>
    <row r="1164" spans="1:9" x14ac:dyDescent="0.35">
      <c r="A1164"/>
      <c r="B1164"/>
      <c r="C1164"/>
      <c r="D1164"/>
      <c r="F1164"/>
      <c r="G1164"/>
      <c r="I1164"/>
    </row>
    <row r="1165" spans="1:9" x14ac:dyDescent="0.35">
      <c r="A1165"/>
      <c r="B1165"/>
      <c r="C1165"/>
      <c r="D1165"/>
      <c r="F1165"/>
      <c r="G1165"/>
      <c r="I1165"/>
    </row>
    <row r="1166" spans="1:9" x14ac:dyDescent="0.35">
      <c r="A1166"/>
      <c r="B1166"/>
      <c r="C1166"/>
      <c r="D1166"/>
      <c r="F1166"/>
      <c r="G1166"/>
      <c r="I1166"/>
    </row>
    <row r="1167" spans="1:9" x14ac:dyDescent="0.35">
      <c r="A1167"/>
      <c r="B1167"/>
      <c r="C1167"/>
      <c r="D1167"/>
      <c r="F1167"/>
      <c r="G1167"/>
      <c r="I1167"/>
    </row>
    <row r="1168" spans="1:9" x14ac:dyDescent="0.35">
      <c r="A1168"/>
      <c r="B1168"/>
      <c r="C1168"/>
      <c r="D1168"/>
      <c r="F1168"/>
      <c r="G1168"/>
      <c r="I1168"/>
    </row>
    <row r="1169" spans="1:9" x14ac:dyDescent="0.35">
      <c r="A1169"/>
      <c r="B1169"/>
      <c r="C1169"/>
      <c r="D1169"/>
      <c r="F1169"/>
      <c r="G1169"/>
      <c r="I1169"/>
    </row>
    <row r="1170" spans="1:9" x14ac:dyDescent="0.35">
      <c r="A1170"/>
      <c r="B1170"/>
      <c r="C1170"/>
      <c r="D1170"/>
      <c r="F1170"/>
      <c r="G1170"/>
      <c r="I1170"/>
    </row>
    <row r="1171" spans="1:9" x14ac:dyDescent="0.35">
      <c r="A1171"/>
      <c r="B1171"/>
      <c r="C1171"/>
      <c r="D1171"/>
      <c r="F1171"/>
      <c r="G1171"/>
      <c r="I1171"/>
    </row>
    <row r="1172" spans="1:9" x14ac:dyDescent="0.35">
      <c r="A1172"/>
      <c r="B1172"/>
      <c r="C1172"/>
      <c r="D1172"/>
      <c r="F1172"/>
      <c r="G1172"/>
      <c r="I1172"/>
    </row>
    <row r="1173" spans="1:9" x14ac:dyDescent="0.35">
      <c r="A1173"/>
      <c r="B1173"/>
      <c r="C1173"/>
      <c r="D1173"/>
      <c r="F1173"/>
      <c r="G1173"/>
      <c r="I1173"/>
    </row>
    <row r="1174" spans="1:9" x14ac:dyDescent="0.35">
      <c r="A1174"/>
      <c r="B1174"/>
      <c r="C1174"/>
      <c r="D1174"/>
      <c r="F1174"/>
      <c r="G1174"/>
      <c r="I1174"/>
    </row>
    <row r="1175" spans="1:9" x14ac:dyDescent="0.35">
      <c r="A1175"/>
      <c r="B1175"/>
      <c r="C1175"/>
      <c r="D1175"/>
      <c r="F1175"/>
      <c r="G1175"/>
      <c r="I1175"/>
    </row>
    <row r="1176" spans="1:9" x14ac:dyDescent="0.35">
      <c r="A1176"/>
      <c r="B1176"/>
      <c r="C1176"/>
      <c r="D1176"/>
      <c r="F1176"/>
      <c r="G1176"/>
      <c r="I1176"/>
    </row>
    <row r="1177" spans="1:9" x14ac:dyDescent="0.35">
      <c r="A1177"/>
      <c r="B1177"/>
      <c r="C1177"/>
      <c r="D1177"/>
      <c r="F1177"/>
      <c r="G1177"/>
      <c r="I1177"/>
    </row>
    <row r="1178" spans="1:9" x14ac:dyDescent="0.35">
      <c r="A1178"/>
      <c r="B1178"/>
      <c r="C1178"/>
      <c r="D1178"/>
      <c r="F1178"/>
      <c r="G1178"/>
      <c r="I1178"/>
    </row>
    <row r="1179" spans="1:9" x14ac:dyDescent="0.35">
      <c r="A1179"/>
      <c r="B1179"/>
      <c r="C1179"/>
      <c r="D1179"/>
      <c r="F1179"/>
      <c r="G1179"/>
      <c r="I1179"/>
    </row>
    <row r="1180" spans="1:9" x14ac:dyDescent="0.35">
      <c r="A1180"/>
      <c r="B1180"/>
      <c r="C1180"/>
      <c r="D1180"/>
      <c r="F1180"/>
      <c r="G1180"/>
      <c r="I1180"/>
    </row>
    <row r="1181" spans="1:9" x14ac:dyDescent="0.35">
      <c r="A1181"/>
      <c r="B1181"/>
      <c r="C1181"/>
      <c r="D1181"/>
      <c r="F1181"/>
      <c r="G1181"/>
      <c r="I1181"/>
    </row>
    <row r="1182" spans="1:9" x14ac:dyDescent="0.35">
      <c r="A1182"/>
      <c r="B1182"/>
      <c r="C1182"/>
      <c r="D1182"/>
      <c r="F1182"/>
      <c r="G1182"/>
      <c r="I1182"/>
    </row>
    <row r="1183" spans="1:9" x14ac:dyDescent="0.35">
      <c r="A1183"/>
      <c r="B1183"/>
      <c r="C1183"/>
      <c r="D1183"/>
      <c r="F1183"/>
      <c r="G1183"/>
      <c r="I1183"/>
    </row>
    <row r="1184" spans="1:9" x14ac:dyDescent="0.35">
      <c r="A1184"/>
      <c r="B1184"/>
      <c r="C1184"/>
      <c r="D1184"/>
      <c r="F1184"/>
      <c r="G1184"/>
      <c r="I1184"/>
    </row>
    <row r="1185" spans="1:9" x14ac:dyDescent="0.35">
      <c r="A1185"/>
      <c r="B1185"/>
      <c r="C1185"/>
      <c r="D1185"/>
      <c r="F1185"/>
      <c r="G1185"/>
      <c r="I1185"/>
    </row>
    <row r="1186" spans="1:9" x14ac:dyDescent="0.35">
      <c r="A1186"/>
      <c r="B1186"/>
      <c r="C1186"/>
      <c r="D1186"/>
      <c r="F1186"/>
      <c r="G1186"/>
      <c r="I1186"/>
    </row>
    <row r="1187" spans="1:9" x14ac:dyDescent="0.35">
      <c r="A1187"/>
      <c r="B1187"/>
      <c r="C1187"/>
      <c r="D1187"/>
      <c r="F1187"/>
      <c r="G1187"/>
      <c r="I1187"/>
    </row>
    <row r="1188" spans="1:9" x14ac:dyDescent="0.35">
      <c r="A1188"/>
      <c r="B1188"/>
      <c r="C1188"/>
      <c r="D1188"/>
      <c r="F1188"/>
      <c r="G1188"/>
      <c r="I1188"/>
    </row>
    <row r="1189" spans="1:9" x14ac:dyDescent="0.35">
      <c r="A1189"/>
      <c r="B1189"/>
      <c r="C1189"/>
      <c r="D1189"/>
      <c r="F1189"/>
      <c r="G1189"/>
      <c r="I1189"/>
    </row>
    <row r="1190" spans="1:9" x14ac:dyDescent="0.35">
      <c r="A1190"/>
      <c r="B1190"/>
      <c r="C1190"/>
      <c r="D1190"/>
      <c r="F1190"/>
      <c r="G1190"/>
      <c r="I1190"/>
    </row>
    <row r="1191" spans="1:9" x14ac:dyDescent="0.35">
      <c r="A1191"/>
      <c r="B1191"/>
      <c r="C1191"/>
      <c r="D1191"/>
      <c r="F1191"/>
      <c r="G1191"/>
      <c r="I1191"/>
    </row>
    <row r="1192" spans="1:9" x14ac:dyDescent="0.35">
      <c r="A1192"/>
      <c r="B1192"/>
      <c r="C1192"/>
      <c r="D1192"/>
      <c r="F1192"/>
      <c r="G1192"/>
      <c r="I1192"/>
    </row>
    <row r="1193" spans="1:9" x14ac:dyDescent="0.35">
      <c r="A1193"/>
      <c r="B1193"/>
      <c r="C1193"/>
      <c r="D1193"/>
      <c r="F1193"/>
      <c r="G1193"/>
      <c r="I1193"/>
    </row>
    <row r="1194" spans="1:9" x14ac:dyDescent="0.35">
      <c r="A1194"/>
      <c r="B1194"/>
      <c r="C1194"/>
      <c r="D1194"/>
      <c r="F1194"/>
      <c r="G1194"/>
      <c r="I1194"/>
    </row>
    <row r="1195" spans="1:9" x14ac:dyDescent="0.35">
      <c r="A1195"/>
      <c r="B1195"/>
      <c r="C1195"/>
      <c r="D1195"/>
      <c r="F1195"/>
      <c r="G1195"/>
      <c r="I1195"/>
    </row>
    <row r="1196" spans="1:9" x14ac:dyDescent="0.35">
      <c r="A1196"/>
      <c r="B1196"/>
      <c r="C1196"/>
      <c r="D1196"/>
      <c r="F1196"/>
      <c r="G1196"/>
      <c r="I1196"/>
    </row>
    <row r="1197" spans="1:9" x14ac:dyDescent="0.35">
      <c r="A1197"/>
      <c r="B1197"/>
      <c r="C1197"/>
      <c r="D1197"/>
      <c r="F1197"/>
      <c r="G1197"/>
      <c r="I1197"/>
    </row>
    <row r="1198" spans="1:9" x14ac:dyDescent="0.35">
      <c r="A1198"/>
      <c r="B1198"/>
      <c r="C1198"/>
      <c r="D1198"/>
      <c r="F1198"/>
      <c r="G1198"/>
      <c r="I1198"/>
    </row>
    <row r="1199" spans="1:9" x14ac:dyDescent="0.35">
      <c r="A1199"/>
      <c r="B1199"/>
      <c r="C1199"/>
      <c r="D1199"/>
      <c r="F1199"/>
      <c r="G1199"/>
      <c r="I1199"/>
    </row>
    <row r="1200" spans="1:9" x14ac:dyDescent="0.35">
      <c r="A1200"/>
      <c r="B1200"/>
      <c r="C1200"/>
      <c r="D1200"/>
      <c r="F1200"/>
      <c r="G1200"/>
      <c r="I1200"/>
    </row>
    <row r="1201" spans="1:9" x14ac:dyDescent="0.35">
      <c r="A1201"/>
      <c r="B1201"/>
      <c r="C1201"/>
      <c r="D1201"/>
      <c r="F1201"/>
      <c r="G1201"/>
      <c r="I1201"/>
    </row>
    <row r="1202" spans="1:9" x14ac:dyDescent="0.35">
      <c r="A1202"/>
      <c r="B1202"/>
      <c r="C1202"/>
      <c r="D1202"/>
      <c r="F1202"/>
      <c r="G1202"/>
      <c r="I1202"/>
    </row>
    <row r="1203" spans="1:9" x14ac:dyDescent="0.35">
      <c r="A1203"/>
      <c r="B1203"/>
      <c r="C1203"/>
      <c r="D1203"/>
      <c r="F1203"/>
      <c r="G1203"/>
      <c r="I1203"/>
    </row>
    <row r="1204" spans="1:9" x14ac:dyDescent="0.35">
      <c r="A1204"/>
      <c r="B1204"/>
      <c r="C1204"/>
      <c r="D1204"/>
      <c r="F1204"/>
      <c r="G1204"/>
      <c r="I1204"/>
    </row>
    <row r="1205" spans="1:9" x14ac:dyDescent="0.35">
      <c r="A1205"/>
      <c r="B1205"/>
      <c r="C1205"/>
      <c r="D1205"/>
      <c r="F1205"/>
      <c r="G1205"/>
      <c r="I1205"/>
    </row>
    <row r="1206" spans="1:9" x14ac:dyDescent="0.35">
      <c r="A1206"/>
      <c r="B1206"/>
      <c r="C1206"/>
      <c r="D1206"/>
      <c r="F1206"/>
      <c r="G1206"/>
      <c r="I1206"/>
    </row>
    <row r="1207" spans="1:9" x14ac:dyDescent="0.35">
      <c r="A1207"/>
      <c r="B1207"/>
      <c r="C1207"/>
      <c r="D1207"/>
      <c r="F1207"/>
      <c r="G1207"/>
      <c r="I1207"/>
    </row>
    <row r="1208" spans="1:9" x14ac:dyDescent="0.35">
      <c r="A1208"/>
      <c r="B1208"/>
      <c r="C1208"/>
      <c r="D1208"/>
      <c r="F1208"/>
      <c r="G1208"/>
      <c r="I1208"/>
    </row>
    <row r="1209" spans="1:9" x14ac:dyDescent="0.35">
      <c r="A1209"/>
      <c r="B1209"/>
      <c r="C1209"/>
      <c r="D1209"/>
      <c r="F1209"/>
      <c r="G1209"/>
      <c r="I1209"/>
    </row>
    <row r="1210" spans="1:9" x14ac:dyDescent="0.35">
      <c r="A1210"/>
      <c r="B1210"/>
      <c r="C1210"/>
      <c r="D1210"/>
      <c r="F1210"/>
      <c r="G1210"/>
      <c r="I1210"/>
    </row>
    <row r="1211" spans="1:9" x14ac:dyDescent="0.35">
      <c r="A1211"/>
      <c r="B1211"/>
      <c r="C1211"/>
      <c r="D1211"/>
      <c r="F1211"/>
      <c r="G1211"/>
      <c r="I1211"/>
    </row>
    <row r="1212" spans="1:9" x14ac:dyDescent="0.35">
      <c r="A1212"/>
      <c r="B1212"/>
      <c r="C1212"/>
      <c r="D1212"/>
      <c r="F1212"/>
      <c r="G1212"/>
      <c r="I1212"/>
    </row>
    <row r="1213" spans="1:9" x14ac:dyDescent="0.35">
      <c r="A1213"/>
      <c r="B1213"/>
      <c r="C1213"/>
      <c r="D1213"/>
      <c r="F1213"/>
      <c r="G1213"/>
      <c r="I1213"/>
    </row>
    <row r="1214" spans="1:9" x14ac:dyDescent="0.35">
      <c r="A1214"/>
      <c r="B1214"/>
      <c r="C1214"/>
      <c r="D1214"/>
      <c r="F1214"/>
      <c r="G1214"/>
      <c r="I1214"/>
    </row>
    <row r="1215" spans="1:9" x14ac:dyDescent="0.35">
      <c r="A1215"/>
      <c r="B1215"/>
      <c r="C1215"/>
      <c r="D1215"/>
      <c r="F1215"/>
      <c r="G1215"/>
      <c r="I1215"/>
    </row>
    <row r="1216" spans="1:9" x14ac:dyDescent="0.35">
      <c r="A1216"/>
      <c r="B1216"/>
      <c r="C1216"/>
      <c r="D1216"/>
      <c r="F1216"/>
      <c r="G1216"/>
      <c r="I1216"/>
    </row>
    <row r="1217" spans="1:9" x14ac:dyDescent="0.35">
      <c r="A1217"/>
      <c r="B1217"/>
      <c r="C1217"/>
      <c r="D1217"/>
      <c r="F1217"/>
      <c r="G1217"/>
      <c r="I1217"/>
    </row>
    <row r="1218" spans="1:9" x14ac:dyDescent="0.35">
      <c r="A1218"/>
      <c r="B1218"/>
      <c r="C1218"/>
      <c r="D1218"/>
      <c r="F1218"/>
      <c r="G1218"/>
      <c r="I1218"/>
    </row>
    <row r="1219" spans="1:9" x14ac:dyDescent="0.35">
      <c r="A1219"/>
      <c r="B1219"/>
      <c r="C1219"/>
      <c r="D1219"/>
      <c r="F1219"/>
      <c r="G1219"/>
      <c r="I1219"/>
    </row>
    <row r="1220" spans="1:9" x14ac:dyDescent="0.35">
      <c r="A1220"/>
      <c r="B1220"/>
      <c r="C1220"/>
      <c r="D1220"/>
      <c r="F1220"/>
      <c r="G1220"/>
      <c r="I1220"/>
    </row>
    <row r="1221" spans="1:9" x14ac:dyDescent="0.35">
      <c r="A1221"/>
      <c r="B1221"/>
      <c r="C1221"/>
      <c r="D1221"/>
      <c r="F1221"/>
      <c r="G1221"/>
      <c r="I1221"/>
    </row>
    <row r="1222" spans="1:9" x14ac:dyDescent="0.35">
      <c r="A1222"/>
      <c r="B1222"/>
      <c r="C1222"/>
      <c r="D1222"/>
      <c r="F1222"/>
      <c r="G1222"/>
      <c r="I1222"/>
    </row>
    <row r="1223" spans="1:9" x14ac:dyDescent="0.35">
      <c r="A1223"/>
      <c r="B1223"/>
      <c r="C1223"/>
      <c r="D1223"/>
      <c r="F1223"/>
      <c r="G1223"/>
      <c r="I1223"/>
    </row>
    <row r="1224" spans="1:9" x14ac:dyDescent="0.35">
      <c r="A1224"/>
      <c r="B1224"/>
      <c r="C1224"/>
      <c r="D1224"/>
      <c r="F1224"/>
      <c r="G1224"/>
      <c r="I1224"/>
    </row>
    <row r="1225" spans="1:9" x14ac:dyDescent="0.35">
      <c r="A1225"/>
      <c r="B1225"/>
      <c r="C1225"/>
      <c r="D1225"/>
      <c r="F1225"/>
      <c r="G1225"/>
      <c r="I1225"/>
    </row>
    <row r="1226" spans="1:9" x14ac:dyDescent="0.35">
      <c r="A1226"/>
      <c r="B1226"/>
      <c r="C1226"/>
      <c r="D1226"/>
      <c r="F1226"/>
      <c r="G1226"/>
      <c r="I1226"/>
    </row>
    <row r="1227" spans="1:9" x14ac:dyDescent="0.35">
      <c r="A1227"/>
      <c r="B1227"/>
      <c r="C1227"/>
      <c r="D1227"/>
      <c r="F1227"/>
      <c r="G1227"/>
      <c r="I1227"/>
    </row>
    <row r="1228" spans="1:9" x14ac:dyDescent="0.35">
      <c r="A1228"/>
      <c r="B1228"/>
      <c r="C1228"/>
      <c r="D1228"/>
      <c r="F1228"/>
      <c r="G1228"/>
      <c r="I1228"/>
    </row>
    <row r="1229" spans="1:9" x14ac:dyDescent="0.35">
      <c r="A1229"/>
      <c r="B1229"/>
      <c r="C1229"/>
      <c r="D1229"/>
      <c r="F1229"/>
      <c r="G1229"/>
      <c r="I1229"/>
    </row>
    <row r="1230" spans="1:9" x14ac:dyDescent="0.35">
      <c r="A1230"/>
      <c r="B1230"/>
      <c r="C1230"/>
      <c r="D1230"/>
      <c r="F1230"/>
      <c r="G1230"/>
      <c r="I1230"/>
    </row>
    <row r="1231" spans="1:9" x14ac:dyDescent="0.35">
      <c r="A1231"/>
      <c r="B1231"/>
      <c r="C1231"/>
      <c r="D1231"/>
      <c r="F1231"/>
      <c r="G1231"/>
      <c r="I1231"/>
    </row>
    <row r="1232" spans="1:9" x14ac:dyDescent="0.35">
      <c r="A1232"/>
      <c r="B1232"/>
      <c r="C1232"/>
      <c r="D1232"/>
      <c r="F1232"/>
      <c r="G1232"/>
      <c r="I1232"/>
    </row>
    <row r="1233" spans="1:9" x14ac:dyDescent="0.35">
      <c r="A1233"/>
      <c r="B1233"/>
      <c r="C1233"/>
      <c r="D1233"/>
      <c r="F1233"/>
      <c r="G1233"/>
      <c r="I1233"/>
    </row>
    <row r="1234" spans="1:9" x14ac:dyDescent="0.35">
      <c r="A1234"/>
      <c r="B1234"/>
      <c r="C1234"/>
      <c r="D1234"/>
      <c r="F1234"/>
      <c r="G1234"/>
      <c r="I1234"/>
    </row>
    <row r="1235" spans="1:9" x14ac:dyDescent="0.35">
      <c r="A1235"/>
      <c r="B1235"/>
      <c r="C1235"/>
      <c r="D1235"/>
      <c r="F1235"/>
      <c r="G1235"/>
      <c r="I1235"/>
    </row>
    <row r="1236" spans="1:9" x14ac:dyDescent="0.35">
      <c r="A1236"/>
      <c r="B1236"/>
      <c r="C1236"/>
      <c r="D1236"/>
      <c r="F1236"/>
      <c r="G1236"/>
      <c r="I1236"/>
    </row>
    <row r="1237" spans="1:9" x14ac:dyDescent="0.35">
      <c r="A1237"/>
      <c r="B1237"/>
      <c r="C1237"/>
      <c r="D1237"/>
      <c r="F1237"/>
      <c r="G1237"/>
      <c r="I1237"/>
    </row>
    <row r="1238" spans="1:9" x14ac:dyDescent="0.35">
      <c r="A1238"/>
      <c r="B1238"/>
      <c r="C1238"/>
      <c r="D1238"/>
      <c r="F1238"/>
      <c r="G1238"/>
      <c r="I1238"/>
    </row>
    <row r="1239" spans="1:9" x14ac:dyDescent="0.35">
      <c r="A1239"/>
      <c r="B1239"/>
      <c r="C1239"/>
      <c r="D1239"/>
      <c r="F1239"/>
      <c r="G1239"/>
      <c r="I1239"/>
    </row>
    <row r="1240" spans="1:9" x14ac:dyDescent="0.35">
      <c r="A1240"/>
      <c r="B1240"/>
      <c r="C1240"/>
      <c r="D1240"/>
      <c r="F1240"/>
      <c r="G1240"/>
      <c r="I1240"/>
    </row>
    <row r="1241" spans="1:9" x14ac:dyDescent="0.35">
      <c r="A1241"/>
      <c r="B1241"/>
      <c r="C1241"/>
      <c r="D1241"/>
      <c r="F1241"/>
      <c r="G1241"/>
      <c r="I1241"/>
    </row>
    <row r="1242" spans="1:9" x14ac:dyDescent="0.35">
      <c r="A1242"/>
      <c r="B1242"/>
      <c r="C1242"/>
      <c r="D1242"/>
      <c r="F1242"/>
      <c r="G1242"/>
      <c r="I1242"/>
    </row>
    <row r="1243" spans="1:9" x14ac:dyDescent="0.35">
      <c r="A1243"/>
      <c r="B1243"/>
      <c r="C1243"/>
      <c r="D1243"/>
      <c r="F1243"/>
      <c r="G1243"/>
      <c r="I1243"/>
    </row>
    <row r="1244" spans="1:9" x14ac:dyDescent="0.35">
      <c r="A1244"/>
      <c r="B1244"/>
      <c r="C1244"/>
      <c r="D1244"/>
      <c r="F1244"/>
      <c r="G1244"/>
      <c r="I1244"/>
    </row>
    <row r="1245" spans="1:9" x14ac:dyDescent="0.35">
      <c r="A1245"/>
      <c r="B1245"/>
      <c r="C1245"/>
      <c r="D1245"/>
      <c r="F1245"/>
      <c r="G1245"/>
      <c r="I1245"/>
    </row>
    <row r="1246" spans="1:9" x14ac:dyDescent="0.35">
      <c r="A1246"/>
      <c r="B1246"/>
      <c r="C1246"/>
      <c r="D1246"/>
      <c r="F1246"/>
      <c r="G1246"/>
      <c r="I1246"/>
    </row>
    <row r="1247" spans="1:9" x14ac:dyDescent="0.35">
      <c r="A1247"/>
      <c r="B1247"/>
      <c r="C1247"/>
      <c r="D1247"/>
      <c r="F1247"/>
      <c r="G1247"/>
      <c r="I1247"/>
    </row>
    <row r="1248" spans="1:9" x14ac:dyDescent="0.35">
      <c r="A1248"/>
      <c r="B1248"/>
      <c r="C1248"/>
      <c r="D1248"/>
      <c r="F1248"/>
      <c r="G1248"/>
      <c r="I1248"/>
    </row>
    <row r="1249" spans="1:9" x14ac:dyDescent="0.35">
      <c r="A1249"/>
      <c r="B1249"/>
      <c r="C1249"/>
      <c r="D1249"/>
      <c r="F1249"/>
      <c r="G1249"/>
      <c r="I1249"/>
    </row>
    <row r="1250" spans="1:9" x14ac:dyDescent="0.35">
      <c r="A1250"/>
      <c r="B1250"/>
      <c r="C1250"/>
      <c r="D1250"/>
      <c r="F1250"/>
      <c r="G1250"/>
      <c r="I1250"/>
    </row>
    <row r="1251" spans="1:9" x14ac:dyDescent="0.35">
      <c r="A1251"/>
      <c r="B1251"/>
      <c r="C1251"/>
      <c r="D1251"/>
      <c r="F1251"/>
      <c r="G1251"/>
      <c r="I1251"/>
    </row>
    <row r="1252" spans="1:9" x14ac:dyDescent="0.35">
      <c r="A1252"/>
      <c r="B1252"/>
      <c r="C1252"/>
      <c r="D1252"/>
      <c r="F1252"/>
      <c r="G1252"/>
      <c r="I1252"/>
    </row>
    <row r="1253" spans="1:9" x14ac:dyDescent="0.35">
      <c r="A1253"/>
      <c r="B1253"/>
      <c r="C1253"/>
      <c r="D1253"/>
      <c r="F1253"/>
      <c r="G1253"/>
      <c r="I1253"/>
    </row>
    <row r="1254" spans="1:9" x14ac:dyDescent="0.35">
      <c r="A1254"/>
      <c r="B1254"/>
      <c r="C1254"/>
      <c r="D1254"/>
      <c r="F1254"/>
      <c r="G1254"/>
      <c r="I1254"/>
    </row>
    <row r="1255" spans="1:9" x14ac:dyDescent="0.35">
      <c r="A1255"/>
      <c r="B1255"/>
      <c r="C1255"/>
      <c r="D1255"/>
      <c r="F1255"/>
      <c r="G1255"/>
      <c r="I1255"/>
    </row>
    <row r="1256" spans="1:9" x14ac:dyDescent="0.35">
      <c r="A1256"/>
      <c r="B1256"/>
      <c r="C1256"/>
      <c r="D1256"/>
      <c r="F1256"/>
      <c r="G1256"/>
      <c r="I1256"/>
    </row>
    <row r="1257" spans="1:9" x14ac:dyDescent="0.35">
      <c r="A1257"/>
      <c r="B1257"/>
      <c r="C1257"/>
      <c r="D1257"/>
      <c r="F1257"/>
      <c r="G1257"/>
      <c r="I1257"/>
    </row>
    <row r="1258" spans="1:9" x14ac:dyDescent="0.35">
      <c r="A1258"/>
      <c r="B1258"/>
      <c r="C1258"/>
      <c r="D1258"/>
      <c r="F1258"/>
      <c r="G1258"/>
      <c r="I1258"/>
    </row>
    <row r="1259" spans="1:9" x14ac:dyDescent="0.35">
      <c r="A1259"/>
      <c r="B1259"/>
      <c r="C1259"/>
      <c r="D1259"/>
      <c r="F1259"/>
      <c r="G1259"/>
      <c r="I1259"/>
    </row>
    <row r="1260" spans="1:9" x14ac:dyDescent="0.35">
      <c r="A1260"/>
      <c r="B1260"/>
      <c r="C1260"/>
      <c r="D1260"/>
      <c r="F1260"/>
      <c r="G1260"/>
      <c r="I1260"/>
    </row>
    <row r="1261" spans="1:9" x14ac:dyDescent="0.35">
      <c r="A1261"/>
      <c r="B1261"/>
      <c r="C1261"/>
      <c r="D1261"/>
      <c r="F1261"/>
      <c r="G1261"/>
      <c r="I1261"/>
    </row>
    <row r="1262" spans="1:9" x14ac:dyDescent="0.35">
      <c r="A1262"/>
      <c r="B1262"/>
      <c r="C1262"/>
      <c r="D1262"/>
      <c r="F1262"/>
      <c r="G1262"/>
      <c r="I1262"/>
    </row>
    <row r="1263" spans="1:9" x14ac:dyDescent="0.35">
      <c r="A1263"/>
      <c r="B1263"/>
      <c r="C1263"/>
      <c r="D1263"/>
      <c r="F1263"/>
      <c r="G1263"/>
      <c r="I1263"/>
    </row>
    <row r="1264" spans="1:9" x14ac:dyDescent="0.35">
      <c r="A1264"/>
      <c r="B1264"/>
      <c r="C1264"/>
      <c r="D1264"/>
      <c r="F1264"/>
      <c r="G1264"/>
      <c r="I1264"/>
    </row>
    <row r="1265" spans="1:9" x14ac:dyDescent="0.35">
      <c r="A1265"/>
      <c r="B1265"/>
      <c r="C1265"/>
      <c r="D1265"/>
      <c r="F1265"/>
      <c r="G1265"/>
      <c r="I1265"/>
    </row>
    <row r="1266" spans="1:9" x14ac:dyDescent="0.35">
      <c r="A1266"/>
      <c r="B1266"/>
      <c r="C1266"/>
      <c r="D1266"/>
      <c r="F1266"/>
      <c r="G1266"/>
      <c r="I1266"/>
    </row>
    <row r="1267" spans="1:9" x14ac:dyDescent="0.35">
      <c r="A1267"/>
      <c r="B1267"/>
      <c r="C1267"/>
      <c r="D1267"/>
      <c r="F1267"/>
      <c r="G1267"/>
      <c r="I1267"/>
    </row>
    <row r="1268" spans="1:9" x14ac:dyDescent="0.35">
      <c r="A1268"/>
      <c r="B1268"/>
      <c r="C1268"/>
      <c r="D1268"/>
      <c r="F1268"/>
      <c r="G1268"/>
      <c r="I1268"/>
    </row>
    <row r="1269" spans="1:9" x14ac:dyDescent="0.35">
      <c r="A1269"/>
      <c r="B1269"/>
      <c r="C1269"/>
      <c r="D1269"/>
      <c r="F1269"/>
      <c r="G1269"/>
      <c r="I1269"/>
    </row>
    <row r="1270" spans="1:9" x14ac:dyDescent="0.35">
      <c r="A1270"/>
      <c r="B1270"/>
      <c r="C1270"/>
      <c r="D1270"/>
      <c r="F1270"/>
      <c r="G1270"/>
      <c r="I1270"/>
    </row>
    <row r="1271" spans="1:9" x14ac:dyDescent="0.35">
      <c r="A1271"/>
      <c r="B1271"/>
      <c r="C1271"/>
      <c r="D1271"/>
      <c r="F1271"/>
      <c r="G1271"/>
      <c r="I1271"/>
    </row>
    <row r="1272" spans="1:9" x14ac:dyDescent="0.35">
      <c r="A1272"/>
      <c r="B1272"/>
      <c r="C1272"/>
      <c r="D1272"/>
      <c r="F1272"/>
      <c r="G1272"/>
      <c r="I1272"/>
    </row>
    <row r="1273" spans="1:9" x14ac:dyDescent="0.35">
      <c r="A1273"/>
      <c r="B1273"/>
      <c r="C1273"/>
      <c r="D1273"/>
      <c r="F1273"/>
      <c r="G1273"/>
      <c r="I1273"/>
    </row>
    <row r="1274" spans="1:9" x14ac:dyDescent="0.35">
      <c r="A1274"/>
      <c r="B1274"/>
      <c r="C1274"/>
      <c r="D1274"/>
      <c r="F1274"/>
      <c r="G1274"/>
      <c r="I1274"/>
    </row>
    <row r="1275" spans="1:9" x14ac:dyDescent="0.35">
      <c r="A1275"/>
      <c r="B1275"/>
      <c r="C1275"/>
      <c r="D1275"/>
      <c r="F1275"/>
      <c r="G1275"/>
      <c r="I1275"/>
    </row>
    <row r="1276" spans="1:9" x14ac:dyDescent="0.35">
      <c r="A1276"/>
      <c r="B1276"/>
      <c r="C1276"/>
      <c r="D1276"/>
      <c r="F1276"/>
      <c r="G1276"/>
      <c r="I1276"/>
    </row>
    <row r="1277" spans="1:9" x14ac:dyDescent="0.35">
      <c r="A1277"/>
      <c r="B1277"/>
      <c r="C1277"/>
      <c r="D1277"/>
      <c r="F1277"/>
      <c r="G1277"/>
      <c r="I1277"/>
    </row>
    <row r="1278" spans="1:9" x14ac:dyDescent="0.35">
      <c r="A1278"/>
      <c r="B1278"/>
      <c r="C1278"/>
      <c r="D1278"/>
      <c r="F1278"/>
      <c r="G1278"/>
      <c r="I1278"/>
    </row>
    <row r="1279" spans="1:9" x14ac:dyDescent="0.35">
      <c r="A1279"/>
      <c r="B1279"/>
      <c r="C1279"/>
      <c r="D1279"/>
      <c r="F1279"/>
      <c r="G1279"/>
      <c r="I1279"/>
    </row>
    <row r="1280" spans="1:9" x14ac:dyDescent="0.35">
      <c r="A1280"/>
      <c r="B1280"/>
      <c r="C1280"/>
      <c r="D1280"/>
      <c r="F1280"/>
      <c r="G1280"/>
      <c r="I1280"/>
    </row>
    <row r="1281" spans="1:9" x14ac:dyDescent="0.35">
      <c r="A1281"/>
      <c r="B1281"/>
      <c r="C1281"/>
      <c r="D1281"/>
      <c r="F1281"/>
      <c r="G1281"/>
      <c r="I1281"/>
    </row>
    <row r="1282" spans="1:9" x14ac:dyDescent="0.35">
      <c r="A1282"/>
      <c r="B1282"/>
      <c r="C1282"/>
      <c r="D1282"/>
      <c r="F1282"/>
      <c r="G1282"/>
      <c r="I1282"/>
    </row>
    <row r="1283" spans="1:9" x14ac:dyDescent="0.35">
      <c r="A1283"/>
      <c r="B1283"/>
      <c r="C1283"/>
      <c r="D1283"/>
      <c r="F1283"/>
      <c r="G1283"/>
      <c r="I1283"/>
    </row>
    <row r="1284" spans="1:9" x14ac:dyDescent="0.35">
      <c r="A1284"/>
      <c r="B1284"/>
      <c r="C1284"/>
      <c r="D1284"/>
      <c r="F1284"/>
      <c r="G1284"/>
      <c r="I1284"/>
    </row>
    <row r="1285" spans="1:9" x14ac:dyDescent="0.35">
      <c r="A1285"/>
      <c r="B1285"/>
      <c r="C1285"/>
      <c r="D1285"/>
      <c r="F1285"/>
      <c r="G1285"/>
      <c r="I1285"/>
    </row>
    <row r="1286" spans="1:9" x14ac:dyDescent="0.35">
      <c r="A1286"/>
      <c r="B1286"/>
      <c r="C1286"/>
      <c r="D1286"/>
      <c r="F1286"/>
      <c r="G1286"/>
      <c r="I1286"/>
    </row>
    <row r="1287" spans="1:9" x14ac:dyDescent="0.35">
      <c r="A1287"/>
      <c r="B1287"/>
      <c r="C1287"/>
      <c r="D1287"/>
      <c r="F1287"/>
      <c r="G1287"/>
      <c r="I1287"/>
    </row>
    <row r="1288" spans="1:9" x14ac:dyDescent="0.35">
      <c r="A1288"/>
      <c r="B1288"/>
      <c r="C1288"/>
      <c r="D1288"/>
      <c r="F1288"/>
      <c r="G1288"/>
      <c r="I1288"/>
    </row>
    <row r="1289" spans="1:9" x14ac:dyDescent="0.35">
      <c r="A1289"/>
      <c r="B1289"/>
      <c r="C1289"/>
      <c r="D1289"/>
      <c r="F1289"/>
      <c r="G1289"/>
      <c r="I1289"/>
    </row>
    <row r="1290" spans="1:9" x14ac:dyDescent="0.35">
      <c r="A1290"/>
      <c r="B1290"/>
      <c r="C1290"/>
      <c r="D1290"/>
      <c r="F1290"/>
      <c r="G1290"/>
      <c r="I1290"/>
    </row>
    <row r="1291" spans="1:9" x14ac:dyDescent="0.35">
      <c r="A1291"/>
      <c r="B1291"/>
      <c r="C1291"/>
      <c r="D1291"/>
      <c r="F1291"/>
      <c r="G1291"/>
      <c r="I1291"/>
    </row>
    <row r="1292" spans="1:9" x14ac:dyDescent="0.35">
      <c r="A1292"/>
      <c r="B1292"/>
      <c r="C1292"/>
      <c r="D1292"/>
      <c r="F1292"/>
      <c r="G1292"/>
      <c r="I1292"/>
    </row>
    <row r="1293" spans="1:9" x14ac:dyDescent="0.35">
      <c r="A1293"/>
      <c r="B1293"/>
      <c r="C1293"/>
      <c r="D1293"/>
      <c r="F1293"/>
      <c r="G1293"/>
      <c r="I1293"/>
    </row>
    <row r="1294" spans="1:9" x14ac:dyDescent="0.35">
      <c r="A1294"/>
      <c r="B1294"/>
      <c r="C1294"/>
      <c r="D1294"/>
      <c r="F1294"/>
      <c r="G1294"/>
      <c r="I1294"/>
    </row>
    <row r="1295" spans="1:9" x14ac:dyDescent="0.35">
      <c r="A1295"/>
      <c r="B1295"/>
      <c r="C1295"/>
      <c r="D1295"/>
      <c r="F1295"/>
      <c r="G1295"/>
      <c r="I1295"/>
    </row>
    <row r="1296" spans="1:9" x14ac:dyDescent="0.35">
      <c r="A1296"/>
      <c r="B1296"/>
      <c r="C1296"/>
      <c r="D1296"/>
      <c r="F1296"/>
      <c r="G1296"/>
      <c r="I1296"/>
    </row>
    <row r="1297" spans="1:9" x14ac:dyDescent="0.35">
      <c r="A1297"/>
      <c r="B1297"/>
      <c r="C1297"/>
      <c r="D1297"/>
      <c r="F1297"/>
      <c r="G1297"/>
      <c r="I1297"/>
    </row>
    <row r="1298" spans="1:9" x14ac:dyDescent="0.35">
      <c r="A1298"/>
      <c r="B1298"/>
      <c r="C1298"/>
      <c r="D1298"/>
      <c r="F1298"/>
      <c r="G1298"/>
      <c r="I1298"/>
    </row>
    <row r="1299" spans="1:9" x14ac:dyDescent="0.35">
      <c r="A1299"/>
      <c r="B1299"/>
      <c r="C1299"/>
      <c r="D1299"/>
      <c r="F1299"/>
      <c r="G1299"/>
      <c r="I1299"/>
    </row>
    <row r="1300" spans="1:9" x14ac:dyDescent="0.35">
      <c r="A1300"/>
      <c r="B1300"/>
      <c r="C1300"/>
      <c r="D1300"/>
      <c r="F1300"/>
      <c r="G1300"/>
      <c r="I1300"/>
    </row>
    <row r="1301" spans="1:9" x14ac:dyDescent="0.35">
      <c r="A1301"/>
      <c r="B1301"/>
      <c r="C1301"/>
      <c r="D1301"/>
      <c r="F1301"/>
      <c r="G1301"/>
      <c r="I1301"/>
    </row>
    <row r="1302" spans="1:9" x14ac:dyDescent="0.35">
      <c r="A1302"/>
      <c r="B1302"/>
      <c r="C1302"/>
      <c r="D1302"/>
      <c r="F1302"/>
      <c r="G1302"/>
      <c r="I1302"/>
    </row>
    <row r="1303" spans="1:9" x14ac:dyDescent="0.35">
      <c r="A1303"/>
      <c r="B1303"/>
      <c r="C1303"/>
      <c r="D1303"/>
      <c r="F1303"/>
      <c r="G1303"/>
      <c r="I1303"/>
    </row>
    <row r="1304" spans="1:9" x14ac:dyDescent="0.35">
      <c r="A1304"/>
      <c r="B1304"/>
      <c r="C1304"/>
      <c r="D1304"/>
      <c r="F1304"/>
      <c r="G1304"/>
      <c r="I1304"/>
    </row>
    <row r="1305" spans="1:9" x14ac:dyDescent="0.35">
      <c r="A1305"/>
      <c r="B1305"/>
      <c r="C1305"/>
      <c r="D1305"/>
      <c r="F1305"/>
      <c r="G1305"/>
      <c r="I1305"/>
    </row>
    <row r="1306" spans="1:9" x14ac:dyDescent="0.35">
      <c r="A1306"/>
      <c r="B1306"/>
      <c r="C1306"/>
      <c r="D1306"/>
      <c r="F1306"/>
      <c r="G1306"/>
      <c r="I1306"/>
    </row>
    <row r="1307" spans="1:9" x14ac:dyDescent="0.35">
      <c r="A1307"/>
      <c r="B1307"/>
      <c r="C1307"/>
      <c r="D1307"/>
      <c r="F1307"/>
      <c r="G1307"/>
      <c r="I1307"/>
    </row>
    <row r="1308" spans="1:9" x14ac:dyDescent="0.35">
      <c r="A1308"/>
      <c r="B1308"/>
      <c r="C1308"/>
      <c r="D1308"/>
      <c r="F1308"/>
      <c r="G1308"/>
      <c r="I1308"/>
    </row>
    <row r="1309" spans="1:9" x14ac:dyDescent="0.35">
      <c r="A1309"/>
      <c r="B1309"/>
      <c r="C1309"/>
      <c r="D1309"/>
      <c r="F1309"/>
      <c r="G1309"/>
      <c r="I1309"/>
    </row>
    <row r="1310" spans="1:9" x14ac:dyDescent="0.35">
      <c r="A1310"/>
      <c r="B1310"/>
      <c r="C1310"/>
      <c r="D1310"/>
      <c r="F1310"/>
      <c r="G1310"/>
      <c r="I1310"/>
    </row>
    <row r="1311" spans="1:9" x14ac:dyDescent="0.35">
      <c r="A1311"/>
      <c r="B1311"/>
      <c r="C1311"/>
      <c r="D1311"/>
      <c r="F1311"/>
      <c r="G1311"/>
      <c r="I1311"/>
    </row>
    <row r="1312" spans="1:9" x14ac:dyDescent="0.35">
      <c r="A1312"/>
      <c r="B1312"/>
      <c r="C1312"/>
      <c r="D1312"/>
      <c r="F1312"/>
      <c r="G1312"/>
      <c r="I1312"/>
    </row>
    <row r="1313" spans="1:9" x14ac:dyDescent="0.35">
      <c r="A1313"/>
      <c r="B1313"/>
      <c r="C1313"/>
      <c r="D1313"/>
      <c r="F1313"/>
      <c r="G1313"/>
      <c r="I1313"/>
    </row>
    <row r="1314" spans="1:9" x14ac:dyDescent="0.35">
      <c r="A1314"/>
      <c r="B1314"/>
      <c r="C1314"/>
      <c r="D1314"/>
      <c r="F1314"/>
      <c r="G1314"/>
      <c r="I1314"/>
    </row>
    <row r="1315" spans="1:9" x14ac:dyDescent="0.35">
      <c r="A1315"/>
      <c r="B1315"/>
      <c r="C1315"/>
      <c r="D1315"/>
      <c r="F1315"/>
      <c r="G1315"/>
      <c r="I1315"/>
    </row>
    <row r="1316" spans="1:9" x14ac:dyDescent="0.35">
      <c r="A1316"/>
      <c r="B1316"/>
      <c r="C1316"/>
      <c r="D1316"/>
      <c r="F1316"/>
      <c r="G1316"/>
      <c r="I1316"/>
    </row>
    <row r="1317" spans="1:9" x14ac:dyDescent="0.35">
      <c r="A1317"/>
      <c r="B1317"/>
      <c r="C1317"/>
      <c r="D1317"/>
      <c r="F1317"/>
      <c r="G1317"/>
      <c r="I1317"/>
    </row>
    <row r="1318" spans="1:9" x14ac:dyDescent="0.35">
      <c r="A1318"/>
      <c r="B1318"/>
      <c r="C1318"/>
      <c r="D1318"/>
      <c r="F1318"/>
      <c r="G1318"/>
      <c r="I1318"/>
    </row>
    <row r="1319" spans="1:9" x14ac:dyDescent="0.35">
      <c r="A1319"/>
      <c r="B1319"/>
      <c r="C1319"/>
      <c r="D1319"/>
      <c r="F1319"/>
      <c r="G1319"/>
      <c r="I1319"/>
    </row>
    <row r="1320" spans="1:9" x14ac:dyDescent="0.35">
      <c r="A1320"/>
      <c r="B1320"/>
      <c r="C1320"/>
      <c r="D1320"/>
      <c r="F1320"/>
      <c r="G1320"/>
      <c r="I1320"/>
    </row>
    <row r="1321" spans="1:9" x14ac:dyDescent="0.35">
      <c r="A1321"/>
      <c r="B1321"/>
      <c r="C1321"/>
      <c r="D1321"/>
      <c r="F1321"/>
      <c r="G1321"/>
      <c r="I1321"/>
    </row>
    <row r="1322" spans="1:9" x14ac:dyDescent="0.35">
      <c r="A1322"/>
      <c r="B1322"/>
      <c r="C1322"/>
      <c r="D1322"/>
      <c r="F1322"/>
      <c r="G1322"/>
      <c r="I1322"/>
    </row>
    <row r="1323" spans="1:9" x14ac:dyDescent="0.35">
      <c r="A1323"/>
      <c r="B1323"/>
      <c r="C1323"/>
      <c r="D1323"/>
      <c r="F1323"/>
      <c r="G1323"/>
      <c r="I1323"/>
    </row>
    <row r="1324" spans="1:9" x14ac:dyDescent="0.35">
      <c r="A1324"/>
      <c r="B1324"/>
      <c r="C1324"/>
      <c r="D1324"/>
      <c r="F1324"/>
      <c r="G1324"/>
      <c r="I1324"/>
    </row>
    <row r="1325" spans="1:9" x14ac:dyDescent="0.35">
      <c r="A1325"/>
      <c r="B1325"/>
      <c r="C1325"/>
      <c r="D1325"/>
      <c r="F1325"/>
      <c r="G1325"/>
      <c r="I1325"/>
    </row>
    <row r="1326" spans="1:9" x14ac:dyDescent="0.35">
      <c r="A1326"/>
      <c r="B1326"/>
      <c r="C1326"/>
      <c r="D1326"/>
      <c r="F1326"/>
      <c r="G1326"/>
      <c r="I1326"/>
    </row>
    <row r="1327" spans="1:9" x14ac:dyDescent="0.35">
      <c r="A1327"/>
      <c r="B1327"/>
      <c r="C1327"/>
      <c r="D1327"/>
      <c r="F1327"/>
      <c r="G1327"/>
      <c r="I1327"/>
    </row>
    <row r="1328" spans="1:9" x14ac:dyDescent="0.35">
      <c r="A1328"/>
      <c r="B1328"/>
      <c r="C1328"/>
      <c r="D1328"/>
      <c r="F1328"/>
      <c r="G1328"/>
      <c r="I1328"/>
    </row>
    <row r="1329" spans="1:9" x14ac:dyDescent="0.35">
      <c r="A1329"/>
      <c r="B1329"/>
      <c r="C1329"/>
      <c r="D1329"/>
      <c r="F1329"/>
      <c r="G1329"/>
      <c r="I1329"/>
    </row>
    <row r="1330" spans="1:9" x14ac:dyDescent="0.35">
      <c r="A1330"/>
      <c r="B1330"/>
      <c r="C1330"/>
      <c r="D1330"/>
      <c r="F1330"/>
      <c r="G1330"/>
      <c r="I1330"/>
    </row>
    <row r="1331" spans="1:9" x14ac:dyDescent="0.35">
      <c r="A1331"/>
      <c r="B1331"/>
      <c r="C1331"/>
      <c r="D1331"/>
      <c r="F1331"/>
      <c r="G1331"/>
      <c r="I1331"/>
    </row>
    <row r="1332" spans="1:9" x14ac:dyDescent="0.35">
      <c r="A1332"/>
      <c r="B1332"/>
      <c r="C1332"/>
      <c r="D1332"/>
      <c r="F1332"/>
      <c r="G1332"/>
      <c r="I1332"/>
    </row>
    <row r="1333" spans="1:9" x14ac:dyDescent="0.35">
      <c r="A1333"/>
      <c r="B1333"/>
      <c r="C1333"/>
      <c r="D1333"/>
      <c r="F1333"/>
      <c r="G1333"/>
      <c r="I1333"/>
    </row>
    <row r="1334" spans="1:9" x14ac:dyDescent="0.35">
      <c r="A1334"/>
      <c r="B1334"/>
      <c r="C1334"/>
      <c r="D1334"/>
      <c r="F1334"/>
      <c r="G1334"/>
      <c r="I1334"/>
    </row>
    <row r="1335" spans="1:9" x14ac:dyDescent="0.35">
      <c r="A1335"/>
      <c r="B1335"/>
      <c r="C1335"/>
      <c r="D1335"/>
      <c r="F1335"/>
      <c r="G1335"/>
      <c r="I1335"/>
    </row>
    <row r="1336" spans="1:9" x14ac:dyDescent="0.35">
      <c r="A1336"/>
      <c r="B1336"/>
      <c r="C1336"/>
      <c r="D1336"/>
      <c r="F1336"/>
      <c r="G1336"/>
      <c r="I1336"/>
    </row>
    <row r="1337" spans="1:9" x14ac:dyDescent="0.35">
      <c r="A1337"/>
      <c r="B1337"/>
      <c r="C1337"/>
      <c r="D1337"/>
      <c r="F1337"/>
      <c r="G1337"/>
      <c r="I1337"/>
    </row>
    <row r="1338" spans="1:9" x14ac:dyDescent="0.35">
      <c r="A1338"/>
      <c r="B1338"/>
      <c r="C1338"/>
      <c r="D1338"/>
      <c r="F1338"/>
      <c r="G1338"/>
      <c r="I1338"/>
    </row>
    <row r="1339" spans="1:9" x14ac:dyDescent="0.35">
      <c r="A1339"/>
      <c r="B1339"/>
      <c r="C1339"/>
      <c r="D1339"/>
      <c r="F1339"/>
      <c r="G1339"/>
      <c r="I1339"/>
    </row>
    <row r="1340" spans="1:9" x14ac:dyDescent="0.35">
      <c r="A1340"/>
      <c r="B1340"/>
      <c r="C1340"/>
      <c r="D1340"/>
      <c r="F1340"/>
      <c r="G1340"/>
      <c r="I1340"/>
    </row>
    <row r="1341" spans="1:9" x14ac:dyDescent="0.35">
      <c r="A1341"/>
      <c r="B1341"/>
      <c r="C1341"/>
      <c r="D1341"/>
      <c r="F1341"/>
      <c r="G1341"/>
      <c r="I1341"/>
    </row>
    <row r="1342" spans="1:9" x14ac:dyDescent="0.35">
      <c r="A1342"/>
      <c r="B1342"/>
      <c r="C1342"/>
      <c r="D1342"/>
      <c r="F1342"/>
      <c r="G1342"/>
      <c r="I1342"/>
    </row>
    <row r="1343" spans="1:9" x14ac:dyDescent="0.35">
      <c r="A1343"/>
      <c r="B1343"/>
      <c r="C1343"/>
      <c r="D1343"/>
      <c r="F1343"/>
      <c r="G1343"/>
      <c r="I1343"/>
    </row>
    <row r="1344" spans="1:9" x14ac:dyDescent="0.35">
      <c r="A1344"/>
      <c r="B1344"/>
      <c r="C1344"/>
      <c r="D1344"/>
      <c r="F1344"/>
      <c r="G1344"/>
      <c r="I1344"/>
    </row>
    <row r="1345" spans="1:9" x14ac:dyDescent="0.35">
      <c r="A1345"/>
      <c r="B1345"/>
      <c r="C1345"/>
      <c r="D1345"/>
      <c r="F1345"/>
      <c r="G1345"/>
      <c r="I1345"/>
    </row>
    <row r="1346" spans="1:9" x14ac:dyDescent="0.35">
      <c r="A1346"/>
      <c r="B1346"/>
      <c r="C1346"/>
      <c r="D1346"/>
      <c r="F1346"/>
      <c r="G1346"/>
      <c r="I1346"/>
    </row>
    <row r="1347" spans="1:9" x14ac:dyDescent="0.35">
      <c r="A1347"/>
      <c r="B1347"/>
      <c r="C1347"/>
      <c r="D1347"/>
      <c r="F1347"/>
      <c r="G1347"/>
      <c r="I1347"/>
    </row>
    <row r="1348" spans="1:9" x14ac:dyDescent="0.35">
      <c r="A1348"/>
      <c r="B1348"/>
      <c r="C1348"/>
      <c r="D1348"/>
      <c r="F1348"/>
      <c r="G1348"/>
      <c r="I1348"/>
    </row>
    <row r="1349" spans="1:9" x14ac:dyDescent="0.35">
      <c r="A1349"/>
      <c r="B1349"/>
      <c r="C1349"/>
      <c r="D1349"/>
      <c r="F1349"/>
      <c r="G1349"/>
      <c r="I1349"/>
    </row>
    <row r="1350" spans="1:9" x14ac:dyDescent="0.35">
      <c r="A1350"/>
      <c r="B1350"/>
      <c r="C1350"/>
      <c r="D1350"/>
      <c r="F1350"/>
      <c r="G1350"/>
      <c r="I1350"/>
    </row>
    <row r="1351" spans="1:9" x14ac:dyDescent="0.35">
      <c r="A1351"/>
      <c r="B1351"/>
      <c r="C1351"/>
      <c r="D1351"/>
      <c r="F1351"/>
      <c r="G1351"/>
      <c r="I1351"/>
    </row>
    <row r="1352" spans="1:9" x14ac:dyDescent="0.35">
      <c r="A1352"/>
      <c r="B1352"/>
      <c r="C1352"/>
      <c r="D1352"/>
      <c r="F1352"/>
      <c r="G1352"/>
      <c r="I1352"/>
    </row>
    <row r="1353" spans="1:9" x14ac:dyDescent="0.35">
      <c r="A1353"/>
      <c r="B1353"/>
      <c r="C1353"/>
      <c r="D1353"/>
      <c r="F1353"/>
      <c r="G1353"/>
      <c r="I1353"/>
    </row>
    <row r="1354" spans="1:9" x14ac:dyDescent="0.35">
      <c r="A1354"/>
      <c r="B1354"/>
      <c r="C1354"/>
      <c r="D1354"/>
      <c r="F1354"/>
      <c r="G1354"/>
      <c r="I1354"/>
    </row>
    <row r="1355" spans="1:9" x14ac:dyDescent="0.35">
      <c r="A1355"/>
      <c r="B1355"/>
      <c r="C1355"/>
      <c r="D1355"/>
      <c r="F1355"/>
      <c r="G1355"/>
      <c r="I1355"/>
    </row>
    <row r="1356" spans="1:9" x14ac:dyDescent="0.35">
      <c r="A1356"/>
      <c r="B1356"/>
      <c r="C1356"/>
      <c r="D1356"/>
      <c r="F1356"/>
      <c r="G1356"/>
      <c r="I1356"/>
    </row>
    <row r="1357" spans="1:9" x14ac:dyDescent="0.35">
      <c r="A1357"/>
      <c r="B1357"/>
      <c r="C1357"/>
      <c r="D1357"/>
      <c r="F1357"/>
      <c r="G1357"/>
      <c r="I1357"/>
    </row>
    <row r="1358" spans="1:9" x14ac:dyDescent="0.35">
      <c r="A1358"/>
      <c r="B1358"/>
      <c r="C1358"/>
      <c r="D1358"/>
      <c r="F1358"/>
      <c r="G1358"/>
      <c r="I1358"/>
    </row>
    <row r="1359" spans="1:9" x14ac:dyDescent="0.35">
      <c r="A1359"/>
      <c r="B1359"/>
      <c r="C1359"/>
      <c r="D1359"/>
      <c r="F1359"/>
      <c r="G1359"/>
      <c r="I1359"/>
    </row>
    <row r="1360" spans="1:9" x14ac:dyDescent="0.35">
      <c r="A1360"/>
      <c r="B1360"/>
      <c r="C1360"/>
      <c r="D1360"/>
      <c r="F1360"/>
      <c r="G1360"/>
      <c r="I1360"/>
    </row>
    <row r="1361" spans="1:9" x14ac:dyDescent="0.35">
      <c r="A1361"/>
      <c r="B1361"/>
      <c r="C1361"/>
      <c r="D1361"/>
      <c r="F1361"/>
      <c r="G1361"/>
      <c r="I1361"/>
    </row>
    <row r="1362" spans="1:9" x14ac:dyDescent="0.35">
      <c r="A1362"/>
      <c r="B1362"/>
      <c r="C1362"/>
      <c r="D1362"/>
      <c r="F1362"/>
      <c r="G1362"/>
      <c r="I1362"/>
    </row>
    <row r="1363" spans="1:9" x14ac:dyDescent="0.35">
      <c r="A1363"/>
      <c r="B1363"/>
      <c r="C1363"/>
      <c r="D1363"/>
      <c r="F1363"/>
      <c r="G1363"/>
      <c r="I1363"/>
    </row>
    <row r="1364" spans="1:9" x14ac:dyDescent="0.35">
      <c r="A1364"/>
      <c r="B1364"/>
      <c r="C1364"/>
      <c r="D1364"/>
      <c r="F1364"/>
      <c r="G1364"/>
      <c r="I1364"/>
    </row>
    <row r="1365" spans="1:9" x14ac:dyDescent="0.35">
      <c r="A1365"/>
      <c r="B1365"/>
      <c r="C1365"/>
      <c r="D1365"/>
      <c r="F1365"/>
      <c r="G1365"/>
      <c r="I1365"/>
    </row>
    <row r="1366" spans="1:9" x14ac:dyDescent="0.35">
      <c r="A1366"/>
      <c r="B1366"/>
      <c r="C1366"/>
      <c r="D1366"/>
      <c r="F1366"/>
      <c r="G1366"/>
      <c r="I1366"/>
    </row>
    <row r="1367" spans="1:9" x14ac:dyDescent="0.35">
      <c r="A1367"/>
      <c r="B1367"/>
      <c r="C1367"/>
      <c r="D1367"/>
      <c r="F1367"/>
      <c r="G1367"/>
      <c r="I1367"/>
    </row>
    <row r="1368" spans="1:9" x14ac:dyDescent="0.35">
      <c r="A1368"/>
      <c r="B1368"/>
      <c r="C1368"/>
      <c r="D1368"/>
      <c r="F1368"/>
      <c r="G1368"/>
      <c r="I1368"/>
    </row>
    <row r="1369" spans="1:9" x14ac:dyDescent="0.35">
      <c r="A1369"/>
      <c r="B1369"/>
      <c r="C1369"/>
      <c r="D1369"/>
      <c r="F1369"/>
      <c r="G1369"/>
      <c r="I1369"/>
    </row>
    <row r="1370" spans="1:9" x14ac:dyDescent="0.35">
      <c r="A1370"/>
      <c r="B1370"/>
      <c r="C1370"/>
      <c r="D1370"/>
      <c r="F1370"/>
      <c r="G1370"/>
      <c r="I1370"/>
    </row>
    <row r="1371" spans="1:9" x14ac:dyDescent="0.35">
      <c r="A1371"/>
      <c r="B1371"/>
      <c r="C1371"/>
      <c r="D1371"/>
      <c r="F1371"/>
      <c r="G1371"/>
      <c r="I1371"/>
    </row>
    <row r="1372" spans="1:9" x14ac:dyDescent="0.35">
      <c r="A1372"/>
      <c r="B1372"/>
      <c r="C1372"/>
      <c r="D1372"/>
      <c r="F1372"/>
      <c r="G1372"/>
      <c r="I1372"/>
    </row>
    <row r="1373" spans="1:9" x14ac:dyDescent="0.35">
      <c r="A1373"/>
      <c r="B1373"/>
      <c r="C1373"/>
      <c r="D1373"/>
      <c r="F1373"/>
      <c r="G1373"/>
      <c r="I1373"/>
    </row>
    <row r="1374" spans="1:9" x14ac:dyDescent="0.35">
      <c r="A1374"/>
      <c r="B1374"/>
      <c r="C1374"/>
      <c r="D1374"/>
      <c r="F1374"/>
      <c r="G1374"/>
      <c r="I1374"/>
    </row>
    <row r="1375" spans="1:9" x14ac:dyDescent="0.35">
      <c r="A1375"/>
      <c r="B1375"/>
      <c r="C1375"/>
      <c r="D1375"/>
      <c r="F1375"/>
      <c r="G1375"/>
      <c r="I1375"/>
    </row>
    <row r="1376" spans="1:9" x14ac:dyDescent="0.35">
      <c r="A1376"/>
      <c r="B1376"/>
      <c r="C1376"/>
      <c r="D1376"/>
      <c r="F1376"/>
      <c r="G1376"/>
      <c r="I1376"/>
    </row>
    <row r="1377" spans="1:9" x14ac:dyDescent="0.35">
      <c r="A1377"/>
      <c r="B1377"/>
      <c r="C1377"/>
      <c r="D1377"/>
      <c r="F1377"/>
      <c r="G1377"/>
      <c r="I1377"/>
    </row>
    <row r="1378" spans="1:9" x14ac:dyDescent="0.35">
      <c r="A1378"/>
      <c r="B1378"/>
      <c r="C1378"/>
      <c r="D1378"/>
      <c r="F1378"/>
      <c r="G1378"/>
      <c r="I1378"/>
    </row>
    <row r="1379" spans="1:9" x14ac:dyDescent="0.35">
      <c r="A1379"/>
      <c r="B1379"/>
      <c r="C1379"/>
      <c r="D1379"/>
      <c r="F1379"/>
      <c r="G1379"/>
      <c r="I1379"/>
    </row>
    <row r="1380" spans="1:9" x14ac:dyDescent="0.35">
      <c r="A1380"/>
      <c r="B1380"/>
      <c r="C1380"/>
      <c r="D1380"/>
      <c r="F1380"/>
      <c r="G1380"/>
      <c r="I1380"/>
    </row>
    <row r="1381" spans="1:9" x14ac:dyDescent="0.35">
      <c r="A1381"/>
      <c r="B1381"/>
      <c r="C1381"/>
      <c r="D1381"/>
      <c r="F1381"/>
      <c r="G1381"/>
      <c r="I1381"/>
    </row>
    <row r="1382" spans="1:9" x14ac:dyDescent="0.35">
      <c r="A1382"/>
      <c r="B1382"/>
      <c r="C1382"/>
      <c r="D1382"/>
      <c r="F1382"/>
      <c r="G1382"/>
      <c r="I1382"/>
    </row>
    <row r="1383" spans="1:9" x14ac:dyDescent="0.35">
      <c r="A1383"/>
      <c r="B1383"/>
      <c r="C1383"/>
      <c r="D1383"/>
      <c r="F1383"/>
      <c r="G1383"/>
      <c r="I1383"/>
    </row>
    <row r="1384" spans="1:9" x14ac:dyDescent="0.35">
      <c r="A1384"/>
      <c r="B1384"/>
      <c r="C1384"/>
      <c r="D1384"/>
      <c r="F1384"/>
      <c r="G1384"/>
      <c r="I1384"/>
    </row>
    <row r="1385" spans="1:9" x14ac:dyDescent="0.35">
      <c r="A1385"/>
      <c r="B1385"/>
      <c r="C1385"/>
      <c r="D1385"/>
      <c r="F1385"/>
      <c r="G1385"/>
      <c r="I1385"/>
    </row>
    <row r="1386" spans="1:9" x14ac:dyDescent="0.35">
      <c r="A1386"/>
      <c r="B1386"/>
      <c r="C1386"/>
      <c r="D1386"/>
      <c r="F1386"/>
      <c r="G1386"/>
      <c r="I1386"/>
    </row>
    <row r="1387" spans="1:9" x14ac:dyDescent="0.35">
      <c r="A1387"/>
      <c r="B1387"/>
      <c r="C1387"/>
      <c r="D1387"/>
      <c r="F1387"/>
      <c r="G1387"/>
      <c r="I1387"/>
    </row>
    <row r="1388" spans="1:9" x14ac:dyDescent="0.35">
      <c r="A1388"/>
      <c r="B1388"/>
      <c r="C1388"/>
      <c r="D1388"/>
      <c r="F1388"/>
      <c r="G1388"/>
      <c r="I1388"/>
    </row>
    <row r="1389" spans="1:9" x14ac:dyDescent="0.35">
      <c r="A1389"/>
      <c r="B1389"/>
      <c r="C1389"/>
      <c r="D1389"/>
      <c r="F1389"/>
      <c r="G1389"/>
      <c r="I1389"/>
    </row>
    <row r="1390" spans="1:9" x14ac:dyDescent="0.35">
      <c r="A1390"/>
      <c r="B1390"/>
      <c r="C1390"/>
      <c r="D1390"/>
      <c r="F1390"/>
      <c r="G1390"/>
      <c r="I1390"/>
    </row>
    <row r="1391" spans="1:9" x14ac:dyDescent="0.35">
      <c r="A1391"/>
      <c r="B1391"/>
      <c r="C1391"/>
      <c r="D1391"/>
      <c r="F1391"/>
      <c r="G1391"/>
      <c r="I1391"/>
    </row>
    <row r="1392" spans="1:9" x14ac:dyDescent="0.35">
      <c r="A1392"/>
      <c r="B1392"/>
      <c r="C1392"/>
      <c r="D1392"/>
      <c r="F1392"/>
      <c r="G1392"/>
      <c r="I1392"/>
    </row>
    <row r="1393" spans="1:9" x14ac:dyDescent="0.35">
      <c r="A1393"/>
      <c r="B1393"/>
      <c r="C1393"/>
      <c r="D1393"/>
      <c r="F1393"/>
      <c r="G1393"/>
      <c r="I1393"/>
    </row>
    <row r="1394" spans="1:9" x14ac:dyDescent="0.35">
      <c r="A1394"/>
      <c r="B1394"/>
      <c r="C1394"/>
      <c r="D1394"/>
      <c r="F1394"/>
      <c r="G1394"/>
      <c r="I1394"/>
    </row>
    <row r="1395" spans="1:9" x14ac:dyDescent="0.35">
      <c r="A1395"/>
      <c r="B1395"/>
      <c r="C1395"/>
      <c r="D1395"/>
      <c r="F1395"/>
      <c r="G1395"/>
      <c r="I1395"/>
    </row>
    <row r="1396" spans="1:9" x14ac:dyDescent="0.35">
      <c r="A1396"/>
      <c r="B1396"/>
      <c r="C1396"/>
      <c r="D1396"/>
      <c r="F1396"/>
      <c r="G1396"/>
      <c r="I1396"/>
    </row>
    <row r="1397" spans="1:9" x14ac:dyDescent="0.35">
      <c r="A1397"/>
      <c r="B1397"/>
      <c r="C1397"/>
      <c r="D1397"/>
      <c r="F1397"/>
      <c r="G1397"/>
      <c r="I1397"/>
    </row>
    <row r="1398" spans="1:9" x14ac:dyDescent="0.35">
      <c r="A1398"/>
      <c r="B1398"/>
      <c r="C1398"/>
      <c r="D1398"/>
      <c r="F1398"/>
      <c r="G1398"/>
      <c r="I1398"/>
    </row>
    <row r="1399" spans="1:9" x14ac:dyDescent="0.35">
      <c r="A1399"/>
      <c r="B1399"/>
      <c r="C1399"/>
      <c r="D1399"/>
      <c r="F1399"/>
      <c r="G1399"/>
      <c r="I1399"/>
    </row>
    <row r="1400" spans="1:9" x14ac:dyDescent="0.35">
      <c r="A1400"/>
      <c r="B1400"/>
      <c r="C1400"/>
      <c r="D1400"/>
      <c r="F1400"/>
      <c r="G1400"/>
      <c r="I1400"/>
    </row>
    <row r="1401" spans="1:9" x14ac:dyDescent="0.35">
      <c r="A1401"/>
      <c r="B1401"/>
      <c r="C1401"/>
      <c r="D1401"/>
      <c r="F1401"/>
      <c r="G1401"/>
      <c r="I1401"/>
    </row>
    <row r="1402" spans="1:9" x14ac:dyDescent="0.35">
      <c r="A1402"/>
      <c r="B1402"/>
      <c r="C1402"/>
      <c r="D1402"/>
      <c r="F1402"/>
      <c r="G1402"/>
      <c r="I1402"/>
    </row>
    <row r="1403" spans="1:9" x14ac:dyDescent="0.35">
      <c r="A1403"/>
      <c r="B1403"/>
      <c r="C1403"/>
      <c r="D1403"/>
      <c r="F1403"/>
      <c r="G1403"/>
      <c r="I1403"/>
    </row>
    <row r="1404" spans="1:9" x14ac:dyDescent="0.35">
      <c r="A1404"/>
      <c r="B1404"/>
      <c r="C1404"/>
      <c r="D1404"/>
      <c r="F1404"/>
      <c r="G1404"/>
      <c r="I1404"/>
    </row>
    <row r="1405" spans="1:9" x14ac:dyDescent="0.35">
      <c r="A1405"/>
      <c r="B1405"/>
      <c r="C1405"/>
      <c r="D1405"/>
      <c r="F1405"/>
      <c r="G1405"/>
      <c r="I1405"/>
    </row>
    <row r="1406" spans="1:9" x14ac:dyDescent="0.35">
      <c r="A1406"/>
      <c r="B1406"/>
      <c r="C1406"/>
      <c r="D1406"/>
      <c r="F1406"/>
      <c r="G1406"/>
      <c r="I1406"/>
    </row>
    <row r="1407" spans="1:9" x14ac:dyDescent="0.35">
      <c r="A1407"/>
      <c r="B1407"/>
      <c r="C1407"/>
      <c r="D1407"/>
      <c r="F1407"/>
      <c r="G1407"/>
      <c r="I1407"/>
    </row>
    <row r="1408" spans="1:9" x14ac:dyDescent="0.35">
      <c r="A1408"/>
      <c r="B1408"/>
      <c r="C1408"/>
      <c r="D1408"/>
      <c r="F1408"/>
      <c r="G1408"/>
      <c r="I1408"/>
    </row>
    <row r="1409" spans="1:9" x14ac:dyDescent="0.35">
      <c r="A1409"/>
      <c r="B1409"/>
      <c r="C1409"/>
      <c r="D1409"/>
      <c r="F1409"/>
      <c r="G1409"/>
      <c r="I1409"/>
    </row>
    <row r="1410" spans="1:9" x14ac:dyDescent="0.35">
      <c r="A1410"/>
      <c r="B1410"/>
      <c r="C1410"/>
      <c r="D1410"/>
      <c r="F1410"/>
      <c r="G1410"/>
      <c r="I1410"/>
    </row>
    <row r="1411" spans="1:9" x14ac:dyDescent="0.35">
      <c r="A1411"/>
      <c r="B1411"/>
      <c r="C1411"/>
      <c r="D1411"/>
      <c r="F1411"/>
      <c r="G1411"/>
      <c r="I1411"/>
    </row>
    <row r="1412" spans="1:9" x14ac:dyDescent="0.35">
      <c r="A1412"/>
      <c r="B1412"/>
      <c r="C1412"/>
      <c r="D1412"/>
      <c r="F1412"/>
      <c r="G1412"/>
      <c r="I1412"/>
    </row>
    <row r="1413" spans="1:9" x14ac:dyDescent="0.35">
      <c r="A1413"/>
      <c r="B1413"/>
      <c r="C1413"/>
      <c r="D1413"/>
      <c r="F1413"/>
      <c r="G1413"/>
      <c r="I1413"/>
    </row>
    <row r="1414" spans="1:9" x14ac:dyDescent="0.35">
      <c r="A1414"/>
      <c r="B1414"/>
      <c r="C1414"/>
      <c r="D1414"/>
      <c r="F1414"/>
      <c r="G1414"/>
      <c r="I1414"/>
    </row>
    <row r="1415" spans="1:9" x14ac:dyDescent="0.35">
      <c r="A1415"/>
      <c r="B1415"/>
      <c r="C1415"/>
      <c r="D1415"/>
      <c r="F1415"/>
      <c r="G1415"/>
      <c r="I1415"/>
    </row>
    <row r="1416" spans="1:9" x14ac:dyDescent="0.35">
      <c r="A1416"/>
      <c r="B1416"/>
      <c r="C1416"/>
      <c r="D1416"/>
      <c r="F1416"/>
      <c r="G1416"/>
      <c r="I1416"/>
    </row>
    <row r="1417" spans="1:9" x14ac:dyDescent="0.35">
      <c r="A1417"/>
      <c r="B1417"/>
      <c r="C1417"/>
      <c r="D1417"/>
      <c r="F1417"/>
      <c r="G1417"/>
      <c r="I1417"/>
    </row>
    <row r="1418" spans="1:9" x14ac:dyDescent="0.35">
      <c r="A1418"/>
      <c r="B1418"/>
      <c r="C1418"/>
      <c r="D1418"/>
      <c r="F1418"/>
      <c r="G1418"/>
      <c r="I1418"/>
    </row>
    <row r="1419" spans="1:9" x14ac:dyDescent="0.35">
      <c r="A1419"/>
      <c r="B1419"/>
      <c r="C1419"/>
      <c r="D1419"/>
      <c r="F1419"/>
      <c r="G1419"/>
      <c r="I1419"/>
    </row>
    <row r="1420" spans="1:9" x14ac:dyDescent="0.35">
      <c r="A1420"/>
      <c r="B1420"/>
      <c r="C1420"/>
      <c r="D1420"/>
      <c r="F1420"/>
      <c r="G1420"/>
      <c r="I1420"/>
    </row>
    <row r="1421" spans="1:9" x14ac:dyDescent="0.35">
      <c r="A1421"/>
      <c r="B1421"/>
      <c r="C1421"/>
      <c r="D1421"/>
      <c r="F1421"/>
      <c r="G1421"/>
      <c r="I1421"/>
    </row>
    <row r="1422" spans="1:9" x14ac:dyDescent="0.35">
      <c r="A1422"/>
      <c r="B1422"/>
      <c r="C1422"/>
      <c r="D1422"/>
      <c r="F1422"/>
      <c r="G1422"/>
      <c r="I1422"/>
    </row>
    <row r="1423" spans="1:9" x14ac:dyDescent="0.35">
      <c r="A1423"/>
      <c r="B1423"/>
      <c r="C1423"/>
      <c r="D1423"/>
      <c r="F1423"/>
      <c r="G1423"/>
      <c r="I1423"/>
    </row>
    <row r="1424" spans="1:9" x14ac:dyDescent="0.35">
      <c r="A1424"/>
      <c r="B1424"/>
      <c r="C1424"/>
      <c r="D1424"/>
      <c r="F1424"/>
      <c r="G1424"/>
      <c r="I1424"/>
    </row>
    <row r="1425" spans="1:9" x14ac:dyDescent="0.35">
      <c r="A1425"/>
      <c r="B1425"/>
      <c r="C1425"/>
      <c r="D1425"/>
      <c r="F1425"/>
      <c r="G1425"/>
      <c r="I1425"/>
    </row>
    <row r="1426" spans="1:9" x14ac:dyDescent="0.35">
      <c r="A1426"/>
      <c r="B1426"/>
      <c r="C1426"/>
      <c r="D1426"/>
      <c r="F1426"/>
      <c r="G1426"/>
      <c r="I1426"/>
    </row>
    <row r="1427" spans="1:9" x14ac:dyDescent="0.35">
      <c r="A1427"/>
      <c r="B1427"/>
      <c r="C1427"/>
      <c r="D1427"/>
      <c r="F1427"/>
      <c r="G1427"/>
      <c r="I1427"/>
    </row>
    <row r="1428" spans="1:9" x14ac:dyDescent="0.35">
      <c r="A1428"/>
      <c r="B1428"/>
      <c r="C1428"/>
      <c r="D1428"/>
      <c r="F1428"/>
      <c r="G1428"/>
      <c r="I1428"/>
    </row>
    <row r="1429" spans="1:9" x14ac:dyDescent="0.35">
      <c r="A1429"/>
      <c r="B1429"/>
      <c r="C1429"/>
      <c r="D1429"/>
      <c r="F1429"/>
      <c r="G1429"/>
      <c r="I1429"/>
    </row>
    <row r="1430" spans="1:9" x14ac:dyDescent="0.35">
      <c r="A1430"/>
      <c r="B1430"/>
      <c r="C1430"/>
      <c r="D1430"/>
      <c r="F1430"/>
      <c r="G1430"/>
      <c r="I1430"/>
    </row>
    <row r="1431" spans="1:9" x14ac:dyDescent="0.35">
      <c r="A1431"/>
      <c r="B1431"/>
      <c r="C1431"/>
      <c r="D1431"/>
      <c r="F1431"/>
      <c r="G1431"/>
      <c r="I1431"/>
    </row>
    <row r="1432" spans="1:9" x14ac:dyDescent="0.35">
      <c r="A1432"/>
      <c r="B1432"/>
      <c r="C1432"/>
      <c r="D1432"/>
      <c r="F1432"/>
      <c r="G1432"/>
      <c r="I1432"/>
    </row>
    <row r="1433" spans="1:9" x14ac:dyDescent="0.35">
      <c r="A1433"/>
      <c r="B1433"/>
      <c r="C1433"/>
      <c r="D1433"/>
      <c r="F1433"/>
      <c r="G1433"/>
      <c r="I1433"/>
    </row>
    <row r="1434" spans="1:9" x14ac:dyDescent="0.35">
      <c r="A1434"/>
      <c r="B1434"/>
      <c r="C1434"/>
      <c r="D1434"/>
      <c r="F1434"/>
      <c r="G1434"/>
      <c r="I1434"/>
    </row>
    <row r="1435" spans="1:9" x14ac:dyDescent="0.35">
      <c r="A1435"/>
      <c r="B1435"/>
      <c r="C1435"/>
      <c r="D1435"/>
      <c r="F1435"/>
      <c r="G1435"/>
      <c r="I1435"/>
    </row>
    <row r="1436" spans="1:9" x14ac:dyDescent="0.35">
      <c r="A1436"/>
      <c r="B1436"/>
      <c r="C1436"/>
      <c r="D1436"/>
      <c r="F1436"/>
      <c r="G1436"/>
      <c r="I1436"/>
    </row>
    <row r="1437" spans="1:9" x14ac:dyDescent="0.35">
      <c r="A1437"/>
      <c r="B1437"/>
      <c r="C1437"/>
      <c r="D1437"/>
      <c r="F1437"/>
      <c r="G1437"/>
      <c r="I1437"/>
    </row>
    <row r="1438" spans="1:9" x14ac:dyDescent="0.35">
      <c r="A1438"/>
      <c r="B1438"/>
      <c r="C1438"/>
      <c r="D1438"/>
      <c r="F1438"/>
      <c r="G1438"/>
      <c r="I1438"/>
    </row>
    <row r="1439" spans="1:9" x14ac:dyDescent="0.35">
      <c r="A1439"/>
      <c r="B1439"/>
      <c r="C1439"/>
      <c r="D1439"/>
      <c r="F1439"/>
      <c r="G1439"/>
      <c r="I1439"/>
    </row>
    <row r="1440" spans="1:9" x14ac:dyDescent="0.35">
      <c r="A1440"/>
      <c r="B1440"/>
      <c r="C1440"/>
      <c r="D1440"/>
      <c r="F1440"/>
      <c r="G1440"/>
      <c r="I1440"/>
    </row>
    <row r="1441" spans="1:9" x14ac:dyDescent="0.35">
      <c r="A1441"/>
      <c r="B1441"/>
      <c r="C1441"/>
      <c r="D1441"/>
      <c r="F1441"/>
      <c r="G1441"/>
      <c r="I1441"/>
    </row>
    <row r="1442" spans="1:9" x14ac:dyDescent="0.35">
      <c r="A1442"/>
      <c r="B1442"/>
      <c r="C1442"/>
      <c r="D1442"/>
      <c r="F1442"/>
      <c r="G1442"/>
      <c r="I1442"/>
    </row>
    <row r="1443" spans="1:9" x14ac:dyDescent="0.35">
      <c r="A1443"/>
      <c r="B1443"/>
      <c r="C1443"/>
      <c r="D1443"/>
      <c r="F1443"/>
      <c r="G1443"/>
      <c r="I1443"/>
    </row>
    <row r="1444" spans="1:9" x14ac:dyDescent="0.35">
      <c r="A1444"/>
      <c r="B1444"/>
      <c r="C1444"/>
      <c r="D1444"/>
      <c r="F1444"/>
      <c r="G1444"/>
      <c r="I1444"/>
    </row>
    <row r="1445" spans="1:9" x14ac:dyDescent="0.35">
      <c r="A1445"/>
      <c r="B1445"/>
      <c r="C1445"/>
      <c r="D1445"/>
      <c r="F1445"/>
      <c r="G1445"/>
      <c r="I1445"/>
    </row>
    <row r="1446" spans="1:9" x14ac:dyDescent="0.35">
      <c r="A1446"/>
      <c r="B1446"/>
      <c r="C1446"/>
      <c r="D1446"/>
      <c r="F1446"/>
      <c r="G1446"/>
      <c r="I1446"/>
    </row>
    <row r="1447" spans="1:9" x14ac:dyDescent="0.35">
      <c r="A1447"/>
      <c r="B1447"/>
      <c r="C1447"/>
      <c r="D1447"/>
      <c r="F1447"/>
      <c r="G1447"/>
      <c r="I1447"/>
    </row>
    <row r="1448" spans="1:9" x14ac:dyDescent="0.35">
      <c r="A1448"/>
      <c r="B1448"/>
      <c r="C1448"/>
      <c r="D1448"/>
      <c r="F1448"/>
      <c r="G1448"/>
      <c r="I1448"/>
    </row>
    <row r="1449" spans="1:9" x14ac:dyDescent="0.35">
      <c r="A1449"/>
      <c r="B1449"/>
      <c r="C1449"/>
      <c r="D1449"/>
      <c r="F1449"/>
      <c r="G1449"/>
      <c r="I1449"/>
    </row>
    <row r="1450" spans="1:9" x14ac:dyDescent="0.35">
      <c r="A1450"/>
      <c r="B1450"/>
      <c r="C1450"/>
      <c r="D1450"/>
      <c r="F1450"/>
      <c r="G1450"/>
      <c r="I1450"/>
    </row>
    <row r="1451" spans="1:9" x14ac:dyDescent="0.35">
      <c r="A1451"/>
      <c r="B1451"/>
      <c r="C1451"/>
      <c r="D1451"/>
      <c r="F1451"/>
      <c r="G1451"/>
      <c r="I1451"/>
    </row>
    <row r="1452" spans="1:9" x14ac:dyDescent="0.35">
      <c r="A1452"/>
      <c r="B1452"/>
      <c r="C1452"/>
      <c r="D1452"/>
      <c r="F1452"/>
      <c r="G1452"/>
      <c r="I1452"/>
    </row>
    <row r="1453" spans="1:9" x14ac:dyDescent="0.35">
      <c r="A1453"/>
      <c r="B1453"/>
      <c r="C1453"/>
      <c r="D1453"/>
      <c r="F1453"/>
      <c r="G1453"/>
      <c r="I1453"/>
    </row>
    <row r="1454" spans="1:9" x14ac:dyDescent="0.35">
      <c r="A1454"/>
      <c r="B1454"/>
      <c r="C1454"/>
      <c r="D1454"/>
      <c r="F1454"/>
      <c r="G1454"/>
      <c r="I1454"/>
    </row>
    <row r="1455" spans="1:9" x14ac:dyDescent="0.35">
      <c r="A1455"/>
      <c r="B1455"/>
      <c r="C1455"/>
      <c r="D1455"/>
      <c r="F1455"/>
      <c r="G1455"/>
      <c r="I1455"/>
    </row>
    <row r="1456" spans="1:9" x14ac:dyDescent="0.35">
      <c r="A1456"/>
      <c r="B1456"/>
      <c r="C1456"/>
      <c r="D1456"/>
      <c r="F1456"/>
      <c r="G1456"/>
      <c r="I1456"/>
    </row>
    <row r="1457" spans="1:9" x14ac:dyDescent="0.35">
      <c r="A1457"/>
      <c r="B1457"/>
      <c r="C1457"/>
      <c r="D1457"/>
      <c r="F1457"/>
      <c r="G1457"/>
      <c r="I1457"/>
    </row>
    <row r="1458" spans="1:9" x14ac:dyDescent="0.35">
      <c r="A1458"/>
      <c r="B1458"/>
      <c r="C1458"/>
      <c r="D1458"/>
      <c r="F1458"/>
      <c r="G1458"/>
      <c r="I1458"/>
    </row>
    <row r="1459" spans="1:9" x14ac:dyDescent="0.35">
      <c r="A1459"/>
      <c r="B1459"/>
      <c r="C1459"/>
      <c r="D1459"/>
      <c r="F1459"/>
      <c r="G1459"/>
      <c r="I1459"/>
    </row>
    <row r="1460" spans="1:9" x14ac:dyDescent="0.35">
      <c r="A1460"/>
      <c r="B1460"/>
      <c r="C1460"/>
      <c r="D1460"/>
      <c r="F1460"/>
      <c r="G1460"/>
      <c r="I1460"/>
    </row>
    <row r="1461" spans="1:9" x14ac:dyDescent="0.35">
      <c r="A1461"/>
      <c r="B1461"/>
      <c r="C1461"/>
      <c r="D1461"/>
      <c r="F1461"/>
      <c r="G1461"/>
      <c r="I1461"/>
    </row>
    <row r="1462" spans="1:9" x14ac:dyDescent="0.35">
      <c r="A1462"/>
      <c r="B1462"/>
      <c r="C1462"/>
      <c r="D1462"/>
      <c r="F1462"/>
      <c r="G1462"/>
      <c r="I1462"/>
    </row>
    <row r="1463" spans="1:9" x14ac:dyDescent="0.35">
      <c r="A1463"/>
      <c r="B1463"/>
      <c r="C1463"/>
      <c r="D1463"/>
      <c r="F1463"/>
      <c r="G1463"/>
      <c r="I1463"/>
    </row>
    <row r="1464" spans="1:9" x14ac:dyDescent="0.35">
      <c r="A1464"/>
      <c r="B1464"/>
      <c r="C1464"/>
      <c r="D1464"/>
      <c r="F1464"/>
      <c r="G1464"/>
      <c r="I1464"/>
    </row>
    <row r="1465" spans="1:9" x14ac:dyDescent="0.35">
      <c r="A1465"/>
      <c r="B1465"/>
      <c r="C1465"/>
      <c r="D1465"/>
      <c r="F1465"/>
      <c r="G1465"/>
      <c r="I1465"/>
    </row>
    <row r="1466" spans="1:9" x14ac:dyDescent="0.35">
      <c r="A1466"/>
      <c r="B1466"/>
      <c r="C1466"/>
      <c r="D1466"/>
      <c r="F1466"/>
      <c r="G1466"/>
      <c r="I1466"/>
    </row>
    <row r="1467" spans="1:9" x14ac:dyDescent="0.35">
      <c r="A1467"/>
      <c r="B1467"/>
      <c r="C1467"/>
      <c r="D1467"/>
      <c r="F1467"/>
      <c r="G1467"/>
      <c r="I1467"/>
    </row>
    <row r="1468" spans="1:9" x14ac:dyDescent="0.35">
      <c r="A1468"/>
      <c r="B1468"/>
      <c r="C1468"/>
      <c r="D1468"/>
      <c r="F1468"/>
      <c r="G1468"/>
      <c r="I1468"/>
    </row>
    <row r="1469" spans="1:9" x14ac:dyDescent="0.35">
      <c r="A1469"/>
      <c r="B1469"/>
      <c r="C1469"/>
      <c r="D1469"/>
      <c r="F1469"/>
      <c r="G1469"/>
      <c r="I1469"/>
    </row>
    <row r="1470" spans="1:9" x14ac:dyDescent="0.35">
      <c r="A1470"/>
      <c r="B1470"/>
      <c r="C1470"/>
      <c r="D1470"/>
      <c r="F1470"/>
      <c r="G1470"/>
      <c r="I1470"/>
    </row>
    <row r="1471" spans="1:9" x14ac:dyDescent="0.35">
      <c r="A1471"/>
      <c r="B1471"/>
      <c r="C1471"/>
      <c r="D1471"/>
      <c r="F1471"/>
      <c r="G1471"/>
      <c r="I1471"/>
    </row>
    <row r="1472" spans="1:9" x14ac:dyDescent="0.35">
      <c r="A1472"/>
      <c r="B1472"/>
      <c r="C1472"/>
      <c r="D1472"/>
      <c r="F1472"/>
      <c r="G1472"/>
      <c r="I1472"/>
    </row>
    <row r="1473" spans="1:9" x14ac:dyDescent="0.35">
      <c r="A1473"/>
      <c r="B1473"/>
      <c r="C1473"/>
      <c r="D1473"/>
      <c r="F1473"/>
      <c r="G1473"/>
      <c r="I1473"/>
    </row>
    <row r="1474" spans="1:9" x14ac:dyDescent="0.35">
      <c r="A1474"/>
      <c r="B1474"/>
      <c r="C1474"/>
      <c r="D1474"/>
      <c r="F1474"/>
      <c r="G1474"/>
      <c r="I1474"/>
    </row>
    <row r="1475" spans="1:9" x14ac:dyDescent="0.35">
      <c r="A1475"/>
      <c r="B1475"/>
      <c r="C1475"/>
      <c r="D1475"/>
      <c r="F1475"/>
      <c r="G1475"/>
      <c r="I1475"/>
    </row>
    <row r="1476" spans="1:9" x14ac:dyDescent="0.35">
      <c r="A1476"/>
      <c r="B1476"/>
      <c r="C1476"/>
      <c r="D1476"/>
      <c r="F1476"/>
      <c r="G1476"/>
      <c r="I1476"/>
    </row>
    <row r="1477" spans="1:9" x14ac:dyDescent="0.35">
      <c r="A1477"/>
      <c r="B1477"/>
      <c r="C1477"/>
      <c r="D1477"/>
      <c r="F1477"/>
      <c r="G1477"/>
      <c r="I1477"/>
    </row>
    <row r="1478" spans="1:9" x14ac:dyDescent="0.35">
      <c r="A1478"/>
      <c r="B1478"/>
      <c r="C1478"/>
      <c r="D1478"/>
      <c r="F1478"/>
      <c r="G1478"/>
      <c r="I1478"/>
    </row>
    <row r="1479" spans="1:9" x14ac:dyDescent="0.35">
      <c r="A1479"/>
      <c r="B1479"/>
      <c r="C1479"/>
      <c r="D1479"/>
      <c r="F1479"/>
      <c r="G1479"/>
      <c r="I1479"/>
    </row>
    <row r="1480" spans="1:9" x14ac:dyDescent="0.35">
      <c r="A1480"/>
      <c r="B1480"/>
      <c r="C1480"/>
      <c r="D1480"/>
      <c r="F1480"/>
      <c r="G1480"/>
      <c r="I1480"/>
    </row>
    <row r="1481" spans="1:9" x14ac:dyDescent="0.35">
      <c r="A1481"/>
      <c r="B1481"/>
      <c r="C1481"/>
      <c r="D1481"/>
      <c r="F1481"/>
      <c r="G1481"/>
      <c r="I1481"/>
    </row>
    <row r="1482" spans="1:9" x14ac:dyDescent="0.35">
      <c r="A1482"/>
      <c r="B1482"/>
      <c r="C1482"/>
      <c r="D1482"/>
      <c r="F1482"/>
      <c r="G1482"/>
      <c r="I1482"/>
    </row>
    <row r="1483" spans="1:9" x14ac:dyDescent="0.35">
      <c r="A1483"/>
      <c r="B1483"/>
      <c r="C1483"/>
      <c r="D1483"/>
      <c r="F1483"/>
      <c r="G1483"/>
      <c r="I1483"/>
    </row>
    <row r="1484" spans="1:9" x14ac:dyDescent="0.35">
      <c r="A1484"/>
      <c r="B1484"/>
      <c r="C1484"/>
      <c r="D1484"/>
      <c r="F1484"/>
      <c r="G1484"/>
      <c r="I1484"/>
    </row>
    <row r="1485" spans="1:9" x14ac:dyDescent="0.35">
      <c r="A1485"/>
      <c r="B1485"/>
      <c r="C1485"/>
      <c r="D1485"/>
      <c r="F1485"/>
      <c r="G1485"/>
      <c r="I1485"/>
    </row>
    <row r="1486" spans="1:9" x14ac:dyDescent="0.35">
      <c r="A1486"/>
      <c r="B1486"/>
      <c r="C1486"/>
      <c r="D1486"/>
      <c r="F1486"/>
      <c r="G1486"/>
      <c r="I1486"/>
    </row>
    <row r="1487" spans="1:9" x14ac:dyDescent="0.35">
      <c r="A1487"/>
      <c r="B1487"/>
      <c r="C1487"/>
      <c r="D1487"/>
      <c r="F1487"/>
      <c r="G1487"/>
      <c r="I1487"/>
    </row>
    <row r="1488" spans="1:9" x14ac:dyDescent="0.35">
      <c r="A1488"/>
      <c r="B1488"/>
      <c r="C1488"/>
      <c r="D1488"/>
      <c r="F1488"/>
      <c r="G1488"/>
      <c r="I1488"/>
    </row>
    <row r="1489" spans="1:9" x14ac:dyDescent="0.35">
      <c r="A1489"/>
      <c r="B1489"/>
      <c r="C1489"/>
      <c r="D1489"/>
      <c r="F1489"/>
      <c r="G1489"/>
      <c r="I1489"/>
    </row>
    <row r="1490" spans="1:9" x14ac:dyDescent="0.35">
      <c r="A1490"/>
      <c r="B1490"/>
      <c r="C1490"/>
      <c r="D1490"/>
      <c r="F1490"/>
      <c r="G1490"/>
      <c r="I1490"/>
    </row>
    <row r="1491" spans="1:9" x14ac:dyDescent="0.35">
      <c r="A1491"/>
      <c r="B1491"/>
      <c r="C1491"/>
      <c r="D1491"/>
      <c r="F1491"/>
      <c r="G1491"/>
      <c r="I1491"/>
    </row>
    <row r="1492" spans="1:9" x14ac:dyDescent="0.35">
      <c r="A1492"/>
      <c r="B1492"/>
      <c r="C1492"/>
      <c r="D1492"/>
      <c r="F1492"/>
      <c r="G1492"/>
      <c r="I1492"/>
    </row>
    <row r="1493" spans="1:9" x14ac:dyDescent="0.35">
      <c r="A1493"/>
      <c r="B1493"/>
      <c r="C1493"/>
      <c r="D1493"/>
      <c r="F1493"/>
      <c r="G1493"/>
      <c r="I1493"/>
    </row>
    <row r="1494" spans="1:9" x14ac:dyDescent="0.35">
      <c r="A1494"/>
      <c r="B1494"/>
      <c r="C1494"/>
      <c r="D1494"/>
      <c r="F1494"/>
      <c r="G1494"/>
      <c r="I1494"/>
    </row>
    <row r="1495" spans="1:9" x14ac:dyDescent="0.35">
      <c r="A1495"/>
      <c r="B1495"/>
      <c r="C1495"/>
      <c r="D1495"/>
      <c r="F1495"/>
      <c r="G1495"/>
      <c r="I1495"/>
    </row>
    <row r="1496" spans="1:9" x14ac:dyDescent="0.35">
      <c r="A1496"/>
      <c r="B1496"/>
      <c r="C1496"/>
      <c r="D1496"/>
      <c r="F1496"/>
      <c r="G1496"/>
      <c r="I1496"/>
    </row>
    <row r="1497" spans="1:9" x14ac:dyDescent="0.35">
      <c r="A1497"/>
      <c r="B1497"/>
      <c r="C1497"/>
      <c r="D1497"/>
      <c r="F1497"/>
      <c r="G1497"/>
      <c r="I1497"/>
    </row>
    <row r="1498" spans="1:9" x14ac:dyDescent="0.35">
      <c r="A1498"/>
      <c r="B1498"/>
      <c r="C1498"/>
      <c r="D1498"/>
      <c r="F1498"/>
      <c r="G1498"/>
      <c r="I1498"/>
    </row>
    <row r="1499" spans="1:9" x14ac:dyDescent="0.35">
      <c r="A1499"/>
      <c r="B1499"/>
      <c r="C1499"/>
      <c r="D1499"/>
      <c r="F1499"/>
      <c r="G1499"/>
      <c r="I1499"/>
    </row>
    <row r="1500" spans="1:9" x14ac:dyDescent="0.35">
      <c r="A1500"/>
      <c r="B1500"/>
      <c r="C1500"/>
      <c r="D1500"/>
      <c r="F1500"/>
      <c r="G1500"/>
      <c r="I1500"/>
    </row>
    <row r="1501" spans="1:9" x14ac:dyDescent="0.35">
      <c r="A1501"/>
      <c r="B1501"/>
      <c r="C1501"/>
      <c r="D1501"/>
      <c r="F1501"/>
      <c r="G1501"/>
      <c r="I1501"/>
    </row>
    <row r="1502" spans="1:9" x14ac:dyDescent="0.35">
      <c r="A1502"/>
      <c r="B1502"/>
      <c r="C1502"/>
      <c r="D1502"/>
      <c r="F1502"/>
      <c r="G1502"/>
      <c r="I1502"/>
    </row>
    <row r="1503" spans="1:9" x14ac:dyDescent="0.35">
      <c r="A1503"/>
      <c r="B1503"/>
      <c r="C1503"/>
      <c r="D1503"/>
      <c r="F1503"/>
      <c r="G1503"/>
      <c r="I1503"/>
    </row>
    <row r="1504" spans="1:9" x14ac:dyDescent="0.35">
      <c r="A1504"/>
      <c r="B1504"/>
      <c r="C1504"/>
      <c r="D1504"/>
      <c r="F1504"/>
      <c r="G1504"/>
      <c r="I1504"/>
    </row>
    <row r="1505" spans="1:9" x14ac:dyDescent="0.35">
      <c r="A1505"/>
      <c r="B1505"/>
      <c r="C1505"/>
      <c r="D1505"/>
      <c r="F1505"/>
      <c r="G1505"/>
      <c r="I1505"/>
    </row>
    <row r="1506" spans="1:9" x14ac:dyDescent="0.35">
      <c r="A1506"/>
      <c r="B1506"/>
      <c r="C1506"/>
      <c r="D1506"/>
      <c r="F1506"/>
      <c r="G1506"/>
      <c r="I1506"/>
    </row>
    <row r="1507" spans="1:9" x14ac:dyDescent="0.35">
      <c r="A1507"/>
      <c r="B1507"/>
      <c r="C1507"/>
      <c r="D1507"/>
      <c r="F1507"/>
      <c r="G1507"/>
      <c r="I1507"/>
    </row>
    <row r="1508" spans="1:9" x14ac:dyDescent="0.35">
      <c r="A1508"/>
      <c r="B1508"/>
      <c r="C1508"/>
      <c r="D1508"/>
      <c r="F1508"/>
      <c r="G1508"/>
      <c r="I1508"/>
    </row>
    <row r="1509" spans="1:9" x14ac:dyDescent="0.35">
      <c r="A1509"/>
      <c r="B1509"/>
      <c r="C1509"/>
      <c r="D1509"/>
      <c r="F1509"/>
      <c r="G1509"/>
      <c r="I1509"/>
    </row>
    <row r="1510" spans="1:9" x14ac:dyDescent="0.35">
      <c r="A1510"/>
      <c r="B1510"/>
      <c r="C1510"/>
      <c r="D1510"/>
      <c r="F1510"/>
      <c r="G1510"/>
      <c r="I1510"/>
    </row>
    <row r="1511" spans="1:9" x14ac:dyDescent="0.35">
      <c r="A1511"/>
      <c r="B1511"/>
      <c r="C1511"/>
      <c r="D1511"/>
      <c r="F1511"/>
      <c r="G1511"/>
      <c r="I1511"/>
    </row>
    <row r="1512" spans="1:9" x14ac:dyDescent="0.35">
      <c r="A1512"/>
      <c r="B1512"/>
      <c r="C1512"/>
      <c r="D1512"/>
      <c r="F1512"/>
      <c r="G1512"/>
      <c r="I1512"/>
    </row>
    <row r="1513" spans="1:9" x14ac:dyDescent="0.35">
      <c r="A1513"/>
      <c r="B1513"/>
      <c r="C1513"/>
      <c r="D1513"/>
      <c r="F1513"/>
      <c r="G1513"/>
      <c r="I1513"/>
    </row>
    <row r="1514" spans="1:9" x14ac:dyDescent="0.35">
      <c r="A1514"/>
      <c r="B1514"/>
      <c r="C1514"/>
      <c r="D1514"/>
      <c r="F1514"/>
      <c r="G1514"/>
      <c r="I1514"/>
    </row>
    <row r="1515" spans="1:9" x14ac:dyDescent="0.35">
      <c r="A1515"/>
      <c r="B1515"/>
      <c r="C1515"/>
      <c r="D1515"/>
      <c r="F1515"/>
      <c r="G1515"/>
      <c r="I1515"/>
    </row>
    <row r="1516" spans="1:9" x14ac:dyDescent="0.35">
      <c r="A1516"/>
      <c r="B1516"/>
      <c r="C1516"/>
      <c r="D1516"/>
      <c r="F1516"/>
      <c r="G1516"/>
      <c r="I1516"/>
    </row>
    <row r="1517" spans="1:9" x14ac:dyDescent="0.35">
      <c r="A1517"/>
      <c r="B1517"/>
      <c r="C1517"/>
      <c r="D1517"/>
      <c r="F1517"/>
      <c r="G1517"/>
      <c r="I1517"/>
    </row>
    <row r="1518" spans="1:9" x14ac:dyDescent="0.35">
      <c r="A1518"/>
      <c r="B1518"/>
      <c r="C1518"/>
      <c r="D1518"/>
      <c r="F1518"/>
      <c r="G1518"/>
      <c r="I1518"/>
    </row>
    <row r="1519" spans="1:9" x14ac:dyDescent="0.35">
      <c r="A1519"/>
      <c r="B1519"/>
      <c r="C1519"/>
      <c r="D1519"/>
      <c r="F1519"/>
      <c r="G1519"/>
      <c r="I1519"/>
    </row>
    <row r="1520" spans="1:9" x14ac:dyDescent="0.35">
      <c r="A1520"/>
      <c r="B1520"/>
      <c r="C1520"/>
      <c r="D1520"/>
      <c r="F1520"/>
      <c r="G1520"/>
      <c r="I1520"/>
    </row>
    <row r="1521" spans="1:9" x14ac:dyDescent="0.35">
      <c r="A1521"/>
      <c r="B1521"/>
      <c r="C1521"/>
      <c r="D1521"/>
      <c r="F1521"/>
      <c r="G1521"/>
      <c r="I1521"/>
    </row>
    <row r="1522" spans="1:9" x14ac:dyDescent="0.35">
      <c r="A1522"/>
      <c r="B1522"/>
      <c r="C1522"/>
      <c r="D1522"/>
      <c r="F1522"/>
      <c r="G1522"/>
      <c r="I1522"/>
    </row>
    <row r="1523" spans="1:9" x14ac:dyDescent="0.35">
      <c r="A1523"/>
      <c r="B1523"/>
      <c r="C1523"/>
      <c r="D1523"/>
      <c r="F1523"/>
      <c r="G1523"/>
      <c r="I1523"/>
    </row>
    <row r="1524" spans="1:9" x14ac:dyDescent="0.35">
      <c r="A1524"/>
      <c r="B1524"/>
      <c r="C1524"/>
      <c r="D1524"/>
      <c r="F1524"/>
      <c r="G1524"/>
      <c r="I1524"/>
    </row>
    <row r="1525" spans="1:9" x14ac:dyDescent="0.35">
      <c r="A1525"/>
      <c r="B1525"/>
      <c r="C1525"/>
      <c r="D1525"/>
      <c r="F1525"/>
      <c r="G1525"/>
      <c r="I1525"/>
    </row>
    <row r="1526" spans="1:9" x14ac:dyDescent="0.35">
      <c r="A1526"/>
      <c r="B1526"/>
      <c r="C1526"/>
      <c r="D1526"/>
      <c r="F1526"/>
      <c r="G1526"/>
      <c r="I1526"/>
    </row>
    <row r="1527" spans="1:9" x14ac:dyDescent="0.35">
      <c r="A1527"/>
      <c r="B1527"/>
      <c r="C1527"/>
      <c r="D1527"/>
      <c r="F1527"/>
      <c r="G1527"/>
      <c r="I1527"/>
    </row>
    <row r="1528" spans="1:9" x14ac:dyDescent="0.35">
      <c r="A1528"/>
      <c r="B1528"/>
      <c r="C1528"/>
      <c r="D1528"/>
      <c r="F1528"/>
      <c r="G1528"/>
      <c r="I1528"/>
    </row>
    <row r="1529" spans="1:9" x14ac:dyDescent="0.35">
      <c r="A1529"/>
      <c r="B1529"/>
      <c r="C1529"/>
      <c r="D1529"/>
      <c r="F1529"/>
      <c r="G1529"/>
      <c r="I1529"/>
    </row>
    <row r="1530" spans="1:9" x14ac:dyDescent="0.35">
      <c r="A1530"/>
      <c r="B1530"/>
      <c r="C1530"/>
      <c r="D1530"/>
      <c r="F1530"/>
      <c r="G1530"/>
      <c r="I1530"/>
    </row>
    <row r="1531" spans="1:9" x14ac:dyDescent="0.35">
      <c r="A1531"/>
      <c r="B1531"/>
      <c r="C1531"/>
      <c r="D1531"/>
      <c r="F1531"/>
      <c r="G1531"/>
      <c r="I1531"/>
    </row>
    <row r="1532" spans="1:9" x14ac:dyDescent="0.35">
      <c r="A1532"/>
      <c r="B1532"/>
      <c r="C1532"/>
      <c r="D1532"/>
      <c r="F1532"/>
      <c r="G1532"/>
      <c r="I1532"/>
    </row>
    <row r="1533" spans="1:9" x14ac:dyDescent="0.35">
      <c r="A1533"/>
      <c r="B1533"/>
      <c r="C1533"/>
      <c r="D1533"/>
      <c r="F1533"/>
      <c r="G1533"/>
      <c r="I1533"/>
    </row>
    <row r="1534" spans="1:9" x14ac:dyDescent="0.35">
      <c r="A1534"/>
      <c r="B1534"/>
      <c r="C1534"/>
      <c r="D1534"/>
      <c r="F1534"/>
      <c r="G1534"/>
      <c r="I1534"/>
    </row>
    <row r="1535" spans="1:9" x14ac:dyDescent="0.35">
      <c r="A1535"/>
      <c r="B1535"/>
      <c r="C1535"/>
      <c r="D1535"/>
      <c r="F1535"/>
      <c r="G1535"/>
      <c r="I1535"/>
    </row>
    <row r="1536" spans="1:9" x14ac:dyDescent="0.35">
      <c r="A1536"/>
      <c r="B1536"/>
      <c r="C1536"/>
      <c r="D1536"/>
      <c r="F1536"/>
      <c r="G1536"/>
      <c r="I1536"/>
    </row>
    <row r="1537" spans="1:9" x14ac:dyDescent="0.35">
      <c r="A1537"/>
      <c r="B1537"/>
      <c r="C1537"/>
      <c r="D1537"/>
      <c r="F1537"/>
      <c r="G1537"/>
      <c r="I1537"/>
    </row>
    <row r="1538" spans="1:9" x14ac:dyDescent="0.35">
      <c r="A1538"/>
      <c r="B1538"/>
      <c r="C1538"/>
      <c r="D1538"/>
      <c r="F1538"/>
      <c r="G1538"/>
      <c r="I1538"/>
    </row>
    <row r="1539" spans="1:9" x14ac:dyDescent="0.35">
      <c r="A1539"/>
      <c r="B1539"/>
      <c r="C1539"/>
      <c r="D1539"/>
      <c r="F1539"/>
      <c r="G1539"/>
      <c r="I1539"/>
    </row>
    <row r="1540" spans="1:9" x14ac:dyDescent="0.35">
      <c r="A1540"/>
      <c r="B1540"/>
      <c r="C1540"/>
      <c r="D1540"/>
      <c r="F1540"/>
      <c r="G1540"/>
      <c r="I1540"/>
    </row>
    <row r="1541" spans="1:9" x14ac:dyDescent="0.35">
      <c r="A1541"/>
      <c r="B1541"/>
      <c r="C1541"/>
      <c r="D1541"/>
      <c r="F1541"/>
      <c r="G1541"/>
      <c r="I1541"/>
    </row>
    <row r="1542" spans="1:9" x14ac:dyDescent="0.35">
      <c r="A1542"/>
      <c r="B1542"/>
      <c r="C1542"/>
      <c r="D1542"/>
      <c r="F1542"/>
      <c r="G1542"/>
      <c r="I1542"/>
    </row>
    <row r="1543" spans="1:9" x14ac:dyDescent="0.35">
      <c r="A1543"/>
      <c r="B1543"/>
      <c r="C1543"/>
      <c r="D1543"/>
      <c r="F1543"/>
      <c r="G1543"/>
      <c r="I1543"/>
    </row>
    <row r="1544" spans="1:9" x14ac:dyDescent="0.35">
      <c r="A1544"/>
      <c r="B1544"/>
      <c r="C1544"/>
      <c r="D1544"/>
      <c r="F1544"/>
      <c r="G1544"/>
      <c r="I1544"/>
    </row>
    <row r="1545" spans="1:9" x14ac:dyDescent="0.35">
      <c r="A1545"/>
      <c r="B1545"/>
      <c r="C1545"/>
      <c r="D1545"/>
      <c r="F1545"/>
      <c r="G1545"/>
      <c r="I1545"/>
    </row>
    <row r="1546" spans="1:9" x14ac:dyDescent="0.35">
      <c r="A1546"/>
      <c r="B1546"/>
      <c r="C1546"/>
      <c r="D1546"/>
      <c r="F1546"/>
      <c r="G1546"/>
      <c r="I1546"/>
    </row>
    <row r="1547" spans="1:9" x14ac:dyDescent="0.35">
      <c r="A1547"/>
      <c r="B1547"/>
      <c r="C1547"/>
      <c r="D1547"/>
      <c r="F1547"/>
      <c r="G1547"/>
      <c r="I1547"/>
    </row>
    <row r="1548" spans="1:9" x14ac:dyDescent="0.35">
      <c r="A1548"/>
      <c r="B1548"/>
      <c r="C1548"/>
      <c r="D1548"/>
      <c r="F1548"/>
      <c r="G1548"/>
      <c r="I1548"/>
    </row>
    <row r="1549" spans="1:9" x14ac:dyDescent="0.35">
      <c r="A1549"/>
      <c r="B1549"/>
      <c r="C1549"/>
      <c r="D1549"/>
      <c r="F1549"/>
      <c r="G1549"/>
      <c r="I1549"/>
    </row>
    <row r="1550" spans="1:9" x14ac:dyDescent="0.35">
      <c r="A1550"/>
      <c r="B1550"/>
      <c r="C1550"/>
      <c r="D1550"/>
      <c r="F1550"/>
      <c r="G1550"/>
      <c r="I1550"/>
    </row>
    <row r="1551" spans="1:9" x14ac:dyDescent="0.35">
      <c r="A1551"/>
      <c r="B1551"/>
      <c r="C1551"/>
      <c r="D1551"/>
      <c r="F1551"/>
      <c r="G1551"/>
      <c r="I1551"/>
    </row>
    <row r="1552" spans="1:9" x14ac:dyDescent="0.35">
      <c r="A1552"/>
      <c r="B1552"/>
      <c r="C1552"/>
      <c r="D1552"/>
      <c r="F1552"/>
      <c r="G1552"/>
      <c r="I1552"/>
    </row>
    <row r="1553" spans="1:9" x14ac:dyDescent="0.35">
      <c r="A1553"/>
      <c r="B1553"/>
      <c r="C1553"/>
      <c r="D1553"/>
      <c r="F1553"/>
      <c r="G1553"/>
      <c r="I1553"/>
    </row>
    <row r="1554" spans="1:9" x14ac:dyDescent="0.35">
      <c r="A1554"/>
      <c r="B1554"/>
      <c r="C1554"/>
      <c r="D1554"/>
      <c r="F1554"/>
      <c r="G1554"/>
      <c r="I1554"/>
    </row>
    <row r="1555" spans="1:9" x14ac:dyDescent="0.35">
      <c r="A1555"/>
      <c r="B1555"/>
      <c r="C1555"/>
      <c r="D1555"/>
      <c r="F1555"/>
      <c r="G1555"/>
      <c r="I1555"/>
    </row>
    <row r="1556" spans="1:9" x14ac:dyDescent="0.35">
      <c r="A1556"/>
      <c r="B1556"/>
      <c r="C1556"/>
      <c r="D1556"/>
      <c r="F1556"/>
      <c r="G1556"/>
      <c r="I1556"/>
    </row>
    <row r="1557" spans="1:9" x14ac:dyDescent="0.35">
      <c r="A1557"/>
      <c r="B1557"/>
      <c r="C1557"/>
      <c r="D1557"/>
      <c r="F1557"/>
      <c r="G1557"/>
      <c r="I1557"/>
    </row>
    <row r="1558" spans="1:9" x14ac:dyDescent="0.35">
      <c r="A1558"/>
      <c r="B1558"/>
      <c r="C1558"/>
      <c r="D1558"/>
      <c r="F1558"/>
      <c r="G1558"/>
      <c r="I1558"/>
    </row>
    <row r="1559" spans="1:9" x14ac:dyDescent="0.35">
      <c r="A1559"/>
      <c r="B1559"/>
      <c r="C1559"/>
      <c r="D1559"/>
      <c r="F1559"/>
      <c r="G1559"/>
      <c r="I1559"/>
    </row>
    <row r="1560" spans="1:9" x14ac:dyDescent="0.35">
      <c r="A1560"/>
      <c r="B1560"/>
      <c r="C1560"/>
      <c r="D1560"/>
      <c r="F1560"/>
      <c r="G1560"/>
      <c r="I1560"/>
    </row>
    <row r="1561" spans="1:9" x14ac:dyDescent="0.35">
      <c r="A1561"/>
      <c r="B1561"/>
      <c r="C1561"/>
      <c r="D1561"/>
      <c r="F1561"/>
      <c r="G1561"/>
      <c r="I1561"/>
    </row>
    <row r="1562" spans="1:9" x14ac:dyDescent="0.35">
      <c r="A1562"/>
      <c r="B1562"/>
      <c r="C1562"/>
      <c r="D1562"/>
      <c r="F1562"/>
      <c r="G1562"/>
      <c r="I1562"/>
    </row>
    <row r="1563" spans="1:9" x14ac:dyDescent="0.35">
      <c r="A1563"/>
      <c r="B1563"/>
      <c r="C1563"/>
      <c r="D1563"/>
      <c r="F1563"/>
      <c r="G1563"/>
      <c r="I1563"/>
    </row>
    <row r="1564" spans="1:9" x14ac:dyDescent="0.35">
      <c r="A1564"/>
      <c r="B1564"/>
      <c r="C1564"/>
      <c r="D1564"/>
      <c r="F1564"/>
      <c r="G1564"/>
      <c r="I1564"/>
    </row>
    <row r="1565" spans="1:9" x14ac:dyDescent="0.35">
      <c r="A1565"/>
      <c r="B1565"/>
      <c r="C1565"/>
      <c r="D1565"/>
      <c r="F1565"/>
      <c r="G1565"/>
      <c r="I1565"/>
    </row>
    <row r="1566" spans="1:9" x14ac:dyDescent="0.35">
      <c r="A1566"/>
      <c r="B1566"/>
      <c r="C1566"/>
      <c r="D1566"/>
      <c r="F1566"/>
      <c r="G1566"/>
      <c r="I1566"/>
    </row>
    <row r="1567" spans="1:9" x14ac:dyDescent="0.35">
      <c r="A1567"/>
      <c r="B1567"/>
      <c r="C1567"/>
      <c r="D1567"/>
      <c r="F1567"/>
      <c r="G1567"/>
      <c r="I1567"/>
    </row>
    <row r="1568" spans="1:9" x14ac:dyDescent="0.35">
      <c r="A1568"/>
      <c r="B1568"/>
      <c r="C1568"/>
      <c r="D1568"/>
      <c r="F1568"/>
      <c r="G1568"/>
      <c r="I1568"/>
    </row>
    <row r="1569" spans="1:9" x14ac:dyDescent="0.35">
      <c r="A1569"/>
      <c r="B1569"/>
      <c r="C1569"/>
      <c r="D1569"/>
      <c r="F1569"/>
      <c r="G1569"/>
      <c r="I1569"/>
    </row>
    <row r="1570" spans="1:9" x14ac:dyDescent="0.35">
      <c r="A1570"/>
      <c r="B1570"/>
      <c r="C1570"/>
      <c r="D1570"/>
      <c r="F1570"/>
      <c r="G1570"/>
      <c r="I1570"/>
    </row>
    <row r="1571" spans="1:9" x14ac:dyDescent="0.35">
      <c r="A1571"/>
      <c r="B1571"/>
      <c r="C1571"/>
      <c r="D1571"/>
      <c r="F1571"/>
      <c r="G1571"/>
      <c r="I1571"/>
    </row>
    <row r="1572" spans="1:9" x14ac:dyDescent="0.35">
      <c r="A1572"/>
      <c r="B1572"/>
      <c r="C1572"/>
      <c r="D1572"/>
      <c r="F1572"/>
      <c r="G1572"/>
      <c r="I1572"/>
    </row>
    <row r="1573" spans="1:9" x14ac:dyDescent="0.35">
      <c r="A1573"/>
      <c r="B1573"/>
      <c r="C1573"/>
      <c r="D1573"/>
      <c r="F1573"/>
      <c r="G1573"/>
      <c r="I1573"/>
    </row>
    <row r="1574" spans="1:9" x14ac:dyDescent="0.35">
      <c r="A1574"/>
      <c r="B1574"/>
      <c r="C1574"/>
      <c r="D1574"/>
      <c r="F1574"/>
      <c r="G1574"/>
      <c r="I1574"/>
    </row>
    <row r="1575" spans="1:9" x14ac:dyDescent="0.35">
      <c r="A1575"/>
      <c r="B1575"/>
      <c r="C1575"/>
      <c r="D1575"/>
      <c r="F1575"/>
      <c r="G1575"/>
      <c r="I1575"/>
    </row>
    <row r="1576" spans="1:9" x14ac:dyDescent="0.35">
      <c r="A1576"/>
      <c r="B1576"/>
      <c r="C1576"/>
      <c r="D1576"/>
      <c r="F1576"/>
      <c r="G1576"/>
      <c r="I1576"/>
    </row>
    <row r="1577" spans="1:9" x14ac:dyDescent="0.35">
      <c r="A1577"/>
      <c r="B1577"/>
      <c r="C1577"/>
      <c r="D1577"/>
      <c r="F1577"/>
      <c r="G1577"/>
      <c r="I1577"/>
    </row>
    <row r="1578" spans="1:9" x14ac:dyDescent="0.35">
      <c r="A1578"/>
      <c r="B1578"/>
      <c r="C1578"/>
      <c r="D1578"/>
      <c r="F1578"/>
      <c r="G1578"/>
      <c r="I1578"/>
    </row>
    <row r="1579" spans="1:9" x14ac:dyDescent="0.35">
      <c r="A1579"/>
      <c r="B1579"/>
      <c r="C1579"/>
      <c r="D1579"/>
      <c r="F1579"/>
      <c r="G1579"/>
      <c r="I1579"/>
    </row>
    <row r="1580" spans="1:9" x14ac:dyDescent="0.35">
      <c r="A1580"/>
      <c r="B1580"/>
      <c r="C1580"/>
      <c r="D1580"/>
      <c r="F1580"/>
      <c r="G1580"/>
      <c r="I1580"/>
    </row>
    <row r="1581" spans="1:9" x14ac:dyDescent="0.35">
      <c r="A1581"/>
      <c r="B1581"/>
      <c r="C1581"/>
      <c r="D1581"/>
      <c r="F1581"/>
      <c r="G1581"/>
      <c r="I1581"/>
    </row>
    <row r="1582" spans="1:9" x14ac:dyDescent="0.35">
      <c r="A1582"/>
      <c r="B1582"/>
      <c r="C1582"/>
      <c r="D1582"/>
      <c r="F1582"/>
      <c r="G1582"/>
      <c r="I1582"/>
    </row>
    <row r="1583" spans="1:9" x14ac:dyDescent="0.35">
      <c r="A1583"/>
      <c r="B1583"/>
      <c r="C1583"/>
      <c r="D1583"/>
      <c r="F1583"/>
      <c r="G1583"/>
      <c r="I1583"/>
    </row>
    <row r="1584" spans="1:9" x14ac:dyDescent="0.35">
      <c r="A1584"/>
      <c r="B1584"/>
      <c r="C1584"/>
      <c r="D1584"/>
      <c r="F1584"/>
      <c r="G1584"/>
      <c r="I1584"/>
    </row>
    <row r="1585" spans="1:9" x14ac:dyDescent="0.35">
      <c r="A1585"/>
      <c r="B1585"/>
      <c r="C1585"/>
      <c r="D1585"/>
      <c r="F1585"/>
      <c r="G1585"/>
      <c r="I1585"/>
    </row>
    <row r="1586" spans="1:9" x14ac:dyDescent="0.35">
      <c r="A1586"/>
      <c r="B1586"/>
      <c r="C1586"/>
      <c r="D1586"/>
      <c r="F1586"/>
      <c r="G1586"/>
      <c r="I1586"/>
    </row>
    <row r="1587" spans="1:9" x14ac:dyDescent="0.35">
      <c r="A1587"/>
      <c r="B1587"/>
      <c r="C1587"/>
      <c r="D1587"/>
      <c r="F1587"/>
      <c r="G1587"/>
      <c r="I1587"/>
    </row>
    <row r="1588" spans="1:9" x14ac:dyDescent="0.35">
      <c r="A1588"/>
      <c r="B1588"/>
      <c r="C1588"/>
      <c r="D1588"/>
      <c r="F1588"/>
      <c r="G1588"/>
      <c r="I1588"/>
    </row>
    <row r="1589" spans="1:9" x14ac:dyDescent="0.35">
      <c r="A1589"/>
      <c r="B1589"/>
      <c r="C1589"/>
      <c r="D1589"/>
      <c r="F1589"/>
      <c r="G1589"/>
      <c r="I1589"/>
    </row>
    <row r="1590" spans="1:9" x14ac:dyDescent="0.35">
      <c r="A1590"/>
      <c r="B1590"/>
      <c r="C1590"/>
      <c r="D1590"/>
      <c r="F1590"/>
      <c r="G1590"/>
      <c r="I1590"/>
    </row>
    <row r="1591" spans="1:9" x14ac:dyDescent="0.35">
      <c r="A1591"/>
      <c r="B1591"/>
      <c r="C1591"/>
      <c r="D1591"/>
      <c r="F1591"/>
      <c r="G1591"/>
      <c r="I1591"/>
    </row>
    <row r="1592" spans="1:9" x14ac:dyDescent="0.35">
      <c r="A1592"/>
      <c r="B1592"/>
      <c r="C1592"/>
      <c r="D1592"/>
      <c r="F1592"/>
      <c r="G1592"/>
      <c r="I1592"/>
    </row>
    <row r="1593" spans="1:9" x14ac:dyDescent="0.35">
      <c r="A1593"/>
      <c r="B1593"/>
      <c r="C1593"/>
      <c r="D1593"/>
      <c r="F1593"/>
      <c r="G1593"/>
      <c r="I1593"/>
    </row>
    <row r="1594" spans="1:9" x14ac:dyDescent="0.35">
      <c r="A1594"/>
      <c r="B1594"/>
      <c r="C1594"/>
      <c r="D1594"/>
      <c r="F1594"/>
      <c r="G1594"/>
      <c r="I1594"/>
    </row>
    <row r="1595" spans="1:9" x14ac:dyDescent="0.35">
      <c r="A1595"/>
      <c r="B1595"/>
      <c r="C1595"/>
      <c r="D1595"/>
      <c r="F1595"/>
      <c r="G1595"/>
      <c r="I1595"/>
    </row>
    <row r="1596" spans="1:9" x14ac:dyDescent="0.35">
      <c r="A1596"/>
      <c r="B1596"/>
      <c r="C1596"/>
      <c r="D1596"/>
      <c r="F1596"/>
      <c r="G1596"/>
      <c r="I1596"/>
    </row>
    <row r="1597" spans="1:9" x14ac:dyDescent="0.35">
      <c r="A1597"/>
      <c r="B1597"/>
      <c r="C1597"/>
      <c r="D1597"/>
      <c r="F1597"/>
      <c r="G1597"/>
      <c r="I1597"/>
    </row>
    <row r="1598" spans="1:9" x14ac:dyDescent="0.35">
      <c r="A1598"/>
      <c r="B1598"/>
      <c r="C1598"/>
      <c r="D1598"/>
      <c r="F1598"/>
      <c r="G1598"/>
      <c r="I1598"/>
    </row>
    <row r="1599" spans="1:9" x14ac:dyDescent="0.35">
      <c r="A1599"/>
      <c r="B1599"/>
      <c r="C1599"/>
      <c r="D1599"/>
      <c r="F1599"/>
      <c r="G1599"/>
      <c r="I1599"/>
    </row>
    <row r="1600" spans="1:9" x14ac:dyDescent="0.35">
      <c r="A1600"/>
      <c r="B1600"/>
      <c r="C1600"/>
      <c r="D1600"/>
      <c r="F1600"/>
      <c r="G1600"/>
      <c r="I1600"/>
    </row>
    <row r="1601" spans="1:9" x14ac:dyDescent="0.35">
      <c r="A1601"/>
      <c r="B1601"/>
      <c r="C1601"/>
      <c r="D1601"/>
      <c r="F1601"/>
      <c r="G1601"/>
      <c r="I1601"/>
    </row>
    <row r="1602" spans="1:9" x14ac:dyDescent="0.35">
      <c r="A1602"/>
      <c r="B1602"/>
      <c r="C1602"/>
      <c r="D1602"/>
      <c r="F1602"/>
      <c r="G1602"/>
      <c r="I1602"/>
    </row>
    <row r="1603" spans="1:9" x14ac:dyDescent="0.35">
      <c r="A1603"/>
      <c r="B1603"/>
      <c r="C1603"/>
      <c r="D1603"/>
      <c r="F1603"/>
      <c r="G1603"/>
      <c r="I1603"/>
    </row>
    <row r="1604" spans="1:9" x14ac:dyDescent="0.35">
      <c r="A1604"/>
      <c r="B1604"/>
      <c r="C1604"/>
      <c r="D1604"/>
      <c r="F1604"/>
      <c r="G1604"/>
      <c r="I1604"/>
    </row>
    <row r="1605" spans="1:9" x14ac:dyDescent="0.35">
      <c r="A1605"/>
      <c r="B1605"/>
      <c r="C1605"/>
      <c r="D1605"/>
      <c r="F1605"/>
      <c r="G1605"/>
      <c r="I1605"/>
    </row>
    <row r="1606" spans="1:9" x14ac:dyDescent="0.35">
      <c r="A1606"/>
      <c r="B1606"/>
      <c r="C1606"/>
      <c r="D1606"/>
      <c r="F1606"/>
      <c r="G1606"/>
      <c r="I1606"/>
    </row>
    <row r="1607" spans="1:9" x14ac:dyDescent="0.35">
      <c r="A1607"/>
      <c r="B1607"/>
      <c r="C1607"/>
      <c r="D1607"/>
      <c r="F1607"/>
      <c r="G1607"/>
      <c r="I1607"/>
    </row>
    <row r="1608" spans="1:9" x14ac:dyDescent="0.35">
      <c r="A1608"/>
      <c r="B1608"/>
      <c r="C1608"/>
      <c r="D1608"/>
      <c r="F1608"/>
      <c r="G1608"/>
      <c r="I1608"/>
    </row>
    <row r="1609" spans="1:9" x14ac:dyDescent="0.35">
      <c r="A1609"/>
      <c r="B1609"/>
      <c r="C1609"/>
      <c r="D1609"/>
      <c r="F1609"/>
      <c r="G1609"/>
      <c r="I1609"/>
    </row>
    <row r="1610" spans="1:9" x14ac:dyDescent="0.35">
      <c r="A1610"/>
      <c r="B1610"/>
      <c r="C1610"/>
      <c r="D1610"/>
      <c r="F1610"/>
      <c r="G1610"/>
      <c r="I1610"/>
    </row>
    <row r="1611" spans="1:9" x14ac:dyDescent="0.35">
      <c r="A1611"/>
      <c r="B1611"/>
      <c r="C1611"/>
      <c r="D1611"/>
      <c r="F1611"/>
      <c r="G1611"/>
      <c r="I1611"/>
    </row>
    <row r="1612" spans="1:9" x14ac:dyDescent="0.35">
      <c r="A1612"/>
      <c r="B1612"/>
      <c r="C1612"/>
      <c r="D1612"/>
      <c r="F1612"/>
      <c r="G1612"/>
      <c r="I1612"/>
    </row>
    <row r="1613" spans="1:9" x14ac:dyDescent="0.35">
      <c r="A1613"/>
      <c r="B1613"/>
      <c r="C1613"/>
      <c r="D1613"/>
      <c r="F1613"/>
      <c r="G1613"/>
      <c r="I1613"/>
    </row>
    <row r="1614" spans="1:9" x14ac:dyDescent="0.35">
      <c r="A1614"/>
      <c r="B1614"/>
      <c r="C1614"/>
      <c r="D1614"/>
      <c r="F1614"/>
      <c r="G1614"/>
      <c r="I1614"/>
    </row>
    <row r="1615" spans="1:9" x14ac:dyDescent="0.35">
      <c r="A1615"/>
      <c r="B1615"/>
      <c r="C1615"/>
      <c r="D1615"/>
      <c r="F1615"/>
      <c r="G1615"/>
      <c r="I1615"/>
    </row>
    <row r="1616" spans="1:9" x14ac:dyDescent="0.35">
      <c r="A1616"/>
      <c r="B1616"/>
      <c r="C1616"/>
      <c r="D1616"/>
      <c r="F1616"/>
      <c r="G1616"/>
      <c r="I1616"/>
    </row>
    <row r="1617" spans="1:9" x14ac:dyDescent="0.35">
      <c r="A1617"/>
      <c r="B1617"/>
      <c r="C1617"/>
      <c r="D1617"/>
      <c r="F1617"/>
      <c r="G1617"/>
      <c r="I1617"/>
    </row>
    <row r="1618" spans="1:9" x14ac:dyDescent="0.35">
      <c r="A1618"/>
      <c r="B1618"/>
      <c r="C1618"/>
      <c r="D1618"/>
      <c r="F1618"/>
      <c r="G1618"/>
      <c r="I1618"/>
    </row>
    <row r="1619" spans="1:9" x14ac:dyDescent="0.35">
      <c r="A1619"/>
      <c r="B1619"/>
      <c r="C1619"/>
      <c r="D1619"/>
      <c r="F1619"/>
      <c r="G1619"/>
      <c r="I1619"/>
    </row>
    <row r="1620" spans="1:9" x14ac:dyDescent="0.35">
      <c r="A1620"/>
      <c r="B1620"/>
      <c r="C1620"/>
      <c r="D1620"/>
      <c r="F1620"/>
      <c r="G1620"/>
      <c r="I1620"/>
    </row>
    <row r="1621" spans="1:9" x14ac:dyDescent="0.35">
      <c r="A1621"/>
      <c r="B1621"/>
      <c r="C1621"/>
      <c r="D1621"/>
      <c r="F1621"/>
      <c r="G1621"/>
      <c r="I1621"/>
    </row>
    <row r="1622" spans="1:9" x14ac:dyDescent="0.35">
      <c r="A1622"/>
      <c r="B1622"/>
      <c r="C1622"/>
      <c r="D1622"/>
      <c r="F1622"/>
      <c r="G1622"/>
      <c r="I1622"/>
    </row>
    <row r="1623" spans="1:9" x14ac:dyDescent="0.35">
      <c r="A1623"/>
      <c r="B1623"/>
      <c r="C1623"/>
      <c r="D1623"/>
      <c r="F1623"/>
      <c r="G1623"/>
      <c r="I1623"/>
    </row>
    <row r="1624" spans="1:9" x14ac:dyDescent="0.35">
      <c r="A1624"/>
      <c r="B1624"/>
      <c r="C1624"/>
      <c r="D1624"/>
      <c r="F1624"/>
      <c r="G1624"/>
      <c r="I1624"/>
    </row>
    <row r="1625" spans="1:9" x14ac:dyDescent="0.35">
      <c r="A1625"/>
      <c r="B1625"/>
      <c r="C1625"/>
      <c r="D1625"/>
      <c r="F1625"/>
      <c r="G1625"/>
      <c r="I1625"/>
    </row>
    <row r="1626" spans="1:9" x14ac:dyDescent="0.35">
      <c r="A1626"/>
      <c r="B1626"/>
      <c r="C1626"/>
      <c r="D1626"/>
      <c r="F1626"/>
      <c r="G1626"/>
      <c r="I1626"/>
    </row>
    <row r="1627" spans="1:9" x14ac:dyDescent="0.35">
      <c r="A1627"/>
      <c r="B1627"/>
      <c r="C1627"/>
      <c r="D1627"/>
      <c r="F1627"/>
      <c r="G1627"/>
      <c r="I1627"/>
    </row>
    <row r="1628" spans="1:9" x14ac:dyDescent="0.35">
      <c r="A1628"/>
      <c r="B1628"/>
      <c r="C1628"/>
      <c r="D1628"/>
      <c r="F1628"/>
      <c r="G1628"/>
      <c r="I1628"/>
    </row>
    <row r="1629" spans="1:9" x14ac:dyDescent="0.35">
      <c r="A1629"/>
      <c r="B1629"/>
      <c r="C1629"/>
      <c r="D1629"/>
      <c r="F1629"/>
      <c r="G1629"/>
      <c r="I1629"/>
    </row>
    <row r="1630" spans="1:9" x14ac:dyDescent="0.35">
      <c r="A1630"/>
      <c r="B1630"/>
      <c r="C1630"/>
      <c r="D1630"/>
      <c r="F1630"/>
      <c r="G1630"/>
      <c r="I1630"/>
    </row>
    <row r="1631" spans="1:9" x14ac:dyDescent="0.35">
      <c r="A1631"/>
      <c r="B1631"/>
      <c r="C1631"/>
      <c r="D1631"/>
      <c r="F1631"/>
      <c r="G1631"/>
      <c r="I1631"/>
    </row>
    <row r="1632" spans="1:9" x14ac:dyDescent="0.35">
      <c r="A1632"/>
      <c r="B1632"/>
      <c r="C1632"/>
      <c r="D1632"/>
      <c r="F1632"/>
      <c r="G1632"/>
      <c r="I1632"/>
    </row>
    <row r="1633" spans="1:9" x14ac:dyDescent="0.35">
      <c r="A1633"/>
      <c r="B1633"/>
      <c r="C1633"/>
      <c r="D1633"/>
      <c r="F1633"/>
      <c r="G1633"/>
      <c r="I1633"/>
    </row>
    <row r="1634" spans="1:9" x14ac:dyDescent="0.35">
      <c r="A1634"/>
      <c r="B1634"/>
      <c r="C1634"/>
      <c r="D1634"/>
      <c r="F1634"/>
      <c r="G1634"/>
      <c r="I1634"/>
    </row>
    <row r="1635" spans="1:9" x14ac:dyDescent="0.35">
      <c r="A1635"/>
      <c r="B1635"/>
      <c r="C1635"/>
      <c r="D1635"/>
      <c r="F1635"/>
      <c r="G1635"/>
      <c r="I1635"/>
    </row>
    <row r="1636" spans="1:9" x14ac:dyDescent="0.35">
      <c r="A1636"/>
      <c r="B1636"/>
      <c r="C1636"/>
      <c r="D1636"/>
      <c r="F1636"/>
      <c r="G1636"/>
      <c r="I1636"/>
    </row>
    <row r="1637" spans="1:9" x14ac:dyDescent="0.35">
      <c r="A1637"/>
      <c r="B1637"/>
      <c r="C1637"/>
      <c r="D1637"/>
      <c r="F1637"/>
      <c r="G1637"/>
      <c r="I1637"/>
    </row>
    <row r="1638" spans="1:9" x14ac:dyDescent="0.35">
      <c r="A1638"/>
      <c r="B1638"/>
      <c r="C1638"/>
      <c r="D1638"/>
      <c r="F1638"/>
      <c r="G1638"/>
      <c r="I1638"/>
    </row>
    <row r="1639" spans="1:9" x14ac:dyDescent="0.35">
      <c r="A1639"/>
      <c r="B1639"/>
      <c r="C1639"/>
      <c r="D1639"/>
      <c r="F1639"/>
      <c r="G1639"/>
      <c r="I1639"/>
    </row>
    <row r="1640" spans="1:9" x14ac:dyDescent="0.35">
      <c r="A1640"/>
      <c r="B1640"/>
      <c r="C1640"/>
      <c r="D1640"/>
      <c r="F1640"/>
      <c r="G1640"/>
      <c r="I1640"/>
    </row>
    <row r="1641" spans="1:9" x14ac:dyDescent="0.35">
      <c r="A1641"/>
      <c r="B1641"/>
      <c r="C1641"/>
      <c r="D1641"/>
      <c r="F1641"/>
      <c r="G1641"/>
      <c r="I1641"/>
    </row>
    <row r="1642" spans="1:9" x14ac:dyDescent="0.35">
      <c r="A1642"/>
      <c r="B1642"/>
      <c r="C1642"/>
      <c r="D1642"/>
      <c r="F1642"/>
      <c r="G1642"/>
      <c r="I1642"/>
    </row>
    <row r="1643" spans="1:9" x14ac:dyDescent="0.35">
      <c r="A1643"/>
      <c r="B1643"/>
      <c r="C1643"/>
      <c r="D1643"/>
      <c r="F1643"/>
      <c r="G1643"/>
      <c r="I1643"/>
    </row>
    <row r="1644" spans="1:9" x14ac:dyDescent="0.35">
      <c r="A1644"/>
      <c r="B1644"/>
      <c r="C1644"/>
      <c r="D1644"/>
      <c r="F1644"/>
      <c r="G1644"/>
      <c r="I1644"/>
    </row>
    <row r="1645" spans="1:9" x14ac:dyDescent="0.35">
      <c r="A1645"/>
      <c r="B1645"/>
      <c r="C1645"/>
      <c r="D1645"/>
      <c r="F1645"/>
      <c r="G1645"/>
      <c r="I1645"/>
    </row>
    <row r="1646" spans="1:9" x14ac:dyDescent="0.35">
      <c r="A1646"/>
      <c r="B1646"/>
      <c r="C1646"/>
      <c r="D1646"/>
      <c r="F1646"/>
      <c r="G1646"/>
      <c r="I1646"/>
    </row>
    <row r="1647" spans="1:9" x14ac:dyDescent="0.35">
      <c r="A1647"/>
      <c r="B1647"/>
      <c r="C1647"/>
      <c r="D1647"/>
      <c r="F1647"/>
      <c r="G1647"/>
      <c r="I1647"/>
    </row>
    <row r="1648" spans="1:9" x14ac:dyDescent="0.35">
      <c r="A1648"/>
      <c r="B1648"/>
      <c r="C1648"/>
      <c r="D1648"/>
      <c r="F1648"/>
      <c r="G1648"/>
      <c r="I1648"/>
    </row>
    <row r="1649" spans="1:9" x14ac:dyDescent="0.35">
      <c r="A1649"/>
      <c r="B1649"/>
      <c r="C1649"/>
      <c r="D1649"/>
      <c r="F1649"/>
      <c r="G1649"/>
      <c r="I1649"/>
    </row>
    <row r="1650" spans="1:9" x14ac:dyDescent="0.35">
      <c r="A1650"/>
      <c r="B1650"/>
      <c r="C1650"/>
      <c r="D1650"/>
      <c r="F1650"/>
      <c r="G1650"/>
      <c r="I1650"/>
    </row>
    <row r="1651" spans="1:9" x14ac:dyDescent="0.35">
      <c r="A1651"/>
      <c r="B1651"/>
      <c r="C1651"/>
      <c r="D1651"/>
      <c r="F1651"/>
      <c r="G1651"/>
      <c r="I1651"/>
    </row>
    <row r="1652" spans="1:9" x14ac:dyDescent="0.35">
      <c r="A1652"/>
      <c r="B1652"/>
      <c r="C1652"/>
      <c r="D1652"/>
      <c r="F1652"/>
      <c r="G1652"/>
      <c r="I1652"/>
    </row>
    <row r="1653" spans="1:9" x14ac:dyDescent="0.35">
      <c r="A1653"/>
      <c r="B1653"/>
      <c r="C1653"/>
      <c r="D1653"/>
      <c r="F1653"/>
      <c r="G1653"/>
      <c r="I1653"/>
    </row>
    <row r="1654" spans="1:9" x14ac:dyDescent="0.35">
      <c r="A1654"/>
      <c r="B1654"/>
      <c r="C1654"/>
      <c r="D1654"/>
      <c r="F1654"/>
      <c r="G1654"/>
      <c r="I1654"/>
    </row>
    <row r="1655" spans="1:9" x14ac:dyDescent="0.35">
      <c r="A1655"/>
      <c r="B1655"/>
      <c r="C1655"/>
      <c r="D1655"/>
      <c r="F1655"/>
      <c r="G1655"/>
      <c r="I1655"/>
    </row>
    <row r="1656" spans="1:9" x14ac:dyDescent="0.35">
      <c r="A1656"/>
      <c r="B1656"/>
      <c r="C1656"/>
      <c r="D1656"/>
      <c r="F1656"/>
      <c r="G1656"/>
      <c r="I1656"/>
    </row>
    <row r="1657" spans="1:9" x14ac:dyDescent="0.35">
      <c r="A1657"/>
      <c r="B1657"/>
      <c r="C1657"/>
      <c r="D1657"/>
      <c r="F1657"/>
      <c r="G1657"/>
      <c r="I1657"/>
    </row>
    <row r="1658" spans="1:9" x14ac:dyDescent="0.35">
      <c r="A1658"/>
      <c r="B1658"/>
      <c r="C1658"/>
      <c r="D1658"/>
      <c r="F1658"/>
      <c r="G1658"/>
      <c r="I1658"/>
    </row>
    <row r="1659" spans="1:9" x14ac:dyDescent="0.35">
      <c r="A1659"/>
      <c r="B1659"/>
      <c r="C1659"/>
      <c r="D1659"/>
      <c r="F1659"/>
      <c r="G1659"/>
      <c r="I1659"/>
    </row>
    <row r="1660" spans="1:9" x14ac:dyDescent="0.35">
      <c r="A1660"/>
      <c r="B1660"/>
      <c r="C1660"/>
      <c r="D1660"/>
      <c r="F1660"/>
      <c r="G1660"/>
      <c r="I1660"/>
    </row>
    <row r="1661" spans="1:9" x14ac:dyDescent="0.35">
      <c r="A1661"/>
      <c r="B1661"/>
      <c r="C1661"/>
      <c r="D1661"/>
      <c r="F1661"/>
      <c r="G1661"/>
      <c r="I1661"/>
    </row>
    <row r="1662" spans="1:9" x14ac:dyDescent="0.35">
      <c r="A1662"/>
      <c r="B1662"/>
      <c r="C1662"/>
      <c r="D1662"/>
      <c r="F1662"/>
      <c r="G1662"/>
      <c r="I1662"/>
    </row>
    <row r="1663" spans="1:9" x14ac:dyDescent="0.35">
      <c r="A1663"/>
      <c r="B1663"/>
      <c r="C1663"/>
      <c r="D1663"/>
      <c r="F1663"/>
      <c r="G1663"/>
      <c r="I1663"/>
    </row>
    <row r="1664" spans="1:9" x14ac:dyDescent="0.35">
      <c r="A1664"/>
      <c r="B1664"/>
      <c r="C1664"/>
      <c r="D1664"/>
      <c r="F1664"/>
      <c r="G1664"/>
      <c r="I1664"/>
    </row>
    <row r="1665" spans="1:9" x14ac:dyDescent="0.35">
      <c r="A1665"/>
      <c r="B1665"/>
      <c r="C1665"/>
      <c r="D1665"/>
      <c r="F1665"/>
      <c r="G1665"/>
      <c r="I1665"/>
    </row>
    <row r="1666" spans="1:9" x14ac:dyDescent="0.35">
      <c r="A1666"/>
      <c r="B1666"/>
      <c r="C1666"/>
      <c r="D1666"/>
      <c r="F1666"/>
      <c r="G1666"/>
      <c r="I1666"/>
    </row>
    <row r="1667" spans="1:9" x14ac:dyDescent="0.35">
      <c r="A1667"/>
      <c r="B1667"/>
      <c r="C1667"/>
      <c r="D1667"/>
      <c r="F1667"/>
      <c r="G1667"/>
      <c r="I1667"/>
    </row>
    <row r="1668" spans="1:9" x14ac:dyDescent="0.35">
      <c r="A1668"/>
      <c r="B1668"/>
      <c r="C1668"/>
      <c r="D1668"/>
      <c r="F1668"/>
      <c r="G1668"/>
      <c r="I1668"/>
    </row>
    <row r="1669" spans="1:9" x14ac:dyDescent="0.35">
      <c r="A1669"/>
      <c r="B1669"/>
      <c r="C1669"/>
      <c r="D1669"/>
      <c r="F1669"/>
      <c r="G1669"/>
      <c r="I1669"/>
    </row>
    <row r="1670" spans="1:9" x14ac:dyDescent="0.35">
      <c r="A1670"/>
      <c r="B1670"/>
      <c r="C1670"/>
      <c r="D1670"/>
      <c r="F1670"/>
      <c r="G1670"/>
      <c r="I1670"/>
    </row>
    <row r="1671" spans="1:9" x14ac:dyDescent="0.35">
      <c r="A1671"/>
      <c r="B1671"/>
      <c r="C1671"/>
      <c r="D1671"/>
      <c r="F1671"/>
      <c r="G1671"/>
      <c r="I1671"/>
    </row>
    <row r="1672" spans="1:9" x14ac:dyDescent="0.35">
      <c r="A1672"/>
      <c r="B1672"/>
      <c r="C1672"/>
      <c r="D1672"/>
      <c r="F1672"/>
      <c r="G1672"/>
      <c r="I1672"/>
    </row>
    <row r="1673" spans="1:9" x14ac:dyDescent="0.35">
      <c r="A1673"/>
      <c r="B1673"/>
      <c r="C1673"/>
      <c r="D1673"/>
      <c r="F1673"/>
      <c r="G1673"/>
      <c r="I1673"/>
    </row>
    <row r="1674" spans="1:9" x14ac:dyDescent="0.35">
      <c r="A1674"/>
      <c r="B1674"/>
      <c r="C1674"/>
      <c r="D1674"/>
      <c r="F1674"/>
      <c r="G1674"/>
      <c r="I1674"/>
    </row>
    <row r="1675" spans="1:9" x14ac:dyDescent="0.35">
      <c r="A1675"/>
      <c r="B1675"/>
      <c r="C1675"/>
      <c r="D1675"/>
      <c r="F1675"/>
      <c r="G1675"/>
      <c r="I1675"/>
    </row>
    <row r="1676" spans="1:9" x14ac:dyDescent="0.35">
      <c r="A1676"/>
      <c r="B1676"/>
      <c r="C1676"/>
      <c r="D1676"/>
      <c r="F1676"/>
      <c r="G1676"/>
      <c r="I1676"/>
    </row>
    <row r="1677" spans="1:9" x14ac:dyDescent="0.35">
      <c r="A1677"/>
      <c r="B1677"/>
      <c r="C1677"/>
      <c r="D1677"/>
      <c r="F1677"/>
      <c r="G1677"/>
      <c r="I1677"/>
    </row>
    <row r="1678" spans="1:9" x14ac:dyDescent="0.35">
      <c r="A1678"/>
      <c r="B1678"/>
      <c r="C1678"/>
      <c r="D1678"/>
      <c r="F1678"/>
      <c r="G1678"/>
      <c r="I1678"/>
    </row>
    <row r="1679" spans="1:9" x14ac:dyDescent="0.35">
      <c r="A1679"/>
      <c r="B1679"/>
      <c r="C1679"/>
      <c r="D1679"/>
      <c r="F1679"/>
      <c r="G1679"/>
      <c r="I1679"/>
    </row>
    <row r="1680" spans="1:9" x14ac:dyDescent="0.35">
      <c r="A1680"/>
      <c r="B1680"/>
      <c r="C1680"/>
      <c r="D1680"/>
      <c r="F1680"/>
      <c r="G1680"/>
      <c r="I1680"/>
    </row>
    <row r="1681" spans="1:9" x14ac:dyDescent="0.35">
      <c r="A1681"/>
      <c r="B1681"/>
      <c r="C1681"/>
      <c r="D1681"/>
      <c r="F1681"/>
      <c r="G1681"/>
      <c r="I1681"/>
    </row>
    <row r="1682" spans="1:9" x14ac:dyDescent="0.35">
      <c r="A1682"/>
      <c r="B1682"/>
      <c r="C1682"/>
      <c r="D1682"/>
      <c r="F1682"/>
      <c r="G1682"/>
      <c r="I1682"/>
    </row>
    <row r="1683" spans="1:9" x14ac:dyDescent="0.35">
      <c r="A1683"/>
      <c r="B1683"/>
      <c r="C1683"/>
      <c r="D1683"/>
      <c r="F1683"/>
      <c r="G1683"/>
      <c r="I1683"/>
    </row>
    <row r="1684" spans="1:9" x14ac:dyDescent="0.35">
      <c r="A1684"/>
      <c r="B1684"/>
      <c r="C1684"/>
      <c r="D1684"/>
      <c r="F1684"/>
      <c r="G1684"/>
      <c r="I1684"/>
    </row>
    <row r="1685" spans="1:9" x14ac:dyDescent="0.35">
      <c r="A1685"/>
      <c r="B1685"/>
      <c r="C1685"/>
      <c r="D1685"/>
      <c r="F1685"/>
      <c r="G1685"/>
      <c r="I1685"/>
    </row>
    <row r="1686" spans="1:9" x14ac:dyDescent="0.35">
      <c r="A1686"/>
      <c r="B1686"/>
      <c r="C1686"/>
      <c r="D1686"/>
      <c r="F1686"/>
      <c r="G1686"/>
      <c r="I1686"/>
    </row>
    <row r="1687" spans="1:9" x14ac:dyDescent="0.35">
      <c r="A1687"/>
      <c r="B1687"/>
      <c r="C1687"/>
      <c r="D1687"/>
      <c r="F1687"/>
      <c r="G1687"/>
      <c r="I1687"/>
    </row>
    <row r="1688" spans="1:9" x14ac:dyDescent="0.35">
      <c r="A1688"/>
      <c r="B1688"/>
      <c r="C1688"/>
      <c r="D1688"/>
      <c r="F1688"/>
      <c r="G1688"/>
      <c r="I1688"/>
    </row>
    <row r="1689" spans="1:9" x14ac:dyDescent="0.35">
      <c r="A1689"/>
      <c r="B1689"/>
      <c r="C1689"/>
      <c r="D1689"/>
      <c r="F1689"/>
      <c r="G1689"/>
      <c r="I1689"/>
    </row>
    <row r="1690" spans="1:9" x14ac:dyDescent="0.35">
      <c r="A1690"/>
      <c r="B1690"/>
      <c r="C1690"/>
      <c r="D1690"/>
      <c r="F1690"/>
      <c r="G1690"/>
      <c r="I1690"/>
    </row>
    <row r="1691" spans="1:9" x14ac:dyDescent="0.35">
      <c r="A1691"/>
      <c r="B1691"/>
      <c r="C1691"/>
      <c r="D1691"/>
      <c r="F1691"/>
      <c r="G1691"/>
      <c r="I1691"/>
    </row>
    <row r="1692" spans="1:9" x14ac:dyDescent="0.35">
      <c r="A1692"/>
      <c r="B1692"/>
      <c r="C1692"/>
      <c r="D1692"/>
      <c r="F1692"/>
      <c r="G1692"/>
      <c r="I1692"/>
    </row>
    <row r="1693" spans="1:9" x14ac:dyDescent="0.35">
      <c r="A1693"/>
      <c r="B1693"/>
      <c r="C1693"/>
      <c r="D1693"/>
      <c r="F1693"/>
      <c r="G1693"/>
      <c r="I1693"/>
    </row>
    <row r="1694" spans="1:9" x14ac:dyDescent="0.35">
      <c r="A1694"/>
      <c r="B1694"/>
      <c r="C1694"/>
      <c r="D1694"/>
      <c r="F1694"/>
      <c r="G1694"/>
      <c r="I1694"/>
    </row>
    <row r="1695" spans="1:9" x14ac:dyDescent="0.35">
      <c r="A1695"/>
      <c r="B1695"/>
      <c r="C1695"/>
      <c r="D1695"/>
      <c r="F1695"/>
      <c r="G1695"/>
      <c r="I1695"/>
    </row>
    <row r="1696" spans="1:9" x14ac:dyDescent="0.35">
      <c r="A1696"/>
      <c r="B1696"/>
      <c r="C1696"/>
      <c r="D1696"/>
      <c r="F1696"/>
      <c r="G1696"/>
      <c r="I1696"/>
    </row>
    <row r="1697" spans="1:9" x14ac:dyDescent="0.35">
      <c r="A1697"/>
      <c r="B1697"/>
      <c r="C1697"/>
      <c r="D1697"/>
      <c r="F1697"/>
      <c r="G1697"/>
      <c r="I1697"/>
    </row>
    <row r="1698" spans="1:9" x14ac:dyDescent="0.35">
      <c r="A1698"/>
      <c r="B1698"/>
      <c r="C1698"/>
      <c r="D1698"/>
      <c r="F1698"/>
      <c r="G1698"/>
      <c r="I1698"/>
    </row>
    <row r="1699" spans="1:9" x14ac:dyDescent="0.35">
      <c r="A1699"/>
      <c r="B1699"/>
      <c r="C1699"/>
      <c r="D1699"/>
      <c r="F1699"/>
      <c r="G1699"/>
      <c r="I1699"/>
    </row>
    <row r="1700" spans="1:9" x14ac:dyDescent="0.35">
      <c r="A1700"/>
      <c r="B1700"/>
      <c r="C1700"/>
      <c r="D1700"/>
      <c r="F1700"/>
      <c r="G1700"/>
      <c r="I1700"/>
    </row>
    <row r="1701" spans="1:9" x14ac:dyDescent="0.35">
      <c r="A1701"/>
      <c r="B1701"/>
      <c r="C1701"/>
      <c r="D1701"/>
      <c r="F1701"/>
      <c r="G1701"/>
      <c r="I1701"/>
    </row>
    <row r="1702" spans="1:9" x14ac:dyDescent="0.35">
      <c r="A1702"/>
      <c r="B1702"/>
      <c r="C1702"/>
      <c r="D1702"/>
      <c r="F1702"/>
      <c r="G1702"/>
      <c r="I1702"/>
    </row>
    <row r="1703" spans="1:9" x14ac:dyDescent="0.35">
      <c r="A1703"/>
      <c r="B1703"/>
      <c r="C1703"/>
      <c r="D1703"/>
      <c r="F1703"/>
      <c r="G1703"/>
      <c r="I1703"/>
    </row>
    <row r="1704" spans="1:9" x14ac:dyDescent="0.35">
      <c r="A1704"/>
      <c r="B1704"/>
      <c r="C1704"/>
      <c r="D1704"/>
      <c r="F1704"/>
      <c r="G1704"/>
      <c r="I1704"/>
    </row>
    <row r="1705" spans="1:9" x14ac:dyDescent="0.35">
      <c r="A1705"/>
      <c r="B1705"/>
      <c r="C1705"/>
      <c r="D1705"/>
      <c r="F1705"/>
      <c r="G1705"/>
      <c r="I1705"/>
    </row>
    <row r="1706" spans="1:9" x14ac:dyDescent="0.35">
      <c r="A1706"/>
      <c r="B1706"/>
      <c r="C1706"/>
      <c r="D1706"/>
      <c r="F1706"/>
      <c r="G1706"/>
      <c r="I1706"/>
    </row>
    <row r="1707" spans="1:9" x14ac:dyDescent="0.35">
      <c r="A1707"/>
      <c r="B1707"/>
      <c r="C1707"/>
      <c r="D1707"/>
      <c r="F1707"/>
      <c r="G1707"/>
      <c r="I1707"/>
    </row>
    <row r="1708" spans="1:9" x14ac:dyDescent="0.35">
      <c r="A1708"/>
      <c r="B1708"/>
      <c r="C1708"/>
      <c r="D1708"/>
      <c r="F1708"/>
      <c r="G1708"/>
      <c r="I1708"/>
    </row>
    <row r="1709" spans="1:9" x14ac:dyDescent="0.35">
      <c r="A1709"/>
      <c r="B1709"/>
      <c r="C1709"/>
      <c r="D1709"/>
      <c r="F1709"/>
      <c r="G1709"/>
      <c r="I1709"/>
    </row>
    <row r="1710" spans="1:9" x14ac:dyDescent="0.35">
      <c r="A1710"/>
      <c r="B1710"/>
      <c r="C1710"/>
      <c r="D1710"/>
      <c r="F1710"/>
      <c r="G1710"/>
      <c r="I1710"/>
    </row>
    <row r="1711" spans="1:9" x14ac:dyDescent="0.35">
      <c r="A1711"/>
      <c r="B1711"/>
      <c r="C1711"/>
      <c r="D1711"/>
      <c r="F1711"/>
      <c r="G1711"/>
      <c r="I1711"/>
    </row>
    <row r="1712" spans="1:9" x14ac:dyDescent="0.35">
      <c r="A1712"/>
      <c r="B1712"/>
      <c r="C1712"/>
      <c r="D1712"/>
      <c r="F1712"/>
      <c r="G1712"/>
      <c r="I1712"/>
    </row>
    <row r="1713" spans="1:9" x14ac:dyDescent="0.35">
      <c r="A1713"/>
      <c r="B1713"/>
      <c r="C1713"/>
      <c r="D1713"/>
      <c r="F1713"/>
      <c r="G1713"/>
      <c r="I1713"/>
    </row>
    <row r="1714" spans="1:9" x14ac:dyDescent="0.35">
      <c r="A1714"/>
      <c r="B1714"/>
      <c r="C1714"/>
      <c r="D1714"/>
      <c r="F1714"/>
      <c r="G1714"/>
      <c r="I1714"/>
    </row>
    <row r="1715" spans="1:9" x14ac:dyDescent="0.35">
      <c r="A1715"/>
      <c r="B1715"/>
      <c r="C1715"/>
      <c r="D1715"/>
      <c r="F1715"/>
      <c r="G1715"/>
      <c r="I1715"/>
    </row>
    <row r="1716" spans="1:9" x14ac:dyDescent="0.35">
      <c r="A1716"/>
      <c r="B1716"/>
      <c r="C1716"/>
      <c r="D1716"/>
      <c r="F1716"/>
      <c r="G1716"/>
      <c r="I1716"/>
    </row>
    <row r="1717" spans="1:9" x14ac:dyDescent="0.35">
      <c r="A1717"/>
      <c r="B1717"/>
      <c r="C1717"/>
      <c r="D1717"/>
      <c r="F1717"/>
      <c r="G1717"/>
      <c r="I1717"/>
    </row>
    <row r="1718" spans="1:9" x14ac:dyDescent="0.35">
      <c r="A1718"/>
      <c r="B1718"/>
      <c r="C1718"/>
      <c r="D1718"/>
      <c r="F1718"/>
      <c r="G1718"/>
      <c r="I1718"/>
    </row>
    <row r="1719" spans="1:9" x14ac:dyDescent="0.35">
      <c r="A1719"/>
      <c r="B1719"/>
      <c r="C1719"/>
      <c r="D1719"/>
      <c r="F1719"/>
      <c r="G1719"/>
      <c r="I1719"/>
    </row>
    <row r="1720" spans="1:9" x14ac:dyDescent="0.35">
      <c r="A1720"/>
      <c r="B1720"/>
      <c r="C1720"/>
      <c r="D1720"/>
      <c r="F1720"/>
      <c r="G1720"/>
      <c r="I1720"/>
    </row>
    <row r="1721" spans="1:9" x14ac:dyDescent="0.35">
      <c r="A1721"/>
      <c r="B1721"/>
      <c r="C1721"/>
      <c r="D1721"/>
      <c r="F1721"/>
      <c r="G1721"/>
      <c r="I1721"/>
    </row>
    <row r="1722" spans="1:9" x14ac:dyDescent="0.35">
      <c r="A1722"/>
      <c r="B1722"/>
      <c r="C1722"/>
      <c r="D1722"/>
      <c r="F1722"/>
      <c r="G1722"/>
      <c r="I1722"/>
    </row>
    <row r="1723" spans="1:9" x14ac:dyDescent="0.35">
      <c r="A1723"/>
      <c r="B1723"/>
      <c r="C1723"/>
      <c r="D1723"/>
      <c r="F1723"/>
      <c r="G1723"/>
      <c r="I1723"/>
    </row>
    <row r="1724" spans="1:9" x14ac:dyDescent="0.35">
      <c r="A1724"/>
      <c r="B1724"/>
      <c r="C1724"/>
      <c r="D1724"/>
      <c r="F1724"/>
      <c r="G1724"/>
      <c r="I1724"/>
    </row>
    <row r="1725" spans="1:9" x14ac:dyDescent="0.35">
      <c r="A1725"/>
      <c r="B1725"/>
      <c r="C1725"/>
      <c r="D1725"/>
      <c r="F1725"/>
      <c r="G1725"/>
      <c r="I1725"/>
    </row>
    <row r="1726" spans="1:9" x14ac:dyDescent="0.35">
      <c r="A1726"/>
      <c r="B1726"/>
      <c r="C1726"/>
      <c r="D1726"/>
      <c r="F1726"/>
      <c r="G1726"/>
      <c r="I1726"/>
    </row>
    <row r="1727" spans="1:9" x14ac:dyDescent="0.35">
      <c r="A1727"/>
      <c r="B1727"/>
      <c r="C1727"/>
      <c r="D1727"/>
      <c r="F1727"/>
      <c r="G1727"/>
      <c r="I1727"/>
    </row>
    <row r="1728" spans="1:9" x14ac:dyDescent="0.35">
      <c r="A1728"/>
      <c r="B1728"/>
      <c r="C1728"/>
      <c r="D1728"/>
      <c r="F1728"/>
      <c r="G1728"/>
      <c r="I1728"/>
    </row>
    <row r="1729" spans="1:9" x14ac:dyDescent="0.35">
      <c r="A1729"/>
      <c r="B1729"/>
      <c r="C1729"/>
      <c r="D1729"/>
      <c r="F1729"/>
      <c r="G1729"/>
      <c r="I1729"/>
    </row>
    <row r="1730" spans="1:9" x14ac:dyDescent="0.35">
      <c r="A1730"/>
      <c r="B1730"/>
      <c r="C1730"/>
      <c r="D1730"/>
      <c r="F1730"/>
      <c r="G1730"/>
      <c r="I1730"/>
    </row>
    <row r="1731" spans="1:9" x14ac:dyDescent="0.35">
      <c r="A1731"/>
      <c r="B1731"/>
      <c r="C1731"/>
      <c r="D1731"/>
      <c r="F1731"/>
      <c r="G1731"/>
      <c r="I1731"/>
    </row>
    <row r="1732" spans="1:9" x14ac:dyDescent="0.35">
      <c r="A1732"/>
      <c r="B1732"/>
      <c r="C1732"/>
      <c r="D1732"/>
      <c r="F1732"/>
      <c r="G1732"/>
      <c r="I1732"/>
    </row>
    <row r="1733" spans="1:9" x14ac:dyDescent="0.35">
      <c r="A1733"/>
      <c r="B1733"/>
      <c r="C1733"/>
      <c r="D1733"/>
      <c r="F1733"/>
      <c r="G1733"/>
      <c r="I1733"/>
    </row>
    <row r="1734" spans="1:9" x14ac:dyDescent="0.35">
      <c r="A1734"/>
      <c r="B1734"/>
      <c r="C1734"/>
      <c r="D1734"/>
      <c r="F1734"/>
      <c r="G1734"/>
      <c r="I1734"/>
    </row>
    <row r="1735" spans="1:9" x14ac:dyDescent="0.35">
      <c r="A1735"/>
      <c r="B1735"/>
      <c r="C1735"/>
      <c r="D1735"/>
      <c r="F1735"/>
      <c r="G1735"/>
      <c r="I1735"/>
    </row>
    <row r="1736" spans="1:9" x14ac:dyDescent="0.35">
      <c r="A1736"/>
      <c r="B1736"/>
      <c r="C1736"/>
      <c r="D1736"/>
      <c r="F1736"/>
      <c r="G1736"/>
      <c r="I1736"/>
    </row>
    <row r="1737" spans="1:9" x14ac:dyDescent="0.35">
      <c r="A1737"/>
      <c r="B1737"/>
      <c r="C1737"/>
      <c r="D1737"/>
      <c r="F1737"/>
      <c r="G1737"/>
      <c r="I1737"/>
    </row>
    <row r="1738" spans="1:9" x14ac:dyDescent="0.35">
      <c r="A1738"/>
      <c r="B1738"/>
      <c r="C1738"/>
      <c r="D1738"/>
      <c r="F1738"/>
      <c r="G1738"/>
      <c r="I1738"/>
    </row>
    <row r="1739" spans="1:9" x14ac:dyDescent="0.35">
      <c r="A1739"/>
      <c r="B1739"/>
      <c r="C1739"/>
      <c r="D1739"/>
      <c r="F1739"/>
      <c r="G1739"/>
      <c r="I1739"/>
    </row>
    <row r="1740" spans="1:9" x14ac:dyDescent="0.35">
      <c r="A1740"/>
      <c r="B1740"/>
      <c r="C1740"/>
      <c r="D1740"/>
      <c r="F1740"/>
      <c r="G1740"/>
      <c r="I1740"/>
    </row>
    <row r="1741" spans="1:9" x14ac:dyDescent="0.35">
      <c r="A1741"/>
      <c r="B1741"/>
      <c r="C1741"/>
      <c r="D1741"/>
      <c r="F1741"/>
      <c r="G1741"/>
      <c r="I1741"/>
    </row>
    <row r="1742" spans="1:9" x14ac:dyDescent="0.35">
      <c r="A1742"/>
      <c r="B1742"/>
      <c r="C1742"/>
      <c r="D1742"/>
      <c r="F1742"/>
      <c r="G1742"/>
      <c r="I1742"/>
    </row>
    <row r="1743" spans="1:9" x14ac:dyDescent="0.35">
      <c r="A1743"/>
      <c r="B1743"/>
      <c r="C1743"/>
      <c r="D1743"/>
      <c r="F1743"/>
      <c r="G1743"/>
      <c r="I1743"/>
    </row>
    <row r="1744" spans="1:9" x14ac:dyDescent="0.35">
      <c r="A1744"/>
      <c r="B1744"/>
      <c r="C1744"/>
      <c r="D1744"/>
      <c r="F1744"/>
      <c r="G1744"/>
      <c r="I1744"/>
    </row>
    <row r="1745" spans="1:9" x14ac:dyDescent="0.35">
      <c r="A1745"/>
      <c r="B1745"/>
      <c r="C1745"/>
      <c r="D1745"/>
      <c r="F1745"/>
      <c r="G1745"/>
      <c r="I1745"/>
    </row>
    <row r="1746" spans="1:9" x14ac:dyDescent="0.35">
      <c r="A1746"/>
      <c r="B1746"/>
      <c r="C1746"/>
      <c r="D1746"/>
      <c r="F1746"/>
      <c r="G1746"/>
      <c r="I1746"/>
    </row>
    <row r="1747" spans="1:9" x14ac:dyDescent="0.35">
      <c r="A1747"/>
      <c r="B1747"/>
      <c r="C1747"/>
      <c r="D1747"/>
      <c r="F1747"/>
      <c r="G1747"/>
      <c r="I1747"/>
    </row>
    <row r="1748" spans="1:9" x14ac:dyDescent="0.35">
      <c r="A1748"/>
      <c r="B1748"/>
      <c r="C1748"/>
      <c r="D1748"/>
      <c r="F1748"/>
      <c r="G1748"/>
      <c r="I1748"/>
    </row>
    <row r="1749" spans="1:9" x14ac:dyDescent="0.35">
      <c r="A1749"/>
      <c r="B1749"/>
      <c r="C1749"/>
      <c r="D1749"/>
      <c r="F1749"/>
      <c r="G1749"/>
      <c r="I1749"/>
    </row>
    <row r="1750" spans="1:9" x14ac:dyDescent="0.35">
      <c r="A1750"/>
      <c r="B1750"/>
      <c r="C1750"/>
      <c r="D1750"/>
      <c r="F1750"/>
      <c r="G1750"/>
      <c r="I1750"/>
    </row>
    <row r="1751" spans="1:9" x14ac:dyDescent="0.35">
      <c r="A1751"/>
      <c r="B1751"/>
      <c r="C1751"/>
      <c r="D1751"/>
      <c r="F1751"/>
      <c r="G1751"/>
      <c r="I1751"/>
    </row>
    <row r="1752" spans="1:9" x14ac:dyDescent="0.35">
      <c r="A1752"/>
      <c r="B1752"/>
      <c r="C1752"/>
      <c r="D1752"/>
      <c r="F1752"/>
      <c r="G1752"/>
      <c r="I1752"/>
    </row>
    <row r="1753" spans="1:9" x14ac:dyDescent="0.35">
      <c r="A1753"/>
      <c r="B1753"/>
      <c r="C1753"/>
      <c r="D1753"/>
      <c r="F1753"/>
      <c r="G1753"/>
      <c r="I1753"/>
    </row>
    <row r="1754" spans="1:9" x14ac:dyDescent="0.35">
      <c r="A1754"/>
      <c r="B1754"/>
      <c r="C1754"/>
      <c r="D1754"/>
      <c r="F1754"/>
      <c r="G1754"/>
      <c r="I1754"/>
    </row>
    <row r="1755" spans="1:9" x14ac:dyDescent="0.35">
      <c r="A1755"/>
      <c r="B1755"/>
      <c r="C1755"/>
      <c r="D1755"/>
      <c r="F1755"/>
      <c r="G1755"/>
      <c r="I1755"/>
    </row>
    <row r="1756" spans="1:9" x14ac:dyDescent="0.35">
      <c r="A1756"/>
      <c r="B1756"/>
      <c r="C1756"/>
      <c r="D1756"/>
      <c r="F1756"/>
      <c r="G1756"/>
      <c r="I1756"/>
    </row>
    <row r="1757" spans="1:9" x14ac:dyDescent="0.35">
      <c r="A1757"/>
      <c r="B1757"/>
      <c r="C1757"/>
      <c r="D1757"/>
      <c r="F1757"/>
      <c r="G1757"/>
      <c r="I1757"/>
    </row>
    <row r="1758" spans="1:9" x14ac:dyDescent="0.35">
      <c r="A1758"/>
      <c r="B1758"/>
      <c r="C1758"/>
      <c r="D1758"/>
      <c r="F1758"/>
      <c r="G1758"/>
      <c r="I1758"/>
    </row>
    <row r="1759" spans="1:9" x14ac:dyDescent="0.35">
      <c r="A1759"/>
      <c r="B1759"/>
      <c r="C1759"/>
      <c r="D1759"/>
      <c r="F1759"/>
      <c r="G1759"/>
      <c r="I1759"/>
    </row>
    <row r="1760" spans="1:9" x14ac:dyDescent="0.35">
      <c r="A1760"/>
      <c r="B1760"/>
      <c r="C1760"/>
      <c r="D1760"/>
      <c r="F1760"/>
      <c r="G1760"/>
      <c r="I1760"/>
    </row>
    <row r="1761" spans="1:9" x14ac:dyDescent="0.35">
      <c r="A1761"/>
      <c r="B1761"/>
      <c r="C1761"/>
      <c r="D1761"/>
      <c r="F1761"/>
      <c r="G1761"/>
      <c r="I1761"/>
    </row>
    <row r="1762" spans="1:9" x14ac:dyDescent="0.35">
      <c r="A1762"/>
      <c r="B1762"/>
      <c r="C1762"/>
      <c r="D1762"/>
      <c r="F1762"/>
      <c r="G1762"/>
      <c r="I1762"/>
    </row>
    <row r="1763" spans="1:9" x14ac:dyDescent="0.35">
      <c r="A1763"/>
      <c r="B1763"/>
      <c r="C1763"/>
      <c r="D1763"/>
      <c r="F1763"/>
      <c r="G1763"/>
      <c r="I1763"/>
    </row>
    <row r="1764" spans="1:9" x14ac:dyDescent="0.35">
      <c r="A1764"/>
      <c r="B1764"/>
      <c r="C1764"/>
      <c r="D1764"/>
      <c r="F1764"/>
      <c r="G1764"/>
      <c r="I1764"/>
    </row>
    <row r="1765" spans="1:9" x14ac:dyDescent="0.35">
      <c r="A1765"/>
      <c r="B1765"/>
      <c r="C1765"/>
      <c r="D1765"/>
      <c r="F1765"/>
      <c r="G1765"/>
      <c r="I1765"/>
    </row>
    <row r="1766" spans="1:9" x14ac:dyDescent="0.35">
      <c r="A1766"/>
      <c r="B1766"/>
      <c r="C1766"/>
      <c r="D1766"/>
      <c r="F1766"/>
      <c r="G1766"/>
      <c r="I1766"/>
    </row>
    <row r="1767" spans="1:9" x14ac:dyDescent="0.35">
      <c r="A1767"/>
      <c r="B1767"/>
      <c r="C1767"/>
      <c r="D1767"/>
      <c r="F1767"/>
      <c r="G1767"/>
      <c r="I1767"/>
    </row>
    <row r="1768" spans="1:9" x14ac:dyDescent="0.35">
      <c r="A1768"/>
      <c r="B1768"/>
      <c r="C1768"/>
      <c r="D1768"/>
      <c r="F1768"/>
      <c r="G1768"/>
      <c r="I1768"/>
    </row>
    <row r="1769" spans="1:9" x14ac:dyDescent="0.35">
      <c r="A1769"/>
      <c r="B1769"/>
      <c r="C1769"/>
      <c r="D1769"/>
      <c r="F1769"/>
      <c r="G1769"/>
      <c r="I1769"/>
    </row>
    <row r="1770" spans="1:9" x14ac:dyDescent="0.35">
      <c r="A1770"/>
      <c r="B1770"/>
      <c r="C1770"/>
      <c r="D1770"/>
      <c r="F1770"/>
      <c r="G1770"/>
      <c r="I1770"/>
    </row>
    <row r="1771" spans="1:9" x14ac:dyDescent="0.35">
      <c r="A1771"/>
      <c r="B1771"/>
      <c r="C1771"/>
      <c r="D1771"/>
      <c r="F1771"/>
      <c r="G1771"/>
      <c r="I1771"/>
    </row>
    <row r="1772" spans="1:9" x14ac:dyDescent="0.35">
      <c r="A1772"/>
      <c r="B1772"/>
      <c r="C1772"/>
      <c r="D1772"/>
      <c r="F1772"/>
      <c r="G1772"/>
      <c r="I1772"/>
    </row>
    <row r="1773" spans="1:9" x14ac:dyDescent="0.35">
      <c r="A1773"/>
      <c r="B1773"/>
      <c r="C1773"/>
      <c r="D1773"/>
      <c r="F1773"/>
      <c r="G1773"/>
      <c r="I1773"/>
    </row>
    <row r="1774" spans="1:9" x14ac:dyDescent="0.35">
      <c r="A1774"/>
      <c r="B1774"/>
      <c r="C1774"/>
      <c r="D1774"/>
      <c r="F1774"/>
      <c r="G1774"/>
      <c r="I1774"/>
    </row>
    <row r="1775" spans="1:9" x14ac:dyDescent="0.35">
      <c r="A1775"/>
      <c r="B1775"/>
      <c r="C1775"/>
      <c r="D1775"/>
      <c r="F1775"/>
      <c r="G1775"/>
      <c r="I1775"/>
    </row>
    <row r="1776" spans="1:9" x14ac:dyDescent="0.35">
      <c r="A1776"/>
      <c r="B1776"/>
      <c r="C1776"/>
      <c r="D1776"/>
      <c r="F1776"/>
      <c r="G1776"/>
      <c r="I1776"/>
    </row>
    <row r="1777" spans="1:9" x14ac:dyDescent="0.35">
      <c r="A1777"/>
      <c r="B1777"/>
      <c r="C1777"/>
      <c r="D1777"/>
      <c r="F1777"/>
      <c r="G1777"/>
      <c r="I1777"/>
    </row>
    <row r="1778" spans="1:9" x14ac:dyDescent="0.35">
      <c r="A1778"/>
      <c r="B1778"/>
      <c r="C1778"/>
      <c r="D1778"/>
      <c r="F1778"/>
      <c r="G1778"/>
      <c r="I1778"/>
    </row>
    <row r="1779" spans="1:9" x14ac:dyDescent="0.35">
      <c r="A1779"/>
      <c r="B1779"/>
      <c r="C1779"/>
      <c r="D1779"/>
      <c r="F1779"/>
      <c r="G1779"/>
      <c r="I1779"/>
    </row>
    <row r="1780" spans="1:9" x14ac:dyDescent="0.35">
      <c r="A1780"/>
      <c r="B1780"/>
      <c r="C1780"/>
      <c r="D1780"/>
      <c r="F1780"/>
      <c r="G1780"/>
      <c r="I1780"/>
    </row>
    <row r="1781" spans="1:9" x14ac:dyDescent="0.35">
      <c r="A1781"/>
      <c r="B1781"/>
      <c r="C1781"/>
      <c r="D1781"/>
      <c r="F1781"/>
      <c r="G1781"/>
      <c r="I1781"/>
    </row>
    <row r="1782" spans="1:9" x14ac:dyDescent="0.35">
      <c r="A1782"/>
      <c r="B1782"/>
      <c r="C1782"/>
      <c r="D1782"/>
      <c r="F1782"/>
      <c r="G1782"/>
      <c r="I1782"/>
    </row>
    <row r="1783" spans="1:9" x14ac:dyDescent="0.35">
      <c r="A1783"/>
      <c r="B1783"/>
      <c r="C1783"/>
      <c r="D1783"/>
      <c r="F1783"/>
      <c r="G1783"/>
      <c r="I1783"/>
    </row>
    <row r="1784" spans="1:9" x14ac:dyDescent="0.35">
      <c r="A1784"/>
      <c r="B1784"/>
      <c r="C1784"/>
      <c r="D1784"/>
      <c r="F1784"/>
      <c r="G1784"/>
      <c r="I1784"/>
    </row>
    <row r="1785" spans="1:9" x14ac:dyDescent="0.35">
      <c r="A1785"/>
      <c r="B1785"/>
      <c r="C1785"/>
      <c r="D1785"/>
      <c r="F1785"/>
      <c r="G1785"/>
      <c r="I1785"/>
    </row>
    <row r="1786" spans="1:9" x14ac:dyDescent="0.35">
      <c r="A1786"/>
      <c r="B1786"/>
      <c r="C1786"/>
      <c r="D1786"/>
      <c r="F1786"/>
      <c r="G1786"/>
      <c r="I1786"/>
    </row>
    <row r="1787" spans="1:9" x14ac:dyDescent="0.35">
      <c r="A1787"/>
      <c r="B1787"/>
      <c r="C1787"/>
      <c r="D1787"/>
      <c r="F1787"/>
      <c r="G1787"/>
      <c r="I1787"/>
    </row>
    <row r="1788" spans="1:9" x14ac:dyDescent="0.35">
      <c r="A1788"/>
      <c r="B1788"/>
      <c r="C1788"/>
      <c r="D1788"/>
      <c r="F1788"/>
      <c r="G1788"/>
      <c r="I1788"/>
    </row>
    <row r="1789" spans="1:9" x14ac:dyDescent="0.35">
      <c r="A1789"/>
      <c r="B1789"/>
      <c r="C1789"/>
      <c r="D1789"/>
      <c r="F1789"/>
      <c r="G1789"/>
      <c r="I1789"/>
    </row>
    <row r="1790" spans="1:9" x14ac:dyDescent="0.35">
      <c r="A1790"/>
      <c r="B1790"/>
      <c r="C1790"/>
      <c r="D1790"/>
      <c r="F1790"/>
      <c r="G1790"/>
      <c r="I1790"/>
    </row>
    <row r="1791" spans="1:9" x14ac:dyDescent="0.35">
      <c r="A1791"/>
      <c r="B1791"/>
      <c r="C1791"/>
      <c r="D1791"/>
      <c r="F1791"/>
      <c r="G1791"/>
      <c r="I1791"/>
    </row>
    <row r="1792" spans="1:9" x14ac:dyDescent="0.35">
      <c r="A1792"/>
      <c r="B1792"/>
      <c r="C1792"/>
      <c r="D1792"/>
      <c r="F1792"/>
      <c r="G1792"/>
      <c r="I1792"/>
    </row>
    <row r="1793" spans="1:9" x14ac:dyDescent="0.35">
      <c r="A1793"/>
      <c r="B1793"/>
      <c r="C1793"/>
      <c r="D1793"/>
      <c r="F1793"/>
      <c r="G1793"/>
      <c r="I1793"/>
    </row>
    <row r="1794" spans="1:9" x14ac:dyDescent="0.35">
      <c r="A1794"/>
      <c r="B1794"/>
      <c r="C1794"/>
      <c r="D1794"/>
      <c r="F1794"/>
      <c r="G1794"/>
      <c r="I1794"/>
    </row>
    <row r="1795" spans="1:9" x14ac:dyDescent="0.35">
      <c r="A1795"/>
      <c r="B1795"/>
      <c r="C1795"/>
      <c r="D1795"/>
      <c r="F1795"/>
      <c r="G1795"/>
      <c r="I1795"/>
    </row>
    <row r="1796" spans="1:9" x14ac:dyDescent="0.35">
      <c r="A1796"/>
      <c r="B1796"/>
      <c r="C1796"/>
      <c r="D1796"/>
      <c r="F1796"/>
      <c r="G1796"/>
      <c r="I1796"/>
    </row>
    <row r="1797" spans="1:9" x14ac:dyDescent="0.35">
      <c r="A1797"/>
      <c r="B1797"/>
      <c r="C1797"/>
      <c r="D1797"/>
      <c r="F1797"/>
      <c r="G1797"/>
      <c r="I1797"/>
    </row>
    <row r="1798" spans="1:9" x14ac:dyDescent="0.35">
      <c r="A1798"/>
      <c r="B1798"/>
      <c r="C1798"/>
      <c r="D1798"/>
      <c r="F1798"/>
      <c r="G1798"/>
      <c r="I1798"/>
    </row>
    <row r="1799" spans="1:9" x14ac:dyDescent="0.35">
      <c r="A1799"/>
      <c r="B1799"/>
      <c r="C1799"/>
      <c r="D1799"/>
      <c r="F1799"/>
      <c r="G1799"/>
      <c r="I1799"/>
    </row>
    <row r="1800" spans="1:9" x14ac:dyDescent="0.35">
      <c r="A1800"/>
      <c r="B1800"/>
      <c r="C1800"/>
      <c r="D1800"/>
      <c r="F1800"/>
      <c r="G1800"/>
      <c r="I1800"/>
    </row>
    <row r="1801" spans="1:9" x14ac:dyDescent="0.35">
      <c r="A1801"/>
      <c r="B1801"/>
      <c r="C1801"/>
      <c r="D1801"/>
      <c r="F1801"/>
      <c r="G1801"/>
      <c r="I1801"/>
    </row>
    <row r="1802" spans="1:9" x14ac:dyDescent="0.35">
      <c r="A1802"/>
      <c r="B1802"/>
      <c r="C1802"/>
      <c r="D1802"/>
      <c r="F1802"/>
      <c r="G1802"/>
      <c r="I1802"/>
    </row>
    <row r="1803" spans="1:9" x14ac:dyDescent="0.35">
      <c r="A1803"/>
      <c r="B1803"/>
      <c r="C1803"/>
      <c r="D1803"/>
      <c r="F1803"/>
      <c r="G1803"/>
      <c r="I1803"/>
    </row>
    <row r="1804" spans="1:9" x14ac:dyDescent="0.35">
      <c r="A1804"/>
      <c r="B1804"/>
      <c r="C1804"/>
      <c r="D1804"/>
      <c r="F1804"/>
      <c r="G1804"/>
      <c r="I1804"/>
    </row>
    <row r="1805" spans="1:9" x14ac:dyDescent="0.35">
      <c r="A1805"/>
      <c r="B1805"/>
      <c r="C1805"/>
      <c r="D1805"/>
      <c r="F1805"/>
      <c r="G1805"/>
      <c r="I1805"/>
    </row>
    <row r="1806" spans="1:9" x14ac:dyDescent="0.35">
      <c r="A1806"/>
      <c r="B1806"/>
      <c r="C1806"/>
      <c r="D1806"/>
      <c r="F1806"/>
      <c r="G1806"/>
      <c r="I1806"/>
    </row>
    <row r="1807" spans="1:9" x14ac:dyDescent="0.35">
      <c r="A1807"/>
      <c r="B1807"/>
      <c r="C1807"/>
      <c r="D1807"/>
      <c r="F1807"/>
      <c r="G1807"/>
      <c r="I1807"/>
    </row>
    <row r="1808" spans="1:9" x14ac:dyDescent="0.35">
      <c r="A1808"/>
      <c r="B1808"/>
      <c r="C1808"/>
      <c r="D1808"/>
      <c r="F1808"/>
      <c r="G1808"/>
      <c r="I1808"/>
    </row>
    <row r="1809" spans="1:9" x14ac:dyDescent="0.35">
      <c r="A1809"/>
      <c r="B1809"/>
      <c r="C1809"/>
      <c r="D1809"/>
      <c r="F1809"/>
      <c r="G1809"/>
      <c r="I1809"/>
    </row>
    <row r="1810" spans="1:9" x14ac:dyDescent="0.35">
      <c r="A1810"/>
      <c r="B1810"/>
      <c r="C1810"/>
      <c r="D1810"/>
      <c r="F1810"/>
      <c r="G1810"/>
      <c r="I1810"/>
    </row>
    <row r="1811" spans="1:9" x14ac:dyDescent="0.35">
      <c r="A1811"/>
      <c r="B1811"/>
      <c r="C1811"/>
      <c r="D1811"/>
      <c r="F1811"/>
      <c r="G1811"/>
      <c r="I1811"/>
    </row>
    <row r="1812" spans="1:9" x14ac:dyDescent="0.35">
      <c r="A1812"/>
      <c r="B1812"/>
      <c r="C1812"/>
      <c r="D1812"/>
      <c r="F1812"/>
      <c r="G1812"/>
      <c r="I1812"/>
    </row>
    <row r="1813" spans="1:9" x14ac:dyDescent="0.35">
      <c r="A1813"/>
      <c r="B1813"/>
      <c r="C1813"/>
      <c r="D1813"/>
      <c r="F1813"/>
      <c r="G1813"/>
      <c r="I1813"/>
    </row>
    <row r="1814" spans="1:9" x14ac:dyDescent="0.35">
      <c r="A1814"/>
      <c r="B1814"/>
      <c r="C1814"/>
      <c r="D1814"/>
      <c r="F1814"/>
      <c r="G1814"/>
      <c r="I1814"/>
    </row>
    <row r="1815" spans="1:9" x14ac:dyDescent="0.35">
      <c r="A1815"/>
      <c r="B1815"/>
      <c r="C1815"/>
      <c r="D1815"/>
      <c r="F1815"/>
      <c r="G1815"/>
      <c r="I1815"/>
    </row>
    <row r="1816" spans="1:9" x14ac:dyDescent="0.35">
      <c r="A1816"/>
      <c r="B1816"/>
      <c r="C1816"/>
      <c r="D1816"/>
      <c r="F1816"/>
      <c r="G1816"/>
      <c r="I1816"/>
    </row>
    <row r="1817" spans="1:9" x14ac:dyDescent="0.35">
      <c r="A1817"/>
      <c r="B1817"/>
      <c r="C1817"/>
      <c r="D1817"/>
      <c r="F1817"/>
      <c r="G1817"/>
      <c r="I1817"/>
    </row>
    <row r="1818" spans="1:9" x14ac:dyDescent="0.35">
      <c r="A1818"/>
      <c r="B1818"/>
      <c r="C1818"/>
      <c r="D1818"/>
      <c r="F1818"/>
      <c r="G1818"/>
      <c r="I1818"/>
    </row>
    <row r="1819" spans="1:9" x14ac:dyDescent="0.35">
      <c r="A1819"/>
      <c r="B1819"/>
      <c r="C1819"/>
      <c r="D1819"/>
      <c r="F1819"/>
      <c r="G1819"/>
      <c r="I1819"/>
    </row>
    <row r="1820" spans="1:9" x14ac:dyDescent="0.35">
      <c r="A1820"/>
      <c r="B1820"/>
      <c r="C1820"/>
      <c r="D1820"/>
      <c r="F1820"/>
      <c r="G1820"/>
      <c r="I1820"/>
    </row>
    <row r="1821" spans="1:9" x14ac:dyDescent="0.35">
      <c r="A1821"/>
      <c r="B1821"/>
      <c r="C1821"/>
      <c r="D1821"/>
      <c r="F1821"/>
      <c r="G1821"/>
      <c r="I1821"/>
    </row>
    <row r="1822" spans="1:9" x14ac:dyDescent="0.35">
      <c r="A1822"/>
      <c r="B1822"/>
      <c r="C1822"/>
      <c r="D1822"/>
      <c r="F1822"/>
      <c r="G1822"/>
      <c r="I1822"/>
    </row>
    <row r="1823" spans="1:9" x14ac:dyDescent="0.35">
      <c r="A1823"/>
      <c r="B1823"/>
      <c r="C1823"/>
      <c r="D1823"/>
      <c r="F1823"/>
      <c r="G1823"/>
      <c r="I1823"/>
    </row>
    <row r="1824" spans="1:9" x14ac:dyDescent="0.35">
      <c r="A1824"/>
      <c r="B1824"/>
      <c r="C1824"/>
      <c r="D1824"/>
      <c r="F1824"/>
      <c r="G1824"/>
      <c r="I1824"/>
    </row>
    <row r="1825" spans="1:9" x14ac:dyDescent="0.35">
      <c r="A1825"/>
      <c r="B1825"/>
      <c r="C1825"/>
      <c r="D1825"/>
      <c r="F1825"/>
      <c r="G1825"/>
      <c r="I1825"/>
    </row>
    <row r="1826" spans="1:9" x14ac:dyDescent="0.35">
      <c r="A1826"/>
      <c r="B1826"/>
      <c r="C1826"/>
      <c r="D1826"/>
      <c r="F1826"/>
      <c r="G1826"/>
      <c r="I1826"/>
    </row>
    <row r="1827" spans="1:9" x14ac:dyDescent="0.35">
      <c r="A1827"/>
      <c r="B1827"/>
      <c r="C1827"/>
      <c r="D1827"/>
      <c r="F1827"/>
      <c r="G1827"/>
      <c r="I1827"/>
    </row>
    <row r="1828" spans="1:9" x14ac:dyDescent="0.35">
      <c r="A1828"/>
      <c r="B1828"/>
      <c r="C1828"/>
      <c r="D1828"/>
      <c r="F1828"/>
      <c r="G1828"/>
      <c r="I1828"/>
    </row>
    <row r="1829" spans="1:9" x14ac:dyDescent="0.35">
      <c r="A1829"/>
      <c r="B1829"/>
      <c r="C1829"/>
      <c r="D1829"/>
      <c r="F1829"/>
      <c r="G1829"/>
      <c r="I1829"/>
    </row>
    <row r="1830" spans="1:9" x14ac:dyDescent="0.35">
      <c r="A1830"/>
      <c r="B1830"/>
      <c r="C1830"/>
      <c r="D1830"/>
      <c r="F1830"/>
      <c r="G1830"/>
      <c r="I1830"/>
    </row>
    <row r="1831" spans="1:9" x14ac:dyDescent="0.35">
      <c r="A1831"/>
      <c r="B1831"/>
      <c r="C1831"/>
      <c r="D1831"/>
      <c r="F1831"/>
      <c r="G1831"/>
      <c r="I1831"/>
    </row>
    <row r="1832" spans="1:9" x14ac:dyDescent="0.35">
      <c r="A1832"/>
      <c r="B1832"/>
      <c r="C1832"/>
      <c r="D1832"/>
      <c r="F1832"/>
      <c r="G1832"/>
      <c r="I1832"/>
    </row>
    <row r="1833" spans="1:9" x14ac:dyDescent="0.35">
      <c r="A1833"/>
      <c r="B1833"/>
      <c r="C1833"/>
      <c r="D1833"/>
      <c r="F1833"/>
      <c r="G1833"/>
      <c r="I1833"/>
    </row>
    <row r="1834" spans="1:9" x14ac:dyDescent="0.35">
      <c r="A1834"/>
      <c r="B1834"/>
      <c r="C1834"/>
      <c r="D1834"/>
      <c r="F1834"/>
      <c r="G1834"/>
      <c r="I1834"/>
    </row>
    <row r="1835" spans="1:9" x14ac:dyDescent="0.35">
      <c r="A1835"/>
      <c r="B1835"/>
      <c r="C1835"/>
      <c r="D1835"/>
      <c r="F1835"/>
      <c r="G1835"/>
      <c r="I1835"/>
    </row>
    <row r="1836" spans="1:9" x14ac:dyDescent="0.35">
      <c r="A1836"/>
      <c r="B1836"/>
      <c r="C1836"/>
      <c r="D1836"/>
      <c r="F1836"/>
      <c r="G1836"/>
      <c r="I1836"/>
    </row>
    <row r="1837" spans="1:9" x14ac:dyDescent="0.35">
      <c r="A1837"/>
      <c r="B1837"/>
      <c r="C1837"/>
      <c r="D1837"/>
      <c r="F1837"/>
      <c r="G1837"/>
      <c r="I1837"/>
    </row>
    <row r="1838" spans="1:9" x14ac:dyDescent="0.35">
      <c r="A1838"/>
      <c r="B1838"/>
      <c r="C1838"/>
      <c r="D1838"/>
      <c r="F1838"/>
      <c r="G1838"/>
      <c r="I1838"/>
    </row>
    <row r="1839" spans="1:9" x14ac:dyDescent="0.35">
      <c r="A1839"/>
      <c r="B1839"/>
      <c r="C1839"/>
      <c r="D1839"/>
      <c r="F1839"/>
      <c r="G1839"/>
      <c r="I1839"/>
    </row>
    <row r="1840" spans="1:9" x14ac:dyDescent="0.35">
      <c r="A1840"/>
      <c r="B1840"/>
      <c r="C1840"/>
      <c r="D1840"/>
      <c r="F1840"/>
      <c r="G1840"/>
      <c r="I1840"/>
    </row>
    <row r="1841" spans="1:9" x14ac:dyDescent="0.35">
      <c r="A1841"/>
      <c r="B1841"/>
      <c r="C1841"/>
      <c r="D1841"/>
      <c r="F1841"/>
      <c r="G1841"/>
      <c r="I1841"/>
    </row>
    <row r="1842" spans="1:9" x14ac:dyDescent="0.35">
      <c r="A1842"/>
      <c r="B1842"/>
      <c r="C1842"/>
      <c r="D1842"/>
      <c r="F1842"/>
      <c r="G1842"/>
      <c r="I1842"/>
    </row>
    <row r="1843" spans="1:9" x14ac:dyDescent="0.35">
      <c r="A1843"/>
      <c r="B1843"/>
      <c r="C1843"/>
      <c r="D1843"/>
      <c r="F1843"/>
      <c r="G1843"/>
      <c r="I1843"/>
    </row>
    <row r="1844" spans="1:9" x14ac:dyDescent="0.35">
      <c r="A1844"/>
      <c r="B1844"/>
      <c r="C1844"/>
      <c r="D1844"/>
      <c r="F1844"/>
      <c r="G1844"/>
      <c r="I1844"/>
    </row>
    <row r="1845" spans="1:9" x14ac:dyDescent="0.35">
      <c r="A1845"/>
      <c r="B1845"/>
      <c r="C1845"/>
      <c r="D1845"/>
      <c r="F1845"/>
      <c r="G1845"/>
      <c r="I1845"/>
    </row>
    <row r="1846" spans="1:9" x14ac:dyDescent="0.35">
      <c r="A1846"/>
      <c r="B1846"/>
      <c r="C1846"/>
      <c r="D1846"/>
      <c r="F1846"/>
      <c r="G1846"/>
      <c r="I1846"/>
    </row>
    <row r="1847" spans="1:9" x14ac:dyDescent="0.35">
      <c r="F1847"/>
      <c r="G1847"/>
      <c r="I1847"/>
    </row>
    <row r="1848" spans="1:9" x14ac:dyDescent="0.35">
      <c r="F1848"/>
      <c r="G1848"/>
      <c r="I1848"/>
    </row>
    <row r="1849" spans="1:9" x14ac:dyDescent="0.35">
      <c r="F1849"/>
      <c r="G1849"/>
      <c r="I1849"/>
    </row>
    <row r="1850" spans="1:9" x14ac:dyDescent="0.35">
      <c r="F1850"/>
      <c r="G1850"/>
      <c r="I1850"/>
    </row>
    <row r="1851" spans="1:9" x14ac:dyDescent="0.35">
      <c r="F1851"/>
      <c r="G1851"/>
      <c r="I1851"/>
    </row>
    <row r="1852" spans="1:9" x14ac:dyDescent="0.35">
      <c r="F1852"/>
      <c r="G1852"/>
      <c r="I1852"/>
    </row>
    <row r="1853" spans="1:9" x14ac:dyDescent="0.35">
      <c r="F1853"/>
      <c r="G1853"/>
      <c r="I1853"/>
    </row>
    <row r="1854" spans="1:9" x14ac:dyDescent="0.35">
      <c r="F1854"/>
      <c r="G1854"/>
      <c r="I1854"/>
    </row>
    <row r="1855" spans="1:9" x14ac:dyDescent="0.35">
      <c r="F1855"/>
      <c r="G1855"/>
      <c r="I1855"/>
    </row>
    <row r="1856" spans="1:9" x14ac:dyDescent="0.35">
      <c r="F1856"/>
      <c r="G1856"/>
      <c r="I1856"/>
    </row>
    <row r="1857" spans="6:9" x14ac:dyDescent="0.35">
      <c r="F1857"/>
      <c r="G1857"/>
      <c r="I1857"/>
    </row>
    <row r="1858" spans="6:9" x14ac:dyDescent="0.35">
      <c r="F1858"/>
      <c r="G1858"/>
      <c r="I1858"/>
    </row>
    <row r="1859" spans="6:9" x14ac:dyDescent="0.35">
      <c r="F1859"/>
      <c r="G1859"/>
      <c r="I1859"/>
    </row>
    <row r="1860" spans="6:9" x14ac:dyDescent="0.35">
      <c r="F1860"/>
      <c r="G1860"/>
      <c r="I1860"/>
    </row>
    <row r="1861" spans="6:9" x14ac:dyDescent="0.35">
      <c r="F1861"/>
      <c r="G1861"/>
      <c r="I1861"/>
    </row>
    <row r="1862" spans="6:9" x14ac:dyDescent="0.35">
      <c r="F1862"/>
      <c r="G1862"/>
      <c r="I1862"/>
    </row>
    <row r="1863" spans="6:9" x14ac:dyDescent="0.35">
      <c r="F1863"/>
      <c r="G1863"/>
      <c r="I1863"/>
    </row>
    <row r="1864" spans="6:9" x14ac:dyDescent="0.35">
      <c r="F1864"/>
      <c r="G1864"/>
      <c r="I1864"/>
    </row>
    <row r="1865" spans="6:9" x14ac:dyDescent="0.35">
      <c r="F1865"/>
      <c r="G1865"/>
      <c r="I1865"/>
    </row>
    <row r="1866" spans="6:9" x14ac:dyDescent="0.35">
      <c r="F1866"/>
      <c r="G1866"/>
      <c r="I1866"/>
    </row>
    <row r="1867" spans="6:9" x14ac:dyDescent="0.35">
      <c r="F1867"/>
      <c r="G1867"/>
      <c r="I1867"/>
    </row>
    <row r="1868" spans="6:9" x14ac:dyDescent="0.35">
      <c r="F1868"/>
      <c r="G1868"/>
      <c r="I1868"/>
    </row>
    <row r="1869" spans="6:9" x14ac:dyDescent="0.35">
      <c r="F1869"/>
      <c r="G1869"/>
      <c r="I1869"/>
    </row>
    <row r="1870" spans="6:9" x14ac:dyDescent="0.35">
      <c r="F1870"/>
      <c r="G1870"/>
      <c r="I1870"/>
    </row>
    <row r="1871" spans="6:9" x14ac:dyDescent="0.35">
      <c r="F1871"/>
      <c r="G1871"/>
      <c r="I1871"/>
    </row>
    <row r="1872" spans="6:9" x14ac:dyDescent="0.35">
      <c r="F1872"/>
      <c r="G1872"/>
      <c r="I1872"/>
    </row>
    <row r="1873" spans="6:9" x14ac:dyDescent="0.35">
      <c r="F1873"/>
      <c r="G1873"/>
      <c r="I1873"/>
    </row>
    <row r="1874" spans="6:9" x14ac:dyDescent="0.35">
      <c r="F1874"/>
      <c r="G1874"/>
      <c r="I1874"/>
    </row>
    <row r="1875" spans="6:9" x14ac:dyDescent="0.35">
      <c r="F1875"/>
      <c r="G1875"/>
      <c r="I1875"/>
    </row>
    <row r="1876" spans="6:9" x14ac:dyDescent="0.35">
      <c r="F1876"/>
      <c r="G1876"/>
      <c r="I1876"/>
    </row>
    <row r="1877" spans="6:9" x14ac:dyDescent="0.35">
      <c r="F1877"/>
      <c r="G1877"/>
      <c r="I1877"/>
    </row>
    <row r="1878" spans="6:9" x14ac:dyDescent="0.35">
      <c r="F1878"/>
      <c r="G1878"/>
      <c r="I1878"/>
    </row>
    <row r="1879" spans="6:9" x14ac:dyDescent="0.35">
      <c r="F1879"/>
      <c r="G1879"/>
      <c r="I1879"/>
    </row>
    <row r="1880" spans="6:9" x14ac:dyDescent="0.35">
      <c r="F1880"/>
      <c r="G1880"/>
      <c r="I1880"/>
    </row>
    <row r="1881" spans="6:9" x14ac:dyDescent="0.35">
      <c r="F1881"/>
      <c r="G1881"/>
      <c r="I1881"/>
    </row>
    <row r="1882" spans="6:9" x14ac:dyDescent="0.35">
      <c r="F1882"/>
      <c r="G1882"/>
      <c r="I1882"/>
    </row>
    <row r="1883" spans="6:9" x14ac:dyDescent="0.35">
      <c r="F1883"/>
      <c r="G1883"/>
      <c r="I1883"/>
    </row>
    <row r="1884" spans="6:9" x14ac:dyDescent="0.35">
      <c r="F1884"/>
      <c r="G1884"/>
      <c r="I1884"/>
    </row>
    <row r="1885" spans="6:9" x14ac:dyDescent="0.35">
      <c r="F1885"/>
      <c r="G1885"/>
      <c r="I1885"/>
    </row>
    <row r="1886" spans="6:9" x14ac:dyDescent="0.35">
      <c r="F1886"/>
      <c r="G1886"/>
      <c r="I1886"/>
    </row>
    <row r="1887" spans="6:9" x14ac:dyDescent="0.35">
      <c r="F1887"/>
      <c r="G1887"/>
      <c r="I1887"/>
    </row>
    <row r="1888" spans="6:9" x14ac:dyDescent="0.35">
      <c r="F1888"/>
      <c r="G1888"/>
      <c r="I1888"/>
    </row>
    <row r="1889" spans="6:9" x14ac:dyDescent="0.35">
      <c r="F1889"/>
      <c r="G1889"/>
      <c r="I1889"/>
    </row>
    <row r="1890" spans="6:9" x14ac:dyDescent="0.35">
      <c r="F1890"/>
      <c r="G1890"/>
      <c r="I1890"/>
    </row>
    <row r="1891" spans="6:9" x14ac:dyDescent="0.35">
      <c r="F1891"/>
      <c r="G1891"/>
      <c r="I1891"/>
    </row>
    <row r="1892" spans="6:9" x14ac:dyDescent="0.35">
      <c r="F1892"/>
      <c r="G1892"/>
      <c r="I1892"/>
    </row>
    <row r="1893" spans="6:9" x14ac:dyDescent="0.35">
      <c r="F1893"/>
      <c r="G1893"/>
      <c r="I1893"/>
    </row>
    <row r="1894" spans="6:9" x14ac:dyDescent="0.35">
      <c r="F1894"/>
      <c r="G1894"/>
      <c r="I1894"/>
    </row>
    <row r="1895" spans="6:9" x14ac:dyDescent="0.35">
      <c r="F1895"/>
      <c r="G1895"/>
      <c r="I1895"/>
    </row>
    <row r="1896" spans="6:9" x14ac:dyDescent="0.35">
      <c r="F1896"/>
      <c r="G1896"/>
      <c r="I1896"/>
    </row>
    <row r="1897" spans="6:9" x14ac:dyDescent="0.35">
      <c r="F1897"/>
      <c r="G1897"/>
      <c r="I1897"/>
    </row>
    <row r="1898" spans="6:9" x14ac:dyDescent="0.35">
      <c r="F1898"/>
      <c r="G1898"/>
      <c r="I1898"/>
    </row>
    <row r="1899" spans="6:9" x14ac:dyDescent="0.35">
      <c r="F1899"/>
      <c r="G1899"/>
      <c r="I1899"/>
    </row>
    <row r="1900" spans="6:9" x14ac:dyDescent="0.35">
      <c r="F1900"/>
      <c r="G1900"/>
      <c r="I1900"/>
    </row>
    <row r="1901" spans="6:9" x14ac:dyDescent="0.35">
      <c r="F1901"/>
      <c r="G1901"/>
      <c r="I1901"/>
    </row>
    <row r="1902" spans="6:9" x14ac:dyDescent="0.35">
      <c r="F1902"/>
      <c r="G1902"/>
      <c r="I1902"/>
    </row>
    <row r="1903" spans="6:9" x14ac:dyDescent="0.35">
      <c r="F1903"/>
      <c r="G1903"/>
      <c r="I1903"/>
    </row>
    <row r="1904" spans="6:9" x14ac:dyDescent="0.35">
      <c r="F1904"/>
      <c r="G1904"/>
      <c r="I1904"/>
    </row>
    <row r="1905" spans="6:9" x14ac:dyDescent="0.35">
      <c r="F1905"/>
      <c r="G1905"/>
      <c r="I1905"/>
    </row>
    <row r="1906" spans="6:9" x14ac:dyDescent="0.35">
      <c r="F1906"/>
      <c r="G1906"/>
      <c r="I1906"/>
    </row>
    <row r="1907" spans="6:9" x14ac:dyDescent="0.35">
      <c r="F1907"/>
      <c r="G1907"/>
      <c r="I1907"/>
    </row>
    <row r="1908" spans="6:9" x14ac:dyDescent="0.35">
      <c r="F1908"/>
      <c r="G1908"/>
      <c r="I1908"/>
    </row>
    <row r="1909" spans="6:9" x14ac:dyDescent="0.35">
      <c r="F1909"/>
      <c r="G1909"/>
      <c r="I1909"/>
    </row>
    <row r="1910" spans="6:9" x14ac:dyDescent="0.35">
      <c r="F1910"/>
      <c r="G1910"/>
      <c r="I1910"/>
    </row>
    <row r="1911" spans="6:9" x14ac:dyDescent="0.35">
      <c r="F1911"/>
      <c r="G1911"/>
      <c r="I1911"/>
    </row>
    <row r="1912" spans="6:9" x14ac:dyDescent="0.35">
      <c r="F1912"/>
      <c r="G1912"/>
      <c r="I1912"/>
    </row>
    <row r="1913" spans="6:9" x14ac:dyDescent="0.35">
      <c r="F1913"/>
      <c r="G1913"/>
      <c r="I1913"/>
    </row>
    <row r="1914" spans="6:9" x14ac:dyDescent="0.35">
      <c r="F1914"/>
      <c r="G1914"/>
      <c r="I1914"/>
    </row>
    <row r="1915" spans="6:9" x14ac:dyDescent="0.35">
      <c r="F1915"/>
      <c r="G1915"/>
      <c r="I1915"/>
    </row>
    <row r="1916" spans="6:9" x14ac:dyDescent="0.35">
      <c r="F1916"/>
      <c r="G1916"/>
      <c r="I1916"/>
    </row>
    <row r="1917" spans="6:9" x14ac:dyDescent="0.35">
      <c r="F1917"/>
      <c r="G1917"/>
      <c r="I1917"/>
    </row>
    <row r="1918" spans="6:9" x14ac:dyDescent="0.35">
      <c r="F1918"/>
      <c r="G1918"/>
      <c r="I1918"/>
    </row>
    <row r="1919" spans="6:9" x14ac:dyDescent="0.35">
      <c r="F1919"/>
      <c r="G1919"/>
      <c r="I1919"/>
    </row>
    <row r="1920" spans="6:9" x14ac:dyDescent="0.35">
      <c r="F1920"/>
      <c r="G1920"/>
      <c r="I1920"/>
    </row>
    <row r="1921" spans="6:9" x14ac:dyDescent="0.35">
      <c r="F1921"/>
      <c r="G1921"/>
      <c r="I1921"/>
    </row>
    <row r="1922" spans="6:9" x14ac:dyDescent="0.35">
      <c r="F1922"/>
      <c r="G1922"/>
      <c r="I1922"/>
    </row>
    <row r="1923" spans="6:9" x14ac:dyDescent="0.35">
      <c r="F1923"/>
      <c r="G1923"/>
      <c r="I1923"/>
    </row>
    <row r="1924" spans="6:9" x14ac:dyDescent="0.35">
      <c r="F1924"/>
      <c r="G1924"/>
      <c r="I1924"/>
    </row>
    <row r="1925" spans="6:9" x14ac:dyDescent="0.35">
      <c r="F1925"/>
      <c r="G1925"/>
      <c r="I1925"/>
    </row>
    <row r="1926" spans="6:9" x14ac:dyDescent="0.35">
      <c r="F1926"/>
      <c r="G1926"/>
      <c r="I1926"/>
    </row>
    <row r="1927" spans="6:9" x14ac:dyDescent="0.35">
      <c r="F1927"/>
      <c r="G1927"/>
      <c r="I1927"/>
    </row>
    <row r="1928" spans="6:9" x14ac:dyDescent="0.35">
      <c r="F1928"/>
      <c r="G1928"/>
      <c r="I1928"/>
    </row>
    <row r="1929" spans="6:9" x14ac:dyDescent="0.35">
      <c r="F1929"/>
      <c r="G1929"/>
      <c r="I1929"/>
    </row>
    <row r="1930" spans="6:9" x14ac:dyDescent="0.35">
      <c r="F1930"/>
      <c r="G1930"/>
      <c r="I1930"/>
    </row>
    <row r="1931" spans="6:9" x14ac:dyDescent="0.35">
      <c r="F1931"/>
      <c r="G1931"/>
      <c r="I1931"/>
    </row>
    <row r="1932" spans="6:9" x14ac:dyDescent="0.35">
      <c r="F1932"/>
      <c r="G1932"/>
      <c r="I1932"/>
    </row>
    <row r="1933" spans="6:9" x14ac:dyDescent="0.35">
      <c r="F1933"/>
      <c r="G1933"/>
      <c r="I1933"/>
    </row>
    <row r="1934" spans="6:9" x14ac:dyDescent="0.35">
      <c r="F1934"/>
      <c r="G1934"/>
      <c r="I1934"/>
    </row>
    <row r="1935" spans="6:9" x14ac:dyDescent="0.35">
      <c r="F1935"/>
      <c r="G1935"/>
      <c r="I1935"/>
    </row>
    <row r="1936" spans="6:9" x14ac:dyDescent="0.35">
      <c r="F1936"/>
      <c r="G1936"/>
      <c r="I1936"/>
    </row>
    <row r="1937" spans="6:9" x14ac:dyDescent="0.35">
      <c r="F1937"/>
      <c r="G1937"/>
      <c r="I1937"/>
    </row>
    <row r="1938" spans="6:9" x14ac:dyDescent="0.35">
      <c r="F1938"/>
      <c r="G1938"/>
      <c r="I1938"/>
    </row>
    <row r="1939" spans="6:9" x14ac:dyDescent="0.35">
      <c r="F1939"/>
      <c r="G1939"/>
      <c r="I1939"/>
    </row>
    <row r="1940" spans="6:9" x14ac:dyDescent="0.35">
      <c r="F1940"/>
      <c r="G1940"/>
      <c r="I1940"/>
    </row>
    <row r="1941" spans="6:9" x14ac:dyDescent="0.35">
      <c r="F1941"/>
      <c r="G1941"/>
      <c r="I1941"/>
    </row>
    <row r="1942" spans="6:9" x14ac:dyDescent="0.35">
      <c r="F1942"/>
      <c r="G1942"/>
      <c r="I1942"/>
    </row>
    <row r="1943" spans="6:9" x14ac:dyDescent="0.35">
      <c r="F1943"/>
      <c r="G1943"/>
      <c r="I1943"/>
    </row>
    <row r="1944" spans="6:9" x14ac:dyDescent="0.35">
      <c r="F1944"/>
      <c r="G1944"/>
      <c r="I1944"/>
    </row>
    <row r="1945" spans="6:9" x14ac:dyDescent="0.35">
      <c r="F1945"/>
      <c r="G1945"/>
      <c r="I1945"/>
    </row>
    <row r="1946" spans="6:9" x14ac:dyDescent="0.35">
      <c r="F1946"/>
      <c r="G1946"/>
      <c r="I1946"/>
    </row>
    <row r="1947" spans="6:9" x14ac:dyDescent="0.35">
      <c r="F1947"/>
      <c r="G1947"/>
      <c r="I1947"/>
    </row>
    <row r="1948" spans="6:9" x14ac:dyDescent="0.35">
      <c r="F1948"/>
      <c r="G1948"/>
      <c r="I1948"/>
    </row>
    <row r="1949" spans="6:9" x14ac:dyDescent="0.35">
      <c r="F1949"/>
      <c r="G1949"/>
      <c r="I1949"/>
    </row>
    <row r="1950" spans="6:9" x14ac:dyDescent="0.35">
      <c r="F1950"/>
      <c r="G1950"/>
      <c r="I1950"/>
    </row>
    <row r="1951" spans="6:9" x14ac:dyDescent="0.35">
      <c r="F1951"/>
      <c r="G1951"/>
      <c r="I1951"/>
    </row>
    <row r="1952" spans="6:9" x14ac:dyDescent="0.35">
      <c r="F1952"/>
      <c r="G1952"/>
      <c r="I1952"/>
    </row>
    <row r="1953" spans="6:9" x14ac:dyDescent="0.35">
      <c r="F1953"/>
      <c r="G1953"/>
      <c r="I1953"/>
    </row>
    <row r="1954" spans="6:9" x14ac:dyDescent="0.35">
      <c r="F1954"/>
      <c r="G1954"/>
      <c r="I1954"/>
    </row>
    <row r="1955" spans="6:9" x14ac:dyDescent="0.35">
      <c r="F1955"/>
      <c r="G1955"/>
      <c r="I1955"/>
    </row>
    <row r="1956" spans="6:9" x14ac:dyDescent="0.35">
      <c r="F1956"/>
      <c r="G1956"/>
      <c r="I1956"/>
    </row>
    <row r="1957" spans="6:9" x14ac:dyDescent="0.35">
      <c r="F1957"/>
      <c r="G1957"/>
      <c r="I1957"/>
    </row>
    <row r="1958" spans="6:9" x14ac:dyDescent="0.35">
      <c r="F1958"/>
      <c r="G1958"/>
      <c r="I1958"/>
    </row>
    <row r="1959" spans="6:9" x14ac:dyDescent="0.35">
      <c r="F1959"/>
      <c r="G1959"/>
      <c r="I1959"/>
    </row>
    <row r="1960" spans="6:9" x14ac:dyDescent="0.35">
      <c r="F1960"/>
      <c r="G1960"/>
      <c r="I1960"/>
    </row>
    <row r="1961" spans="6:9" x14ac:dyDescent="0.35">
      <c r="F1961"/>
      <c r="G1961"/>
      <c r="I1961"/>
    </row>
    <row r="1962" spans="6:9" x14ac:dyDescent="0.35">
      <c r="F1962"/>
      <c r="G1962"/>
      <c r="I1962"/>
    </row>
    <row r="1963" spans="6:9" x14ac:dyDescent="0.35">
      <c r="F1963"/>
      <c r="G1963"/>
      <c r="I1963"/>
    </row>
    <row r="1964" spans="6:9" x14ac:dyDescent="0.35">
      <c r="F1964"/>
      <c r="G1964"/>
      <c r="I1964"/>
    </row>
    <row r="1965" spans="6:9" x14ac:dyDescent="0.35">
      <c r="F1965"/>
      <c r="G1965"/>
      <c r="I1965"/>
    </row>
    <row r="1966" spans="6:9" x14ac:dyDescent="0.35">
      <c r="F1966"/>
      <c r="G1966"/>
      <c r="I1966"/>
    </row>
    <row r="1967" spans="6:9" x14ac:dyDescent="0.35">
      <c r="F1967"/>
      <c r="G1967"/>
      <c r="I1967"/>
    </row>
    <row r="1968" spans="6:9" x14ac:dyDescent="0.35">
      <c r="F1968"/>
      <c r="G1968"/>
      <c r="I1968"/>
    </row>
    <row r="1969" spans="6:9" x14ac:dyDescent="0.35">
      <c r="F1969"/>
      <c r="G1969"/>
      <c r="I1969"/>
    </row>
    <row r="1970" spans="6:9" x14ac:dyDescent="0.35">
      <c r="F1970"/>
      <c r="G1970"/>
      <c r="I1970"/>
    </row>
    <row r="1971" spans="6:9" x14ac:dyDescent="0.35">
      <c r="F1971"/>
      <c r="G1971"/>
      <c r="I1971"/>
    </row>
    <row r="1972" spans="6:9" x14ac:dyDescent="0.35">
      <c r="F1972"/>
      <c r="G1972"/>
      <c r="I1972"/>
    </row>
    <row r="1973" spans="6:9" x14ac:dyDescent="0.35">
      <c r="F1973"/>
      <c r="G1973"/>
      <c r="I1973"/>
    </row>
    <row r="1974" spans="6:9" x14ac:dyDescent="0.35">
      <c r="F1974"/>
      <c r="G1974"/>
      <c r="I1974"/>
    </row>
    <row r="1975" spans="6:9" x14ac:dyDescent="0.35">
      <c r="F1975"/>
      <c r="G1975"/>
      <c r="I1975"/>
    </row>
    <row r="1976" spans="6:9" x14ac:dyDescent="0.35">
      <c r="F1976"/>
      <c r="G1976"/>
      <c r="I1976"/>
    </row>
    <row r="1977" spans="6:9" x14ac:dyDescent="0.35">
      <c r="F1977"/>
      <c r="G1977"/>
      <c r="I1977"/>
    </row>
    <row r="1978" spans="6:9" x14ac:dyDescent="0.35">
      <c r="F1978"/>
      <c r="G1978"/>
      <c r="I1978"/>
    </row>
    <row r="1979" spans="6:9" x14ac:dyDescent="0.35">
      <c r="F1979"/>
      <c r="G1979"/>
      <c r="I1979"/>
    </row>
    <row r="1980" spans="6:9" x14ac:dyDescent="0.35">
      <c r="F1980"/>
      <c r="G1980"/>
      <c r="I1980"/>
    </row>
    <row r="1981" spans="6:9" x14ac:dyDescent="0.35">
      <c r="F1981"/>
      <c r="G1981"/>
      <c r="I1981"/>
    </row>
    <row r="1982" spans="6:9" x14ac:dyDescent="0.35">
      <c r="F1982"/>
      <c r="G1982"/>
      <c r="I1982"/>
    </row>
    <row r="1983" spans="6:9" x14ac:dyDescent="0.35">
      <c r="F1983"/>
      <c r="G1983"/>
      <c r="I1983"/>
    </row>
    <row r="1984" spans="6:9" x14ac:dyDescent="0.35">
      <c r="F1984"/>
      <c r="G1984"/>
      <c r="I1984"/>
    </row>
    <row r="1985" spans="6:9" x14ac:dyDescent="0.35">
      <c r="F1985"/>
      <c r="G1985"/>
      <c r="I1985"/>
    </row>
    <row r="1986" spans="6:9" x14ac:dyDescent="0.35">
      <c r="F1986"/>
      <c r="G1986"/>
      <c r="I1986"/>
    </row>
    <row r="1987" spans="6:9" x14ac:dyDescent="0.35">
      <c r="F1987"/>
      <c r="G1987"/>
      <c r="I1987"/>
    </row>
    <row r="1988" spans="6:9" x14ac:dyDescent="0.35">
      <c r="F1988"/>
      <c r="G1988"/>
      <c r="I1988"/>
    </row>
    <row r="1989" spans="6:9" x14ac:dyDescent="0.35">
      <c r="F1989"/>
      <c r="G1989"/>
      <c r="I1989"/>
    </row>
    <row r="1990" spans="6:9" x14ac:dyDescent="0.35">
      <c r="F1990"/>
      <c r="G1990"/>
      <c r="I1990"/>
    </row>
    <row r="1991" spans="6:9" x14ac:dyDescent="0.35">
      <c r="F1991"/>
      <c r="G1991"/>
      <c r="I1991"/>
    </row>
    <row r="1992" spans="6:9" x14ac:dyDescent="0.35">
      <c r="F1992"/>
      <c r="G1992"/>
      <c r="I1992"/>
    </row>
    <row r="1993" spans="6:9" x14ac:dyDescent="0.35">
      <c r="F1993"/>
      <c r="G1993"/>
      <c r="I1993"/>
    </row>
    <row r="1994" spans="6:9" x14ac:dyDescent="0.35">
      <c r="F1994"/>
      <c r="G1994"/>
      <c r="I1994"/>
    </row>
    <row r="1995" spans="6:9" x14ac:dyDescent="0.35">
      <c r="F1995"/>
      <c r="G1995"/>
      <c r="I1995"/>
    </row>
    <row r="1996" spans="6:9" x14ac:dyDescent="0.35">
      <c r="F1996"/>
      <c r="G1996"/>
      <c r="I1996"/>
    </row>
    <row r="1997" spans="6:9" x14ac:dyDescent="0.35">
      <c r="F1997"/>
      <c r="G1997"/>
      <c r="I1997"/>
    </row>
    <row r="1998" spans="6:9" x14ac:dyDescent="0.35">
      <c r="F1998"/>
      <c r="G1998"/>
      <c r="I1998"/>
    </row>
    <row r="1999" spans="6:9" x14ac:dyDescent="0.35">
      <c r="F1999"/>
      <c r="G1999"/>
      <c r="I1999"/>
    </row>
    <row r="2000" spans="6:9" x14ac:dyDescent="0.35">
      <c r="F2000"/>
      <c r="G2000"/>
      <c r="I2000"/>
    </row>
    <row r="2001" spans="6:9" x14ac:dyDescent="0.35">
      <c r="F2001"/>
      <c r="G2001"/>
      <c r="I2001"/>
    </row>
    <row r="2002" spans="6:9" x14ac:dyDescent="0.35">
      <c r="F2002"/>
      <c r="G2002"/>
      <c r="I2002"/>
    </row>
    <row r="2003" spans="6:9" x14ac:dyDescent="0.35">
      <c r="F2003"/>
      <c r="G2003"/>
      <c r="I2003"/>
    </row>
    <row r="2004" spans="6:9" x14ac:dyDescent="0.35">
      <c r="F2004"/>
      <c r="G2004"/>
      <c r="I2004"/>
    </row>
    <row r="2005" spans="6:9" x14ac:dyDescent="0.35">
      <c r="F2005"/>
      <c r="G2005"/>
      <c r="I2005"/>
    </row>
    <row r="2006" spans="6:9" x14ac:dyDescent="0.35">
      <c r="F2006"/>
      <c r="G2006"/>
      <c r="I2006"/>
    </row>
    <row r="2007" spans="6:9" x14ac:dyDescent="0.35">
      <c r="F2007"/>
      <c r="G2007"/>
      <c r="I2007"/>
    </row>
    <row r="2008" spans="6:9" x14ac:dyDescent="0.35">
      <c r="F2008"/>
      <c r="G2008"/>
      <c r="I2008"/>
    </row>
    <row r="2009" spans="6:9" x14ac:dyDescent="0.35">
      <c r="F2009"/>
      <c r="G2009"/>
      <c r="I2009"/>
    </row>
    <row r="2010" spans="6:9" x14ac:dyDescent="0.35">
      <c r="F2010"/>
      <c r="G2010"/>
      <c r="I2010"/>
    </row>
    <row r="2011" spans="6:9" x14ac:dyDescent="0.35">
      <c r="F2011"/>
      <c r="G2011"/>
      <c r="I2011"/>
    </row>
    <row r="2012" spans="6:9" x14ac:dyDescent="0.35">
      <c r="F2012"/>
      <c r="G2012"/>
      <c r="I2012"/>
    </row>
    <row r="2013" spans="6:9" x14ac:dyDescent="0.35">
      <c r="F2013"/>
      <c r="G2013"/>
      <c r="I2013"/>
    </row>
    <row r="2014" spans="6:9" x14ac:dyDescent="0.35">
      <c r="F2014"/>
      <c r="G2014"/>
      <c r="I2014"/>
    </row>
    <row r="2015" spans="6:9" x14ac:dyDescent="0.35">
      <c r="F2015"/>
      <c r="G2015"/>
      <c r="I2015"/>
    </row>
    <row r="2016" spans="6:9" x14ac:dyDescent="0.35">
      <c r="F2016"/>
      <c r="G2016"/>
      <c r="I2016"/>
    </row>
    <row r="2017" spans="6:9" x14ac:dyDescent="0.35">
      <c r="F2017"/>
      <c r="G2017"/>
      <c r="I2017"/>
    </row>
    <row r="2018" spans="6:9" x14ac:dyDescent="0.35">
      <c r="F2018"/>
      <c r="G2018"/>
      <c r="I2018"/>
    </row>
    <row r="2019" spans="6:9" x14ac:dyDescent="0.35">
      <c r="F2019"/>
      <c r="G2019"/>
      <c r="I2019"/>
    </row>
    <row r="2020" spans="6:9" x14ac:dyDescent="0.35">
      <c r="F2020"/>
      <c r="G2020"/>
      <c r="I2020"/>
    </row>
    <row r="2021" spans="6:9" x14ac:dyDescent="0.35">
      <c r="F2021"/>
      <c r="G2021"/>
      <c r="I2021"/>
    </row>
    <row r="2022" spans="6:9" x14ac:dyDescent="0.35">
      <c r="F2022"/>
      <c r="G2022"/>
      <c r="I2022"/>
    </row>
    <row r="2023" spans="6:9" x14ac:dyDescent="0.35">
      <c r="F2023"/>
      <c r="G2023"/>
      <c r="I2023"/>
    </row>
    <row r="2024" spans="6:9" x14ac:dyDescent="0.35">
      <c r="F2024"/>
      <c r="G2024"/>
      <c r="I2024"/>
    </row>
    <row r="2025" spans="6:9" x14ac:dyDescent="0.35">
      <c r="F2025"/>
      <c r="G2025"/>
      <c r="I2025"/>
    </row>
    <row r="2026" spans="6:9" x14ac:dyDescent="0.35">
      <c r="F2026"/>
      <c r="G2026"/>
      <c r="I2026"/>
    </row>
    <row r="2027" spans="6:9" x14ac:dyDescent="0.35">
      <c r="F2027"/>
      <c r="G2027"/>
      <c r="I2027"/>
    </row>
    <row r="2028" spans="6:9" x14ac:dyDescent="0.35">
      <c r="F2028"/>
      <c r="G2028"/>
      <c r="I2028"/>
    </row>
    <row r="2029" spans="6:9" x14ac:dyDescent="0.35">
      <c r="F2029"/>
      <c r="G2029"/>
      <c r="I2029"/>
    </row>
    <row r="2030" spans="6:9" x14ac:dyDescent="0.35">
      <c r="F2030"/>
      <c r="G2030"/>
      <c r="I2030"/>
    </row>
    <row r="2031" spans="6:9" x14ac:dyDescent="0.35">
      <c r="F2031"/>
      <c r="G2031"/>
      <c r="I2031"/>
    </row>
    <row r="2032" spans="6:9" x14ac:dyDescent="0.35">
      <c r="F2032"/>
      <c r="G2032"/>
      <c r="I2032"/>
    </row>
    <row r="2033" spans="6:9" x14ac:dyDescent="0.35">
      <c r="F2033"/>
      <c r="G2033"/>
      <c r="I2033"/>
    </row>
    <row r="2034" spans="6:9" x14ac:dyDescent="0.35">
      <c r="F2034"/>
      <c r="G2034"/>
      <c r="I2034"/>
    </row>
    <row r="2035" spans="6:9" x14ac:dyDescent="0.35">
      <c r="F2035"/>
      <c r="G2035"/>
      <c r="I2035"/>
    </row>
    <row r="2036" spans="6:9" x14ac:dyDescent="0.35">
      <c r="F2036"/>
      <c r="G2036"/>
      <c r="I2036"/>
    </row>
    <row r="2037" spans="6:9" x14ac:dyDescent="0.35">
      <c r="F2037"/>
      <c r="G2037"/>
      <c r="I2037"/>
    </row>
    <row r="2038" spans="6:9" x14ac:dyDescent="0.35">
      <c r="F2038"/>
      <c r="G2038"/>
      <c r="I2038"/>
    </row>
    <row r="2039" spans="6:9" x14ac:dyDescent="0.35">
      <c r="F2039"/>
      <c r="G2039"/>
      <c r="I2039"/>
    </row>
    <row r="2040" spans="6:9" x14ac:dyDescent="0.35">
      <c r="F2040"/>
      <c r="G2040"/>
      <c r="I2040"/>
    </row>
    <row r="2041" spans="6:9" x14ac:dyDescent="0.35">
      <c r="F2041"/>
      <c r="G2041"/>
      <c r="I2041"/>
    </row>
    <row r="2042" spans="6:9" x14ac:dyDescent="0.35">
      <c r="F2042"/>
      <c r="G2042"/>
      <c r="I2042"/>
    </row>
    <row r="2043" spans="6:9" x14ac:dyDescent="0.35">
      <c r="F2043"/>
      <c r="G2043"/>
      <c r="I2043"/>
    </row>
    <row r="2044" spans="6:9" x14ac:dyDescent="0.35">
      <c r="F2044"/>
      <c r="G2044"/>
      <c r="I2044"/>
    </row>
    <row r="2045" spans="6:9" x14ac:dyDescent="0.35">
      <c r="F2045"/>
      <c r="G2045"/>
      <c r="I2045"/>
    </row>
    <row r="2046" spans="6:9" x14ac:dyDescent="0.35">
      <c r="F2046"/>
      <c r="G2046"/>
      <c r="I2046"/>
    </row>
    <row r="2047" spans="6:9" x14ac:dyDescent="0.35">
      <c r="F2047"/>
      <c r="G2047"/>
      <c r="I2047"/>
    </row>
    <row r="2048" spans="6:9" x14ac:dyDescent="0.35">
      <c r="F2048"/>
      <c r="G2048"/>
      <c r="I2048"/>
    </row>
    <row r="2049" spans="6:9" x14ac:dyDescent="0.35">
      <c r="F2049"/>
      <c r="G2049"/>
      <c r="I2049"/>
    </row>
    <row r="2050" spans="6:9" x14ac:dyDescent="0.35">
      <c r="F2050"/>
      <c r="G2050"/>
      <c r="I2050"/>
    </row>
    <row r="2051" spans="6:9" x14ac:dyDescent="0.35">
      <c r="F2051"/>
      <c r="G2051"/>
      <c r="I2051"/>
    </row>
    <row r="2052" spans="6:9" x14ac:dyDescent="0.35">
      <c r="F2052"/>
      <c r="G2052"/>
      <c r="I2052"/>
    </row>
    <row r="2053" spans="6:9" x14ac:dyDescent="0.35">
      <c r="F2053"/>
      <c r="G2053"/>
      <c r="I2053"/>
    </row>
    <row r="2054" spans="6:9" x14ac:dyDescent="0.35">
      <c r="F2054"/>
      <c r="G2054"/>
      <c r="I2054"/>
    </row>
    <row r="2055" spans="6:9" x14ac:dyDescent="0.35">
      <c r="F2055"/>
      <c r="G2055"/>
      <c r="I2055"/>
    </row>
    <row r="2056" spans="6:9" x14ac:dyDescent="0.35">
      <c r="F2056"/>
      <c r="G2056"/>
      <c r="I2056"/>
    </row>
    <row r="2057" spans="6:9" x14ac:dyDescent="0.35">
      <c r="F2057"/>
      <c r="G2057"/>
      <c r="I2057"/>
    </row>
    <row r="2058" spans="6:9" x14ac:dyDescent="0.35">
      <c r="F2058"/>
      <c r="G2058"/>
      <c r="I2058"/>
    </row>
    <row r="2059" spans="6:9" x14ac:dyDescent="0.35">
      <c r="F2059"/>
      <c r="G2059"/>
      <c r="I2059"/>
    </row>
    <row r="2060" spans="6:9" x14ac:dyDescent="0.35">
      <c r="F2060"/>
      <c r="G2060"/>
      <c r="I2060"/>
    </row>
    <row r="2061" spans="6:9" x14ac:dyDescent="0.35">
      <c r="F2061"/>
      <c r="G2061"/>
      <c r="I2061"/>
    </row>
    <row r="2062" spans="6:9" x14ac:dyDescent="0.35">
      <c r="F2062"/>
      <c r="G2062"/>
      <c r="I2062"/>
    </row>
    <row r="2063" spans="6:9" x14ac:dyDescent="0.35">
      <c r="F2063"/>
      <c r="G2063"/>
      <c r="I2063"/>
    </row>
    <row r="2064" spans="6:9" x14ac:dyDescent="0.35">
      <c r="F2064"/>
      <c r="G2064"/>
      <c r="I2064"/>
    </row>
    <row r="2065" spans="6:9" x14ac:dyDescent="0.35">
      <c r="F2065"/>
      <c r="G2065"/>
      <c r="I2065"/>
    </row>
    <row r="2066" spans="6:9" x14ac:dyDescent="0.35">
      <c r="F2066"/>
      <c r="G2066"/>
      <c r="I2066"/>
    </row>
    <row r="2067" spans="6:9" x14ac:dyDescent="0.35">
      <c r="F2067"/>
      <c r="G2067"/>
      <c r="I2067"/>
    </row>
    <row r="2068" spans="6:9" x14ac:dyDescent="0.35">
      <c r="F2068"/>
      <c r="G2068"/>
      <c r="I2068"/>
    </row>
    <row r="2069" spans="6:9" x14ac:dyDescent="0.35">
      <c r="F2069"/>
      <c r="G2069"/>
      <c r="I2069"/>
    </row>
    <row r="2070" spans="6:9" x14ac:dyDescent="0.35">
      <c r="F2070"/>
      <c r="G2070"/>
      <c r="I2070"/>
    </row>
    <row r="2071" spans="6:9" x14ac:dyDescent="0.35">
      <c r="F2071"/>
      <c r="G2071"/>
      <c r="I2071"/>
    </row>
    <row r="2072" spans="6:9" x14ac:dyDescent="0.35">
      <c r="F2072"/>
      <c r="G2072"/>
      <c r="I2072"/>
    </row>
    <row r="2073" spans="6:9" x14ac:dyDescent="0.35">
      <c r="F2073"/>
      <c r="G2073"/>
      <c r="I2073"/>
    </row>
    <row r="2074" spans="6:9" x14ac:dyDescent="0.35">
      <c r="F2074"/>
      <c r="G2074"/>
      <c r="I2074"/>
    </row>
    <row r="2075" spans="6:9" x14ac:dyDescent="0.35">
      <c r="F2075"/>
      <c r="G2075"/>
      <c r="I2075"/>
    </row>
    <row r="2076" spans="6:9" x14ac:dyDescent="0.35">
      <c r="F2076"/>
      <c r="G2076"/>
      <c r="I2076"/>
    </row>
    <row r="2077" spans="6:9" x14ac:dyDescent="0.35">
      <c r="F2077"/>
      <c r="G2077"/>
      <c r="I2077"/>
    </row>
    <row r="2078" spans="6:9" x14ac:dyDescent="0.35">
      <c r="F2078"/>
      <c r="G2078"/>
      <c r="I2078"/>
    </row>
    <row r="2079" spans="6:9" x14ac:dyDescent="0.35">
      <c r="F2079"/>
      <c r="G2079"/>
      <c r="I2079"/>
    </row>
    <row r="2080" spans="6:9" x14ac:dyDescent="0.35">
      <c r="F2080"/>
      <c r="G2080"/>
      <c r="I2080"/>
    </row>
    <row r="2081" spans="6:9" x14ac:dyDescent="0.35">
      <c r="F2081"/>
      <c r="G2081"/>
      <c r="I2081"/>
    </row>
    <row r="2082" spans="6:9" x14ac:dyDescent="0.35">
      <c r="F2082"/>
      <c r="G2082"/>
      <c r="I2082"/>
    </row>
    <row r="2083" spans="6:9" x14ac:dyDescent="0.35">
      <c r="F2083"/>
      <c r="G2083"/>
      <c r="I2083"/>
    </row>
    <row r="2084" spans="6:9" x14ac:dyDescent="0.35">
      <c r="F2084"/>
      <c r="G2084"/>
      <c r="I2084"/>
    </row>
    <row r="2085" spans="6:9" x14ac:dyDescent="0.35">
      <c r="F2085"/>
      <c r="G2085"/>
      <c r="I2085"/>
    </row>
    <row r="2086" spans="6:9" x14ac:dyDescent="0.35">
      <c r="F2086"/>
      <c r="G2086"/>
      <c r="I2086"/>
    </row>
    <row r="2087" spans="6:9" x14ac:dyDescent="0.35">
      <c r="F2087"/>
      <c r="G2087"/>
      <c r="I2087"/>
    </row>
    <row r="2088" spans="6:9" x14ac:dyDescent="0.35">
      <c r="F2088"/>
      <c r="G2088"/>
      <c r="I2088"/>
    </row>
    <row r="2089" spans="6:9" x14ac:dyDescent="0.35">
      <c r="F2089"/>
      <c r="G2089"/>
      <c r="I2089"/>
    </row>
    <row r="2090" spans="6:9" x14ac:dyDescent="0.35">
      <c r="F2090"/>
      <c r="G2090"/>
      <c r="I2090"/>
    </row>
    <row r="2091" spans="6:9" x14ac:dyDescent="0.35">
      <c r="F2091"/>
      <c r="G2091"/>
      <c r="I2091"/>
    </row>
    <row r="2092" spans="6:9" x14ac:dyDescent="0.35">
      <c r="F2092"/>
      <c r="G2092"/>
      <c r="I2092"/>
    </row>
    <row r="2093" spans="6:9" x14ac:dyDescent="0.35">
      <c r="F2093"/>
      <c r="G2093"/>
      <c r="I2093"/>
    </row>
    <row r="2094" spans="6:9" x14ac:dyDescent="0.35">
      <c r="F2094"/>
      <c r="G2094"/>
      <c r="I2094"/>
    </row>
    <row r="2095" spans="6:9" x14ac:dyDescent="0.35">
      <c r="F2095"/>
      <c r="G2095"/>
      <c r="I2095"/>
    </row>
    <row r="2096" spans="6:9" x14ac:dyDescent="0.35">
      <c r="F2096"/>
      <c r="G2096"/>
      <c r="I2096"/>
    </row>
    <row r="2097" spans="6:9" x14ac:dyDescent="0.35">
      <c r="F2097"/>
      <c r="G2097"/>
      <c r="I2097"/>
    </row>
    <row r="2098" spans="6:9" x14ac:dyDescent="0.35">
      <c r="F2098"/>
      <c r="G2098"/>
      <c r="I2098"/>
    </row>
    <row r="2099" spans="6:9" x14ac:dyDescent="0.35">
      <c r="F2099"/>
      <c r="G2099"/>
      <c r="I2099"/>
    </row>
    <row r="2100" spans="6:9" x14ac:dyDescent="0.35">
      <c r="F2100"/>
      <c r="G2100"/>
      <c r="I2100"/>
    </row>
    <row r="2101" spans="6:9" x14ac:dyDescent="0.35">
      <c r="F2101"/>
      <c r="G2101"/>
      <c r="I2101"/>
    </row>
    <row r="2102" spans="6:9" x14ac:dyDescent="0.35">
      <c r="F2102"/>
      <c r="G2102"/>
      <c r="I2102"/>
    </row>
    <row r="2103" spans="6:9" x14ac:dyDescent="0.35">
      <c r="F2103"/>
      <c r="G2103"/>
      <c r="I2103"/>
    </row>
    <row r="2104" spans="6:9" x14ac:dyDescent="0.35">
      <c r="F2104"/>
      <c r="G2104"/>
      <c r="I2104"/>
    </row>
    <row r="2105" spans="6:9" x14ac:dyDescent="0.35">
      <c r="F2105"/>
      <c r="G2105"/>
      <c r="I2105"/>
    </row>
    <row r="2106" spans="6:9" x14ac:dyDescent="0.35">
      <c r="F2106"/>
      <c r="G2106"/>
      <c r="I2106"/>
    </row>
    <row r="2107" spans="6:9" x14ac:dyDescent="0.35">
      <c r="F2107"/>
      <c r="G2107"/>
      <c r="I2107"/>
    </row>
    <row r="2108" spans="6:9" x14ac:dyDescent="0.35">
      <c r="F2108"/>
      <c r="G2108"/>
      <c r="I2108"/>
    </row>
    <row r="2109" spans="6:9" x14ac:dyDescent="0.35">
      <c r="F2109"/>
      <c r="G2109"/>
      <c r="I2109"/>
    </row>
    <row r="2110" spans="6:9" x14ac:dyDescent="0.35">
      <c r="F2110"/>
      <c r="G2110"/>
      <c r="I2110"/>
    </row>
    <row r="2111" spans="6:9" x14ac:dyDescent="0.35">
      <c r="F2111"/>
      <c r="G2111"/>
      <c r="I2111"/>
    </row>
    <row r="2112" spans="6:9" x14ac:dyDescent="0.35">
      <c r="F2112"/>
      <c r="G2112"/>
      <c r="I2112"/>
    </row>
    <row r="2113" spans="6:9" x14ac:dyDescent="0.35">
      <c r="F2113"/>
      <c r="G2113"/>
      <c r="I2113"/>
    </row>
    <row r="2114" spans="6:9" x14ac:dyDescent="0.35">
      <c r="F2114"/>
      <c r="G2114"/>
      <c r="I2114"/>
    </row>
    <row r="2115" spans="6:9" x14ac:dyDescent="0.35">
      <c r="F2115"/>
      <c r="G2115"/>
      <c r="I2115"/>
    </row>
    <row r="2116" spans="6:9" x14ac:dyDescent="0.35">
      <c r="F2116"/>
      <c r="G2116"/>
      <c r="I2116"/>
    </row>
    <row r="2117" spans="6:9" x14ac:dyDescent="0.35">
      <c r="F2117"/>
      <c r="G2117"/>
      <c r="I2117"/>
    </row>
    <row r="2118" spans="6:9" x14ac:dyDescent="0.35">
      <c r="F2118"/>
      <c r="G2118"/>
      <c r="I2118"/>
    </row>
    <row r="2119" spans="6:9" x14ac:dyDescent="0.35">
      <c r="F2119"/>
      <c r="G2119"/>
      <c r="I2119"/>
    </row>
    <row r="2120" spans="6:9" x14ac:dyDescent="0.35">
      <c r="F2120"/>
      <c r="G2120"/>
      <c r="I2120"/>
    </row>
    <row r="2121" spans="6:9" x14ac:dyDescent="0.35">
      <c r="F2121"/>
      <c r="G2121"/>
      <c r="I2121"/>
    </row>
    <row r="2122" spans="6:9" x14ac:dyDescent="0.35">
      <c r="F2122"/>
      <c r="G2122"/>
      <c r="I2122"/>
    </row>
    <row r="2123" spans="6:9" x14ac:dyDescent="0.35">
      <c r="F2123"/>
      <c r="G2123"/>
      <c r="I2123"/>
    </row>
    <row r="2124" spans="6:9" x14ac:dyDescent="0.35">
      <c r="F2124"/>
      <c r="G2124"/>
      <c r="I2124"/>
    </row>
    <row r="2125" spans="6:9" x14ac:dyDescent="0.35">
      <c r="F2125"/>
      <c r="G2125"/>
      <c r="I2125"/>
    </row>
    <row r="2126" spans="6:9" x14ac:dyDescent="0.35">
      <c r="F2126"/>
      <c r="G2126"/>
      <c r="I2126"/>
    </row>
    <row r="2127" spans="6:9" x14ac:dyDescent="0.35">
      <c r="F2127"/>
      <c r="G2127"/>
      <c r="I2127"/>
    </row>
    <row r="2128" spans="6:9" x14ac:dyDescent="0.35">
      <c r="F2128"/>
      <c r="G2128"/>
      <c r="I2128"/>
    </row>
    <row r="2129" spans="6:9" x14ac:dyDescent="0.35">
      <c r="F2129"/>
      <c r="G2129"/>
      <c r="I2129"/>
    </row>
    <row r="2130" spans="6:9" x14ac:dyDescent="0.35">
      <c r="F2130"/>
      <c r="G2130"/>
      <c r="I2130"/>
    </row>
    <row r="2131" spans="6:9" x14ac:dyDescent="0.35">
      <c r="F2131"/>
      <c r="G2131"/>
      <c r="I2131"/>
    </row>
    <row r="2132" spans="6:9" x14ac:dyDescent="0.35">
      <c r="F2132"/>
      <c r="G2132"/>
      <c r="I2132"/>
    </row>
    <row r="2133" spans="6:9" x14ac:dyDescent="0.35">
      <c r="F2133"/>
      <c r="G2133"/>
      <c r="I2133"/>
    </row>
    <row r="2134" spans="6:9" x14ac:dyDescent="0.35">
      <c r="F2134"/>
      <c r="G2134"/>
      <c r="I2134"/>
    </row>
    <row r="2135" spans="6:9" x14ac:dyDescent="0.35">
      <c r="F2135"/>
      <c r="G2135"/>
      <c r="I2135"/>
    </row>
    <row r="2136" spans="6:9" x14ac:dyDescent="0.35">
      <c r="F2136"/>
      <c r="G2136"/>
      <c r="I2136"/>
    </row>
    <row r="2137" spans="6:9" x14ac:dyDescent="0.35">
      <c r="F2137"/>
      <c r="G2137"/>
      <c r="I2137"/>
    </row>
    <row r="2138" spans="6:9" x14ac:dyDescent="0.35">
      <c r="F2138"/>
      <c r="G2138"/>
      <c r="I2138"/>
    </row>
    <row r="2139" spans="6:9" x14ac:dyDescent="0.35">
      <c r="F2139"/>
      <c r="G2139"/>
      <c r="I2139"/>
    </row>
    <row r="2140" spans="6:9" x14ac:dyDescent="0.35">
      <c r="F2140"/>
      <c r="G2140"/>
      <c r="I2140"/>
    </row>
    <row r="2141" spans="6:9" x14ac:dyDescent="0.35">
      <c r="F2141"/>
      <c r="G2141"/>
      <c r="I2141"/>
    </row>
    <row r="2142" spans="6:9" x14ac:dyDescent="0.35">
      <c r="F2142"/>
      <c r="G2142"/>
      <c r="I2142"/>
    </row>
    <row r="2143" spans="6:9" x14ac:dyDescent="0.35">
      <c r="F2143"/>
      <c r="G2143"/>
      <c r="I2143"/>
    </row>
    <row r="2144" spans="6:9" x14ac:dyDescent="0.35">
      <c r="F2144"/>
      <c r="G2144"/>
      <c r="I2144"/>
    </row>
    <row r="2145" spans="6:9" x14ac:dyDescent="0.35">
      <c r="F2145"/>
      <c r="G2145"/>
      <c r="I2145"/>
    </row>
    <row r="2146" spans="6:9" x14ac:dyDescent="0.35">
      <c r="F2146"/>
      <c r="G2146"/>
      <c r="I2146"/>
    </row>
    <row r="2147" spans="6:9" x14ac:dyDescent="0.35">
      <c r="F2147"/>
      <c r="G2147"/>
      <c r="I2147"/>
    </row>
    <row r="2148" spans="6:9" x14ac:dyDescent="0.35">
      <c r="F2148"/>
      <c r="G2148"/>
      <c r="I2148"/>
    </row>
    <row r="2149" spans="6:9" x14ac:dyDescent="0.35">
      <c r="F2149"/>
      <c r="G2149"/>
      <c r="I2149"/>
    </row>
    <row r="2150" spans="6:9" x14ac:dyDescent="0.35">
      <c r="F2150"/>
      <c r="G2150"/>
      <c r="I2150"/>
    </row>
    <row r="2151" spans="6:9" x14ac:dyDescent="0.35">
      <c r="F2151"/>
      <c r="G2151"/>
      <c r="I2151"/>
    </row>
    <row r="2152" spans="6:9" x14ac:dyDescent="0.35">
      <c r="F2152"/>
      <c r="G2152"/>
      <c r="I2152"/>
    </row>
    <row r="2153" spans="6:9" x14ac:dyDescent="0.35">
      <c r="F2153"/>
      <c r="G2153"/>
      <c r="I2153"/>
    </row>
    <row r="2154" spans="6:9" x14ac:dyDescent="0.35">
      <c r="F2154"/>
      <c r="G2154"/>
      <c r="I2154"/>
    </row>
    <row r="2155" spans="6:9" x14ac:dyDescent="0.35">
      <c r="F2155"/>
      <c r="G2155"/>
      <c r="I2155"/>
    </row>
    <row r="2156" spans="6:9" x14ac:dyDescent="0.35">
      <c r="F2156"/>
      <c r="G2156"/>
      <c r="I2156"/>
    </row>
    <row r="2157" spans="6:9" x14ac:dyDescent="0.35">
      <c r="F2157"/>
      <c r="G2157"/>
      <c r="I2157"/>
    </row>
    <row r="2158" spans="6:9" x14ac:dyDescent="0.35">
      <c r="F2158"/>
      <c r="G2158"/>
      <c r="I2158"/>
    </row>
    <row r="2159" spans="6:9" x14ac:dyDescent="0.35">
      <c r="F2159"/>
      <c r="G2159"/>
      <c r="I2159"/>
    </row>
    <row r="2160" spans="6:9" x14ac:dyDescent="0.35">
      <c r="F2160"/>
      <c r="G2160"/>
      <c r="I2160"/>
    </row>
    <row r="2161" spans="6:9" x14ac:dyDescent="0.35">
      <c r="F2161"/>
      <c r="G2161"/>
      <c r="I2161"/>
    </row>
    <row r="2162" spans="6:9" x14ac:dyDescent="0.35">
      <c r="F2162"/>
      <c r="G2162"/>
      <c r="I2162"/>
    </row>
    <row r="2163" spans="6:9" x14ac:dyDescent="0.35">
      <c r="F2163"/>
      <c r="G2163"/>
      <c r="I2163"/>
    </row>
    <row r="2164" spans="6:9" x14ac:dyDescent="0.35">
      <c r="F2164"/>
      <c r="G2164"/>
      <c r="I2164"/>
    </row>
    <row r="2165" spans="6:9" x14ac:dyDescent="0.35">
      <c r="F2165"/>
      <c r="G2165"/>
      <c r="I2165"/>
    </row>
    <row r="2166" spans="6:9" x14ac:dyDescent="0.35">
      <c r="F2166"/>
      <c r="G2166"/>
      <c r="I2166"/>
    </row>
    <row r="2167" spans="6:9" x14ac:dyDescent="0.35">
      <c r="F2167"/>
      <c r="G2167"/>
      <c r="I2167"/>
    </row>
    <row r="2168" spans="6:9" x14ac:dyDescent="0.35">
      <c r="F2168"/>
      <c r="G2168"/>
      <c r="I2168"/>
    </row>
    <row r="2169" spans="6:9" x14ac:dyDescent="0.35">
      <c r="F2169"/>
      <c r="G2169"/>
      <c r="I2169"/>
    </row>
    <row r="2170" spans="6:9" x14ac:dyDescent="0.35">
      <c r="F2170"/>
      <c r="G2170"/>
      <c r="I2170"/>
    </row>
    <row r="2171" spans="6:9" x14ac:dyDescent="0.35">
      <c r="F2171"/>
      <c r="G2171"/>
      <c r="I2171"/>
    </row>
    <row r="2172" spans="6:9" x14ac:dyDescent="0.35">
      <c r="F2172"/>
      <c r="G2172"/>
      <c r="I2172"/>
    </row>
    <row r="2173" spans="6:9" x14ac:dyDescent="0.35">
      <c r="F2173"/>
      <c r="G2173"/>
      <c r="I2173"/>
    </row>
    <row r="2174" spans="6:9" x14ac:dyDescent="0.35">
      <c r="F2174"/>
      <c r="G2174"/>
      <c r="I2174"/>
    </row>
    <row r="2175" spans="6:9" x14ac:dyDescent="0.35">
      <c r="F2175"/>
      <c r="G2175"/>
      <c r="I2175"/>
    </row>
    <row r="2176" spans="6:9" x14ac:dyDescent="0.35">
      <c r="F2176"/>
      <c r="G2176"/>
      <c r="I2176"/>
    </row>
    <row r="2177" spans="6:9" x14ac:dyDescent="0.35">
      <c r="F2177"/>
      <c r="G2177"/>
      <c r="I2177"/>
    </row>
    <row r="2178" spans="6:9" x14ac:dyDescent="0.35">
      <c r="F2178"/>
      <c r="G2178"/>
      <c r="I2178"/>
    </row>
    <row r="2179" spans="6:9" x14ac:dyDescent="0.35">
      <c r="F2179"/>
      <c r="G2179"/>
      <c r="I2179"/>
    </row>
    <row r="2180" spans="6:9" x14ac:dyDescent="0.35">
      <c r="F2180"/>
      <c r="G2180"/>
      <c r="I2180"/>
    </row>
    <row r="2181" spans="6:9" x14ac:dyDescent="0.35">
      <c r="F2181"/>
      <c r="G2181"/>
      <c r="I2181"/>
    </row>
    <row r="2182" spans="6:9" x14ac:dyDescent="0.35">
      <c r="F2182"/>
      <c r="G2182"/>
      <c r="I2182"/>
    </row>
    <row r="2183" spans="6:9" x14ac:dyDescent="0.35">
      <c r="F2183"/>
      <c r="G2183"/>
      <c r="I2183"/>
    </row>
    <row r="2184" spans="6:9" x14ac:dyDescent="0.35">
      <c r="F2184"/>
      <c r="G2184"/>
      <c r="I2184"/>
    </row>
    <row r="2185" spans="6:9" x14ac:dyDescent="0.35">
      <c r="F2185"/>
      <c r="G2185"/>
      <c r="I2185"/>
    </row>
    <row r="2186" spans="6:9" x14ac:dyDescent="0.35">
      <c r="F2186"/>
      <c r="G2186"/>
      <c r="I2186"/>
    </row>
    <row r="2187" spans="6:9" x14ac:dyDescent="0.35">
      <c r="F2187"/>
      <c r="G2187"/>
      <c r="I2187"/>
    </row>
    <row r="2188" spans="6:9" x14ac:dyDescent="0.35">
      <c r="F2188"/>
      <c r="G2188"/>
      <c r="I2188"/>
    </row>
    <row r="2189" spans="6:9" x14ac:dyDescent="0.35">
      <c r="F2189"/>
      <c r="G2189"/>
      <c r="I2189"/>
    </row>
    <row r="2190" spans="6:9" x14ac:dyDescent="0.35">
      <c r="F2190"/>
      <c r="G2190"/>
      <c r="I2190"/>
    </row>
    <row r="2191" spans="6:9" x14ac:dyDescent="0.35">
      <c r="F2191"/>
      <c r="G2191"/>
      <c r="I2191"/>
    </row>
    <row r="2192" spans="6:9" x14ac:dyDescent="0.35">
      <c r="F2192"/>
      <c r="G2192"/>
      <c r="I2192"/>
    </row>
    <row r="2193" spans="6:9" x14ac:dyDescent="0.35">
      <c r="F2193"/>
      <c r="G2193"/>
      <c r="I2193"/>
    </row>
    <row r="2194" spans="6:9" x14ac:dyDescent="0.35">
      <c r="F2194"/>
      <c r="G2194"/>
      <c r="I2194"/>
    </row>
    <row r="2195" spans="6:9" x14ac:dyDescent="0.35">
      <c r="F2195"/>
      <c r="G2195"/>
      <c r="I2195"/>
    </row>
    <row r="2196" spans="6:9" x14ac:dyDescent="0.35">
      <c r="F2196"/>
      <c r="G2196"/>
      <c r="I2196"/>
    </row>
    <row r="2197" spans="6:9" x14ac:dyDescent="0.35">
      <c r="F2197"/>
      <c r="G2197"/>
      <c r="I2197"/>
    </row>
    <row r="2198" spans="6:9" x14ac:dyDescent="0.35">
      <c r="F2198"/>
      <c r="G2198"/>
      <c r="I2198"/>
    </row>
    <row r="2199" spans="6:9" x14ac:dyDescent="0.35">
      <c r="F2199"/>
      <c r="G2199"/>
      <c r="I2199"/>
    </row>
    <row r="2200" spans="6:9" x14ac:dyDescent="0.35">
      <c r="F2200"/>
      <c r="G2200"/>
      <c r="I2200"/>
    </row>
    <row r="2201" spans="6:9" x14ac:dyDescent="0.35">
      <c r="F2201"/>
      <c r="G2201"/>
      <c r="I2201"/>
    </row>
    <row r="2202" spans="6:9" x14ac:dyDescent="0.35">
      <c r="F2202"/>
      <c r="G2202"/>
      <c r="I2202"/>
    </row>
    <row r="2203" spans="6:9" x14ac:dyDescent="0.35">
      <c r="F2203"/>
      <c r="G2203"/>
      <c r="I2203"/>
    </row>
    <row r="2204" spans="6:9" x14ac:dyDescent="0.35">
      <c r="F2204"/>
      <c r="G2204"/>
      <c r="I2204"/>
    </row>
    <row r="2205" spans="6:9" x14ac:dyDescent="0.35">
      <c r="F2205"/>
      <c r="G2205"/>
      <c r="I2205"/>
    </row>
    <row r="2206" spans="6:9" x14ac:dyDescent="0.35">
      <c r="F2206"/>
      <c r="G2206"/>
      <c r="I2206"/>
    </row>
    <row r="2207" spans="6:9" x14ac:dyDescent="0.35">
      <c r="F2207"/>
      <c r="G2207"/>
      <c r="I2207"/>
    </row>
    <row r="2208" spans="6:9" x14ac:dyDescent="0.35">
      <c r="F2208"/>
      <c r="G2208"/>
      <c r="I2208"/>
    </row>
    <row r="2209" spans="6:9" x14ac:dyDescent="0.35">
      <c r="F2209"/>
      <c r="G2209"/>
      <c r="I2209"/>
    </row>
    <row r="2210" spans="6:9" x14ac:dyDescent="0.35">
      <c r="F2210"/>
      <c r="G2210"/>
      <c r="I2210"/>
    </row>
    <row r="2211" spans="6:9" x14ac:dyDescent="0.35">
      <c r="F2211"/>
      <c r="G2211"/>
      <c r="I2211"/>
    </row>
    <row r="2212" spans="6:9" x14ac:dyDescent="0.35">
      <c r="F2212"/>
      <c r="G2212"/>
      <c r="I2212"/>
    </row>
    <row r="2213" spans="6:9" x14ac:dyDescent="0.35">
      <c r="F2213"/>
      <c r="G2213"/>
      <c r="I2213"/>
    </row>
    <row r="2214" spans="6:9" x14ac:dyDescent="0.35">
      <c r="F2214"/>
      <c r="G2214"/>
      <c r="I2214"/>
    </row>
    <row r="2215" spans="6:9" x14ac:dyDescent="0.35">
      <c r="F2215"/>
      <c r="G2215"/>
      <c r="I2215"/>
    </row>
    <row r="2216" spans="6:9" x14ac:dyDescent="0.35">
      <c r="F2216"/>
      <c r="G2216"/>
      <c r="I2216"/>
    </row>
    <row r="2217" spans="6:9" x14ac:dyDescent="0.35">
      <c r="F2217"/>
      <c r="G2217"/>
      <c r="I2217"/>
    </row>
    <row r="2218" spans="6:9" x14ac:dyDescent="0.35">
      <c r="F2218"/>
      <c r="G2218"/>
      <c r="I2218"/>
    </row>
    <row r="2219" spans="6:9" x14ac:dyDescent="0.35">
      <c r="F2219"/>
      <c r="G2219"/>
      <c r="I2219"/>
    </row>
    <row r="2220" spans="6:9" x14ac:dyDescent="0.35">
      <c r="F2220"/>
      <c r="G2220"/>
      <c r="I2220"/>
    </row>
    <row r="2221" spans="6:9" x14ac:dyDescent="0.35">
      <c r="F2221"/>
      <c r="G2221"/>
      <c r="I2221"/>
    </row>
    <row r="2222" spans="6:9" x14ac:dyDescent="0.35">
      <c r="F2222"/>
      <c r="G2222"/>
      <c r="I2222"/>
    </row>
    <row r="2223" spans="6:9" x14ac:dyDescent="0.35">
      <c r="F2223"/>
      <c r="G2223"/>
      <c r="I2223"/>
    </row>
    <row r="2224" spans="6:9" x14ac:dyDescent="0.35">
      <c r="F2224"/>
      <c r="G2224"/>
      <c r="I2224"/>
    </row>
    <row r="2225" spans="6:9" x14ac:dyDescent="0.35">
      <c r="F2225"/>
      <c r="G2225"/>
      <c r="I2225"/>
    </row>
    <row r="2226" spans="6:9" x14ac:dyDescent="0.35">
      <c r="F2226"/>
      <c r="G2226"/>
      <c r="I2226"/>
    </row>
    <row r="2227" spans="6:9" x14ac:dyDescent="0.35">
      <c r="F2227"/>
      <c r="G2227"/>
      <c r="I2227"/>
    </row>
    <row r="2228" spans="6:9" x14ac:dyDescent="0.35">
      <c r="F2228"/>
      <c r="G2228"/>
      <c r="I2228"/>
    </row>
    <row r="2229" spans="6:9" x14ac:dyDescent="0.35">
      <c r="F2229"/>
      <c r="G2229"/>
      <c r="I2229"/>
    </row>
    <row r="2230" spans="6:9" x14ac:dyDescent="0.35">
      <c r="F2230"/>
      <c r="G2230"/>
      <c r="I2230"/>
    </row>
    <row r="2231" spans="6:9" x14ac:dyDescent="0.35">
      <c r="F2231"/>
      <c r="G2231"/>
      <c r="I2231"/>
    </row>
    <row r="2232" spans="6:9" x14ac:dyDescent="0.35">
      <c r="F2232"/>
      <c r="G2232"/>
      <c r="I2232"/>
    </row>
    <row r="2233" spans="6:9" x14ac:dyDescent="0.35">
      <c r="F2233"/>
      <c r="G2233"/>
      <c r="I2233"/>
    </row>
    <row r="2234" spans="6:9" x14ac:dyDescent="0.35">
      <c r="F2234"/>
      <c r="G2234"/>
      <c r="I2234"/>
    </row>
    <row r="2235" spans="6:9" x14ac:dyDescent="0.35">
      <c r="F2235"/>
      <c r="G2235"/>
      <c r="I2235"/>
    </row>
    <row r="2236" spans="6:9" x14ac:dyDescent="0.35">
      <c r="F2236"/>
      <c r="G2236"/>
      <c r="I2236"/>
    </row>
    <row r="2237" spans="6:9" x14ac:dyDescent="0.35">
      <c r="F2237"/>
      <c r="G2237"/>
      <c r="I2237"/>
    </row>
    <row r="2238" spans="6:9" x14ac:dyDescent="0.35">
      <c r="F2238"/>
      <c r="G2238"/>
      <c r="I2238"/>
    </row>
    <row r="2239" spans="6:9" x14ac:dyDescent="0.35">
      <c r="F2239"/>
      <c r="G2239"/>
      <c r="I2239"/>
    </row>
    <row r="2240" spans="6:9" x14ac:dyDescent="0.35">
      <c r="F2240"/>
      <c r="G2240"/>
      <c r="I2240"/>
    </row>
    <row r="2241" spans="6:9" x14ac:dyDescent="0.35">
      <c r="F2241"/>
      <c r="G2241"/>
      <c r="I2241"/>
    </row>
    <row r="2242" spans="6:9" x14ac:dyDescent="0.35">
      <c r="F2242"/>
      <c r="G2242"/>
      <c r="I2242"/>
    </row>
    <row r="2243" spans="6:9" x14ac:dyDescent="0.35">
      <c r="F2243"/>
      <c r="G2243"/>
      <c r="I2243"/>
    </row>
    <row r="2244" spans="6:9" x14ac:dyDescent="0.35">
      <c r="F2244"/>
      <c r="G2244"/>
      <c r="I2244"/>
    </row>
    <row r="2245" spans="6:9" x14ac:dyDescent="0.35">
      <c r="F2245"/>
      <c r="G2245"/>
      <c r="I2245"/>
    </row>
    <row r="2246" spans="6:9" x14ac:dyDescent="0.35">
      <c r="F2246"/>
      <c r="G2246"/>
      <c r="I2246"/>
    </row>
    <row r="2247" spans="6:9" x14ac:dyDescent="0.35">
      <c r="F2247"/>
      <c r="G2247"/>
      <c r="I2247"/>
    </row>
    <row r="2248" spans="6:9" x14ac:dyDescent="0.35">
      <c r="F2248"/>
      <c r="G2248"/>
      <c r="I2248"/>
    </row>
    <row r="2249" spans="6:9" x14ac:dyDescent="0.35">
      <c r="F2249"/>
      <c r="G2249"/>
      <c r="I2249"/>
    </row>
    <row r="2250" spans="6:9" x14ac:dyDescent="0.35">
      <c r="F2250"/>
      <c r="G2250"/>
      <c r="I2250"/>
    </row>
    <row r="2251" spans="6:9" x14ac:dyDescent="0.35">
      <c r="F2251"/>
      <c r="G2251"/>
      <c r="I2251"/>
    </row>
    <row r="2252" spans="6:9" x14ac:dyDescent="0.35">
      <c r="F2252"/>
      <c r="G2252"/>
      <c r="I2252"/>
    </row>
    <row r="2253" spans="6:9" x14ac:dyDescent="0.35">
      <c r="F2253"/>
      <c r="G2253"/>
      <c r="I2253"/>
    </row>
    <row r="2254" spans="6:9" x14ac:dyDescent="0.35">
      <c r="F2254"/>
      <c r="G2254"/>
      <c r="I2254"/>
    </row>
    <row r="2255" spans="6:9" x14ac:dyDescent="0.35">
      <c r="F2255"/>
      <c r="G2255"/>
      <c r="I2255"/>
    </row>
    <row r="2256" spans="6:9" x14ac:dyDescent="0.35">
      <c r="F2256"/>
      <c r="G2256"/>
      <c r="I2256"/>
    </row>
    <row r="2257" spans="6:9" x14ac:dyDescent="0.35">
      <c r="F2257"/>
      <c r="G2257"/>
      <c r="I2257"/>
    </row>
    <row r="2258" spans="6:9" x14ac:dyDescent="0.35">
      <c r="F2258"/>
      <c r="G2258"/>
      <c r="I2258"/>
    </row>
    <row r="2259" spans="6:9" x14ac:dyDescent="0.35">
      <c r="F2259"/>
      <c r="G2259"/>
      <c r="I2259"/>
    </row>
    <row r="2260" spans="6:9" x14ac:dyDescent="0.35">
      <c r="F2260"/>
      <c r="G2260"/>
      <c r="I2260"/>
    </row>
    <row r="2261" spans="6:9" x14ac:dyDescent="0.35">
      <c r="F2261"/>
      <c r="G2261"/>
      <c r="I2261"/>
    </row>
    <row r="2262" spans="6:9" x14ac:dyDescent="0.35">
      <c r="F2262"/>
      <c r="G2262"/>
      <c r="I2262"/>
    </row>
    <row r="2263" spans="6:9" x14ac:dyDescent="0.35">
      <c r="F2263"/>
      <c r="G2263"/>
      <c r="I2263"/>
    </row>
    <row r="2264" spans="6:9" x14ac:dyDescent="0.35">
      <c r="F2264"/>
      <c r="G2264"/>
      <c r="I2264"/>
    </row>
    <row r="2265" spans="6:9" x14ac:dyDescent="0.35">
      <c r="F2265"/>
      <c r="G2265"/>
      <c r="I2265"/>
    </row>
    <row r="2266" spans="6:9" x14ac:dyDescent="0.35">
      <c r="F2266"/>
      <c r="G2266"/>
      <c r="I2266"/>
    </row>
    <row r="2267" spans="6:9" x14ac:dyDescent="0.35">
      <c r="F2267"/>
      <c r="G2267"/>
      <c r="I2267"/>
    </row>
    <row r="2268" spans="6:9" x14ac:dyDescent="0.35">
      <c r="F2268"/>
      <c r="G2268"/>
      <c r="I2268"/>
    </row>
    <row r="2269" spans="6:9" x14ac:dyDescent="0.35">
      <c r="F2269"/>
      <c r="G2269"/>
      <c r="I2269"/>
    </row>
    <row r="2270" spans="6:9" x14ac:dyDescent="0.35">
      <c r="F2270"/>
      <c r="G2270"/>
      <c r="I2270"/>
    </row>
    <row r="2271" spans="6:9" x14ac:dyDescent="0.35">
      <c r="F2271"/>
      <c r="G2271"/>
      <c r="I2271"/>
    </row>
    <row r="2272" spans="6:9" x14ac:dyDescent="0.35">
      <c r="F2272"/>
      <c r="G2272"/>
      <c r="I2272"/>
    </row>
    <row r="2273" spans="6:9" x14ac:dyDescent="0.35">
      <c r="F2273"/>
      <c r="G2273"/>
      <c r="I2273"/>
    </row>
    <row r="2274" spans="6:9" x14ac:dyDescent="0.35">
      <c r="F2274"/>
      <c r="G2274"/>
      <c r="I2274"/>
    </row>
    <row r="2275" spans="6:9" x14ac:dyDescent="0.35">
      <c r="F2275"/>
      <c r="G2275"/>
      <c r="I2275"/>
    </row>
    <row r="2276" spans="6:9" x14ac:dyDescent="0.35">
      <c r="F2276"/>
      <c r="G2276"/>
      <c r="I2276"/>
    </row>
    <row r="2277" spans="6:9" x14ac:dyDescent="0.35">
      <c r="F2277"/>
      <c r="G2277"/>
      <c r="I2277"/>
    </row>
    <row r="2278" spans="6:9" x14ac:dyDescent="0.35">
      <c r="F2278"/>
      <c r="G2278"/>
      <c r="I2278"/>
    </row>
    <row r="2279" spans="6:9" x14ac:dyDescent="0.35">
      <c r="F2279"/>
      <c r="G2279"/>
      <c r="I2279"/>
    </row>
    <row r="2280" spans="6:9" x14ac:dyDescent="0.35">
      <c r="F2280"/>
      <c r="G2280"/>
      <c r="I2280"/>
    </row>
    <row r="2281" spans="6:9" x14ac:dyDescent="0.35">
      <c r="F2281"/>
      <c r="G2281"/>
      <c r="I2281"/>
    </row>
    <row r="2282" spans="6:9" x14ac:dyDescent="0.35">
      <c r="F2282"/>
      <c r="G2282"/>
      <c r="I2282"/>
    </row>
    <row r="2283" spans="6:9" x14ac:dyDescent="0.35">
      <c r="F2283"/>
      <c r="G2283"/>
      <c r="I2283"/>
    </row>
    <row r="2284" spans="6:9" x14ac:dyDescent="0.35">
      <c r="F2284"/>
      <c r="G2284"/>
      <c r="I2284"/>
    </row>
    <row r="2285" spans="6:9" x14ac:dyDescent="0.35">
      <c r="F2285"/>
      <c r="G2285"/>
      <c r="I2285"/>
    </row>
    <row r="2286" spans="6:9" x14ac:dyDescent="0.35">
      <c r="F2286"/>
      <c r="G2286"/>
      <c r="I2286"/>
    </row>
    <row r="2287" spans="6:9" x14ac:dyDescent="0.35">
      <c r="F2287"/>
      <c r="G2287"/>
      <c r="I2287"/>
    </row>
    <row r="2288" spans="6:9" x14ac:dyDescent="0.35">
      <c r="F2288"/>
      <c r="G2288"/>
      <c r="I2288"/>
    </row>
    <row r="2289" spans="6:9" x14ac:dyDescent="0.35">
      <c r="F2289"/>
      <c r="G2289"/>
      <c r="I2289"/>
    </row>
    <row r="2290" spans="6:9" x14ac:dyDescent="0.35">
      <c r="F2290"/>
      <c r="G2290"/>
      <c r="I2290"/>
    </row>
    <row r="2291" spans="6:9" x14ac:dyDescent="0.35">
      <c r="F2291"/>
      <c r="G2291"/>
      <c r="I2291"/>
    </row>
    <row r="2292" spans="6:9" x14ac:dyDescent="0.35">
      <c r="F2292"/>
      <c r="G2292"/>
      <c r="I2292"/>
    </row>
    <row r="2293" spans="6:9" x14ac:dyDescent="0.35">
      <c r="F2293"/>
      <c r="G2293"/>
      <c r="I2293"/>
    </row>
    <row r="2294" spans="6:9" x14ac:dyDescent="0.35">
      <c r="F2294"/>
      <c r="G2294"/>
      <c r="I2294"/>
    </row>
    <row r="2295" spans="6:9" x14ac:dyDescent="0.35">
      <c r="F2295"/>
      <c r="G2295"/>
      <c r="I2295"/>
    </row>
    <row r="2296" spans="6:9" x14ac:dyDescent="0.35">
      <c r="F2296"/>
      <c r="G2296"/>
      <c r="I2296"/>
    </row>
    <row r="2297" spans="6:9" x14ac:dyDescent="0.35">
      <c r="F2297"/>
      <c r="G2297"/>
      <c r="I2297"/>
    </row>
    <row r="2298" spans="6:9" x14ac:dyDescent="0.35">
      <c r="F2298"/>
      <c r="G2298"/>
      <c r="I2298"/>
    </row>
    <row r="2299" spans="6:9" x14ac:dyDescent="0.35">
      <c r="F2299"/>
      <c r="G2299"/>
      <c r="I2299"/>
    </row>
    <row r="2300" spans="6:9" x14ac:dyDescent="0.35">
      <c r="F2300"/>
      <c r="G2300"/>
      <c r="I2300"/>
    </row>
    <row r="2301" spans="6:9" x14ac:dyDescent="0.35">
      <c r="F2301"/>
      <c r="G2301"/>
      <c r="I2301"/>
    </row>
    <row r="2302" spans="6:9" x14ac:dyDescent="0.35">
      <c r="F2302"/>
      <c r="G2302"/>
      <c r="I2302"/>
    </row>
    <row r="2303" spans="6:9" x14ac:dyDescent="0.35">
      <c r="F2303"/>
      <c r="G2303"/>
      <c r="I2303"/>
    </row>
    <row r="2304" spans="6:9" x14ac:dyDescent="0.35">
      <c r="F2304"/>
      <c r="G2304"/>
      <c r="I2304"/>
    </row>
    <row r="2305" spans="6:9" x14ac:dyDescent="0.35">
      <c r="F2305"/>
      <c r="G2305"/>
      <c r="I2305"/>
    </row>
    <row r="2306" spans="6:9" x14ac:dyDescent="0.35">
      <c r="F2306"/>
      <c r="G2306"/>
      <c r="I2306"/>
    </row>
    <row r="2307" spans="6:9" x14ac:dyDescent="0.35">
      <c r="F2307"/>
      <c r="G2307"/>
      <c r="I2307"/>
    </row>
    <row r="2308" spans="6:9" x14ac:dyDescent="0.35">
      <c r="F2308"/>
      <c r="G2308"/>
      <c r="I2308"/>
    </row>
    <row r="2309" spans="6:9" x14ac:dyDescent="0.35">
      <c r="F2309"/>
      <c r="G2309"/>
      <c r="I2309"/>
    </row>
    <row r="2310" spans="6:9" x14ac:dyDescent="0.35">
      <c r="F2310"/>
      <c r="G2310"/>
      <c r="I2310"/>
    </row>
    <row r="2311" spans="6:9" x14ac:dyDescent="0.35">
      <c r="F2311"/>
      <c r="G2311"/>
      <c r="I2311"/>
    </row>
    <row r="2312" spans="6:9" x14ac:dyDescent="0.35">
      <c r="F2312"/>
      <c r="G2312"/>
      <c r="I2312"/>
    </row>
    <row r="2313" spans="6:9" x14ac:dyDescent="0.35">
      <c r="F2313"/>
      <c r="G2313"/>
      <c r="I2313"/>
    </row>
    <row r="2314" spans="6:9" x14ac:dyDescent="0.35">
      <c r="F2314"/>
      <c r="G2314"/>
      <c r="I2314"/>
    </row>
    <row r="2315" spans="6:9" x14ac:dyDescent="0.35">
      <c r="F2315"/>
      <c r="G2315"/>
      <c r="I2315"/>
    </row>
    <row r="2316" spans="6:9" x14ac:dyDescent="0.35">
      <c r="F2316"/>
      <c r="G2316"/>
      <c r="I2316"/>
    </row>
    <row r="2317" spans="6:9" x14ac:dyDescent="0.35">
      <c r="F2317"/>
      <c r="G2317"/>
      <c r="I2317"/>
    </row>
    <row r="2318" spans="6:9" x14ac:dyDescent="0.35">
      <c r="F2318"/>
      <c r="G2318"/>
      <c r="I2318"/>
    </row>
    <row r="2319" spans="6:9" x14ac:dyDescent="0.35">
      <c r="F2319"/>
      <c r="G2319"/>
      <c r="I2319"/>
    </row>
    <row r="2320" spans="6:9" x14ac:dyDescent="0.35">
      <c r="F2320"/>
      <c r="G2320"/>
      <c r="I2320"/>
    </row>
    <row r="2321" spans="6:9" x14ac:dyDescent="0.35">
      <c r="F2321"/>
      <c r="G2321"/>
      <c r="I2321"/>
    </row>
    <row r="2322" spans="6:9" x14ac:dyDescent="0.35">
      <c r="F2322"/>
      <c r="G2322"/>
      <c r="I2322"/>
    </row>
    <row r="2323" spans="6:9" x14ac:dyDescent="0.35">
      <c r="F2323"/>
      <c r="G2323"/>
      <c r="I2323"/>
    </row>
    <row r="2324" spans="6:9" x14ac:dyDescent="0.35">
      <c r="F2324"/>
      <c r="G2324"/>
      <c r="I2324"/>
    </row>
    <row r="2325" spans="6:9" x14ac:dyDescent="0.35">
      <c r="F2325"/>
      <c r="G2325"/>
      <c r="I2325"/>
    </row>
    <row r="2326" spans="6:9" x14ac:dyDescent="0.35">
      <c r="F2326"/>
      <c r="G2326"/>
      <c r="I2326"/>
    </row>
    <row r="2327" spans="6:9" x14ac:dyDescent="0.35">
      <c r="F2327"/>
      <c r="G2327"/>
      <c r="I2327"/>
    </row>
    <row r="2328" spans="6:9" x14ac:dyDescent="0.35">
      <c r="F2328"/>
      <c r="G2328"/>
      <c r="I2328"/>
    </row>
    <row r="2329" spans="6:9" x14ac:dyDescent="0.35">
      <c r="F2329"/>
      <c r="G2329"/>
      <c r="I2329"/>
    </row>
    <row r="2330" spans="6:9" x14ac:dyDescent="0.35">
      <c r="F2330"/>
      <c r="G2330"/>
      <c r="I2330"/>
    </row>
    <row r="2331" spans="6:9" x14ac:dyDescent="0.35">
      <c r="F2331"/>
      <c r="G2331"/>
      <c r="I2331"/>
    </row>
    <row r="2332" spans="6:9" x14ac:dyDescent="0.35">
      <c r="F2332"/>
      <c r="G2332"/>
      <c r="I2332"/>
    </row>
    <row r="2333" spans="6:9" x14ac:dyDescent="0.35">
      <c r="F2333"/>
      <c r="G2333"/>
      <c r="I2333"/>
    </row>
    <row r="2334" spans="6:9" x14ac:dyDescent="0.35">
      <c r="F2334"/>
      <c r="G2334"/>
      <c r="I2334"/>
    </row>
    <row r="2335" spans="6:9" x14ac:dyDescent="0.35">
      <c r="F2335"/>
      <c r="G2335"/>
      <c r="I2335"/>
    </row>
    <row r="2336" spans="6:9" x14ac:dyDescent="0.35">
      <c r="F2336"/>
      <c r="G2336"/>
      <c r="I2336"/>
    </row>
    <row r="2337" spans="6:9" x14ac:dyDescent="0.35">
      <c r="F2337"/>
      <c r="G2337"/>
      <c r="I2337"/>
    </row>
    <row r="2338" spans="6:9" x14ac:dyDescent="0.35">
      <c r="F2338"/>
      <c r="G2338"/>
      <c r="I2338"/>
    </row>
    <row r="2339" spans="6:9" x14ac:dyDescent="0.35">
      <c r="F2339"/>
      <c r="G2339"/>
      <c r="I2339"/>
    </row>
    <row r="2340" spans="6:9" x14ac:dyDescent="0.35">
      <c r="F2340"/>
      <c r="G2340"/>
      <c r="I2340"/>
    </row>
    <row r="2341" spans="6:9" x14ac:dyDescent="0.35">
      <c r="F2341"/>
      <c r="G2341"/>
      <c r="I2341"/>
    </row>
    <row r="2342" spans="6:9" x14ac:dyDescent="0.35">
      <c r="F2342"/>
      <c r="G2342"/>
      <c r="I2342"/>
    </row>
    <row r="2343" spans="6:9" x14ac:dyDescent="0.35">
      <c r="F2343"/>
      <c r="G2343"/>
      <c r="I2343"/>
    </row>
    <row r="2344" spans="6:9" x14ac:dyDescent="0.35">
      <c r="F2344"/>
      <c r="G2344"/>
      <c r="I2344"/>
    </row>
    <row r="2345" spans="6:9" x14ac:dyDescent="0.35">
      <c r="F2345"/>
      <c r="G2345"/>
      <c r="I2345"/>
    </row>
    <row r="2346" spans="6:9" x14ac:dyDescent="0.35">
      <c r="F2346"/>
      <c r="G2346"/>
      <c r="I2346"/>
    </row>
    <row r="2347" spans="6:9" x14ac:dyDescent="0.35">
      <c r="F2347"/>
      <c r="G2347"/>
      <c r="I2347"/>
    </row>
    <row r="2348" spans="6:9" x14ac:dyDescent="0.35">
      <c r="F2348"/>
      <c r="G2348"/>
      <c r="I2348"/>
    </row>
    <row r="2349" spans="6:9" x14ac:dyDescent="0.35">
      <c r="F2349"/>
      <c r="G2349"/>
      <c r="I2349"/>
    </row>
    <row r="2350" spans="6:9" x14ac:dyDescent="0.35">
      <c r="F2350"/>
      <c r="G2350"/>
      <c r="I2350"/>
    </row>
    <row r="2351" spans="6:9" x14ac:dyDescent="0.35">
      <c r="F2351"/>
      <c r="G2351"/>
      <c r="I2351"/>
    </row>
    <row r="2352" spans="6:9" x14ac:dyDescent="0.35">
      <c r="F2352"/>
      <c r="G2352"/>
      <c r="I2352"/>
    </row>
    <row r="2353" spans="6:9" x14ac:dyDescent="0.35">
      <c r="F2353"/>
      <c r="G2353"/>
      <c r="I2353"/>
    </row>
    <row r="2354" spans="6:9" x14ac:dyDescent="0.35">
      <c r="F2354"/>
      <c r="G2354"/>
      <c r="I2354"/>
    </row>
    <row r="2355" spans="6:9" x14ac:dyDescent="0.35">
      <c r="F2355"/>
      <c r="G2355"/>
      <c r="I2355"/>
    </row>
    <row r="2356" spans="6:9" x14ac:dyDescent="0.35">
      <c r="F2356"/>
      <c r="G2356"/>
      <c r="I2356"/>
    </row>
    <row r="2357" spans="6:9" x14ac:dyDescent="0.35">
      <c r="F2357"/>
      <c r="G2357"/>
      <c r="I2357"/>
    </row>
    <row r="2358" spans="6:9" x14ac:dyDescent="0.35">
      <c r="F2358"/>
      <c r="G2358"/>
      <c r="I2358"/>
    </row>
    <row r="2359" spans="6:9" x14ac:dyDescent="0.35">
      <c r="F2359"/>
      <c r="G2359"/>
      <c r="I2359"/>
    </row>
    <row r="2360" spans="6:9" x14ac:dyDescent="0.35">
      <c r="F2360"/>
      <c r="G2360"/>
      <c r="I2360"/>
    </row>
    <row r="2361" spans="6:9" x14ac:dyDescent="0.35">
      <c r="F2361"/>
      <c r="G2361"/>
      <c r="I2361"/>
    </row>
    <row r="2362" spans="6:9" x14ac:dyDescent="0.35">
      <c r="F2362"/>
      <c r="G2362"/>
      <c r="I2362"/>
    </row>
    <row r="2363" spans="6:9" x14ac:dyDescent="0.35">
      <c r="F2363"/>
      <c r="G2363"/>
      <c r="I2363"/>
    </row>
    <row r="2364" spans="6:9" x14ac:dyDescent="0.35">
      <c r="F2364"/>
      <c r="G2364"/>
      <c r="I2364"/>
    </row>
    <row r="2365" spans="6:9" x14ac:dyDescent="0.35">
      <c r="F2365"/>
      <c r="G2365"/>
      <c r="I2365"/>
    </row>
    <row r="2366" spans="6:9" x14ac:dyDescent="0.35">
      <c r="F2366"/>
      <c r="G2366"/>
      <c r="I2366"/>
    </row>
    <row r="2367" spans="6:9" x14ac:dyDescent="0.35">
      <c r="F2367"/>
      <c r="G2367"/>
      <c r="I2367"/>
    </row>
    <row r="2368" spans="6:9" x14ac:dyDescent="0.35">
      <c r="F2368"/>
      <c r="G2368"/>
      <c r="I2368"/>
    </row>
    <row r="2369" spans="6:9" x14ac:dyDescent="0.35">
      <c r="F2369"/>
      <c r="G2369"/>
      <c r="I2369"/>
    </row>
    <row r="2370" spans="6:9" x14ac:dyDescent="0.35">
      <c r="F2370"/>
      <c r="G2370"/>
      <c r="I2370"/>
    </row>
    <row r="2371" spans="6:9" x14ac:dyDescent="0.35">
      <c r="F2371"/>
      <c r="G2371"/>
      <c r="I2371"/>
    </row>
    <row r="2372" spans="6:9" x14ac:dyDescent="0.35">
      <c r="F2372"/>
      <c r="G2372"/>
      <c r="I2372"/>
    </row>
    <row r="2373" spans="6:9" x14ac:dyDescent="0.35">
      <c r="F2373"/>
      <c r="G2373"/>
      <c r="I2373"/>
    </row>
    <row r="2374" spans="6:9" x14ac:dyDescent="0.35">
      <c r="F2374"/>
      <c r="G2374"/>
      <c r="I2374"/>
    </row>
    <row r="2375" spans="6:9" x14ac:dyDescent="0.35">
      <c r="F2375"/>
      <c r="G2375"/>
      <c r="I2375"/>
    </row>
    <row r="2376" spans="6:9" x14ac:dyDescent="0.35">
      <c r="F2376"/>
      <c r="G2376"/>
      <c r="I2376"/>
    </row>
    <row r="2377" spans="6:9" x14ac:dyDescent="0.35">
      <c r="F2377"/>
      <c r="G2377"/>
      <c r="I2377"/>
    </row>
    <row r="2378" spans="6:9" x14ac:dyDescent="0.35">
      <c r="F2378"/>
      <c r="G2378"/>
      <c r="I2378"/>
    </row>
    <row r="2379" spans="6:9" x14ac:dyDescent="0.35">
      <c r="F2379"/>
      <c r="G2379"/>
      <c r="I2379"/>
    </row>
    <row r="2380" spans="6:9" x14ac:dyDescent="0.35">
      <c r="F2380"/>
      <c r="G2380"/>
      <c r="I2380"/>
    </row>
    <row r="2381" spans="6:9" x14ac:dyDescent="0.35">
      <c r="F2381"/>
      <c r="G2381"/>
      <c r="I2381"/>
    </row>
    <row r="2382" spans="6:9" x14ac:dyDescent="0.35">
      <c r="F2382"/>
      <c r="G2382"/>
      <c r="I2382"/>
    </row>
    <row r="2383" spans="6:9" x14ac:dyDescent="0.35">
      <c r="F2383"/>
      <c r="G2383"/>
      <c r="I2383"/>
    </row>
    <row r="2384" spans="6:9" x14ac:dyDescent="0.35">
      <c r="F2384"/>
      <c r="G2384"/>
      <c r="I2384"/>
    </row>
    <row r="2385" spans="6:9" x14ac:dyDescent="0.35">
      <c r="F2385"/>
      <c r="G2385"/>
      <c r="I2385"/>
    </row>
    <row r="2386" spans="6:9" x14ac:dyDescent="0.35">
      <c r="F2386"/>
      <c r="G2386"/>
      <c r="I2386"/>
    </row>
    <row r="2387" spans="6:9" x14ac:dyDescent="0.35">
      <c r="F2387"/>
      <c r="G2387"/>
      <c r="I2387"/>
    </row>
    <row r="2388" spans="6:9" x14ac:dyDescent="0.35">
      <c r="F2388"/>
      <c r="G2388"/>
      <c r="I2388"/>
    </row>
    <row r="2389" spans="6:9" x14ac:dyDescent="0.35">
      <c r="F2389"/>
      <c r="G2389"/>
      <c r="I2389"/>
    </row>
    <row r="2390" spans="6:9" x14ac:dyDescent="0.35">
      <c r="F2390"/>
      <c r="G2390"/>
      <c r="I2390"/>
    </row>
    <row r="2391" spans="6:9" x14ac:dyDescent="0.35">
      <c r="F2391"/>
      <c r="G2391"/>
      <c r="I2391"/>
    </row>
    <row r="2392" spans="6:9" x14ac:dyDescent="0.35">
      <c r="F2392"/>
      <c r="G2392"/>
      <c r="I2392"/>
    </row>
    <row r="2393" spans="6:9" x14ac:dyDescent="0.35">
      <c r="F2393"/>
      <c r="G2393"/>
      <c r="I2393"/>
    </row>
    <row r="2394" spans="6:9" x14ac:dyDescent="0.35">
      <c r="F2394"/>
      <c r="G2394"/>
      <c r="I2394"/>
    </row>
    <row r="2395" spans="6:9" x14ac:dyDescent="0.35">
      <c r="F2395"/>
      <c r="G2395"/>
      <c r="I2395"/>
    </row>
    <row r="2396" spans="6:9" x14ac:dyDescent="0.35">
      <c r="F2396"/>
      <c r="G2396"/>
      <c r="I2396"/>
    </row>
    <row r="2397" spans="6:9" x14ac:dyDescent="0.35">
      <c r="F2397"/>
      <c r="G2397"/>
      <c r="I2397"/>
    </row>
    <row r="2398" spans="6:9" x14ac:dyDescent="0.35">
      <c r="F2398"/>
      <c r="G2398"/>
      <c r="I2398"/>
    </row>
    <row r="2399" spans="6:9" x14ac:dyDescent="0.35">
      <c r="F2399"/>
      <c r="G2399"/>
      <c r="I2399"/>
    </row>
    <row r="2400" spans="6:9" x14ac:dyDescent="0.35">
      <c r="F2400"/>
      <c r="G2400"/>
      <c r="I2400"/>
    </row>
    <row r="2401" spans="6:9" x14ac:dyDescent="0.35">
      <c r="F2401"/>
      <c r="G2401"/>
      <c r="I2401"/>
    </row>
    <row r="2402" spans="6:9" x14ac:dyDescent="0.35">
      <c r="F2402"/>
      <c r="G2402"/>
      <c r="I2402"/>
    </row>
    <row r="2403" spans="6:9" x14ac:dyDescent="0.35">
      <c r="F2403"/>
      <c r="G2403"/>
      <c r="I2403"/>
    </row>
    <row r="2404" spans="6:9" x14ac:dyDescent="0.35">
      <c r="F2404"/>
      <c r="G2404"/>
      <c r="I2404"/>
    </row>
    <row r="2405" spans="6:9" x14ac:dyDescent="0.35">
      <c r="F2405"/>
      <c r="G2405"/>
      <c r="I2405"/>
    </row>
    <row r="2406" spans="6:9" x14ac:dyDescent="0.35">
      <c r="F2406"/>
      <c r="G2406"/>
      <c r="I2406"/>
    </row>
    <row r="2407" spans="6:9" x14ac:dyDescent="0.35">
      <c r="F2407"/>
      <c r="G2407"/>
      <c r="I2407"/>
    </row>
    <row r="2408" spans="6:9" x14ac:dyDescent="0.35">
      <c r="F2408"/>
      <c r="G2408"/>
      <c r="I2408"/>
    </row>
    <row r="2409" spans="6:9" x14ac:dyDescent="0.35">
      <c r="F2409"/>
      <c r="G2409"/>
      <c r="I2409"/>
    </row>
    <row r="2410" spans="6:9" x14ac:dyDescent="0.35">
      <c r="F2410"/>
      <c r="G2410"/>
      <c r="I2410"/>
    </row>
    <row r="2411" spans="6:9" x14ac:dyDescent="0.35">
      <c r="F2411"/>
      <c r="G2411"/>
      <c r="I2411"/>
    </row>
    <row r="2412" spans="6:9" x14ac:dyDescent="0.35">
      <c r="F2412"/>
      <c r="G2412"/>
      <c r="I2412"/>
    </row>
    <row r="2413" spans="6:9" x14ac:dyDescent="0.35">
      <c r="F2413"/>
      <c r="G2413"/>
      <c r="I2413"/>
    </row>
    <row r="2414" spans="6:9" x14ac:dyDescent="0.35">
      <c r="F2414"/>
      <c r="G2414"/>
      <c r="I2414"/>
    </row>
    <row r="2415" spans="6:9" x14ac:dyDescent="0.35">
      <c r="F2415"/>
      <c r="G2415"/>
      <c r="I2415"/>
    </row>
    <row r="2416" spans="6:9" x14ac:dyDescent="0.35">
      <c r="F2416"/>
      <c r="G2416"/>
      <c r="I2416"/>
    </row>
    <row r="2417" spans="6:9" x14ac:dyDescent="0.35">
      <c r="F2417"/>
      <c r="G2417"/>
      <c r="I2417"/>
    </row>
    <row r="2418" spans="6:9" x14ac:dyDescent="0.35">
      <c r="F2418"/>
      <c r="G2418"/>
      <c r="I2418"/>
    </row>
    <row r="2419" spans="6:9" x14ac:dyDescent="0.35">
      <c r="F2419"/>
      <c r="G2419"/>
      <c r="I2419"/>
    </row>
    <row r="2420" spans="6:9" x14ac:dyDescent="0.35">
      <c r="F2420"/>
      <c r="G2420"/>
      <c r="I2420"/>
    </row>
    <row r="2421" spans="6:9" x14ac:dyDescent="0.35">
      <c r="F2421"/>
      <c r="G2421"/>
      <c r="I2421"/>
    </row>
    <row r="2422" spans="6:9" x14ac:dyDescent="0.35">
      <c r="F2422"/>
      <c r="G2422"/>
      <c r="I2422"/>
    </row>
    <row r="2423" spans="6:9" x14ac:dyDescent="0.35">
      <c r="F2423"/>
      <c r="G2423"/>
      <c r="I2423"/>
    </row>
    <row r="2424" spans="6:9" x14ac:dyDescent="0.35">
      <c r="F2424"/>
      <c r="G2424"/>
      <c r="I2424"/>
    </row>
    <row r="2425" spans="6:9" x14ac:dyDescent="0.35">
      <c r="F2425"/>
      <c r="G2425"/>
      <c r="I2425"/>
    </row>
    <row r="2426" spans="6:9" x14ac:dyDescent="0.35">
      <c r="F2426"/>
      <c r="G2426"/>
      <c r="I2426"/>
    </row>
    <row r="2427" spans="6:9" x14ac:dyDescent="0.35">
      <c r="F2427"/>
      <c r="G2427"/>
      <c r="I2427"/>
    </row>
    <row r="2428" spans="6:9" x14ac:dyDescent="0.35">
      <c r="F2428"/>
      <c r="G2428"/>
      <c r="I2428"/>
    </row>
    <row r="2429" spans="6:9" x14ac:dyDescent="0.35">
      <c r="F2429"/>
      <c r="G2429"/>
      <c r="I2429"/>
    </row>
    <row r="2430" spans="6:9" x14ac:dyDescent="0.35">
      <c r="F2430"/>
      <c r="G2430"/>
      <c r="I2430"/>
    </row>
    <row r="2431" spans="6:9" x14ac:dyDescent="0.35">
      <c r="F2431"/>
      <c r="G2431"/>
      <c r="I2431"/>
    </row>
    <row r="2432" spans="6:9" x14ac:dyDescent="0.35">
      <c r="F2432"/>
      <c r="G2432"/>
      <c r="I2432"/>
    </row>
    <row r="2433" spans="6:9" x14ac:dyDescent="0.35">
      <c r="F2433"/>
      <c r="G2433"/>
      <c r="I2433"/>
    </row>
    <row r="2434" spans="6:9" x14ac:dyDescent="0.35">
      <c r="F2434"/>
      <c r="G2434"/>
      <c r="I2434"/>
    </row>
    <row r="2435" spans="6:9" x14ac:dyDescent="0.35">
      <c r="F2435"/>
      <c r="G2435"/>
      <c r="I2435"/>
    </row>
    <row r="2436" spans="6:9" x14ac:dyDescent="0.35">
      <c r="F2436"/>
      <c r="G2436"/>
      <c r="I2436"/>
    </row>
    <row r="2437" spans="6:9" x14ac:dyDescent="0.35">
      <c r="F2437"/>
      <c r="G2437"/>
      <c r="I2437"/>
    </row>
    <row r="2438" spans="6:9" x14ac:dyDescent="0.35">
      <c r="F2438"/>
      <c r="G2438"/>
      <c r="I2438"/>
    </row>
    <row r="2439" spans="6:9" x14ac:dyDescent="0.35">
      <c r="F2439"/>
      <c r="G2439"/>
      <c r="I2439"/>
    </row>
    <row r="2440" spans="6:9" x14ac:dyDescent="0.35">
      <c r="F2440"/>
      <c r="G2440"/>
      <c r="I2440"/>
    </row>
    <row r="2441" spans="6:9" x14ac:dyDescent="0.35">
      <c r="F2441"/>
      <c r="G2441"/>
      <c r="I2441"/>
    </row>
    <row r="2442" spans="6:9" x14ac:dyDescent="0.35">
      <c r="F2442"/>
      <c r="G2442"/>
      <c r="I2442"/>
    </row>
    <row r="2443" spans="6:9" x14ac:dyDescent="0.35">
      <c r="F2443"/>
      <c r="G2443"/>
      <c r="I2443"/>
    </row>
    <row r="2444" spans="6:9" x14ac:dyDescent="0.35">
      <c r="F2444"/>
      <c r="G2444"/>
      <c r="I2444"/>
    </row>
    <row r="2445" spans="6:9" x14ac:dyDescent="0.35">
      <c r="F2445"/>
      <c r="G2445"/>
      <c r="I2445"/>
    </row>
    <row r="2446" spans="6:9" x14ac:dyDescent="0.35">
      <c r="F2446"/>
      <c r="G2446"/>
      <c r="I2446"/>
    </row>
    <row r="2447" spans="6:9" x14ac:dyDescent="0.35">
      <c r="F2447"/>
      <c r="G2447"/>
      <c r="I2447"/>
    </row>
    <row r="2448" spans="6:9" x14ac:dyDescent="0.35">
      <c r="F2448"/>
      <c r="G2448"/>
      <c r="I2448"/>
    </row>
    <row r="2449" spans="6:9" x14ac:dyDescent="0.35">
      <c r="F2449"/>
      <c r="G2449"/>
      <c r="I2449"/>
    </row>
    <row r="2450" spans="6:9" x14ac:dyDescent="0.35">
      <c r="F2450"/>
      <c r="G2450"/>
      <c r="I2450"/>
    </row>
    <row r="2451" spans="6:9" x14ac:dyDescent="0.35">
      <c r="F2451"/>
      <c r="G2451"/>
      <c r="I2451"/>
    </row>
    <row r="2452" spans="6:9" x14ac:dyDescent="0.35">
      <c r="F2452"/>
      <c r="G2452"/>
      <c r="I2452"/>
    </row>
    <row r="2453" spans="6:9" x14ac:dyDescent="0.35">
      <c r="F2453"/>
      <c r="G2453"/>
      <c r="I2453"/>
    </row>
    <row r="2454" spans="6:9" x14ac:dyDescent="0.35">
      <c r="F2454"/>
      <c r="G2454"/>
      <c r="I2454"/>
    </row>
    <row r="2455" spans="6:9" x14ac:dyDescent="0.35">
      <c r="F2455"/>
      <c r="G2455"/>
      <c r="I2455"/>
    </row>
    <row r="2456" spans="6:9" x14ac:dyDescent="0.35">
      <c r="F2456"/>
      <c r="G2456"/>
      <c r="I2456"/>
    </row>
    <row r="2457" spans="6:9" x14ac:dyDescent="0.35">
      <c r="F2457"/>
      <c r="G2457"/>
      <c r="I2457"/>
    </row>
    <row r="2458" spans="6:9" x14ac:dyDescent="0.35">
      <c r="F2458"/>
      <c r="G2458"/>
      <c r="I2458"/>
    </row>
    <row r="2459" spans="6:9" x14ac:dyDescent="0.35">
      <c r="F2459"/>
      <c r="G2459"/>
      <c r="I2459"/>
    </row>
    <row r="2460" spans="6:9" x14ac:dyDescent="0.35">
      <c r="F2460"/>
      <c r="G2460"/>
      <c r="I2460"/>
    </row>
    <row r="2461" spans="6:9" x14ac:dyDescent="0.35">
      <c r="F2461"/>
      <c r="G2461"/>
      <c r="I2461"/>
    </row>
    <row r="2462" spans="6:9" x14ac:dyDescent="0.35">
      <c r="F2462"/>
      <c r="G2462"/>
      <c r="I2462"/>
    </row>
    <row r="2463" spans="6:9" x14ac:dyDescent="0.35">
      <c r="F2463"/>
      <c r="G2463"/>
      <c r="I2463"/>
    </row>
    <row r="2464" spans="6:9" x14ac:dyDescent="0.35">
      <c r="F2464"/>
      <c r="G2464"/>
      <c r="I2464"/>
    </row>
    <row r="2465" spans="6:9" x14ac:dyDescent="0.35">
      <c r="F2465"/>
      <c r="G2465"/>
      <c r="I2465"/>
    </row>
    <row r="2466" spans="6:9" x14ac:dyDescent="0.35">
      <c r="F2466"/>
      <c r="G2466"/>
      <c r="I2466"/>
    </row>
    <row r="2467" spans="6:9" x14ac:dyDescent="0.35">
      <c r="F2467"/>
      <c r="G2467"/>
      <c r="I2467"/>
    </row>
    <row r="2468" spans="6:9" x14ac:dyDescent="0.35">
      <c r="F2468"/>
      <c r="G2468"/>
      <c r="I2468"/>
    </row>
    <row r="2469" spans="6:9" x14ac:dyDescent="0.35">
      <c r="F2469"/>
      <c r="G2469"/>
      <c r="I2469"/>
    </row>
    <row r="2470" spans="6:9" x14ac:dyDescent="0.35">
      <c r="F2470"/>
      <c r="G2470"/>
      <c r="I2470"/>
    </row>
    <row r="2471" spans="6:9" x14ac:dyDescent="0.35">
      <c r="F2471"/>
      <c r="G2471"/>
      <c r="I2471"/>
    </row>
    <row r="2472" spans="6:9" x14ac:dyDescent="0.35">
      <c r="F2472"/>
      <c r="G2472"/>
      <c r="I2472"/>
    </row>
    <row r="2473" spans="6:9" x14ac:dyDescent="0.35">
      <c r="F2473"/>
      <c r="G2473"/>
      <c r="I2473"/>
    </row>
    <row r="2474" spans="6:9" x14ac:dyDescent="0.35">
      <c r="F2474"/>
      <c r="G2474"/>
      <c r="I2474"/>
    </row>
    <row r="2475" spans="6:9" x14ac:dyDescent="0.35">
      <c r="F2475"/>
      <c r="G2475"/>
      <c r="I2475"/>
    </row>
    <row r="2476" spans="6:9" x14ac:dyDescent="0.35">
      <c r="F2476"/>
      <c r="G2476"/>
      <c r="I2476"/>
    </row>
    <row r="2477" spans="6:9" x14ac:dyDescent="0.35">
      <c r="F2477"/>
      <c r="G2477"/>
      <c r="I2477"/>
    </row>
    <row r="2478" spans="6:9" x14ac:dyDescent="0.35">
      <c r="F2478"/>
      <c r="G2478"/>
      <c r="I2478"/>
    </row>
    <row r="2479" spans="6:9" x14ac:dyDescent="0.35">
      <c r="F2479"/>
      <c r="G2479"/>
      <c r="I2479"/>
    </row>
    <row r="2480" spans="6:9" x14ac:dyDescent="0.35">
      <c r="F2480"/>
      <c r="G2480"/>
      <c r="I2480"/>
    </row>
    <row r="2481" spans="6:9" x14ac:dyDescent="0.35">
      <c r="F2481"/>
      <c r="G2481"/>
      <c r="I2481"/>
    </row>
    <row r="2482" spans="6:9" x14ac:dyDescent="0.35">
      <c r="F2482"/>
      <c r="G2482"/>
      <c r="I2482"/>
    </row>
    <row r="2483" spans="6:9" x14ac:dyDescent="0.35">
      <c r="F2483"/>
      <c r="G2483"/>
      <c r="I2483"/>
    </row>
    <row r="2484" spans="6:9" x14ac:dyDescent="0.35">
      <c r="F2484"/>
      <c r="G2484"/>
      <c r="I2484"/>
    </row>
    <row r="2485" spans="6:9" x14ac:dyDescent="0.35">
      <c r="F2485"/>
      <c r="G2485"/>
      <c r="I2485"/>
    </row>
    <row r="2486" spans="6:9" x14ac:dyDescent="0.35">
      <c r="F2486"/>
      <c r="G2486"/>
      <c r="I2486"/>
    </row>
    <row r="2487" spans="6:9" x14ac:dyDescent="0.35">
      <c r="F2487"/>
      <c r="G2487"/>
      <c r="I2487"/>
    </row>
    <row r="2488" spans="6:9" x14ac:dyDescent="0.35">
      <c r="F2488"/>
      <c r="G2488"/>
      <c r="I2488"/>
    </row>
    <row r="2489" spans="6:9" x14ac:dyDescent="0.35">
      <c r="F2489"/>
      <c r="G2489"/>
      <c r="I2489"/>
    </row>
    <row r="2490" spans="6:9" x14ac:dyDescent="0.35">
      <c r="F2490"/>
      <c r="G2490"/>
      <c r="I2490"/>
    </row>
    <row r="2491" spans="6:9" x14ac:dyDescent="0.35">
      <c r="F2491"/>
      <c r="G2491"/>
      <c r="I2491"/>
    </row>
    <row r="2492" spans="6:9" x14ac:dyDescent="0.35">
      <c r="F2492"/>
      <c r="G2492"/>
      <c r="I2492"/>
    </row>
    <row r="2493" spans="6:9" x14ac:dyDescent="0.35">
      <c r="F2493"/>
      <c r="G2493"/>
      <c r="I2493"/>
    </row>
    <row r="2494" spans="6:9" x14ac:dyDescent="0.35">
      <c r="F2494"/>
      <c r="G2494"/>
      <c r="I2494"/>
    </row>
    <row r="2495" spans="6:9" x14ac:dyDescent="0.35">
      <c r="F2495"/>
      <c r="G2495"/>
      <c r="I2495"/>
    </row>
    <row r="2496" spans="6:9" x14ac:dyDescent="0.35">
      <c r="F2496"/>
      <c r="G2496"/>
      <c r="I2496"/>
    </row>
    <row r="2497" spans="6:9" x14ac:dyDescent="0.35">
      <c r="F2497"/>
      <c r="G2497"/>
      <c r="I2497"/>
    </row>
    <row r="2498" spans="6:9" x14ac:dyDescent="0.35">
      <c r="F2498"/>
      <c r="G2498"/>
      <c r="I2498"/>
    </row>
    <row r="2499" spans="6:9" x14ac:dyDescent="0.35">
      <c r="F2499"/>
      <c r="G2499"/>
      <c r="I2499"/>
    </row>
    <row r="2500" spans="6:9" x14ac:dyDescent="0.35">
      <c r="F2500"/>
      <c r="G2500"/>
      <c r="I2500"/>
    </row>
    <row r="2501" spans="6:9" x14ac:dyDescent="0.35">
      <c r="F2501"/>
      <c r="G2501"/>
      <c r="I2501"/>
    </row>
    <row r="2502" spans="6:9" x14ac:dyDescent="0.35">
      <c r="F2502"/>
      <c r="G2502"/>
      <c r="I2502"/>
    </row>
    <row r="2503" spans="6:9" x14ac:dyDescent="0.35">
      <c r="F2503"/>
      <c r="G2503"/>
      <c r="I2503"/>
    </row>
    <row r="2504" spans="6:9" x14ac:dyDescent="0.35">
      <c r="F2504"/>
      <c r="G2504"/>
      <c r="I2504"/>
    </row>
    <row r="2505" spans="6:9" x14ac:dyDescent="0.35">
      <c r="F2505"/>
      <c r="G2505"/>
      <c r="I2505"/>
    </row>
    <row r="2506" spans="6:9" x14ac:dyDescent="0.35">
      <c r="F2506"/>
      <c r="G2506"/>
      <c r="I2506"/>
    </row>
    <row r="2507" spans="6:9" x14ac:dyDescent="0.35">
      <c r="F2507"/>
      <c r="G2507"/>
      <c r="I2507"/>
    </row>
    <row r="2508" spans="6:9" x14ac:dyDescent="0.35">
      <c r="F2508"/>
      <c r="G2508"/>
      <c r="I2508"/>
    </row>
    <row r="2509" spans="6:9" x14ac:dyDescent="0.35">
      <c r="F2509"/>
      <c r="G2509"/>
      <c r="I2509"/>
    </row>
    <row r="2510" spans="6:9" x14ac:dyDescent="0.35">
      <c r="F2510"/>
      <c r="G2510"/>
      <c r="I2510"/>
    </row>
    <row r="2511" spans="6:9" x14ac:dyDescent="0.35">
      <c r="F2511"/>
      <c r="G2511"/>
      <c r="I2511"/>
    </row>
    <row r="2512" spans="6:9" x14ac:dyDescent="0.35">
      <c r="F2512"/>
      <c r="G2512"/>
      <c r="I2512"/>
    </row>
    <row r="2513" spans="6:9" x14ac:dyDescent="0.35">
      <c r="F2513"/>
      <c r="G2513"/>
      <c r="I2513"/>
    </row>
    <row r="2514" spans="6:9" x14ac:dyDescent="0.35">
      <c r="F2514"/>
      <c r="G2514"/>
      <c r="I2514"/>
    </row>
    <row r="2515" spans="6:9" x14ac:dyDescent="0.35">
      <c r="F2515"/>
      <c r="G2515"/>
      <c r="I2515"/>
    </row>
    <row r="2516" spans="6:9" x14ac:dyDescent="0.35">
      <c r="F2516"/>
      <c r="G2516"/>
      <c r="I2516"/>
    </row>
    <row r="2517" spans="6:9" x14ac:dyDescent="0.35">
      <c r="F2517"/>
      <c r="G2517"/>
      <c r="I2517"/>
    </row>
    <row r="2518" spans="6:9" x14ac:dyDescent="0.35">
      <c r="F2518"/>
      <c r="G2518"/>
      <c r="I2518"/>
    </row>
    <row r="2519" spans="6:9" x14ac:dyDescent="0.35">
      <c r="F2519"/>
      <c r="G2519"/>
      <c r="I2519"/>
    </row>
    <row r="2520" spans="6:9" x14ac:dyDescent="0.35">
      <c r="F2520"/>
      <c r="G2520"/>
      <c r="I2520"/>
    </row>
    <row r="2521" spans="6:9" x14ac:dyDescent="0.35">
      <c r="F2521"/>
      <c r="G2521"/>
      <c r="I2521"/>
    </row>
    <row r="2522" spans="6:9" x14ac:dyDescent="0.35">
      <c r="F2522"/>
      <c r="G2522"/>
      <c r="I2522"/>
    </row>
    <row r="2523" spans="6:9" x14ac:dyDescent="0.35">
      <c r="F2523"/>
      <c r="G2523"/>
      <c r="I2523"/>
    </row>
    <row r="2524" spans="6:9" x14ac:dyDescent="0.35">
      <c r="F2524"/>
      <c r="G2524"/>
      <c r="I2524"/>
    </row>
    <row r="2525" spans="6:9" x14ac:dyDescent="0.35">
      <c r="F2525"/>
      <c r="G2525"/>
      <c r="I2525"/>
    </row>
    <row r="2526" spans="6:9" x14ac:dyDescent="0.35">
      <c r="F2526"/>
      <c r="G2526"/>
      <c r="I2526"/>
    </row>
    <row r="2527" spans="6:9" x14ac:dyDescent="0.35">
      <c r="F2527"/>
      <c r="G2527"/>
      <c r="I2527"/>
    </row>
    <row r="2528" spans="6:9" x14ac:dyDescent="0.35">
      <c r="F2528"/>
      <c r="G2528"/>
      <c r="I2528"/>
    </row>
    <row r="2529" spans="6:9" x14ac:dyDescent="0.35">
      <c r="F2529"/>
      <c r="G2529"/>
      <c r="I2529"/>
    </row>
    <row r="2530" spans="6:9" x14ac:dyDescent="0.35">
      <c r="F2530"/>
      <c r="G2530"/>
      <c r="I2530"/>
    </row>
    <row r="2531" spans="6:9" x14ac:dyDescent="0.35">
      <c r="F2531"/>
      <c r="G2531"/>
      <c r="I2531"/>
    </row>
    <row r="2532" spans="6:9" x14ac:dyDescent="0.35">
      <c r="F2532"/>
      <c r="G2532"/>
      <c r="I2532"/>
    </row>
    <row r="2533" spans="6:9" x14ac:dyDescent="0.35">
      <c r="F2533"/>
      <c r="G2533"/>
      <c r="I2533"/>
    </row>
    <row r="2534" spans="6:9" x14ac:dyDescent="0.35">
      <c r="F2534"/>
      <c r="G2534"/>
      <c r="I2534"/>
    </row>
    <row r="2535" spans="6:9" x14ac:dyDescent="0.35">
      <c r="F2535"/>
      <c r="G2535"/>
      <c r="I2535"/>
    </row>
    <row r="2536" spans="6:9" x14ac:dyDescent="0.35">
      <c r="F2536"/>
      <c r="G2536"/>
      <c r="I2536"/>
    </row>
    <row r="2537" spans="6:9" x14ac:dyDescent="0.35">
      <c r="F2537"/>
      <c r="G2537"/>
      <c r="I2537"/>
    </row>
    <row r="2538" spans="6:9" x14ac:dyDescent="0.35">
      <c r="F2538"/>
      <c r="G2538"/>
      <c r="I2538"/>
    </row>
    <row r="2539" spans="6:9" x14ac:dyDescent="0.35">
      <c r="F2539"/>
      <c r="G2539"/>
      <c r="I2539"/>
    </row>
    <row r="2540" spans="6:9" x14ac:dyDescent="0.35">
      <c r="F2540"/>
      <c r="G2540"/>
      <c r="I2540"/>
    </row>
    <row r="2541" spans="6:9" x14ac:dyDescent="0.35">
      <c r="F2541"/>
      <c r="G2541"/>
      <c r="I2541"/>
    </row>
    <row r="2542" spans="6:9" x14ac:dyDescent="0.35">
      <c r="F2542"/>
      <c r="G2542"/>
      <c r="I2542"/>
    </row>
    <row r="2543" spans="6:9" x14ac:dyDescent="0.35">
      <c r="F2543"/>
      <c r="G2543"/>
      <c r="I2543"/>
    </row>
    <row r="2544" spans="6:9" x14ac:dyDescent="0.35">
      <c r="F2544"/>
      <c r="G2544"/>
      <c r="I2544"/>
    </row>
    <row r="2545" spans="6:9" x14ac:dyDescent="0.35">
      <c r="F2545"/>
      <c r="G2545"/>
      <c r="I2545"/>
    </row>
    <row r="2546" spans="6:9" x14ac:dyDescent="0.35">
      <c r="F2546"/>
      <c r="G2546"/>
      <c r="I2546"/>
    </row>
    <row r="2547" spans="6:9" x14ac:dyDescent="0.35">
      <c r="F2547"/>
      <c r="G2547"/>
      <c r="I2547"/>
    </row>
    <row r="2548" spans="6:9" x14ac:dyDescent="0.35">
      <c r="F2548"/>
      <c r="G2548"/>
      <c r="I2548"/>
    </row>
    <row r="2549" spans="6:9" x14ac:dyDescent="0.35">
      <c r="F2549"/>
      <c r="G2549"/>
      <c r="I2549"/>
    </row>
    <row r="2550" spans="6:9" x14ac:dyDescent="0.35">
      <c r="F2550"/>
      <c r="G2550"/>
      <c r="I2550"/>
    </row>
    <row r="2551" spans="6:9" x14ac:dyDescent="0.35">
      <c r="F2551"/>
      <c r="G2551"/>
      <c r="I2551"/>
    </row>
    <row r="2552" spans="6:9" x14ac:dyDescent="0.35">
      <c r="F2552"/>
      <c r="G2552"/>
      <c r="I2552"/>
    </row>
    <row r="2553" spans="6:9" x14ac:dyDescent="0.35">
      <c r="F2553"/>
      <c r="G2553"/>
      <c r="I2553"/>
    </row>
    <row r="2554" spans="6:9" x14ac:dyDescent="0.35">
      <c r="F2554"/>
      <c r="G2554"/>
      <c r="I2554"/>
    </row>
    <row r="2555" spans="6:9" x14ac:dyDescent="0.35">
      <c r="F2555"/>
      <c r="G2555"/>
      <c r="I2555"/>
    </row>
    <row r="2556" spans="6:9" x14ac:dyDescent="0.35">
      <c r="F2556"/>
      <c r="G2556"/>
      <c r="I2556"/>
    </row>
    <row r="2557" spans="6:9" x14ac:dyDescent="0.35">
      <c r="F2557"/>
      <c r="G2557"/>
      <c r="I2557"/>
    </row>
    <row r="2558" spans="6:9" x14ac:dyDescent="0.35">
      <c r="F2558"/>
      <c r="G2558"/>
      <c r="I2558"/>
    </row>
    <row r="2559" spans="6:9" x14ac:dyDescent="0.35">
      <c r="F2559"/>
      <c r="G2559"/>
      <c r="I2559"/>
    </row>
    <row r="2560" spans="6:9" x14ac:dyDescent="0.35">
      <c r="F2560"/>
      <c r="G2560"/>
      <c r="I2560"/>
    </row>
    <row r="2561" spans="6:9" x14ac:dyDescent="0.35">
      <c r="F2561"/>
      <c r="G2561"/>
      <c r="I2561"/>
    </row>
    <row r="2562" spans="6:9" x14ac:dyDescent="0.35">
      <c r="F2562"/>
      <c r="G2562"/>
      <c r="I2562"/>
    </row>
    <row r="2563" spans="6:9" x14ac:dyDescent="0.35">
      <c r="F2563"/>
      <c r="G2563"/>
      <c r="I2563"/>
    </row>
    <row r="2564" spans="6:9" x14ac:dyDescent="0.35">
      <c r="F2564"/>
      <c r="G2564"/>
      <c r="I2564"/>
    </row>
    <row r="2565" spans="6:9" x14ac:dyDescent="0.35">
      <c r="F2565"/>
      <c r="G2565"/>
      <c r="I2565"/>
    </row>
    <row r="2566" spans="6:9" x14ac:dyDescent="0.35">
      <c r="F2566"/>
      <c r="G2566"/>
      <c r="I2566"/>
    </row>
    <row r="2567" spans="6:9" x14ac:dyDescent="0.35">
      <c r="F2567"/>
      <c r="G2567"/>
      <c r="I2567"/>
    </row>
    <row r="2568" spans="6:9" x14ac:dyDescent="0.35">
      <c r="F2568"/>
      <c r="G2568"/>
      <c r="I2568"/>
    </row>
    <row r="2569" spans="6:9" x14ac:dyDescent="0.35">
      <c r="F2569"/>
      <c r="G2569"/>
      <c r="I2569"/>
    </row>
    <row r="2570" spans="6:9" x14ac:dyDescent="0.35">
      <c r="F2570"/>
      <c r="G2570"/>
      <c r="I2570"/>
    </row>
    <row r="2571" spans="6:9" x14ac:dyDescent="0.35">
      <c r="F2571"/>
      <c r="G2571"/>
      <c r="I2571"/>
    </row>
    <row r="2572" spans="6:9" x14ac:dyDescent="0.35">
      <c r="F2572"/>
      <c r="G2572"/>
      <c r="I2572"/>
    </row>
    <row r="2573" spans="6:9" x14ac:dyDescent="0.35">
      <c r="F2573"/>
      <c r="G2573"/>
      <c r="I2573"/>
    </row>
    <row r="2574" spans="6:9" x14ac:dyDescent="0.35">
      <c r="F2574"/>
      <c r="G2574"/>
      <c r="I2574"/>
    </row>
    <row r="2575" spans="6:9" x14ac:dyDescent="0.35">
      <c r="F2575"/>
      <c r="G2575"/>
      <c r="I2575"/>
    </row>
    <row r="2576" spans="6:9" x14ac:dyDescent="0.35">
      <c r="F2576"/>
      <c r="G2576"/>
      <c r="I2576"/>
    </row>
    <row r="2577" spans="6:9" x14ac:dyDescent="0.35">
      <c r="F2577"/>
      <c r="G2577"/>
      <c r="I2577"/>
    </row>
    <row r="2578" spans="6:9" x14ac:dyDescent="0.35">
      <c r="F2578"/>
      <c r="G2578"/>
      <c r="I2578"/>
    </row>
    <row r="2579" spans="6:9" x14ac:dyDescent="0.35">
      <c r="F2579"/>
      <c r="G2579"/>
      <c r="I2579"/>
    </row>
    <row r="2580" spans="6:9" x14ac:dyDescent="0.35">
      <c r="F2580"/>
      <c r="G2580"/>
      <c r="I2580"/>
    </row>
    <row r="2581" spans="6:9" x14ac:dyDescent="0.35">
      <c r="F2581"/>
      <c r="G2581"/>
      <c r="I2581"/>
    </row>
    <row r="2582" spans="6:9" x14ac:dyDescent="0.35">
      <c r="F2582"/>
      <c r="G2582"/>
      <c r="I2582"/>
    </row>
    <row r="2583" spans="6:9" x14ac:dyDescent="0.35">
      <c r="F2583"/>
      <c r="G2583"/>
      <c r="I2583"/>
    </row>
    <row r="2584" spans="6:9" x14ac:dyDescent="0.35">
      <c r="F2584"/>
      <c r="G2584"/>
      <c r="I2584"/>
    </row>
    <row r="2585" spans="6:9" x14ac:dyDescent="0.35">
      <c r="F2585"/>
      <c r="G2585"/>
      <c r="I2585"/>
    </row>
    <row r="2586" spans="6:9" x14ac:dyDescent="0.35">
      <c r="F2586"/>
      <c r="G2586"/>
      <c r="I2586"/>
    </row>
    <row r="2587" spans="6:9" x14ac:dyDescent="0.35">
      <c r="F2587"/>
      <c r="G2587"/>
      <c r="I2587"/>
    </row>
    <row r="2588" spans="6:9" x14ac:dyDescent="0.35">
      <c r="F2588"/>
      <c r="G2588"/>
      <c r="I2588"/>
    </row>
    <row r="2589" spans="6:9" x14ac:dyDescent="0.35">
      <c r="F2589"/>
      <c r="G2589"/>
      <c r="I2589"/>
    </row>
    <row r="2590" spans="6:9" x14ac:dyDescent="0.35">
      <c r="F2590"/>
      <c r="G2590"/>
      <c r="I2590"/>
    </row>
    <row r="2591" spans="6:9" x14ac:dyDescent="0.35">
      <c r="F2591"/>
      <c r="G2591"/>
      <c r="I2591"/>
    </row>
    <row r="2592" spans="6:9" x14ac:dyDescent="0.35">
      <c r="F2592"/>
      <c r="G2592"/>
      <c r="I2592"/>
    </row>
    <row r="2593" spans="6:9" x14ac:dyDescent="0.35">
      <c r="F2593"/>
      <c r="G2593"/>
      <c r="I2593"/>
    </row>
    <row r="2594" spans="6:9" x14ac:dyDescent="0.35">
      <c r="F2594"/>
      <c r="G2594"/>
      <c r="I2594"/>
    </row>
    <row r="2595" spans="6:9" x14ac:dyDescent="0.35">
      <c r="F2595"/>
      <c r="G2595"/>
      <c r="I2595"/>
    </row>
    <row r="2596" spans="6:9" x14ac:dyDescent="0.35">
      <c r="F2596"/>
      <c r="G2596"/>
      <c r="I2596"/>
    </row>
    <row r="2597" spans="6:9" x14ac:dyDescent="0.35">
      <c r="F2597"/>
      <c r="G2597"/>
      <c r="I2597"/>
    </row>
    <row r="2598" spans="6:9" x14ac:dyDescent="0.35">
      <c r="F2598"/>
      <c r="G2598"/>
      <c r="I2598"/>
    </row>
    <row r="2599" spans="6:9" x14ac:dyDescent="0.35">
      <c r="F2599"/>
      <c r="G2599"/>
      <c r="I2599"/>
    </row>
    <row r="2600" spans="6:9" x14ac:dyDescent="0.35">
      <c r="F2600"/>
      <c r="G2600"/>
      <c r="I2600"/>
    </row>
    <row r="2601" spans="6:9" x14ac:dyDescent="0.35">
      <c r="F2601"/>
      <c r="G2601"/>
      <c r="I2601"/>
    </row>
    <row r="2602" spans="6:9" x14ac:dyDescent="0.35">
      <c r="F2602"/>
      <c r="G2602"/>
      <c r="I2602"/>
    </row>
    <row r="2603" spans="6:9" x14ac:dyDescent="0.35">
      <c r="F2603"/>
      <c r="G2603"/>
      <c r="I2603"/>
    </row>
    <row r="2604" spans="6:9" x14ac:dyDescent="0.35">
      <c r="F2604"/>
      <c r="G2604"/>
      <c r="I2604"/>
    </row>
    <row r="2605" spans="6:9" x14ac:dyDescent="0.35">
      <c r="F2605"/>
      <c r="G2605"/>
      <c r="I2605"/>
    </row>
    <row r="2606" spans="6:9" x14ac:dyDescent="0.35">
      <c r="F2606"/>
      <c r="G2606"/>
      <c r="I2606"/>
    </row>
    <row r="2607" spans="6:9" x14ac:dyDescent="0.35">
      <c r="F2607"/>
      <c r="G2607"/>
      <c r="I2607"/>
    </row>
    <row r="2608" spans="6:9" x14ac:dyDescent="0.35">
      <c r="F2608"/>
      <c r="G2608"/>
      <c r="I2608"/>
    </row>
    <row r="2609" spans="6:9" x14ac:dyDescent="0.35">
      <c r="F2609"/>
      <c r="G2609"/>
      <c r="I2609"/>
    </row>
    <row r="2610" spans="6:9" x14ac:dyDescent="0.35">
      <c r="F2610"/>
      <c r="G2610"/>
      <c r="I2610"/>
    </row>
    <row r="2611" spans="6:9" x14ac:dyDescent="0.35">
      <c r="F2611"/>
      <c r="G2611"/>
      <c r="I2611"/>
    </row>
    <row r="2612" spans="6:9" x14ac:dyDescent="0.35">
      <c r="F2612"/>
      <c r="G2612"/>
      <c r="I2612"/>
    </row>
    <row r="2613" spans="6:9" x14ac:dyDescent="0.35">
      <c r="F2613"/>
      <c r="G2613"/>
      <c r="I2613"/>
    </row>
    <row r="2614" spans="6:9" x14ac:dyDescent="0.35">
      <c r="F2614"/>
      <c r="G2614"/>
      <c r="I2614"/>
    </row>
    <row r="2615" spans="6:9" x14ac:dyDescent="0.35">
      <c r="F2615"/>
      <c r="G2615"/>
      <c r="I2615"/>
    </row>
    <row r="2616" spans="6:9" x14ac:dyDescent="0.35">
      <c r="F2616"/>
      <c r="G2616"/>
      <c r="I2616"/>
    </row>
    <row r="2617" spans="6:9" x14ac:dyDescent="0.35">
      <c r="F2617"/>
      <c r="G2617"/>
      <c r="I2617"/>
    </row>
    <row r="2618" spans="6:9" x14ac:dyDescent="0.35">
      <c r="F2618"/>
      <c r="G2618"/>
      <c r="I2618"/>
    </row>
    <row r="2619" spans="6:9" x14ac:dyDescent="0.35">
      <c r="F2619"/>
      <c r="G2619"/>
      <c r="I2619"/>
    </row>
    <row r="2620" spans="6:9" x14ac:dyDescent="0.35">
      <c r="F2620"/>
      <c r="G2620"/>
      <c r="I2620"/>
    </row>
    <row r="2621" spans="6:9" x14ac:dyDescent="0.35">
      <c r="F2621"/>
      <c r="G2621"/>
      <c r="I2621"/>
    </row>
    <row r="2622" spans="6:9" x14ac:dyDescent="0.35">
      <c r="F2622"/>
      <c r="G2622"/>
      <c r="I2622"/>
    </row>
    <row r="2623" spans="6:9" x14ac:dyDescent="0.35">
      <c r="F2623"/>
      <c r="G2623"/>
      <c r="I2623"/>
    </row>
    <row r="2624" spans="6:9" x14ac:dyDescent="0.35">
      <c r="F2624"/>
      <c r="G2624"/>
      <c r="I2624"/>
    </row>
    <row r="2625" spans="6:9" x14ac:dyDescent="0.35">
      <c r="F2625"/>
      <c r="G2625"/>
      <c r="I2625"/>
    </row>
    <row r="2626" spans="6:9" x14ac:dyDescent="0.35">
      <c r="F2626"/>
      <c r="G2626"/>
      <c r="I2626"/>
    </row>
    <row r="2627" spans="6:9" x14ac:dyDescent="0.35">
      <c r="F2627"/>
      <c r="G2627"/>
      <c r="I2627"/>
    </row>
    <row r="2628" spans="6:9" x14ac:dyDescent="0.35">
      <c r="F2628"/>
      <c r="G2628"/>
      <c r="I2628"/>
    </row>
    <row r="2629" spans="6:9" x14ac:dyDescent="0.35">
      <c r="F2629"/>
      <c r="G2629"/>
      <c r="I2629"/>
    </row>
    <row r="2630" spans="6:9" x14ac:dyDescent="0.35">
      <c r="F2630"/>
      <c r="G2630"/>
      <c r="I2630"/>
    </row>
    <row r="2631" spans="6:9" x14ac:dyDescent="0.35">
      <c r="F2631"/>
      <c r="G2631"/>
      <c r="I2631"/>
    </row>
    <row r="2632" spans="6:9" x14ac:dyDescent="0.35">
      <c r="F2632"/>
      <c r="G2632"/>
      <c r="I2632"/>
    </row>
    <row r="2633" spans="6:9" x14ac:dyDescent="0.35">
      <c r="F2633"/>
      <c r="G2633"/>
      <c r="I2633"/>
    </row>
    <row r="2634" spans="6:9" x14ac:dyDescent="0.35">
      <c r="F2634"/>
      <c r="G2634"/>
      <c r="I2634"/>
    </row>
    <row r="2635" spans="6:9" x14ac:dyDescent="0.35">
      <c r="F2635"/>
      <c r="G2635"/>
      <c r="I2635"/>
    </row>
    <row r="2636" spans="6:9" x14ac:dyDescent="0.35">
      <c r="F2636"/>
      <c r="G2636"/>
      <c r="I2636"/>
    </row>
    <row r="2637" spans="6:9" x14ac:dyDescent="0.35">
      <c r="F2637"/>
      <c r="G2637"/>
      <c r="I2637"/>
    </row>
    <row r="2638" spans="6:9" x14ac:dyDescent="0.35">
      <c r="F2638"/>
      <c r="G2638"/>
      <c r="I2638"/>
    </row>
    <row r="2639" spans="6:9" x14ac:dyDescent="0.35">
      <c r="F2639"/>
      <c r="G2639"/>
      <c r="I2639"/>
    </row>
    <row r="2640" spans="6:9" x14ac:dyDescent="0.35">
      <c r="F2640"/>
      <c r="G2640"/>
      <c r="I2640"/>
    </row>
    <row r="2641" spans="6:9" x14ac:dyDescent="0.35">
      <c r="F2641"/>
      <c r="G2641"/>
      <c r="I2641"/>
    </row>
    <row r="2642" spans="6:9" x14ac:dyDescent="0.35">
      <c r="F2642"/>
      <c r="G2642"/>
      <c r="I2642"/>
    </row>
    <row r="2643" spans="6:9" x14ac:dyDescent="0.35">
      <c r="F2643"/>
      <c r="G2643"/>
      <c r="I2643"/>
    </row>
    <row r="2644" spans="6:9" x14ac:dyDescent="0.35">
      <c r="F2644"/>
      <c r="G2644"/>
      <c r="I2644"/>
    </row>
    <row r="2645" spans="6:9" x14ac:dyDescent="0.35">
      <c r="F2645"/>
      <c r="G2645"/>
      <c r="I2645"/>
    </row>
    <row r="2646" spans="6:9" x14ac:dyDescent="0.35">
      <c r="F2646"/>
      <c r="G2646"/>
      <c r="I2646"/>
    </row>
    <row r="2647" spans="6:9" x14ac:dyDescent="0.35">
      <c r="F2647"/>
      <c r="G2647"/>
      <c r="I2647"/>
    </row>
    <row r="2648" spans="6:9" x14ac:dyDescent="0.35">
      <c r="F2648"/>
      <c r="G2648"/>
      <c r="I2648"/>
    </row>
    <row r="2649" spans="6:9" x14ac:dyDescent="0.35">
      <c r="F2649"/>
      <c r="G2649"/>
      <c r="I2649"/>
    </row>
    <row r="2650" spans="6:9" x14ac:dyDescent="0.35">
      <c r="F2650"/>
      <c r="G2650"/>
      <c r="I2650"/>
    </row>
    <row r="2651" spans="6:9" x14ac:dyDescent="0.35">
      <c r="F2651"/>
      <c r="G2651"/>
      <c r="I2651"/>
    </row>
    <row r="2652" spans="6:9" x14ac:dyDescent="0.35">
      <c r="F2652"/>
      <c r="G2652"/>
      <c r="I2652"/>
    </row>
    <row r="2653" spans="6:9" x14ac:dyDescent="0.35">
      <c r="F2653"/>
      <c r="G2653"/>
      <c r="I2653"/>
    </row>
    <row r="2654" spans="6:9" x14ac:dyDescent="0.35">
      <c r="F2654"/>
      <c r="G2654"/>
      <c r="I2654"/>
    </row>
    <row r="2655" spans="6:9" x14ac:dyDescent="0.35">
      <c r="F2655"/>
      <c r="G2655"/>
      <c r="I2655"/>
    </row>
    <row r="2656" spans="6:9" x14ac:dyDescent="0.35">
      <c r="F2656"/>
      <c r="G2656"/>
      <c r="I2656"/>
    </row>
    <row r="2657" spans="6:9" x14ac:dyDescent="0.35">
      <c r="F2657"/>
      <c r="G2657"/>
      <c r="I2657"/>
    </row>
    <row r="2658" spans="6:9" x14ac:dyDescent="0.35">
      <c r="F2658"/>
      <c r="G2658"/>
      <c r="I2658"/>
    </row>
    <row r="2659" spans="6:9" x14ac:dyDescent="0.35">
      <c r="F2659"/>
      <c r="G2659"/>
      <c r="I2659"/>
    </row>
    <row r="2660" spans="6:9" x14ac:dyDescent="0.35">
      <c r="F2660"/>
      <c r="G2660"/>
      <c r="I2660"/>
    </row>
    <row r="2661" spans="6:9" x14ac:dyDescent="0.35">
      <c r="F2661"/>
      <c r="G2661"/>
      <c r="I2661"/>
    </row>
    <row r="2662" spans="6:9" x14ac:dyDescent="0.35">
      <c r="F2662"/>
      <c r="G2662"/>
      <c r="I2662"/>
    </row>
    <row r="2663" spans="6:9" x14ac:dyDescent="0.35">
      <c r="F2663"/>
      <c r="G2663"/>
      <c r="I2663"/>
    </row>
    <row r="2664" spans="6:9" x14ac:dyDescent="0.35">
      <c r="F2664"/>
      <c r="G2664"/>
      <c r="I2664"/>
    </row>
    <row r="2665" spans="6:9" x14ac:dyDescent="0.35">
      <c r="F2665"/>
      <c r="G2665"/>
      <c r="I2665"/>
    </row>
    <row r="2666" spans="6:9" x14ac:dyDescent="0.35">
      <c r="F2666"/>
      <c r="G2666"/>
      <c r="I2666"/>
    </row>
    <row r="2667" spans="6:9" x14ac:dyDescent="0.35">
      <c r="F2667"/>
      <c r="G2667"/>
      <c r="I2667"/>
    </row>
    <row r="2668" spans="6:9" x14ac:dyDescent="0.35">
      <c r="F2668"/>
      <c r="G2668"/>
      <c r="I2668"/>
    </row>
    <row r="2669" spans="6:9" x14ac:dyDescent="0.35">
      <c r="F2669"/>
      <c r="G2669"/>
      <c r="I2669"/>
    </row>
    <row r="2670" spans="6:9" x14ac:dyDescent="0.35">
      <c r="F2670"/>
      <c r="G2670"/>
      <c r="I2670"/>
    </row>
    <row r="2671" spans="6:9" x14ac:dyDescent="0.35">
      <c r="F2671"/>
      <c r="G2671"/>
      <c r="I2671"/>
    </row>
    <row r="2672" spans="6:9" x14ac:dyDescent="0.35">
      <c r="F2672"/>
      <c r="G2672"/>
      <c r="I2672"/>
    </row>
    <row r="2673" spans="6:9" x14ac:dyDescent="0.35">
      <c r="F2673"/>
      <c r="G2673"/>
      <c r="I2673"/>
    </row>
    <row r="2674" spans="6:9" x14ac:dyDescent="0.35">
      <c r="F2674"/>
      <c r="G2674"/>
      <c r="I2674"/>
    </row>
    <row r="2675" spans="6:9" x14ac:dyDescent="0.35">
      <c r="F2675"/>
      <c r="G2675"/>
      <c r="I2675"/>
    </row>
    <row r="2676" spans="6:9" x14ac:dyDescent="0.35">
      <c r="F2676"/>
      <c r="G2676"/>
      <c r="I2676"/>
    </row>
    <row r="2677" spans="6:9" x14ac:dyDescent="0.35">
      <c r="F2677"/>
      <c r="G2677"/>
      <c r="I2677"/>
    </row>
    <row r="2678" spans="6:9" x14ac:dyDescent="0.35">
      <c r="F2678"/>
      <c r="G2678"/>
      <c r="I2678"/>
    </row>
    <row r="2679" spans="6:9" x14ac:dyDescent="0.35">
      <c r="F2679"/>
      <c r="G2679"/>
      <c r="I2679"/>
    </row>
    <row r="2680" spans="6:9" x14ac:dyDescent="0.35">
      <c r="F2680"/>
      <c r="G2680"/>
      <c r="I2680"/>
    </row>
    <row r="2681" spans="6:9" x14ac:dyDescent="0.35">
      <c r="F2681"/>
      <c r="G2681"/>
      <c r="I2681"/>
    </row>
    <row r="2682" spans="6:9" x14ac:dyDescent="0.35">
      <c r="F2682"/>
      <c r="G2682"/>
      <c r="I2682"/>
    </row>
    <row r="2683" spans="6:9" x14ac:dyDescent="0.35">
      <c r="F2683"/>
      <c r="G2683"/>
      <c r="I2683"/>
    </row>
    <row r="2684" spans="6:9" x14ac:dyDescent="0.35">
      <c r="F2684"/>
      <c r="G2684"/>
      <c r="I2684"/>
    </row>
    <row r="2685" spans="6:9" x14ac:dyDescent="0.35">
      <c r="F2685"/>
      <c r="G2685"/>
      <c r="I2685"/>
    </row>
    <row r="2686" spans="6:9" x14ac:dyDescent="0.35">
      <c r="F2686"/>
      <c r="G2686"/>
      <c r="I2686"/>
    </row>
    <row r="2687" spans="6:9" x14ac:dyDescent="0.35">
      <c r="F2687"/>
      <c r="G2687"/>
      <c r="I2687"/>
    </row>
    <row r="2688" spans="6:9" x14ac:dyDescent="0.35">
      <c r="F2688"/>
      <c r="G2688"/>
      <c r="I2688"/>
    </row>
    <row r="2689" spans="6:9" x14ac:dyDescent="0.35">
      <c r="F2689"/>
      <c r="G2689"/>
      <c r="I2689"/>
    </row>
    <row r="2690" spans="6:9" x14ac:dyDescent="0.35">
      <c r="F2690"/>
      <c r="G2690"/>
      <c r="I2690"/>
    </row>
    <row r="2691" spans="6:9" x14ac:dyDescent="0.35">
      <c r="F2691"/>
      <c r="G2691"/>
      <c r="I2691"/>
    </row>
    <row r="2692" spans="6:9" x14ac:dyDescent="0.35">
      <c r="F2692"/>
      <c r="G2692"/>
      <c r="I2692"/>
    </row>
    <row r="2693" spans="6:9" x14ac:dyDescent="0.35">
      <c r="F2693"/>
      <c r="G2693"/>
      <c r="I2693"/>
    </row>
    <row r="2694" spans="6:9" x14ac:dyDescent="0.35">
      <c r="F2694"/>
      <c r="G2694"/>
      <c r="I2694"/>
    </row>
    <row r="2695" spans="6:9" x14ac:dyDescent="0.35">
      <c r="F2695"/>
      <c r="G2695"/>
      <c r="I2695"/>
    </row>
    <row r="2696" spans="6:9" x14ac:dyDescent="0.35">
      <c r="F2696"/>
      <c r="G2696"/>
      <c r="I2696"/>
    </row>
    <row r="2697" spans="6:9" x14ac:dyDescent="0.35">
      <c r="F2697"/>
      <c r="G2697"/>
      <c r="I2697"/>
    </row>
    <row r="2698" spans="6:9" x14ac:dyDescent="0.35">
      <c r="F2698"/>
      <c r="G2698"/>
      <c r="I2698"/>
    </row>
    <row r="2699" spans="6:9" x14ac:dyDescent="0.35">
      <c r="F2699"/>
      <c r="G2699"/>
      <c r="I2699"/>
    </row>
    <row r="2700" spans="6:9" x14ac:dyDescent="0.35">
      <c r="F2700"/>
      <c r="G2700"/>
      <c r="I2700"/>
    </row>
    <row r="2701" spans="6:9" x14ac:dyDescent="0.35">
      <c r="F2701"/>
      <c r="G2701"/>
      <c r="I2701"/>
    </row>
    <row r="2702" spans="6:9" x14ac:dyDescent="0.35">
      <c r="F2702"/>
      <c r="G2702"/>
      <c r="I2702"/>
    </row>
    <row r="2703" spans="6:9" x14ac:dyDescent="0.35">
      <c r="F2703"/>
      <c r="G2703"/>
      <c r="I2703"/>
    </row>
    <row r="2704" spans="6:9" x14ac:dyDescent="0.35">
      <c r="F2704"/>
      <c r="G2704"/>
      <c r="I2704"/>
    </row>
    <row r="2705" spans="6:9" x14ac:dyDescent="0.35">
      <c r="F2705"/>
      <c r="G2705"/>
      <c r="I2705"/>
    </row>
    <row r="2706" spans="6:9" x14ac:dyDescent="0.35">
      <c r="F2706"/>
      <c r="G2706"/>
      <c r="I2706"/>
    </row>
    <row r="2707" spans="6:9" x14ac:dyDescent="0.35">
      <c r="F2707"/>
      <c r="G2707"/>
      <c r="I2707"/>
    </row>
    <row r="2708" spans="6:9" x14ac:dyDescent="0.35">
      <c r="F2708"/>
      <c r="G2708"/>
      <c r="I2708"/>
    </row>
    <row r="2709" spans="6:9" x14ac:dyDescent="0.35">
      <c r="F2709"/>
      <c r="G2709"/>
      <c r="I2709"/>
    </row>
    <row r="2710" spans="6:9" x14ac:dyDescent="0.35">
      <c r="F2710"/>
      <c r="G2710"/>
      <c r="I2710"/>
    </row>
    <row r="2711" spans="6:9" x14ac:dyDescent="0.35">
      <c r="F2711"/>
      <c r="G2711"/>
      <c r="I2711"/>
    </row>
    <row r="2712" spans="6:9" x14ac:dyDescent="0.35">
      <c r="F2712"/>
      <c r="G2712"/>
      <c r="I2712"/>
    </row>
    <row r="2713" spans="6:9" x14ac:dyDescent="0.35">
      <c r="F2713"/>
      <c r="G2713"/>
      <c r="I2713"/>
    </row>
    <row r="2714" spans="6:9" x14ac:dyDescent="0.35">
      <c r="F2714"/>
      <c r="G2714"/>
      <c r="I2714"/>
    </row>
    <row r="2715" spans="6:9" x14ac:dyDescent="0.35">
      <c r="F2715"/>
      <c r="G2715"/>
      <c r="I2715"/>
    </row>
    <row r="2716" spans="6:9" x14ac:dyDescent="0.35">
      <c r="F2716"/>
      <c r="G2716"/>
      <c r="I2716"/>
    </row>
    <row r="2717" spans="6:9" x14ac:dyDescent="0.35">
      <c r="F2717"/>
      <c r="G2717"/>
      <c r="I2717"/>
    </row>
    <row r="2718" spans="6:9" x14ac:dyDescent="0.35">
      <c r="F2718"/>
      <c r="G2718"/>
      <c r="I2718"/>
    </row>
    <row r="2719" spans="6:9" x14ac:dyDescent="0.35">
      <c r="F2719"/>
      <c r="G2719"/>
      <c r="I2719"/>
    </row>
    <row r="2720" spans="6:9" x14ac:dyDescent="0.35">
      <c r="F2720"/>
      <c r="G2720"/>
      <c r="I2720"/>
    </row>
    <row r="2721" spans="6:9" x14ac:dyDescent="0.35">
      <c r="F2721"/>
      <c r="G2721"/>
      <c r="I2721"/>
    </row>
    <row r="2722" spans="6:9" x14ac:dyDescent="0.35">
      <c r="F2722"/>
      <c r="G2722"/>
      <c r="I2722"/>
    </row>
    <row r="2723" spans="6:9" x14ac:dyDescent="0.35">
      <c r="F2723"/>
      <c r="G2723"/>
      <c r="I2723"/>
    </row>
    <row r="2724" spans="6:9" x14ac:dyDescent="0.35">
      <c r="F2724"/>
      <c r="G2724"/>
      <c r="I2724"/>
    </row>
    <row r="2725" spans="6:9" x14ac:dyDescent="0.35">
      <c r="F2725"/>
      <c r="G2725"/>
      <c r="I2725"/>
    </row>
    <row r="2726" spans="6:9" x14ac:dyDescent="0.35">
      <c r="F2726"/>
      <c r="G2726"/>
      <c r="I2726"/>
    </row>
    <row r="2727" spans="6:9" x14ac:dyDescent="0.35">
      <c r="F2727"/>
      <c r="G2727"/>
      <c r="I2727"/>
    </row>
    <row r="2728" spans="6:9" x14ac:dyDescent="0.35">
      <c r="F2728"/>
      <c r="G2728"/>
      <c r="I2728"/>
    </row>
    <row r="2729" spans="6:9" x14ac:dyDescent="0.35">
      <c r="F2729"/>
      <c r="G2729"/>
      <c r="I2729"/>
    </row>
    <row r="2730" spans="6:9" x14ac:dyDescent="0.35">
      <c r="F2730"/>
      <c r="G2730"/>
      <c r="I2730"/>
    </row>
    <row r="2731" spans="6:9" x14ac:dyDescent="0.35">
      <c r="F2731"/>
      <c r="G2731"/>
      <c r="I2731"/>
    </row>
    <row r="2732" spans="6:9" x14ac:dyDescent="0.35">
      <c r="F2732"/>
      <c r="G2732"/>
      <c r="I2732"/>
    </row>
    <row r="2733" spans="6:9" x14ac:dyDescent="0.35">
      <c r="F2733"/>
      <c r="G2733"/>
      <c r="I2733"/>
    </row>
    <row r="2734" spans="6:9" x14ac:dyDescent="0.35">
      <c r="F2734"/>
      <c r="G2734"/>
      <c r="I2734"/>
    </row>
    <row r="2735" spans="6:9" x14ac:dyDescent="0.35">
      <c r="F2735"/>
      <c r="G2735"/>
      <c r="I2735"/>
    </row>
    <row r="2736" spans="6:9" x14ac:dyDescent="0.35">
      <c r="F2736"/>
      <c r="G2736"/>
      <c r="I2736"/>
    </row>
    <row r="2737" spans="6:9" x14ac:dyDescent="0.35">
      <c r="F2737"/>
      <c r="G2737"/>
      <c r="I2737"/>
    </row>
    <row r="2738" spans="6:9" x14ac:dyDescent="0.35">
      <c r="F2738"/>
      <c r="G2738"/>
      <c r="I2738"/>
    </row>
    <row r="2739" spans="6:9" x14ac:dyDescent="0.35">
      <c r="F2739"/>
      <c r="G2739"/>
      <c r="I2739"/>
    </row>
    <row r="2740" spans="6:9" x14ac:dyDescent="0.35">
      <c r="F2740"/>
      <c r="G2740"/>
      <c r="I2740"/>
    </row>
    <row r="2741" spans="6:9" x14ac:dyDescent="0.35">
      <c r="F2741"/>
      <c r="G2741"/>
      <c r="I2741"/>
    </row>
    <row r="2742" spans="6:9" x14ac:dyDescent="0.35">
      <c r="F2742"/>
      <c r="G2742"/>
      <c r="I2742"/>
    </row>
    <row r="2743" spans="6:9" x14ac:dyDescent="0.35">
      <c r="F2743"/>
      <c r="G2743"/>
      <c r="I2743"/>
    </row>
    <row r="2744" spans="6:9" x14ac:dyDescent="0.35">
      <c r="F2744"/>
      <c r="G2744"/>
      <c r="I2744"/>
    </row>
    <row r="2745" spans="6:9" x14ac:dyDescent="0.35">
      <c r="F2745"/>
      <c r="G2745"/>
      <c r="I2745"/>
    </row>
    <row r="2746" spans="6:9" x14ac:dyDescent="0.35">
      <c r="F2746"/>
      <c r="G2746"/>
      <c r="I2746"/>
    </row>
    <row r="2747" spans="6:9" x14ac:dyDescent="0.35">
      <c r="F2747"/>
      <c r="G2747"/>
      <c r="I2747"/>
    </row>
    <row r="2748" spans="6:9" x14ac:dyDescent="0.35">
      <c r="F2748"/>
      <c r="G2748"/>
      <c r="I2748"/>
    </row>
    <row r="2749" spans="6:9" x14ac:dyDescent="0.35">
      <c r="F2749"/>
      <c r="G2749"/>
      <c r="I2749"/>
    </row>
    <row r="2750" spans="6:9" x14ac:dyDescent="0.35">
      <c r="F2750"/>
      <c r="G2750"/>
      <c r="I2750"/>
    </row>
    <row r="2751" spans="6:9" x14ac:dyDescent="0.35">
      <c r="F2751"/>
      <c r="G2751"/>
      <c r="I2751"/>
    </row>
    <row r="2752" spans="6:9" x14ac:dyDescent="0.35">
      <c r="F2752"/>
      <c r="G2752"/>
      <c r="I2752"/>
    </row>
    <row r="2753" spans="6:9" x14ac:dyDescent="0.35">
      <c r="F2753"/>
      <c r="G2753"/>
      <c r="I2753"/>
    </row>
    <row r="2754" spans="6:9" x14ac:dyDescent="0.35">
      <c r="F2754"/>
      <c r="G2754"/>
      <c r="I2754"/>
    </row>
    <row r="2755" spans="6:9" x14ac:dyDescent="0.35">
      <c r="F2755"/>
      <c r="G2755"/>
      <c r="I2755"/>
    </row>
    <row r="2756" spans="6:9" x14ac:dyDescent="0.35">
      <c r="F2756"/>
      <c r="G2756"/>
      <c r="I2756"/>
    </row>
    <row r="2757" spans="6:9" x14ac:dyDescent="0.35">
      <c r="F2757"/>
      <c r="G2757"/>
      <c r="I2757"/>
    </row>
    <row r="2758" spans="6:9" x14ac:dyDescent="0.35">
      <c r="F2758"/>
      <c r="G2758"/>
      <c r="I2758"/>
    </row>
    <row r="2759" spans="6:9" x14ac:dyDescent="0.35">
      <c r="F2759"/>
      <c r="G2759"/>
      <c r="I2759"/>
    </row>
    <row r="2760" spans="6:9" x14ac:dyDescent="0.35">
      <c r="F2760"/>
      <c r="G2760"/>
      <c r="I2760"/>
    </row>
    <row r="2761" spans="6:9" x14ac:dyDescent="0.35">
      <c r="F2761"/>
      <c r="G2761"/>
      <c r="I2761"/>
    </row>
    <row r="2762" spans="6:9" x14ac:dyDescent="0.35">
      <c r="F2762"/>
      <c r="G2762"/>
      <c r="I2762"/>
    </row>
    <row r="2763" spans="6:9" x14ac:dyDescent="0.35">
      <c r="F2763"/>
      <c r="G2763"/>
      <c r="I2763"/>
    </row>
    <row r="2764" spans="6:9" x14ac:dyDescent="0.35">
      <c r="F2764"/>
      <c r="G2764"/>
      <c r="I2764"/>
    </row>
    <row r="2765" spans="6:9" x14ac:dyDescent="0.35">
      <c r="F2765"/>
      <c r="G2765"/>
      <c r="I2765"/>
    </row>
    <row r="2766" spans="6:9" x14ac:dyDescent="0.35">
      <c r="F2766"/>
      <c r="G2766"/>
      <c r="I2766"/>
    </row>
    <row r="2767" spans="6:9" x14ac:dyDescent="0.35">
      <c r="F2767"/>
      <c r="G2767"/>
      <c r="I2767"/>
    </row>
    <row r="2768" spans="6:9" x14ac:dyDescent="0.35">
      <c r="F2768"/>
      <c r="G2768"/>
      <c r="I2768"/>
    </row>
    <row r="2769" spans="6:9" x14ac:dyDescent="0.35">
      <c r="F2769"/>
      <c r="G2769"/>
      <c r="I2769"/>
    </row>
    <row r="2770" spans="6:9" x14ac:dyDescent="0.35">
      <c r="F2770"/>
      <c r="G2770"/>
      <c r="I2770"/>
    </row>
    <row r="2771" spans="6:9" x14ac:dyDescent="0.35">
      <c r="F2771"/>
      <c r="G2771"/>
      <c r="I2771"/>
    </row>
    <row r="2772" spans="6:9" x14ac:dyDescent="0.35">
      <c r="F2772"/>
      <c r="G2772"/>
      <c r="I2772"/>
    </row>
    <row r="2773" spans="6:9" x14ac:dyDescent="0.35">
      <c r="F2773"/>
      <c r="G2773"/>
      <c r="I2773"/>
    </row>
    <row r="2774" spans="6:9" x14ac:dyDescent="0.35">
      <c r="F2774"/>
      <c r="G2774"/>
      <c r="I2774"/>
    </row>
    <row r="2775" spans="6:9" x14ac:dyDescent="0.35">
      <c r="F2775"/>
      <c r="G2775"/>
      <c r="I2775"/>
    </row>
    <row r="2776" spans="6:9" x14ac:dyDescent="0.35">
      <c r="F2776"/>
      <c r="G2776"/>
      <c r="I2776"/>
    </row>
    <row r="2777" spans="6:9" x14ac:dyDescent="0.35">
      <c r="F2777"/>
      <c r="G2777"/>
      <c r="I2777"/>
    </row>
    <row r="2778" spans="6:9" x14ac:dyDescent="0.35">
      <c r="F2778"/>
      <c r="G2778"/>
      <c r="I2778"/>
    </row>
    <row r="2779" spans="6:9" x14ac:dyDescent="0.35">
      <c r="F2779"/>
      <c r="G2779"/>
      <c r="I2779"/>
    </row>
    <row r="2780" spans="6:9" x14ac:dyDescent="0.35">
      <c r="F2780"/>
      <c r="G2780"/>
      <c r="I2780"/>
    </row>
    <row r="2781" spans="6:9" x14ac:dyDescent="0.35">
      <c r="F2781"/>
      <c r="G2781"/>
      <c r="I2781"/>
    </row>
    <row r="2782" spans="6:9" x14ac:dyDescent="0.35">
      <c r="F2782"/>
      <c r="G2782"/>
      <c r="I2782"/>
    </row>
    <row r="2783" spans="6:9" x14ac:dyDescent="0.35">
      <c r="F2783"/>
      <c r="G2783"/>
      <c r="I2783"/>
    </row>
    <row r="2784" spans="6:9" x14ac:dyDescent="0.35">
      <c r="F2784"/>
      <c r="G2784"/>
      <c r="I2784"/>
    </row>
    <row r="2785" spans="6:9" x14ac:dyDescent="0.35">
      <c r="F2785"/>
      <c r="G2785"/>
      <c r="I2785"/>
    </row>
    <row r="2786" spans="6:9" x14ac:dyDescent="0.35">
      <c r="F2786"/>
      <c r="G2786"/>
      <c r="I2786"/>
    </row>
    <row r="2787" spans="6:9" x14ac:dyDescent="0.35">
      <c r="F2787"/>
      <c r="G2787"/>
      <c r="I2787"/>
    </row>
    <row r="2788" spans="6:9" x14ac:dyDescent="0.35">
      <c r="F2788"/>
      <c r="G2788"/>
      <c r="I2788"/>
    </row>
    <row r="2789" spans="6:9" x14ac:dyDescent="0.35">
      <c r="F2789"/>
      <c r="G2789"/>
      <c r="I2789"/>
    </row>
    <row r="2790" spans="6:9" x14ac:dyDescent="0.35">
      <c r="F2790"/>
      <c r="G2790"/>
      <c r="I2790"/>
    </row>
    <row r="2791" spans="6:9" x14ac:dyDescent="0.35">
      <c r="F2791"/>
      <c r="G2791"/>
      <c r="I2791"/>
    </row>
    <row r="2792" spans="6:9" x14ac:dyDescent="0.35">
      <c r="F2792"/>
      <c r="G2792"/>
      <c r="I2792"/>
    </row>
    <row r="2793" spans="6:9" x14ac:dyDescent="0.35">
      <c r="F2793"/>
      <c r="G2793"/>
      <c r="I2793"/>
    </row>
    <row r="2794" spans="6:9" x14ac:dyDescent="0.35">
      <c r="F2794"/>
      <c r="G2794"/>
      <c r="I2794"/>
    </row>
    <row r="2795" spans="6:9" x14ac:dyDescent="0.35">
      <c r="F2795"/>
      <c r="G2795"/>
      <c r="I2795"/>
    </row>
    <row r="2796" spans="6:9" x14ac:dyDescent="0.35">
      <c r="F2796"/>
      <c r="G2796"/>
      <c r="I2796"/>
    </row>
    <row r="2797" spans="6:9" x14ac:dyDescent="0.35">
      <c r="F2797"/>
      <c r="G2797"/>
      <c r="I2797"/>
    </row>
    <row r="2798" spans="6:9" x14ac:dyDescent="0.35">
      <c r="F2798"/>
      <c r="G2798"/>
      <c r="I2798"/>
    </row>
    <row r="2799" spans="6:9" x14ac:dyDescent="0.35">
      <c r="F2799"/>
      <c r="G2799"/>
      <c r="I2799"/>
    </row>
    <row r="2800" spans="6:9" x14ac:dyDescent="0.35">
      <c r="F2800"/>
      <c r="G2800"/>
      <c r="I2800"/>
    </row>
    <row r="2801" spans="6:9" x14ac:dyDescent="0.35">
      <c r="F2801"/>
      <c r="G2801"/>
      <c r="I2801"/>
    </row>
    <row r="2802" spans="6:9" x14ac:dyDescent="0.35">
      <c r="F2802"/>
      <c r="G2802"/>
      <c r="I2802"/>
    </row>
    <row r="2803" spans="6:9" x14ac:dyDescent="0.35">
      <c r="F2803"/>
      <c r="G2803"/>
      <c r="I2803"/>
    </row>
    <row r="2804" spans="6:9" x14ac:dyDescent="0.35">
      <c r="F2804"/>
      <c r="G2804"/>
      <c r="I2804"/>
    </row>
    <row r="2805" spans="6:9" x14ac:dyDescent="0.35">
      <c r="F2805"/>
      <c r="G2805"/>
      <c r="I2805"/>
    </row>
    <row r="2806" spans="6:9" x14ac:dyDescent="0.35">
      <c r="F2806"/>
      <c r="G2806"/>
      <c r="I2806"/>
    </row>
    <row r="2807" spans="6:9" x14ac:dyDescent="0.35">
      <c r="F2807"/>
      <c r="G2807"/>
      <c r="I2807"/>
    </row>
    <row r="2808" spans="6:9" x14ac:dyDescent="0.35">
      <c r="F2808"/>
      <c r="G2808"/>
      <c r="I2808"/>
    </row>
    <row r="2809" spans="6:9" x14ac:dyDescent="0.35">
      <c r="F2809"/>
      <c r="G2809"/>
      <c r="I2809"/>
    </row>
    <row r="2810" spans="6:9" x14ac:dyDescent="0.35">
      <c r="F2810"/>
      <c r="G2810"/>
      <c r="I2810"/>
    </row>
    <row r="2811" spans="6:9" x14ac:dyDescent="0.35">
      <c r="F2811"/>
      <c r="G2811"/>
      <c r="I2811"/>
    </row>
    <row r="2812" spans="6:9" x14ac:dyDescent="0.35">
      <c r="F2812"/>
      <c r="G2812"/>
      <c r="I2812"/>
    </row>
    <row r="2813" spans="6:9" x14ac:dyDescent="0.35">
      <c r="F2813"/>
      <c r="G2813"/>
      <c r="I2813"/>
    </row>
    <row r="2814" spans="6:9" x14ac:dyDescent="0.35">
      <c r="F2814"/>
      <c r="G2814"/>
      <c r="I2814"/>
    </row>
    <row r="2815" spans="6:9" x14ac:dyDescent="0.35">
      <c r="F2815"/>
      <c r="G2815"/>
      <c r="I2815"/>
    </row>
    <row r="2816" spans="6:9" x14ac:dyDescent="0.35">
      <c r="F2816"/>
      <c r="G2816"/>
      <c r="I2816"/>
    </row>
    <row r="2817" spans="6:9" x14ac:dyDescent="0.35">
      <c r="F2817"/>
      <c r="G2817"/>
      <c r="I2817"/>
    </row>
    <row r="2818" spans="6:9" x14ac:dyDescent="0.35">
      <c r="F2818"/>
      <c r="G2818"/>
      <c r="I2818"/>
    </row>
    <row r="2819" spans="6:9" x14ac:dyDescent="0.35">
      <c r="F2819"/>
      <c r="G2819"/>
      <c r="I2819"/>
    </row>
    <row r="2820" spans="6:9" x14ac:dyDescent="0.35">
      <c r="F2820"/>
      <c r="G2820"/>
      <c r="I2820"/>
    </row>
    <row r="2821" spans="6:9" x14ac:dyDescent="0.35">
      <c r="F2821"/>
      <c r="G2821"/>
      <c r="I2821"/>
    </row>
    <row r="2822" spans="6:9" x14ac:dyDescent="0.35">
      <c r="F2822"/>
      <c r="G2822"/>
      <c r="I2822"/>
    </row>
    <row r="2823" spans="6:9" x14ac:dyDescent="0.35">
      <c r="F2823"/>
      <c r="G2823"/>
      <c r="I2823"/>
    </row>
    <row r="2824" spans="6:9" x14ac:dyDescent="0.35">
      <c r="F2824"/>
      <c r="G2824"/>
      <c r="I2824"/>
    </row>
    <row r="2825" spans="6:9" x14ac:dyDescent="0.35">
      <c r="F2825"/>
      <c r="G2825"/>
      <c r="I2825"/>
    </row>
    <row r="2826" spans="6:9" x14ac:dyDescent="0.35">
      <c r="F2826"/>
      <c r="G2826"/>
      <c r="I2826"/>
    </row>
    <row r="2827" spans="6:9" x14ac:dyDescent="0.35">
      <c r="F2827"/>
      <c r="G2827"/>
      <c r="I2827"/>
    </row>
    <row r="2828" spans="6:9" x14ac:dyDescent="0.35">
      <c r="F2828"/>
      <c r="G2828"/>
      <c r="I2828"/>
    </row>
    <row r="2829" spans="6:9" x14ac:dyDescent="0.35">
      <c r="F2829"/>
      <c r="G2829"/>
      <c r="I2829"/>
    </row>
    <row r="2830" spans="6:9" x14ac:dyDescent="0.35">
      <c r="F2830"/>
      <c r="G2830"/>
      <c r="I2830"/>
    </row>
    <row r="2831" spans="6:9" x14ac:dyDescent="0.35">
      <c r="F2831"/>
      <c r="G2831"/>
      <c r="I2831"/>
    </row>
    <row r="2832" spans="6:9" x14ac:dyDescent="0.35">
      <c r="F2832"/>
      <c r="G2832"/>
      <c r="I2832"/>
    </row>
    <row r="2833" spans="6:9" x14ac:dyDescent="0.35">
      <c r="F2833"/>
      <c r="G2833"/>
      <c r="I2833"/>
    </row>
    <row r="2834" spans="6:9" x14ac:dyDescent="0.35">
      <c r="F2834"/>
      <c r="G2834"/>
      <c r="I2834"/>
    </row>
    <row r="2835" spans="6:9" x14ac:dyDescent="0.35">
      <c r="F2835"/>
      <c r="G2835"/>
      <c r="I2835"/>
    </row>
    <row r="2836" spans="6:9" x14ac:dyDescent="0.35">
      <c r="F2836"/>
      <c r="G2836"/>
      <c r="I2836"/>
    </row>
    <row r="2837" spans="6:9" x14ac:dyDescent="0.35">
      <c r="F2837"/>
      <c r="G2837"/>
      <c r="I2837"/>
    </row>
    <row r="2838" spans="6:9" x14ac:dyDescent="0.35">
      <c r="F2838"/>
      <c r="G2838"/>
      <c r="I2838"/>
    </row>
    <row r="2839" spans="6:9" x14ac:dyDescent="0.35">
      <c r="F2839"/>
      <c r="G2839"/>
      <c r="I2839"/>
    </row>
    <row r="2840" spans="6:9" x14ac:dyDescent="0.35">
      <c r="F2840"/>
      <c r="G2840"/>
      <c r="I2840"/>
    </row>
    <row r="2841" spans="6:9" x14ac:dyDescent="0.35">
      <c r="F2841"/>
      <c r="G2841"/>
      <c r="I2841"/>
    </row>
    <row r="2842" spans="6:9" x14ac:dyDescent="0.35">
      <c r="F2842"/>
      <c r="G2842"/>
      <c r="I2842"/>
    </row>
    <row r="2843" spans="6:9" x14ac:dyDescent="0.35">
      <c r="F2843"/>
      <c r="G2843"/>
      <c r="I2843"/>
    </row>
    <row r="2844" spans="6:9" x14ac:dyDescent="0.35">
      <c r="F2844"/>
      <c r="G2844"/>
      <c r="I2844"/>
    </row>
    <row r="2845" spans="6:9" x14ac:dyDescent="0.35">
      <c r="F2845"/>
      <c r="G2845"/>
      <c r="I2845"/>
    </row>
    <row r="2846" spans="6:9" x14ac:dyDescent="0.35">
      <c r="F2846"/>
      <c r="G2846"/>
      <c r="I2846"/>
    </row>
    <row r="2847" spans="6:9" x14ac:dyDescent="0.35">
      <c r="F2847"/>
      <c r="G2847"/>
      <c r="I2847"/>
    </row>
    <row r="2848" spans="6:9" x14ac:dyDescent="0.35">
      <c r="F2848"/>
      <c r="G2848"/>
      <c r="I2848"/>
    </row>
    <row r="2849" spans="6:9" x14ac:dyDescent="0.35">
      <c r="F2849"/>
      <c r="G2849"/>
      <c r="I2849"/>
    </row>
    <row r="2850" spans="6:9" x14ac:dyDescent="0.35">
      <c r="F2850"/>
      <c r="G2850"/>
      <c r="I2850"/>
    </row>
    <row r="2851" spans="6:9" x14ac:dyDescent="0.35">
      <c r="F2851"/>
      <c r="G2851"/>
      <c r="I2851"/>
    </row>
    <row r="2852" spans="6:9" x14ac:dyDescent="0.35">
      <c r="F2852"/>
      <c r="G2852"/>
      <c r="I2852"/>
    </row>
    <row r="2853" spans="6:9" x14ac:dyDescent="0.35">
      <c r="F2853"/>
      <c r="G2853"/>
      <c r="I2853"/>
    </row>
    <row r="2854" spans="6:9" x14ac:dyDescent="0.35">
      <c r="F2854"/>
      <c r="G2854"/>
      <c r="I2854"/>
    </row>
    <row r="2855" spans="6:9" x14ac:dyDescent="0.35">
      <c r="F2855"/>
      <c r="G2855"/>
      <c r="I2855"/>
    </row>
    <row r="2856" spans="6:9" x14ac:dyDescent="0.35">
      <c r="F2856"/>
      <c r="G2856"/>
      <c r="I2856"/>
    </row>
    <row r="2857" spans="6:9" x14ac:dyDescent="0.35">
      <c r="F2857"/>
      <c r="G2857"/>
      <c r="I2857"/>
    </row>
    <row r="2858" spans="6:9" x14ac:dyDescent="0.35">
      <c r="F2858"/>
      <c r="G2858"/>
      <c r="I2858"/>
    </row>
    <row r="2859" spans="6:9" x14ac:dyDescent="0.35">
      <c r="F2859"/>
      <c r="G2859"/>
      <c r="I2859"/>
    </row>
    <row r="2860" spans="6:9" x14ac:dyDescent="0.35">
      <c r="F2860"/>
      <c r="G2860"/>
      <c r="I2860"/>
    </row>
    <row r="2861" spans="6:9" x14ac:dyDescent="0.35">
      <c r="F2861"/>
      <c r="G2861"/>
      <c r="I2861"/>
    </row>
    <row r="2862" spans="6:9" x14ac:dyDescent="0.35">
      <c r="F2862"/>
      <c r="G2862"/>
      <c r="I2862"/>
    </row>
    <row r="2863" spans="6:9" x14ac:dyDescent="0.35">
      <c r="F2863"/>
      <c r="G2863"/>
      <c r="I2863"/>
    </row>
    <row r="2864" spans="6:9" x14ac:dyDescent="0.35">
      <c r="F2864"/>
      <c r="G2864"/>
      <c r="I2864"/>
    </row>
    <row r="2865" spans="6:9" x14ac:dyDescent="0.35">
      <c r="F2865"/>
      <c r="G2865"/>
      <c r="I2865"/>
    </row>
    <row r="2866" spans="6:9" x14ac:dyDescent="0.35">
      <c r="F2866"/>
      <c r="G2866"/>
      <c r="I2866"/>
    </row>
    <row r="2867" spans="6:9" x14ac:dyDescent="0.35">
      <c r="F2867"/>
      <c r="G2867"/>
      <c r="I2867"/>
    </row>
    <row r="2868" spans="6:9" x14ac:dyDescent="0.35">
      <c r="F2868"/>
      <c r="G2868"/>
      <c r="I2868"/>
    </row>
    <row r="2869" spans="6:9" x14ac:dyDescent="0.35">
      <c r="F2869"/>
      <c r="G2869"/>
      <c r="I2869"/>
    </row>
    <row r="2870" spans="6:9" x14ac:dyDescent="0.35">
      <c r="F2870"/>
      <c r="G2870"/>
      <c r="I2870"/>
    </row>
    <row r="2871" spans="6:9" x14ac:dyDescent="0.35">
      <c r="F2871"/>
      <c r="G2871"/>
      <c r="I2871"/>
    </row>
    <row r="2872" spans="6:9" x14ac:dyDescent="0.35">
      <c r="F2872"/>
      <c r="G2872"/>
      <c r="I2872"/>
    </row>
    <row r="2873" spans="6:9" x14ac:dyDescent="0.35">
      <c r="F2873"/>
      <c r="G2873"/>
      <c r="I2873"/>
    </row>
    <row r="2874" spans="6:9" x14ac:dyDescent="0.35">
      <c r="F2874"/>
      <c r="G2874"/>
      <c r="I2874"/>
    </row>
    <row r="2875" spans="6:9" x14ac:dyDescent="0.35">
      <c r="F2875"/>
      <c r="G2875"/>
      <c r="I2875"/>
    </row>
    <row r="2876" spans="6:9" x14ac:dyDescent="0.35">
      <c r="F2876"/>
      <c r="G2876"/>
      <c r="I2876"/>
    </row>
    <row r="2877" spans="6:9" x14ac:dyDescent="0.35">
      <c r="F2877"/>
      <c r="G2877"/>
      <c r="I2877"/>
    </row>
    <row r="2878" spans="6:9" x14ac:dyDescent="0.35">
      <c r="F2878"/>
      <c r="G2878"/>
      <c r="I2878"/>
    </row>
    <row r="2879" spans="6:9" x14ac:dyDescent="0.35">
      <c r="F2879"/>
      <c r="G2879"/>
      <c r="I2879"/>
    </row>
    <row r="2880" spans="6:9" x14ac:dyDescent="0.35">
      <c r="F2880"/>
      <c r="G2880"/>
      <c r="I2880"/>
    </row>
    <row r="2881" spans="6:9" x14ac:dyDescent="0.35">
      <c r="F2881"/>
      <c r="G2881"/>
      <c r="I2881"/>
    </row>
    <row r="2882" spans="6:9" x14ac:dyDescent="0.35">
      <c r="F2882"/>
      <c r="G2882"/>
      <c r="I2882"/>
    </row>
    <row r="2883" spans="6:9" x14ac:dyDescent="0.35">
      <c r="F2883"/>
      <c r="G2883"/>
      <c r="I2883"/>
    </row>
    <row r="2884" spans="6:9" x14ac:dyDescent="0.35">
      <c r="F2884"/>
      <c r="G2884"/>
      <c r="I2884"/>
    </row>
    <row r="2885" spans="6:9" x14ac:dyDescent="0.35">
      <c r="F2885"/>
      <c r="G2885"/>
      <c r="I2885"/>
    </row>
    <row r="2886" spans="6:9" x14ac:dyDescent="0.35">
      <c r="F2886"/>
      <c r="G2886"/>
      <c r="I2886"/>
    </row>
    <row r="2887" spans="6:9" x14ac:dyDescent="0.35">
      <c r="F2887"/>
      <c r="G2887"/>
      <c r="I2887"/>
    </row>
    <row r="2888" spans="6:9" x14ac:dyDescent="0.35">
      <c r="F2888"/>
      <c r="G2888"/>
      <c r="I2888"/>
    </row>
    <row r="2889" spans="6:9" x14ac:dyDescent="0.35">
      <c r="F2889"/>
      <c r="G2889"/>
      <c r="I2889"/>
    </row>
    <row r="2890" spans="6:9" x14ac:dyDescent="0.35">
      <c r="F2890"/>
      <c r="G2890"/>
      <c r="I2890"/>
    </row>
    <row r="2891" spans="6:9" x14ac:dyDescent="0.35">
      <c r="F2891"/>
      <c r="G2891"/>
      <c r="I2891"/>
    </row>
    <row r="2892" spans="6:9" x14ac:dyDescent="0.35">
      <c r="F2892"/>
      <c r="G2892"/>
      <c r="I2892"/>
    </row>
    <row r="2893" spans="6:9" x14ac:dyDescent="0.35">
      <c r="F2893"/>
      <c r="G2893"/>
      <c r="I2893"/>
    </row>
    <row r="2894" spans="6:9" x14ac:dyDescent="0.35">
      <c r="F2894"/>
      <c r="G2894"/>
      <c r="I2894"/>
    </row>
    <row r="2895" spans="6:9" x14ac:dyDescent="0.35">
      <c r="F2895"/>
      <c r="G2895"/>
      <c r="I2895"/>
    </row>
    <row r="2896" spans="6:9" x14ac:dyDescent="0.35">
      <c r="F2896"/>
      <c r="G2896"/>
      <c r="I2896"/>
    </row>
    <row r="2897" spans="6:9" x14ac:dyDescent="0.35">
      <c r="F2897"/>
      <c r="G2897"/>
      <c r="I2897"/>
    </row>
    <row r="2898" spans="6:9" x14ac:dyDescent="0.35">
      <c r="F2898"/>
      <c r="G2898"/>
      <c r="I2898"/>
    </row>
    <row r="2899" spans="6:9" x14ac:dyDescent="0.35">
      <c r="F2899"/>
      <c r="G2899"/>
      <c r="I2899"/>
    </row>
    <row r="2900" spans="6:9" x14ac:dyDescent="0.35">
      <c r="F2900"/>
      <c r="G2900"/>
      <c r="I2900"/>
    </row>
    <row r="2901" spans="6:9" x14ac:dyDescent="0.35">
      <c r="F2901"/>
      <c r="G2901"/>
      <c r="I2901"/>
    </row>
    <row r="2902" spans="6:9" x14ac:dyDescent="0.35">
      <c r="F2902"/>
      <c r="G2902"/>
      <c r="I2902"/>
    </row>
    <row r="2903" spans="6:9" x14ac:dyDescent="0.35">
      <c r="F2903"/>
      <c r="G2903"/>
      <c r="I2903"/>
    </row>
    <row r="2904" spans="6:9" x14ac:dyDescent="0.35">
      <c r="F2904"/>
      <c r="G2904"/>
      <c r="I2904"/>
    </row>
    <row r="2905" spans="6:9" x14ac:dyDescent="0.35">
      <c r="F2905"/>
      <c r="G2905"/>
      <c r="I2905"/>
    </row>
    <row r="2906" spans="6:9" x14ac:dyDescent="0.35">
      <c r="F2906"/>
      <c r="G2906"/>
      <c r="I2906"/>
    </row>
    <row r="2907" spans="6:9" x14ac:dyDescent="0.35">
      <c r="F2907"/>
      <c r="G2907"/>
      <c r="I2907"/>
    </row>
    <row r="2908" spans="6:9" x14ac:dyDescent="0.35">
      <c r="F2908"/>
      <c r="G2908"/>
      <c r="I2908"/>
    </row>
    <row r="2909" spans="6:9" x14ac:dyDescent="0.35">
      <c r="F2909"/>
      <c r="G2909"/>
      <c r="I2909"/>
    </row>
    <row r="2910" spans="6:9" x14ac:dyDescent="0.35">
      <c r="F2910"/>
      <c r="G2910"/>
      <c r="I2910"/>
    </row>
    <row r="2911" spans="6:9" x14ac:dyDescent="0.35">
      <c r="F2911"/>
      <c r="G2911"/>
      <c r="I2911"/>
    </row>
    <row r="2912" spans="6:9" x14ac:dyDescent="0.35">
      <c r="F2912"/>
      <c r="G2912"/>
      <c r="I2912"/>
    </row>
    <row r="2913" spans="6:9" x14ac:dyDescent="0.35">
      <c r="F2913"/>
      <c r="G2913"/>
      <c r="I2913"/>
    </row>
    <row r="2914" spans="6:9" x14ac:dyDescent="0.35">
      <c r="F2914"/>
      <c r="G2914"/>
      <c r="I2914"/>
    </row>
    <row r="2915" spans="6:9" x14ac:dyDescent="0.35">
      <c r="F2915"/>
      <c r="G2915"/>
      <c r="I2915"/>
    </row>
    <row r="2916" spans="6:9" x14ac:dyDescent="0.35">
      <c r="F2916"/>
      <c r="G2916"/>
      <c r="I2916"/>
    </row>
    <row r="2917" spans="6:9" x14ac:dyDescent="0.35">
      <c r="F2917"/>
      <c r="G2917"/>
      <c r="I2917"/>
    </row>
    <row r="2918" spans="6:9" x14ac:dyDescent="0.35">
      <c r="F2918"/>
      <c r="G2918"/>
      <c r="I2918"/>
    </row>
    <row r="2919" spans="6:9" x14ac:dyDescent="0.35">
      <c r="F2919"/>
      <c r="G2919"/>
      <c r="I2919"/>
    </row>
    <row r="2920" spans="6:9" x14ac:dyDescent="0.35">
      <c r="F2920"/>
      <c r="G2920"/>
      <c r="I2920"/>
    </row>
    <row r="2921" spans="6:9" x14ac:dyDescent="0.35">
      <c r="F2921"/>
      <c r="G2921"/>
      <c r="I2921"/>
    </row>
    <row r="2922" spans="6:9" x14ac:dyDescent="0.35">
      <c r="F2922"/>
      <c r="G2922"/>
      <c r="I2922"/>
    </row>
    <row r="2923" spans="6:9" x14ac:dyDescent="0.35">
      <c r="F2923"/>
      <c r="G2923"/>
      <c r="I2923"/>
    </row>
    <row r="2924" spans="6:9" x14ac:dyDescent="0.35">
      <c r="F2924"/>
      <c r="G2924"/>
      <c r="I2924"/>
    </row>
    <row r="2925" spans="6:9" x14ac:dyDescent="0.35">
      <c r="F2925"/>
      <c r="G2925"/>
      <c r="I2925"/>
    </row>
    <row r="2926" spans="6:9" x14ac:dyDescent="0.35">
      <c r="F2926"/>
      <c r="G2926"/>
      <c r="I2926"/>
    </row>
    <row r="2927" spans="6:9" x14ac:dyDescent="0.35">
      <c r="F2927"/>
      <c r="G2927"/>
      <c r="I2927"/>
    </row>
    <row r="2928" spans="6:9" x14ac:dyDescent="0.35">
      <c r="F2928"/>
      <c r="G2928"/>
      <c r="I2928"/>
    </row>
    <row r="2929" spans="6:9" x14ac:dyDescent="0.35">
      <c r="F2929"/>
      <c r="G2929"/>
      <c r="I2929"/>
    </row>
    <row r="2930" spans="6:9" x14ac:dyDescent="0.35">
      <c r="F2930"/>
      <c r="G2930"/>
      <c r="I2930"/>
    </row>
    <row r="2931" spans="6:9" x14ac:dyDescent="0.35">
      <c r="F2931"/>
      <c r="G2931"/>
      <c r="I2931"/>
    </row>
    <row r="2932" spans="6:9" x14ac:dyDescent="0.35">
      <c r="F2932"/>
      <c r="G2932"/>
      <c r="I2932"/>
    </row>
    <row r="2933" spans="6:9" x14ac:dyDescent="0.35">
      <c r="F2933"/>
      <c r="G2933"/>
      <c r="I2933"/>
    </row>
    <row r="2934" spans="6:9" x14ac:dyDescent="0.35">
      <c r="F2934"/>
      <c r="G2934"/>
      <c r="I2934"/>
    </row>
    <row r="2935" spans="6:9" x14ac:dyDescent="0.35">
      <c r="F2935"/>
      <c r="G2935"/>
      <c r="I2935"/>
    </row>
    <row r="2936" spans="6:9" x14ac:dyDescent="0.35">
      <c r="F2936"/>
      <c r="G2936"/>
      <c r="I2936"/>
    </row>
    <row r="2937" spans="6:9" x14ac:dyDescent="0.35">
      <c r="F2937"/>
      <c r="G2937"/>
      <c r="I2937"/>
    </row>
    <row r="2938" spans="6:9" x14ac:dyDescent="0.35">
      <c r="F2938"/>
      <c r="G2938"/>
      <c r="I2938"/>
    </row>
    <row r="2939" spans="6:9" x14ac:dyDescent="0.35">
      <c r="F2939"/>
      <c r="G2939"/>
      <c r="I2939"/>
    </row>
    <row r="2940" spans="6:9" x14ac:dyDescent="0.35">
      <c r="F2940"/>
      <c r="G2940"/>
      <c r="I2940"/>
    </row>
    <row r="2941" spans="6:9" x14ac:dyDescent="0.35">
      <c r="F2941"/>
      <c r="G2941"/>
      <c r="I2941"/>
    </row>
    <row r="2942" spans="6:9" x14ac:dyDescent="0.35">
      <c r="F2942"/>
      <c r="G2942"/>
      <c r="I2942"/>
    </row>
    <row r="2943" spans="6:9" x14ac:dyDescent="0.35">
      <c r="F2943"/>
      <c r="G2943"/>
      <c r="I2943"/>
    </row>
    <row r="2944" spans="6:9" x14ac:dyDescent="0.35">
      <c r="F2944"/>
      <c r="G2944"/>
      <c r="I2944"/>
    </row>
    <row r="2945" spans="6:9" x14ac:dyDescent="0.35">
      <c r="F2945"/>
      <c r="G2945"/>
      <c r="I2945"/>
    </row>
    <row r="2946" spans="6:9" x14ac:dyDescent="0.35">
      <c r="F2946"/>
      <c r="G2946"/>
      <c r="I2946"/>
    </row>
    <row r="2947" spans="6:9" x14ac:dyDescent="0.35">
      <c r="F2947"/>
      <c r="G2947"/>
      <c r="I2947"/>
    </row>
    <row r="2948" spans="6:9" x14ac:dyDescent="0.35">
      <c r="F2948"/>
      <c r="G2948"/>
      <c r="I2948"/>
    </row>
    <row r="2949" spans="6:9" x14ac:dyDescent="0.35">
      <c r="F2949"/>
      <c r="G2949"/>
      <c r="I2949"/>
    </row>
    <row r="2950" spans="6:9" x14ac:dyDescent="0.35">
      <c r="F2950"/>
      <c r="G2950"/>
      <c r="I2950"/>
    </row>
    <row r="2951" spans="6:9" x14ac:dyDescent="0.35">
      <c r="F2951"/>
      <c r="G2951"/>
      <c r="I2951"/>
    </row>
    <row r="2952" spans="6:9" x14ac:dyDescent="0.35">
      <c r="F2952"/>
      <c r="G2952"/>
      <c r="I2952"/>
    </row>
    <row r="2953" spans="6:9" x14ac:dyDescent="0.35">
      <c r="F2953"/>
      <c r="G2953"/>
      <c r="I2953"/>
    </row>
    <row r="2954" spans="6:9" x14ac:dyDescent="0.35">
      <c r="F2954"/>
      <c r="G2954"/>
      <c r="I2954"/>
    </row>
    <row r="2955" spans="6:9" x14ac:dyDescent="0.35">
      <c r="F2955"/>
      <c r="G2955"/>
      <c r="I2955"/>
    </row>
    <row r="2956" spans="6:9" x14ac:dyDescent="0.35">
      <c r="F2956"/>
      <c r="G2956"/>
      <c r="I2956"/>
    </row>
    <row r="2957" spans="6:9" x14ac:dyDescent="0.35">
      <c r="F2957"/>
      <c r="G2957"/>
      <c r="I2957"/>
    </row>
    <row r="2958" spans="6:9" x14ac:dyDescent="0.35">
      <c r="F2958"/>
      <c r="G2958"/>
      <c r="I2958"/>
    </row>
    <row r="2959" spans="6:9" x14ac:dyDescent="0.35">
      <c r="F2959"/>
      <c r="G2959"/>
      <c r="I2959"/>
    </row>
    <row r="2960" spans="6:9" x14ac:dyDescent="0.35">
      <c r="F2960"/>
      <c r="G2960"/>
      <c r="I2960"/>
    </row>
    <row r="2961" spans="6:9" x14ac:dyDescent="0.35">
      <c r="F2961"/>
      <c r="G2961"/>
      <c r="I2961"/>
    </row>
    <row r="2962" spans="6:9" x14ac:dyDescent="0.35">
      <c r="F2962"/>
      <c r="G2962"/>
      <c r="I2962"/>
    </row>
    <row r="2963" spans="6:9" x14ac:dyDescent="0.35">
      <c r="F2963"/>
      <c r="G2963"/>
      <c r="I2963"/>
    </row>
    <row r="2964" spans="6:9" x14ac:dyDescent="0.35">
      <c r="F2964"/>
      <c r="G2964"/>
      <c r="I2964"/>
    </row>
    <row r="2965" spans="6:9" x14ac:dyDescent="0.35">
      <c r="F2965"/>
      <c r="G2965"/>
      <c r="I2965"/>
    </row>
    <row r="2966" spans="6:9" x14ac:dyDescent="0.35">
      <c r="F2966"/>
      <c r="G2966"/>
      <c r="I2966"/>
    </row>
    <row r="2967" spans="6:9" x14ac:dyDescent="0.35">
      <c r="F2967"/>
      <c r="G2967"/>
      <c r="I2967"/>
    </row>
    <row r="2968" spans="6:9" x14ac:dyDescent="0.35">
      <c r="F2968"/>
      <c r="G2968"/>
      <c r="I2968"/>
    </row>
    <row r="2969" spans="6:9" x14ac:dyDescent="0.35">
      <c r="F2969"/>
      <c r="G2969"/>
      <c r="I2969"/>
    </row>
    <row r="2970" spans="6:9" x14ac:dyDescent="0.35">
      <c r="F2970"/>
      <c r="G2970"/>
      <c r="I2970"/>
    </row>
    <row r="2971" spans="6:9" x14ac:dyDescent="0.35">
      <c r="F2971"/>
      <c r="G2971"/>
      <c r="I2971"/>
    </row>
    <row r="2972" spans="6:9" x14ac:dyDescent="0.35">
      <c r="F2972"/>
      <c r="G2972"/>
      <c r="I2972"/>
    </row>
    <row r="2973" spans="6:9" x14ac:dyDescent="0.35">
      <c r="F2973"/>
      <c r="G2973"/>
      <c r="I2973"/>
    </row>
    <row r="2974" spans="6:9" x14ac:dyDescent="0.35">
      <c r="F2974"/>
      <c r="G2974"/>
      <c r="I2974"/>
    </row>
    <row r="2975" spans="6:9" x14ac:dyDescent="0.35">
      <c r="F2975"/>
      <c r="G2975"/>
      <c r="I2975"/>
    </row>
    <row r="2976" spans="6:9" x14ac:dyDescent="0.35">
      <c r="F2976"/>
      <c r="G2976"/>
      <c r="I2976"/>
    </row>
    <row r="2977" spans="6:9" x14ac:dyDescent="0.35">
      <c r="F2977"/>
      <c r="G2977"/>
      <c r="I2977"/>
    </row>
    <row r="2978" spans="6:9" x14ac:dyDescent="0.35">
      <c r="F2978"/>
      <c r="G2978"/>
      <c r="I2978"/>
    </row>
    <row r="2979" spans="6:9" x14ac:dyDescent="0.35">
      <c r="F2979"/>
      <c r="G2979"/>
      <c r="I2979"/>
    </row>
    <row r="2980" spans="6:9" x14ac:dyDescent="0.35">
      <c r="F2980"/>
      <c r="G2980"/>
      <c r="I2980"/>
    </row>
    <row r="2981" spans="6:9" x14ac:dyDescent="0.35">
      <c r="F2981"/>
      <c r="G2981"/>
      <c r="I2981"/>
    </row>
    <row r="2982" spans="6:9" x14ac:dyDescent="0.35">
      <c r="F2982"/>
      <c r="G2982"/>
      <c r="I2982"/>
    </row>
    <row r="2983" spans="6:9" x14ac:dyDescent="0.35">
      <c r="F2983"/>
      <c r="G2983"/>
      <c r="I2983"/>
    </row>
    <row r="2984" spans="6:9" x14ac:dyDescent="0.35">
      <c r="F2984"/>
      <c r="G2984"/>
      <c r="I2984"/>
    </row>
    <row r="2985" spans="6:9" x14ac:dyDescent="0.35">
      <c r="F2985"/>
      <c r="G2985"/>
      <c r="I2985"/>
    </row>
    <row r="2986" spans="6:9" x14ac:dyDescent="0.35">
      <c r="F2986"/>
      <c r="G2986"/>
      <c r="I2986"/>
    </row>
    <row r="2987" spans="6:9" x14ac:dyDescent="0.35">
      <c r="F2987"/>
      <c r="G2987"/>
      <c r="I2987"/>
    </row>
    <row r="2988" spans="6:9" x14ac:dyDescent="0.35">
      <c r="F2988"/>
      <c r="G2988"/>
      <c r="I2988"/>
    </row>
    <row r="2989" spans="6:9" x14ac:dyDescent="0.35">
      <c r="F2989"/>
      <c r="G2989"/>
      <c r="I2989"/>
    </row>
    <row r="2990" spans="6:9" x14ac:dyDescent="0.35">
      <c r="F2990"/>
      <c r="G2990"/>
      <c r="I2990"/>
    </row>
    <row r="2991" spans="6:9" x14ac:dyDescent="0.35">
      <c r="F2991"/>
      <c r="G2991"/>
      <c r="I2991"/>
    </row>
    <row r="2992" spans="6:9" x14ac:dyDescent="0.35">
      <c r="F2992"/>
      <c r="G2992"/>
      <c r="I2992"/>
    </row>
    <row r="2993" spans="6:9" x14ac:dyDescent="0.35">
      <c r="F2993"/>
      <c r="G2993"/>
      <c r="I2993"/>
    </row>
    <row r="2994" spans="6:9" x14ac:dyDescent="0.35">
      <c r="F2994"/>
      <c r="G2994"/>
      <c r="I2994"/>
    </row>
    <row r="2995" spans="6:9" x14ac:dyDescent="0.35">
      <c r="F2995"/>
      <c r="G2995"/>
      <c r="I2995"/>
    </row>
    <row r="2996" spans="6:9" x14ac:dyDescent="0.35">
      <c r="F2996"/>
      <c r="G2996"/>
      <c r="I2996"/>
    </row>
    <row r="2997" spans="6:9" x14ac:dyDescent="0.35">
      <c r="F2997"/>
      <c r="G2997"/>
      <c r="I2997"/>
    </row>
    <row r="2998" spans="6:9" x14ac:dyDescent="0.35">
      <c r="F2998"/>
      <c r="G2998"/>
      <c r="I2998"/>
    </row>
    <row r="2999" spans="6:9" x14ac:dyDescent="0.35">
      <c r="F2999"/>
      <c r="G2999"/>
      <c r="I2999"/>
    </row>
    <row r="3000" spans="6:9" x14ac:dyDescent="0.35">
      <c r="F3000"/>
      <c r="G3000"/>
      <c r="I3000"/>
    </row>
    <row r="3001" spans="6:9" x14ac:dyDescent="0.35">
      <c r="F3001"/>
      <c r="G3001"/>
      <c r="I3001"/>
    </row>
    <row r="3002" spans="6:9" x14ac:dyDescent="0.35">
      <c r="F3002"/>
      <c r="G3002"/>
      <c r="I3002"/>
    </row>
    <row r="3003" spans="6:9" x14ac:dyDescent="0.35">
      <c r="F3003"/>
      <c r="G3003"/>
      <c r="I3003"/>
    </row>
    <row r="3004" spans="6:9" x14ac:dyDescent="0.35">
      <c r="F3004"/>
      <c r="G3004"/>
      <c r="I3004"/>
    </row>
    <row r="3005" spans="6:9" x14ac:dyDescent="0.35">
      <c r="F3005"/>
      <c r="G3005"/>
      <c r="I3005"/>
    </row>
    <row r="3006" spans="6:9" x14ac:dyDescent="0.35">
      <c r="F3006"/>
      <c r="G3006"/>
      <c r="I3006"/>
    </row>
    <row r="3007" spans="6:9" x14ac:dyDescent="0.35">
      <c r="F3007"/>
      <c r="G3007"/>
      <c r="I3007"/>
    </row>
    <row r="3008" spans="6:9" x14ac:dyDescent="0.35">
      <c r="F3008"/>
      <c r="G3008"/>
      <c r="I3008"/>
    </row>
    <row r="3009" spans="6:9" x14ac:dyDescent="0.35">
      <c r="F3009"/>
      <c r="G3009"/>
      <c r="I3009"/>
    </row>
    <row r="3010" spans="6:9" x14ac:dyDescent="0.35">
      <c r="F3010"/>
      <c r="G3010"/>
      <c r="I3010"/>
    </row>
    <row r="3011" spans="6:9" x14ac:dyDescent="0.35">
      <c r="F3011"/>
      <c r="G3011"/>
      <c r="I3011"/>
    </row>
    <row r="3012" spans="6:9" x14ac:dyDescent="0.35">
      <c r="F3012"/>
      <c r="G3012"/>
      <c r="I3012"/>
    </row>
    <row r="3013" spans="6:9" x14ac:dyDescent="0.35">
      <c r="F3013"/>
      <c r="G3013"/>
      <c r="I3013"/>
    </row>
    <row r="3014" spans="6:9" x14ac:dyDescent="0.35">
      <c r="F3014"/>
      <c r="G3014"/>
      <c r="I3014"/>
    </row>
    <row r="3015" spans="6:9" x14ac:dyDescent="0.35">
      <c r="F3015"/>
      <c r="G3015"/>
      <c r="I3015"/>
    </row>
    <row r="3016" spans="6:9" x14ac:dyDescent="0.35">
      <c r="F3016"/>
      <c r="G3016"/>
      <c r="I3016"/>
    </row>
    <row r="3017" spans="6:9" x14ac:dyDescent="0.35">
      <c r="F3017"/>
      <c r="G3017"/>
      <c r="I3017"/>
    </row>
    <row r="3018" spans="6:9" x14ac:dyDescent="0.35">
      <c r="F3018"/>
      <c r="G3018"/>
      <c r="I3018"/>
    </row>
    <row r="3019" spans="6:9" x14ac:dyDescent="0.35">
      <c r="F3019"/>
      <c r="G3019"/>
      <c r="I3019"/>
    </row>
    <row r="3020" spans="6:9" x14ac:dyDescent="0.35">
      <c r="F3020"/>
      <c r="G3020"/>
      <c r="I3020"/>
    </row>
    <row r="3021" spans="6:9" x14ac:dyDescent="0.35">
      <c r="F3021"/>
      <c r="G3021"/>
      <c r="I3021"/>
    </row>
    <row r="3022" spans="6:9" x14ac:dyDescent="0.35">
      <c r="F3022"/>
      <c r="G3022"/>
      <c r="I3022"/>
    </row>
    <row r="3023" spans="6:9" x14ac:dyDescent="0.35">
      <c r="F3023"/>
      <c r="G3023"/>
      <c r="I3023"/>
    </row>
    <row r="3024" spans="6:9" x14ac:dyDescent="0.35">
      <c r="F3024"/>
      <c r="G3024"/>
      <c r="I3024"/>
    </row>
    <row r="3025" spans="6:9" x14ac:dyDescent="0.35">
      <c r="F3025"/>
      <c r="G3025"/>
      <c r="I3025"/>
    </row>
    <row r="3026" spans="6:9" x14ac:dyDescent="0.35">
      <c r="F3026"/>
      <c r="G3026"/>
      <c r="I3026"/>
    </row>
    <row r="3027" spans="6:9" x14ac:dyDescent="0.35">
      <c r="F3027"/>
      <c r="G3027"/>
      <c r="I3027"/>
    </row>
    <row r="3028" spans="6:9" x14ac:dyDescent="0.35">
      <c r="F3028"/>
      <c r="G3028"/>
      <c r="I3028"/>
    </row>
    <row r="3029" spans="6:9" x14ac:dyDescent="0.35">
      <c r="F3029"/>
      <c r="G3029"/>
      <c r="I3029"/>
    </row>
    <row r="3030" spans="6:9" x14ac:dyDescent="0.35">
      <c r="F3030"/>
      <c r="G3030"/>
      <c r="I3030"/>
    </row>
    <row r="3031" spans="6:9" x14ac:dyDescent="0.35">
      <c r="F3031"/>
      <c r="G3031"/>
      <c r="I3031"/>
    </row>
    <row r="3032" spans="6:9" x14ac:dyDescent="0.35">
      <c r="F3032"/>
      <c r="G3032"/>
      <c r="I3032"/>
    </row>
    <row r="3033" spans="6:9" x14ac:dyDescent="0.35">
      <c r="F3033"/>
      <c r="G3033"/>
      <c r="I3033"/>
    </row>
    <row r="3034" spans="6:9" x14ac:dyDescent="0.35">
      <c r="F3034"/>
      <c r="G3034"/>
      <c r="I3034"/>
    </row>
    <row r="3035" spans="6:9" x14ac:dyDescent="0.35">
      <c r="F3035"/>
      <c r="G3035"/>
      <c r="I3035"/>
    </row>
    <row r="3036" spans="6:9" x14ac:dyDescent="0.35">
      <c r="F3036"/>
      <c r="G3036"/>
      <c r="I3036"/>
    </row>
    <row r="3037" spans="6:9" x14ac:dyDescent="0.35">
      <c r="F3037"/>
      <c r="G3037"/>
      <c r="I3037"/>
    </row>
    <row r="3038" spans="6:9" x14ac:dyDescent="0.35">
      <c r="F3038"/>
      <c r="G3038"/>
      <c r="I3038"/>
    </row>
    <row r="3039" spans="6:9" x14ac:dyDescent="0.35">
      <c r="F3039"/>
      <c r="G3039"/>
      <c r="I3039"/>
    </row>
    <row r="3040" spans="6:9" x14ac:dyDescent="0.35">
      <c r="F3040"/>
      <c r="G3040"/>
      <c r="I3040"/>
    </row>
    <row r="3041" spans="6:9" x14ac:dyDescent="0.35">
      <c r="F3041"/>
      <c r="G3041"/>
      <c r="I3041"/>
    </row>
    <row r="3042" spans="6:9" x14ac:dyDescent="0.35">
      <c r="F3042"/>
      <c r="G3042"/>
      <c r="I3042"/>
    </row>
    <row r="3043" spans="6:9" x14ac:dyDescent="0.35">
      <c r="F3043"/>
      <c r="G3043"/>
      <c r="I3043"/>
    </row>
    <row r="3044" spans="6:9" x14ac:dyDescent="0.35">
      <c r="F3044"/>
      <c r="G3044"/>
      <c r="I3044"/>
    </row>
    <row r="3045" spans="6:9" x14ac:dyDescent="0.35">
      <c r="F3045"/>
      <c r="G3045"/>
      <c r="I3045"/>
    </row>
    <row r="3046" spans="6:9" x14ac:dyDescent="0.35">
      <c r="F3046"/>
      <c r="G3046"/>
      <c r="I3046"/>
    </row>
    <row r="3047" spans="6:9" x14ac:dyDescent="0.35">
      <c r="F3047"/>
      <c r="G3047"/>
      <c r="I3047"/>
    </row>
    <row r="3048" spans="6:9" x14ac:dyDescent="0.35">
      <c r="F3048"/>
      <c r="G3048"/>
      <c r="I3048"/>
    </row>
    <row r="3049" spans="6:9" x14ac:dyDescent="0.35">
      <c r="F3049"/>
      <c r="G3049"/>
      <c r="I3049"/>
    </row>
    <row r="3050" spans="6:9" x14ac:dyDescent="0.35">
      <c r="F3050"/>
      <c r="G3050"/>
      <c r="I3050"/>
    </row>
    <row r="3051" spans="6:9" x14ac:dyDescent="0.35">
      <c r="F3051"/>
      <c r="G3051"/>
      <c r="I3051"/>
    </row>
    <row r="3052" spans="6:9" x14ac:dyDescent="0.35">
      <c r="F3052"/>
      <c r="G3052"/>
      <c r="I3052"/>
    </row>
    <row r="3053" spans="6:9" x14ac:dyDescent="0.35">
      <c r="F3053"/>
      <c r="G3053"/>
      <c r="I3053"/>
    </row>
    <row r="3054" spans="6:9" x14ac:dyDescent="0.35">
      <c r="F3054"/>
      <c r="G3054"/>
      <c r="I3054"/>
    </row>
    <row r="3055" spans="6:9" x14ac:dyDescent="0.35">
      <c r="F3055"/>
      <c r="G3055"/>
      <c r="I3055"/>
    </row>
    <row r="3056" spans="6:9" x14ac:dyDescent="0.35">
      <c r="F3056"/>
      <c r="G3056"/>
      <c r="I3056"/>
    </row>
    <row r="3057" spans="6:9" x14ac:dyDescent="0.35">
      <c r="F3057"/>
      <c r="G3057"/>
      <c r="I3057"/>
    </row>
    <row r="3058" spans="6:9" x14ac:dyDescent="0.35">
      <c r="F3058"/>
      <c r="G3058"/>
      <c r="I3058"/>
    </row>
    <row r="3059" spans="6:9" x14ac:dyDescent="0.35">
      <c r="F3059"/>
      <c r="G3059"/>
      <c r="I3059"/>
    </row>
    <row r="3060" spans="6:9" x14ac:dyDescent="0.35">
      <c r="F3060"/>
      <c r="G3060"/>
      <c r="I3060"/>
    </row>
    <row r="3061" spans="6:9" x14ac:dyDescent="0.35">
      <c r="F3061"/>
      <c r="G3061"/>
      <c r="I3061"/>
    </row>
    <row r="3062" spans="6:9" x14ac:dyDescent="0.35">
      <c r="F3062"/>
      <c r="G3062"/>
      <c r="I3062"/>
    </row>
    <row r="3063" spans="6:9" x14ac:dyDescent="0.35">
      <c r="F3063"/>
      <c r="G3063"/>
      <c r="I3063"/>
    </row>
    <row r="3064" spans="6:9" x14ac:dyDescent="0.35">
      <c r="F3064"/>
      <c r="G3064"/>
      <c r="I3064"/>
    </row>
    <row r="3065" spans="6:9" x14ac:dyDescent="0.35">
      <c r="F3065"/>
      <c r="G3065"/>
      <c r="I3065"/>
    </row>
    <row r="3066" spans="6:9" x14ac:dyDescent="0.35">
      <c r="F3066"/>
      <c r="G3066"/>
      <c r="I3066"/>
    </row>
    <row r="3067" spans="6:9" x14ac:dyDescent="0.35">
      <c r="F3067"/>
      <c r="G3067"/>
      <c r="I3067"/>
    </row>
    <row r="3068" spans="6:9" x14ac:dyDescent="0.35">
      <c r="F3068"/>
      <c r="G3068"/>
      <c r="I3068"/>
    </row>
    <row r="3069" spans="6:9" x14ac:dyDescent="0.35">
      <c r="F3069"/>
      <c r="G3069"/>
      <c r="I3069"/>
    </row>
    <row r="3070" spans="6:9" x14ac:dyDescent="0.35">
      <c r="F3070"/>
      <c r="G3070"/>
      <c r="I3070"/>
    </row>
    <row r="3071" spans="6:9" x14ac:dyDescent="0.35">
      <c r="F3071"/>
      <c r="G3071"/>
      <c r="I3071"/>
    </row>
    <row r="3072" spans="6:9" x14ac:dyDescent="0.35">
      <c r="F3072"/>
      <c r="G3072"/>
      <c r="I3072"/>
    </row>
    <row r="3073" spans="6:9" x14ac:dyDescent="0.35">
      <c r="F3073"/>
      <c r="G3073"/>
      <c r="I3073"/>
    </row>
    <row r="3074" spans="6:9" x14ac:dyDescent="0.35">
      <c r="F3074"/>
      <c r="G3074"/>
      <c r="I3074"/>
    </row>
    <row r="3075" spans="6:9" x14ac:dyDescent="0.35">
      <c r="F3075"/>
      <c r="G3075"/>
      <c r="I3075"/>
    </row>
    <row r="3076" spans="6:9" x14ac:dyDescent="0.35">
      <c r="F3076"/>
      <c r="G3076"/>
      <c r="I3076"/>
    </row>
    <row r="3077" spans="6:9" x14ac:dyDescent="0.35">
      <c r="F3077"/>
      <c r="G3077"/>
      <c r="I3077"/>
    </row>
    <row r="3078" spans="6:9" x14ac:dyDescent="0.35">
      <c r="F3078"/>
      <c r="G3078"/>
      <c r="I3078"/>
    </row>
    <row r="3079" spans="6:9" x14ac:dyDescent="0.35">
      <c r="F3079"/>
      <c r="G3079"/>
      <c r="I3079"/>
    </row>
    <row r="3080" spans="6:9" x14ac:dyDescent="0.35">
      <c r="F3080"/>
      <c r="G3080"/>
      <c r="I3080"/>
    </row>
    <row r="3081" spans="6:9" x14ac:dyDescent="0.35">
      <c r="F3081"/>
      <c r="G3081"/>
      <c r="I3081"/>
    </row>
    <row r="3082" spans="6:9" x14ac:dyDescent="0.35">
      <c r="F3082"/>
      <c r="G3082"/>
      <c r="I3082"/>
    </row>
    <row r="3083" spans="6:9" x14ac:dyDescent="0.35">
      <c r="F3083"/>
      <c r="G3083"/>
      <c r="I3083"/>
    </row>
    <row r="3084" spans="6:9" x14ac:dyDescent="0.35">
      <c r="F3084"/>
      <c r="G3084"/>
      <c r="I3084"/>
    </row>
    <row r="3085" spans="6:9" x14ac:dyDescent="0.35">
      <c r="F3085"/>
      <c r="G3085"/>
      <c r="I3085"/>
    </row>
    <row r="3086" spans="6:9" x14ac:dyDescent="0.35">
      <c r="F3086"/>
      <c r="G3086"/>
      <c r="I3086"/>
    </row>
    <row r="3087" spans="6:9" x14ac:dyDescent="0.35">
      <c r="F3087"/>
      <c r="G3087"/>
      <c r="I3087"/>
    </row>
    <row r="3088" spans="6:9" x14ac:dyDescent="0.35">
      <c r="F3088"/>
      <c r="G3088"/>
      <c r="I3088"/>
    </row>
    <row r="3089" spans="6:9" x14ac:dyDescent="0.35">
      <c r="F3089"/>
      <c r="G3089"/>
      <c r="I3089"/>
    </row>
    <row r="3090" spans="6:9" x14ac:dyDescent="0.35">
      <c r="F3090"/>
      <c r="G3090"/>
      <c r="I3090"/>
    </row>
    <row r="3091" spans="6:9" x14ac:dyDescent="0.35">
      <c r="F3091"/>
      <c r="G3091"/>
      <c r="I3091"/>
    </row>
    <row r="3092" spans="6:9" x14ac:dyDescent="0.35">
      <c r="F3092"/>
      <c r="G3092"/>
      <c r="I3092"/>
    </row>
    <row r="3093" spans="6:9" x14ac:dyDescent="0.35">
      <c r="F3093"/>
      <c r="G3093"/>
      <c r="I3093"/>
    </row>
    <row r="3094" spans="6:9" x14ac:dyDescent="0.35">
      <c r="F3094"/>
      <c r="G3094"/>
      <c r="I3094"/>
    </row>
    <row r="3095" spans="6:9" x14ac:dyDescent="0.35">
      <c r="F3095"/>
      <c r="G3095"/>
      <c r="I3095"/>
    </row>
    <row r="3096" spans="6:9" x14ac:dyDescent="0.35">
      <c r="F3096"/>
      <c r="G3096"/>
      <c r="I3096"/>
    </row>
    <row r="3097" spans="6:9" x14ac:dyDescent="0.35">
      <c r="F3097"/>
      <c r="G3097"/>
      <c r="I3097"/>
    </row>
    <row r="3098" spans="6:9" x14ac:dyDescent="0.35">
      <c r="F3098"/>
      <c r="G3098"/>
      <c r="I3098"/>
    </row>
    <row r="3099" spans="6:9" x14ac:dyDescent="0.35">
      <c r="F3099"/>
      <c r="G3099"/>
      <c r="I3099"/>
    </row>
    <row r="3100" spans="6:9" x14ac:dyDescent="0.35">
      <c r="F3100"/>
      <c r="G3100"/>
      <c r="I3100"/>
    </row>
    <row r="3101" spans="6:9" x14ac:dyDescent="0.35">
      <c r="F3101"/>
      <c r="G3101"/>
      <c r="I3101"/>
    </row>
    <row r="3102" spans="6:9" x14ac:dyDescent="0.35">
      <c r="F3102"/>
      <c r="G3102"/>
      <c r="I3102"/>
    </row>
    <row r="3103" spans="6:9" x14ac:dyDescent="0.35">
      <c r="F3103"/>
      <c r="G3103"/>
      <c r="I3103"/>
    </row>
    <row r="3104" spans="6:9" x14ac:dyDescent="0.35">
      <c r="F3104"/>
      <c r="G3104"/>
      <c r="I3104"/>
    </row>
    <row r="3105" spans="6:9" x14ac:dyDescent="0.35">
      <c r="F3105"/>
      <c r="G3105"/>
      <c r="I3105"/>
    </row>
    <row r="3106" spans="6:9" x14ac:dyDescent="0.35">
      <c r="F3106"/>
      <c r="G3106"/>
      <c r="I3106"/>
    </row>
    <row r="3107" spans="6:9" x14ac:dyDescent="0.35">
      <c r="F3107"/>
      <c r="G3107"/>
      <c r="I3107"/>
    </row>
    <row r="3108" spans="6:9" x14ac:dyDescent="0.35">
      <c r="F3108"/>
      <c r="G3108"/>
      <c r="I3108"/>
    </row>
    <row r="3109" spans="6:9" x14ac:dyDescent="0.35">
      <c r="F3109"/>
      <c r="G3109"/>
      <c r="I3109"/>
    </row>
    <row r="3110" spans="6:9" x14ac:dyDescent="0.35">
      <c r="F3110"/>
      <c r="G3110"/>
      <c r="I3110"/>
    </row>
    <row r="3111" spans="6:9" x14ac:dyDescent="0.35">
      <c r="F3111"/>
      <c r="G3111"/>
      <c r="I3111"/>
    </row>
    <row r="3112" spans="6:9" x14ac:dyDescent="0.35">
      <c r="F3112"/>
      <c r="G3112"/>
      <c r="I3112"/>
    </row>
    <row r="3113" spans="6:9" x14ac:dyDescent="0.35">
      <c r="F3113"/>
      <c r="G3113"/>
      <c r="I3113"/>
    </row>
    <row r="3114" spans="6:9" x14ac:dyDescent="0.35">
      <c r="F3114"/>
      <c r="G3114"/>
      <c r="I3114"/>
    </row>
    <row r="3115" spans="6:9" x14ac:dyDescent="0.35">
      <c r="F3115"/>
      <c r="G3115"/>
      <c r="I3115"/>
    </row>
    <row r="3116" spans="6:9" x14ac:dyDescent="0.35">
      <c r="F3116"/>
      <c r="G3116"/>
      <c r="I3116"/>
    </row>
    <row r="3117" spans="6:9" x14ac:dyDescent="0.35">
      <c r="F3117"/>
      <c r="G3117"/>
      <c r="I3117"/>
    </row>
    <row r="3118" spans="6:9" x14ac:dyDescent="0.35">
      <c r="F3118"/>
      <c r="G3118"/>
      <c r="I3118"/>
    </row>
    <row r="3119" spans="6:9" x14ac:dyDescent="0.35">
      <c r="F3119"/>
      <c r="G3119"/>
      <c r="I3119"/>
    </row>
    <row r="3120" spans="6:9" x14ac:dyDescent="0.35">
      <c r="F3120"/>
      <c r="G3120"/>
      <c r="I3120"/>
    </row>
    <row r="3121" spans="6:9" x14ac:dyDescent="0.35">
      <c r="F3121"/>
      <c r="G3121"/>
      <c r="I3121"/>
    </row>
    <row r="3122" spans="6:9" x14ac:dyDescent="0.35">
      <c r="F3122"/>
      <c r="G3122"/>
      <c r="I3122"/>
    </row>
    <row r="3123" spans="6:9" x14ac:dyDescent="0.35">
      <c r="F3123"/>
      <c r="G3123"/>
      <c r="I3123"/>
    </row>
    <row r="3124" spans="6:9" x14ac:dyDescent="0.35">
      <c r="F3124"/>
      <c r="G3124"/>
      <c r="I3124"/>
    </row>
    <row r="3125" spans="6:9" x14ac:dyDescent="0.35">
      <c r="F3125"/>
      <c r="G3125"/>
      <c r="I3125"/>
    </row>
    <row r="3126" spans="6:9" x14ac:dyDescent="0.35">
      <c r="F3126"/>
      <c r="G3126"/>
      <c r="I3126"/>
    </row>
    <row r="3127" spans="6:9" x14ac:dyDescent="0.35">
      <c r="F3127"/>
      <c r="G3127"/>
      <c r="I3127"/>
    </row>
    <row r="3128" spans="6:9" x14ac:dyDescent="0.35">
      <c r="F3128"/>
      <c r="G3128"/>
      <c r="I3128"/>
    </row>
    <row r="3129" spans="6:9" x14ac:dyDescent="0.35">
      <c r="F3129"/>
      <c r="G3129"/>
      <c r="I3129"/>
    </row>
    <row r="3130" spans="6:9" x14ac:dyDescent="0.35">
      <c r="F3130"/>
      <c r="G3130"/>
      <c r="I3130"/>
    </row>
    <row r="3131" spans="6:9" x14ac:dyDescent="0.35">
      <c r="F3131"/>
      <c r="G3131"/>
      <c r="I3131"/>
    </row>
    <row r="3132" spans="6:9" x14ac:dyDescent="0.35">
      <c r="F3132"/>
      <c r="G3132"/>
      <c r="I3132"/>
    </row>
    <row r="3133" spans="6:9" x14ac:dyDescent="0.35">
      <c r="F3133"/>
      <c r="G3133"/>
      <c r="I3133"/>
    </row>
    <row r="3134" spans="6:9" x14ac:dyDescent="0.35">
      <c r="F3134"/>
      <c r="G3134"/>
      <c r="I3134"/>
    </row>
    <row r="3135" spans="6:9" x14ac:dyDescent="0.35">
      <c r="F3135"/>
      <c r="G3135"/>
      <c r="I3135"/>
    </row>
    <row r="3136" spans="6:9" x14ac:dyDescent="0.35">
      <c r="F3136"/>
      <c r="G3136"/>
      <c r="I3136"/>
    </row>
    <row r="3137" spans="6:9" x14ac:dyDescent="0.35">
      <c r="F3137"/>
      <c r="G3137"/>
      <c r="I3137"/>
    </row>
    <row r="3138" spans="6:9" x14ac:dyDescent="0.35">
      <c r="F3138"/>
      <c r="G3138"/>
      <c r="I3138"/>
    </row>
    <row r="3139" spans="6:9" x14ac:dyDescent="0.35">
      <c r="F3139"/>
      <c r="G3139"/>
      <c r="I3139"/>
    </row>
    <row r="3140" spans="6:9" x14ac:dyDescent="0.35">
      <c r="F3140"/>
      <c r="G3140"/>
      <c r="I3140"/>
    </row>
    <row r="3141" spans="6:9" x14ac:dyDescent="0.35">
      <c r="F3141"/>
      <c r="G3141"/>
      <c r="I3141"/>
    </row>
    <row r="3142" spans="6:9" x14ac:dyDescent="0.35">
      <c r="F3142"/>
      <c r="G3142"/>
      <c r="I3142"/>
    </row>
    <row r="3143" spans="6:9" x14ac:dyDescent="0.35">
      <c r="F3143"/>
      <c r="G3143"/>
      <c r="I3143"/>
    </row>
    <row r="3144" spans="6:9" x14ac:dyDescent="0.35">
      <c r="F3144"/>
      <c r="G3144"/>
      <c r="I3144"/>
    </row>
    <row r="3145" spans="6:9" x14ac:dyDescent="0.35">
      <c r="F3145"/>
      <c r="G3145"/>
      <c r="I3145"/>
    </row>
    <row r="3146" spans="6:9" x14ac:dyDescent="0.35">
      <c r="F3146"/>
      <c r="G3146"/>
      <c r="I3146"/>
    </row>
    <row r="3147" spans="6:9" x14ac:dyDescent="0.35">
      <c r="F3147"/>
      <c r="G3147"/>
      <c r="I3147"/>
    </row>
    <row r="3148" spans="6:9" x14ac:dyDescent="0.35">
      <c r="F3148"/>
      <c r="G3148"/>
      <c r="I3148"/>
    </row>
    <row r="3149" spans="6:9" x14ac:dyDescent="0.35">
      <c r="F3149"/>
      <c r="G3149"/>
      <c r="I3149"/>
    </row>
    <row r="3150" spans="6:9" x14ac:dyDescent="0.35">
      <c r="F3150"/>
      <c r="G3150"/>
      <c r="I3150"/>
    </row>
    <row r="3151" spans="6:9" x14ac:dyDescent="0.35">
      <c r="F3151"/>
      <c r="G3151"/>
      <c r="I3151"/>
    </row>
    <row r="3152" spans="6:9" x14ac:dyDescent="0.35">
      <c r="F3152"/>
      <c r="G3152"/>
      <c r="I3152"/>
    </row>
    <row r="3153" spans="6:9" x14ac:dyDescent="0.35">
      <c r="F3153"/>
      <c r="G3153"/>
      <c r="I3153"/>
    </row>
    <row r="3154" spans="6:9" x14ac:dyDescent="0.35">
      <c r="F3154"/>
      <c r="G3154"/>
      <c r="I3154"/>
    </row>
    <row r="3155" spans="6:9" x14ac:dyDescent="0.35">
      <c r="F3155"/>
      <c r="G3155"/>
      <c r="I3155"/>
    </row>
    <row r="3156" spans="6:9" x14ac:dyDescent="0.35">
      <c r="F3156"/>
      <c r="G3156"/>
      <c r="I3156"/>
    </row>
    <row r="3157" spans="6:9" x14ac:dyDescent="0.35">
      <c r="F3157"/>
      <c r="G3157"/>
      <c r="I3157"/>
    </row>
    <row r="3158" spans="6:9" x14ac:dyDescent="0.35">
      <c r="F3158"/>
      <c r="G3158"/>
      <c r="I3158"/>
    </row>
    <row r="3159" spans="6:9" x14ac:dyDescent="0.35">
      <c r="F3159"/>
      <c r="G3159"/>
      <c r="I3159"/>
    </row>
    <row r="3160" spans="6:9" x14ac:dyDescent="0.35">
      <c r="F3160"/>
      <c r="G3160"/>
      <c r="I3160"/>
    </row>
    <row r="3161" spans="6:9" x14ac:dyDescent="0.35">
      <c r="F3161"/>
      <c r="G3161"/>
      <c r="I3161"/>
    </row>
    <row r="3162" spans="6:9" x14ac:dyDescent="0.35">
      <c r="F3162"/>
      <c r="G3162"/>
      <c r="I3162"/>
    </row>
    <row r="3163" spans="6:9" x14ac:dyDescent="0.35">
      <c r="F3163"/>
      <c r="G3163"/>
      <c r="I3163"/>
    </row>
    <row r="3164" spans="6:9" x14ac:dyDescent="0.35">
      <c r="F3164"/>
      <c r="G3164"/>
      <c r="I3164"/>
    </row>
    <row r="3165" spans="6:9" x14ac:dyDescent="0.35">
      <c r="F3165"/>
      <c r="G3165"/>
      <c r="I3165"/>
    </row>
    <row r="3166" spans="6:9" x14ac:dyDescent="0.35">
      <c r="F3166"/>
      <c r="G3166"/>
      <c r="I3166"/>
    </row>
    <row r="3167" spans="6:9" x14ac:dyDescent="0.35">
      <c r="F3167"/>
      <c r="G3167"/>
      <c r="I3167"/>
    </row>
    <row r="3168" spans="6:9" x14ac:dyDescent="0.35">
      <c r="F3168"/>
      <c r="G3168"/>
      <c r="I3168"/>
    </row>
    <row r="3169" spans="6:9" x14ac:dyDescent="0.35">
      <c r="F3169"/>
      <c r="G3169"/>
      <c r="I3169"/>
    </row>
    <row r="3170" spans="6:9" x14ac:dyDescent="0.35">
      <c r="F3170"/>
      <c r="G3170"/>
      <c r="I3170"/>
    </row>
    <row r="3171" spans="6:9" x14ac:dyDescent="0.35">
      <c r="F3171"/>
      <c r="G3171"/>
      <c r="I3171"/>
    </row>
    <row r="3172" spans="6:9" x14ac:dyDescent="0.35">
      <c r="F3172"/>
      <c r="G3172"/>
      <c r="I3172"/>
    </row>
    <row r="3173" spans="6:9" x14ac:dyDescent="0.35">
      <c r="F3173"/>
      <c r="G3173"/>
      <c r="I3173"/>
    </row>
    <row r="3174" spans="6:9" x14ac:dyDescent="0.35">
      <c r="F3174"/>
      <c r="G3174"/>
      <c r="I3174"/>
    </row>
    <row r="3175" spans="6:9" x14ac:dyDescent="0.35">
      <c r="F3175"/>
      <c r="G3175"/>
      <c r="I3175"/>
    </row>
    <row r="3176" spans="6:9" x14ac:dyDescent="0.35">
      <c r="F3176"/>
      <c r="G3176"/>
      <c r="I3176"/>
    </row>
    <row r="3177" spans="6:9" x14ac:dyDescent="0.35">
      <c r="F3177"/>
      <c r="G3177"/>
      <c r="I3177"/>
    </row>
    <row r="3178" spans="6:9" x14ac:dyDescent="0.35">
      <c r="F3178"/>
      <c r="G3178"/>
      <c r="I3178"/>
    </row>
    <row r="3179" spans="6:9" x14ac:dyDescent="0.35">
      <c r="F3179"/>
      <c r="G3179"/>
      <c r="I3179"/>
    </row>
    <row r="3180" spans="6:9" x14ac:dyDescent="0.35">
      <c r="F3180"/>
      <c r="G3180"/>
      <c r="I3180"/>
    </row>
    <row r="3181" spans="6:9" x14ac:dyDescent="0.35">
      <c r="F3181"/>
      <c r="G3181"/>
      <c r="I3181"/>
    </row>
    <row r="3182" spans="6:9" x14ac:dyDescent="0.35">
      <c r="F3182"/>
      <c r="G3182"/>
      <c r="I3182"/>
    </row>
    <row r="3183" spans="6:9" x14ac:dyDescent="0.35">
      <c r="F3183"/>
      <c r="G3183"/>
      <c r="I3183"/>
    </row>
    <row r="3184" spans="6:9" x14ac:dyDescent="0.35">
      <c r="F3184"/>
      <c r="G3184"/>
      <c r="I3184"/>
    </row>
    <row r="3185" spans="6:9" x14ac:dyDescent="0.35">
      <c r="F3185"/>
      <c r="G3185"/>
      <c r="I3185"/>
    </row>
    <row r="3186" spans="6:9" x14ac:dyDescent="0.35">
      <c r="F3186"/>
      <c r="G3186"/>
      <c r="I3186"/>
    </row>
    <row r="3187" spans="6:9" x14ac:dyDescent="0.35">
      <c r="F3187"/>
      <c r="G3187"/>
      <c r="I3187"/>
    </row>
    <row r="3188" spans="6:9" x14ac:dyDescent="0.35">
      <c r="F3188"/>
      <c r="G3188"/>
      <c r="I3188"/>
    </row>
    <row r="3189" spans="6:9" x14ac:dyDescent="0.35">
      <c r="F3189"/>
      <c r="G3189"/>
      <c r="I3189"/>
    </row>
    <row r="3190" spans="6:9" x14ac:dyDescent="0.35">
      <c r="F3190"/>
      <c r="G3190"/>
      <c r="I3190"/>
    </row>
    <row r="3191" spans="6:9" x14ac:dyDescent="0.35">
      <c r="F3191"/>
      <c r="G3191"/>
      <c r="I3191"/>
    </row>
    <row r="3192" spans="6:9" x14ac:dyDescent="0.35">
      <c r="F3192"/>
      <c r="G3192"/>
      <c r="I3192"/>
    </row>
    <row r="3193" spans="6:9" x14ac:dyDescent="0.35">
      <c r="F3193"/>
      <c r="G3193"/>
      <c r="I3193"/>
    </row>
    <row r="3194" spans="6:9" x14ac:dyDescent="0.35">
      <c r="F3194"/>
      <c r="G3194"/>
      <c r="I3194"/>
    </row>
    <row r="3195" spans="6:9" x14ac:dyDescent="0.35">
      <c r="F3195"/>
      <c r="G3195"/>
      <c r="I3195"/>
    </row>
    <row r="3196" spans="6:9" x14ac:dyDescent="0.35">
      <c r="F3196"/>
      <c r="G3196"/>
      <c r="I3196"/>
    </row>
    <row r="3197" spans="6:9" x14ac:dyDescent="0.35">
      <c r="F3197"/>
      <c r="G3197"/>
      <c r="I3197"/>
    </row>
    <row r="3198" spans="6:9" x14ac:dyDescent="0.35">
      <c r="F3198"/>
      <c r="G3198"/>
      <c r="I3198"/>
    </row>
    <row r="3199" spans="6:9" x14ac:dyDescent="0.35">
      <c r="F3199"/>
      <c r="G3199"/>
      <c r="I3199"/>
    </row>
    <row r="3200" spans="6:9" x14ac:dyDescent="0.35">
      <c r="F3200"/>
      <c r="G3200"/>
      <c r="I3200"/>
    </row>
    <row r="3201" spans="6:9" x14ac:dyDescent="0.35">
      <c r="F3201"/>
      <c r="G3201"/>
      <c r="I3201"/>
    </row>
    <row r="3202" spans="6:9" x14ac:dyDescent="0.35">
      <c r="F3202"/>
      <c r="G3202"/>
      <c r="I3202"/>
    </row>
    <row r="3203" spans="6:9" x14ac:dyDescent="0.35">
      <c r="F3203"/>
      <c r="G3203"/>
      <c r="I3203"/>
    </row>
    <row r="3204" spans="6:9" x14ac:dyDescent="0.35">
      <c r="F3204"/>
      <c r="G3204"/>
      <c r="I3204"/>
    </row>
    <row r="3205" spans="6:9" x14ac:dyDescent="0.35">
      <c r="F3205"/>
      <c r="G3205"/>
      <c r="I3205"/>
    </row>
    <row r="3206" spans="6:9" x14ac:dyDescent="0.35">
      <c r="F3206"/>
      <c r="G3206"/>
      <c r="I3206"/>
    </row>
    <row r="3207" spans="6:9" x14ac:dyDescent="0.35">
      <c r="F3207"/>
      <c r="G3207"/>
      <c r="I3207"/>
    </row>
    <row r="3208" spans="6:9" x14ac:dyDescent="0.35">
      <c r="F3208"/>
      <c r="G3208"/>
      <c r="I3208"/>
    </row>
    <row r="3209" spans="6:9" x14ac:dyDescent="0.35">
      <c r="F3209"/>
      <c r="G3209"/>
      <c r="I3209"/>
    </row>
    <row r="3210" spans="6:9" x14ac:dyDescent="0.35">
      <c r="F3210"/>
      <c r="G3210"/>
      <c r="I3210"/>
    </row>
    <row r="3211" spans="6:9" x14ac:dyDescent="0.35">
      <c r="F3211"/>
      <c r="G3211"/>
      <c r="I3211"/>
    </row>
    <row r="3212" spans="6:9" x14ac:dyDescent="0.35">
      <c r="F3212"/>
      <c r="G3212"/>
      <c r="I3212"/>
    </row>
    <row r="3213" spans="6:9" x14ac:dyDescent="0.35">
      <c r="F3213"/>
      <c r="G3213"/>
      <c r="I3213"/>
    </row>
    <row r="3214" spans="6:9" x14ac:dyDescent="0.35">
      <c r="F3214"/>
      <c r="G3214"/>
      <c r="I3214"/>
    </row>
    <row r="3215" spans="6:9" x14ac:dyDescent="0.35">
      <c r="F3215"/>
      <c r="G3215"/>
      <c r="I3215"/>
    </row>
    <row r="3216" spans="6:9" x14ac:dyDescent="0.35">
      <c r="F3216"/>
      <c r="G3216"/>
      <c r="I3216"/>
    </row>
    <row r="3217" spans="6:9" x14ac:dyDescent="0.35">
      <c r="F3217"/>
      <c r="G3217"/>
      <c r="I3217"/>
    </row>
    <row r="3218" spans="6:9" x14ac:dyDescent="0.35">
      <c r="F3218"/>
      <c r="G3218"/>
      <c r="I3218"/>
    </row>
    <row r="3219" spans="6:9" x14ac:dyDescent="0.35">
      <c r="F3219"/>
      <c r="G3219"/>
      <c r="I3219"/>
    </row>
    <row r="3220" spans="6:9" x14ac:dyDescent="0.35">
      <c r="F3220"/>
      <c r="G3220"/>
      <c r="I3220"/>
    </row>
    <row r="3221" spans="6:9" x14ac:dyDescent="0.35">
      <c r="F3221"/>
      <c r="G3221"/>
      <c r="I3221"/>
    </row>
    <row r="3222" spans="6:9" x14ac:dyDescent="0.35">
      <c r="F3222"/>
      <c r="G3222"/>
      <c r="I3222"/>
    </row>
    <row r="3223" spans="6:9" x14ac:dyDescent="0.35">
      <c r="F3223"/>
      <c r="G3223"/>
      <c r="I3223"/>
    </row>
    <row r="3224" spans="6:9" x14ac:dyDescent="0.35">
      <c r="F3224"/>
      <c r="G3224"/>
      <c r="I3224"/>
    </row>
    <row r="3225" spans="6:9" x14ac:dyDescent="0.35">
      <c r="F3225"/>
      <c r="G3225"/>
      <c r="I3225"/>
    </row>
    <row r="3226" spans="6:9" x14ac:dyDescent="0.35">
      <c r="F3226"/>
      <c r="G3226"/>
      <c r="I3226"/>
    </row>
    <row r="3227" spans="6:9" x14ac:dyDescent="0.35">
      <c r="F3227"/>
      <c r="G3227"/>
      <c r="I3227"/>
    </row>
    <row r="3228" spans="6:9" x14ac:dyDescent="0.35">
      <c r="F3228"/>
      <c r="G3228"/>
      <c r="I3228"/>
    </row>
    <row r="3229" spans="6:9" x14ac:dyDescent="0.35">
      <c r="F3229"/>
      <c r="G3229"/>
      <c r="I3229"/>
    </row>
    <row r="3230" spans="6:9" x14ac:dyDescent="0.35">
      <c r="F3230"/>
      <c r="G3230"/>
      <c r="I3230"/>
    </row>
    <row r="3231" spans="6:9" x14ac:dyDescent="0.35">
      <c r="F3231"/>
      <c r="G3231"/>
      <c r="I3231"/>
    </row>
    <row r="3232" spans="6:9" x14ac:dyDescent="0.35">
      <c r="F3232"/>
      <c r="G3232"/>
      <c r="I3232"/>
    </row>
    <row r="3233" spans="6:9" x14ac:dyDescent="0.35">
      <c r="F3233"/>
      <c r="G3233"/>
      <c r="I3233"/>
    </row>
    <row r="3234" spans="6:9" x14ac:dyDescent="0.35">
      <c r="F3234"/>
      <c r="G3234"/>
      <c r="I3234"/>
    </row>
    <row r="3235" spans="6:9" x14ac:dyDescent="0.35">
      <c r="F3235"/>
      <c r="G3235"/>
      <c r="I3235"/>
    </row>
    <row r="3236" spans="6:9" x14ac:dyDescent="0.35">
      <c r="F3236"/>
      <c r="G3236"/>
      <c r="I3236"/>
    </row>
    <row r="3237" spans="6:9" x14ac:dyDescent="0.35">
      <c r="F3237"/>
      <c r="G3237"/>
      <c r="I3237"/>
    </row>
    <row r="3238" spans="6:9" x14ac:dyDescent="0.35">
      <c r="F3238"/>
      <c r="G3238"/>
      <c r="I3238"/>
    </row>
    <row r="3239" spans="6:9" x14ac:dyDescent="0.35">
      <c r="F3239"/>
      <c r="G3239"/>
      <c r="I3239"/>
    </row>
    <row r="3240" spans="6:9" x14ac:dyDescent="0.35">
      <c r="F3240"/>
      <c r="G3240"/>
      <c r="I3240"/>
    </row>
    <row r="3241" spans="6:9" x14ac:dyDescent="0.35">
      <c r="F3241"/>
      <c r="G3241"/>
      <c r="I3241"/>
    </row>
    <row r="3242" spans="6:9" x14ac:dyDescent="0.35">
      <c r="F3242"/>
      <c r="G3242"/>
      <c r="I3242"/>
    </row>
    <row r="3243" spans="6:9" x14ac:dyDescent="0.35">
      <c r="F3243"/>
      <c r="G3243"/>
      <c r="I3243"/>
    </row>
    <row r="3244" spans="6:9" x14ac:dyDescent="0.35">
      <c r="F3244"/>
      <c r="G3244"/>
      <c r="I3244"/>
    </row>
    <row r="3245" spans="6:9" x14ac:dyDescent="0.35">
      <c r="F3245"/>
      <c r="G3245"/>
      <c r="I3245"/>
    </row>
    <row r="3246" spans="6:9" x14ac:dyDescent="0.35">
      <c r="F3246"/>
      <c r="G3246"/>
      <c r="I3246"/>
    </row>
    <row r="3247" spans="6:9" x14ac:dyDescent="0.35">
      <c r="F3247"/>
      <c r="G3247"/>
      <c r="I3247"/>
    </row>
    <row r="3248" spans="6:9" x14ac:dyDescent="0.35">
      <c r="F3248"/>
      <c r="G3248"/>
      <c r="I3248"/>
    </row>
    <row r="3249" spans="6:9" x14ac:dyDescent="0.35">
      <c r="F3249"/>
      <c r="G3249"/>
      <c r="I3249"/>
    </row>
    <row r="3250" spans="6:9" x14ac:dyDescent="0.35">
      <c r="F3250"/>
      <c r="G3250"/>
      <c r="I3250"/>
    </row>
    <row r="3251" spans="6:9" x14ac:dyDescent="0.35">
      <c r="F3251"/>
      <c r="G3251"/>
      <c r="I3251"/>
    </row>
    <row r="3252" spans="6:9" x14ac:dyDescent="0.35">
      <c r="F3252"/>
      <c r="G3252"/>
      <c r="I3252"/>
    </row>
    <row r="3253" spans="6:9" x14ac:dyDescent="0.35">
      <c r="F3253"/>
      <c r="G3253"/>
      <c r="I3253"/>
    </row>
    <row r="3254" spans="6:9" x14ac:dyDescent="0.35">
      <c r="F3254"/>
      <c r="G3254"/>
      <c r="I3254"/>
    </row>
    <row r="3255" spans="6:9" x14ac:dyDescent="0.35">
      <c r="F3255"/>
      <c r="G3255"/>
      <c r="I3255"/>
    </row>
    <row r="3256" spans="6:9" x14ac:dyDescent="0.35">
      <c r="F3256"/>
      <c r="G3256"/>
      <c r="I3256"/>
    </row>
    <row r="3257" spans="6:9" x14ac:dyDescent="0.35">
      <c r="F3257"/>
      <c r="G3257"/>
      <c r="I3257"/>
    </row>
    <row r="3258" spans="6:9" x14ac:dyDescent="0.35">
      <c r="F3258"/>
      <c r="G3258"/>
      <c r="I3258"/>
    </row>
    <row r="3259" spans="6:9" x14ac:dyDescent="0.35">
      <c r="F3259"/>
      <c r="G3259"/>
      <c r="I3259"/>
    </row>
    <row r="3260" spans="6:9" x14ac:dyDescent="0.35">
      <c r="F3260"/>
      <c r="G3260"/>
      <c r="I3260"/>
    </row>
    <row r="3261" spans="6:9" x14ac:dyDescent="0.35">
      <c r="F3261"/>
      <c r="G3261"/>
      <c r="I3261"/>
    </row>
    <row r="3262" spans="6:9" x14ac:dyDescent="0.35">
      <c r="F3262"/>
      <c r="G3262"/>
      <c r="I3262"/>
    </row>
    <row r="3263" spans="6:9" x14ac:dyDescent="0.35">
      <c r="F3263"/>
      <c r="G3263"/>
      <c r="I3263"/>
    </row>
    <row r="3264" spans="6:9" x14ac:dyDescent="0.35">
      <c r="F3264"/>
      <c r="G3264"/>
      <c r="I3264"/>
    </row>
    <row r="3265" spans="6:9" x14ac:dyDescent="0.35">
      <c r="F3265"/>
      <c r="G3265"/>
      <c r="I3265"/>
    </row>
    <row r="3266" spans="6:9" x14ac:dyDescent="0.35">
      <c r="F3266"/>
      <c r="G3266"/>
      <c r="I3266"/>
    </row>
    <row r="3267" spans="6:9" x14ac:dyDescent="0.35">
      <c r="F3267"/>
      <c r="G3267"/>
      <c r="I3267"/>
    </row>
    <row r="3268" spans="6:9" x14ac:dyDescent="0.35">
      <c r="F3268"/>
      <c r="G3268"/>
      <c r="I3268"/>
    </row>
    <row r="3269" spans="6:9" x14ac:dyDescent="0.35">
      <c r="F3269"/>
      <c r="G3269"/>
      <c r="I3269"/>
    </row>
    <row r="3270" spans="6:9" x14ac:dyDescent="0.35">
      <c r="F3270"/>
      <c r="G3270"/>
      <c r="I3270"/>
    </row>
    <row r="3271" spans="6:9" x14ac:dyDescent="0.35">
      <c r="F3271"/>
      <c r="G3271"/>
      <c r="I3271"/>
    </row>
    <row r="3272" spans="6:9" x14ac:dyDescent="0.35">
      <c r="F3272"/>
      <c r="G3272"/>
      <c r="I3272"/>
    </row>
    <row r="3273" spans="6:9" x14ac:dyDescent="0.35">
      <c r="F3273"/>
      <c r="G3273"/>
      <c r="I3273"/>
    </row>
    <row r="3274" spans="6:9" x14ac:dyDescent="0.35">
      <c r="F3274"/>
      <c r="G3274"/>
      <c r="I3274"/>
    </row>
    <row r="3275" spans="6:9" x14ac:dyDescent="0.35">
      <c r="F3275"/>
      <c r="G3275"/>
      <c r="I3275"/>
    </row>
    <row r="3276" spans="6:9" x14ac:dyDescent="0.35">
      <c r="F3276"/>
      <c r="G3276"/>
      <c r="I3276"/>
    </row>
    <row r="3277" spans="6:9" x14ac:dyDescent="0.35">
      <c r="F3277"/>
      <c r="G3277"/>
      <c r="I3277"/>
    </row>
    <row r="3278" spans="6:9" x14ac:dyDescent="0.35">
      <c r="F3278"/>
      <c r="G3278"/>
      <c r="I3278"/>
    </row>
    <row r="3279" spans="6:9" x14ac:dyDescent="0.35">
      <c r="F3279"/>
      <c r="G3279"/>
      <c r="I3279"/>
    </row>
    <row r="3280" spans="6:9" x14ac:dyDescent="0.35">
      <c r="F3280"/>
      <c r="G3280"/>
      <c r="I3280"/>
    </row>
    <row r="3281" spans="6:9" x14ac:dyDescent="0.35">
      <c r="F3281"/>
      <c r="G3281"/>
      <c r="I3281"/>
    </row>
    <row r="3282" spans="6:9" x14ac:dyDescent="0.35">
      <c r="F3282"/>
      <c r="G3282"/>
      <c r="I3282"/>
    </row>
    <row r="3283" spans="6:9" x14ac:dyDescent="0.35">
      <c r="F3283"/>
      <c r="G3283"/>
      <c r="I3283"/>
    </row>
    <row r="3284" spans="6:9" x14ac:dyDescent="0.35">
      <c r="F3284"/>
      <c r="G3284"/>
      <c r="I3284"/>
    </row>
    <row r="3285" spans="6:9" x14ac:dyDescent="0.35">
      <c r="F3285"/>
      <c r="G3285"/>
      <c r="I3285"/>
    </row>
    <row r="3286" spans="6:9" x14ac:dyDescent="0.35">
      <c r="F3286"/>
      <c r="G3286"/>
      <c r="I3286"/>
    </row>
    <row r="3287" spans="6:9" x14ac:dyDescent="0.35">
      <c r="F3287"/>
      <c r="G3287"/>
      <c r="I3287"/>
    </row>
    <row r="3288" spans="6:9" x14ac:dyDescent="0.35">
      <c r="F3288"/>
      <c r="G3288"/>
      <c r="I3288"/>
    </row>
    <row r="3289" spans="6:9" x14ac:dyDescent="0.35">
      <c r="F3289"/>
      <c r="G3289"/>
      <c r="I3289"/>
    </row>
    <row r="3290" spans="6:9" x14ac:dyDescent="0.35">
      <c r="F3290"/>
      <c r="G3290"/>
      <c r="I3290"/>
    </row>
    <row r="3291" spans="6:9" x14ac:dyDescent="0.35">
      <c r="F3291"/>
      <c r="G3291"/>
      <c r="I3291"/>
    </row>
    <row r="3292" spans="6:9" x14ac:dyDescent="0.35">
      <c r="F3292"/>
      <c r="G3292"/>
      <c r="I3292"/>
    </row>
    <row r="3293" spans="6:9" x14ac:dyDescent="0.35">
      <c r="F3293"/>
      <c r="G3293"/>
      <c r="I3293"/>
    </row>
    <row r="3294" spans="6:9" x14ac:dyDescent="0.35">
      <c r="F3294"/>
      <c r="G3294"/>
      <c r="I3294"/>
    </row>
    <row r="3295" spans="6:9" x14ac:dyDescent="0.35">
      <c r="F3295"/>
      <c r="G3295"/>
      <c r="I3295"/>
    </row>
    <row r="3296" spans="6:9" x14ac:dyDescent="0.35">
      <c r="F3296"/>
      <c r="G3296"/>
      <c r="I3296"/>
    </row>
    <row r="3297" spans="6:9" x14ac:dyDescent="0.35">
      <c r="F3297"/>
      <c r="G3297"/>
      <c r="I3297"/>
    </row>
    <row r="3298" spans="6:9" x14ac:dyDescent="0.35">
      <c r="F3298"/>
      <c r="G3298"/>
      <c r="I3298"/>
    </row>
    <row r="3299" spans="6:9" x14ac:dyDescent="0.35">
      <c r="F3299"/>
      <c r="G3299"/>
      <c r="I3299"/>
    </row>
    <row r="3300" spans="6:9" x14ac:dyDescent="0.35">
      <c r="F3300"/>
      <c r="G3300"/>
      <c r="I3300"/>
    </row>
    <row r="3301" spans="6:9" x14ac:dyDescent="0.35">
      <c r="F3301"/>
      <c r="G3301"/>
      <c r="I3301"/>
    </row>
    <row r="3302" spans="6:9" x14ac:dyDescent="0.35">
      <c r="F3302"/>
      <c r="G3302"/>
      <c r="I3302"/>
    </row>
    <row r="3303" spans="6:9" x14ac:dyDescent="0.35">
      <c r="F3303"/>
      <c r="G3303"/>
      <c r="I3303"/>
    </row>
    <row r="3304" spans="6:9" x14ac:dyDescent="0.35">
      <c r="F3304"/>
      <c r="G3304"/>
      <c r="I3304"/>
    </row>
    <row r="3305" spans="6:9" x14ac:dyDescent="0.35">
      <c r="F3305"/>
      <c r="G3305"/>
      <c r="I3305"/>
    </row>
    <row r="3306" spans="6:9" x14ac:dyDescent="0.35">
      <c r="F3306"/>
      <c r="G3306"/>
      <c r="I3306"/>
    </row>
    <row r="3307" spans="6:9" x14ac:dyDescent="0.35">
      <c r="F3307"/>
      <c r="G3307"/>
      <c r="I3307"/>
    </row>
    <row r="3308" spans="6:9" x14ac:dyDescent="0.35">
      <c r="F3308"/>
      <c r="G3308"/>
      <c r="I3308"/>
    </row>
    <row r="3309" spans="6:9" x14ac:dyDescent="0.35">
      <c r="F3309"/>
      <c r="G3309"/>
      <c r="I3309"/>
    </row>
    <row r="3310" spans="6:9" x14ac:dyDescent="0.35">
      <c r="F3310"/>
      <c r="G3310"/>
      <c r="I3310"/>
    </row>
    <row r="3311" spans="6:9" x14ac:dyDescent="0.35">
      <c r="F3311"/>
      <c r="G3311"/>
      <c r="I3311"/>
    </row>
    <row r="3312" spans="6:9" x14ac:dyDescent="0.35">
      <c r="F3312"/>
      <c r="G3312"/>
      <c r="I3312"/>
    </row>
    <row r="3313" spans="6:9" x14ac:dyDescent="0.35">
      <c r="F3313"/>
      <c r="G3313"/>
      <c r="I3313"/>
    </row>
    <row r="3314" spans="6:9" x14ac:dyDescent="0.35">
      <c r="F3314"/>
      <c r="G3314"/>
      <c r="I3314"/>
    </row>
    <row r="3315" spans="6:9" x14ac:dyDescent="0.35">
      <c r="F3315"/>
      <c r="G3315"/>
      <c r="I3315"/>
    </row>
    <row r="3316" spans="6:9" x14ac:dyDescent="0.35">
      <c r="F3316"/>
      <c r="G3316"/>
      <c r="I3316"/>
    </row>
    <row r="3317" spans="6:9" x14ac:dyDescent="0.35">
      <c r="F3317"/>
      <c r="G3317"/>
      <c r="I3317"/>
    </row>
    <row r="3318" spans="6:9" x14ac:dyDescent="0.35">
      <c r="F3318"/>
      <c r="G3318"/>
      <c r="I3318"/>
    </row>
    <row r="3319" spans="6:9" x14ac:dyDescent="0.35">
      <c r="F3319"/>
      <c r="G3319"/>
      <c r="I3319"/>
    </row>
    <row r="3320" spans="6:9" x14ac:dyDescent="0.35">
      <c r="F3320"/>
      <c r="G3320"/>
      <c r="I3320"/>
    </row>
    <row r="3321" spans="6:9" x14ac:dyDescent="0.35">
      <c r="F3321"/>
      <c r="G3321"/>
      <c r="I3321"/>
    </row>
    <row r="3322" spans="6:9" x14ac:dyDescent="0.35">
      <c r="F3322"/>
      <c r="G3322"/>
      <c r="I3322"/>
    </row>
    <row r="3323" spans="6:9" x14ac:dyDescent="0.35">
      <c r="F3323"/>
      <c r="G3323"/>
      <c r="I3323"/>
    </row>
    <row r="3324" spans="6:9" x14ac:dyDescent="0.35">
      <c r="F3324"/>
      <c r="G3324"/>
      <c r="I3324"/>
    </row>
    <row r="3325" spans="6:9" x14ac:dyDescent="0.35">
      <c r="F3325"/>
      <c r="G3325"/>
      <c r="I3325"/>
    </row>
    <row r="3326" spans="6:9" x14ac:dyDescent="0.35">
      <c r="F3326"/>
      <c r="G3326"/>
      <c r="I3326"/>
    </row>
    <row r="3327" spans="6:9" x14ac:dyDescent="0.35">
      <c r="F3327"/>
      <c r="G3327"/>
      <c r="I3327"/>
    </row>
    <row r="3328" spans="6:9" x14ac:dyDescent="0.35">
      <c r="F3328"/>
      <c r="G3328"/>
      <c r="I3328"/>
    </row>
    <row r="3329" spans="6:9" x14ac:dyDescent="0.35">
      <c r="F3329"/>
      <c r="G3329"/>
      <c r="I3329"/>
    </row>
    <row r="3330" spans="6:9" x14ac:dyDescent="0.35">
      <c r="F3330"/>
      <c r="G3330"/>
      <c r="I3330"/>
    </row>
    <row r="3331" spans="6:9" x14ac:dyDescent="0.35">
      <c r="F3331"/>
      <c r="G3331"/>
      <c r="I3331"/>
    </row>
    <row r="3332" spans="6:9" x14ac:dyDescent="0.35">
      <c r="F3332"/>
      <c r="G3332"/>
      <c r="I3332"/>
    </row>
    <row r="3333" spans="6:9" x14ac:dyDescent="0.35">
      <c r="F3333"/>
      <c r="G3333"/>
      <c r="I3333"/>
    </row>
    <row r="3334" spans="6:9" x14ac:dyDescent="0.35">
      <c r="F3334"/>
      <c r="G3334"/>
      <c r="I3334"/>
    </row>
    <row r="3335" spans="6:9" x14ac:dyDescent="0.35">
      <c r="F3335"/>
      <c r="G3335"/>
      <c r="I3335"/>
    </row>
    <row r="3336" spans="6:9" x14ac:dyDescent="0.35">
      <c r="F3336"/>
      <c r="G3336"/>
      <c r="I3336"/>
    </row>
    <row r="3337" spans="6:9" x14ac:dyDescent="0.35">
      <c r="F3337"/>
      <c r="G3337"/>
      <c r="I3337"/>
    </row>
    <row r="3338" spans="6:9" x14ac:dyDescent="0.35">
      <c r="F3338"/>
      <c r="G3338"/>
      <c r="I3338"/>
    </row>
    <row r="3339" spans="6:9" x14ac:dyDescent="0.35">
      <c r="F3339"/>
      <c r="G3339"/>
      <c r="I3339"/>
    </row>
    <row r="3340" spans="6:9" x14ac:dyDescent="0.35">
      <c r="F3340"/>
      <c r="G3340"/>
      <c r="I3340"/>
    </row>
    <row r="3341" spans="6:9" x14ac:dyDescent="0.35">
      <c r="F3341"/>
      <c r="G3341"/>
      <c r="I3341"/>
    </row>
    <row r="3342" spans="6:9" x14ac:dyDescent="0.35">
      <c r="F3342"/>
      <c r="G3342"/>
      <c r="I3342"/>
    </row>
    <row r="3343" spans="6:9" x14ac:dyDescent="0.35">
      <c r="F3343"/>
      <c r="G3343"/>
      <c r="I3343"/>
    </row>
    <row r="3344" spans="6:9" x14ac:dyDescent="0.35">
      <c r="F3344"/>
      <c r="G3344"/>
      <c r="I3344"/>
    </row>
    <row r="3345" spans="6:9" x14ac:dyDescent="0.35">
      <c r="F3345"/>
      <c r="G3345"/>
      <c r="I3345"/>
    </row>
    <row r="3346" spans="6:9" x14ac:dyDescent="0.35">
      <c r="F3346"/>
      <c r="G3346"/>
      <c r="I3346"/>
    </row>
    <row r="3347" spans="6:9" x14ac:dyDescent="0.35">
      <c r="F3347"/>
      <c r="G3347"/>
      <c r="I3347"/>
    </row>
    <row r="3348" spans="6:9" x14ac:dyDescent="0.35">
      <c r="F3348"/>
      <c r="G3348"/>
      <c r="I3348"/>
    </row>
    <row r="3349" spans="6:9" x14ac:dyDescent="0.35">
      <c r="F3349"/>
      <c r="G3349"/>
      <c r="I3349"/>
    </row>
    <row r="3350" spans="6:9" x14ac:dyDescent="0.35">
      <c r="F3350"/>
      <c r="G3350"/>
      <c r="I3350"/>
    </row>
    <row r="3351" spans="6:9" x14ac:dyDescent="0.35">
      <c r="F3351"/>
      <c r="G3351"/>
      <c r="I3351"/>
    </row>
    <row r="3352" spans="6:9" x14ac:dyDescent="0.35">
      <c r="F3352"/>
      <c r="G3352"/>
      <c r="I3352"/>
    </row>
    <row r="3353" spans="6:9" x14ac:dyDescent="0.35">
      <c r="F3353"/>
      <c r="G3353"/>
      <c r="I3353"/>
    </row>
    <row r="3354" spans="6:9" x14ac:dyDescent="0.35">
      <c r="F3354"/>
      <c r="G3354"/>
      <c r="I3354"/>
    </row>
    <row r="3355" spans="6:9" x14ac:dyDescent="0.35">
      <c r="F3355"/>
      <c r="G3355"/>
      <c r="I3355"/>
    </row>
    <row r="3356" spans="6:9" x14ac:dyDescent="0.35">
      <c r="F3356"/>
      <c r="G3356"/>
      <c r="I3356"/>
    </row>
    <row r="3357" spans="6:9" x14ac:dyDescent="0.35">
      <c r="F3357"/>
      <c r="G3357"/>
      <c r="I3357"/>
    </row>
    <row r="3358" spans="6:9" x14ac:dyDescent="0.35">
      <c r="F3358"/>
      <c r="G3358"/>
      <c r="I3358"/>
    </row>
    <row r="3359" spans="6:9" x14ac:dyDescent="0.35">
      <c r="F3359"/>
      <c r="G3359"/>
      <c r="I3359"/>
    </row>
    <row r="3360" spans="6:9" x14ac:dyDescent="0.35">
      <c r="F3360"/>
      <c r="G3360"/>
      <c r="I3360"/>
    </row>
    <row r="3361" spans="6:9" x14ac:dyDescent="0.35">
      <c r="F3361"/>
      <c r="G3361"/>
      <c r="I3361"/>
    </row>
    <row r="3362" spans="6:9" x14ac:dyDescent="0.35">
      <c r="F3362"/>
      <c r="G3362"/>
      <c r="I3362"/>
    </row>
    <row r="3363" spans="6:9" x14ac:dyDescent="0.35">
      <c r="F3363"/>
      <c r="G3363"/>
      <c r="I3363"/>
    </row>
    <row r="3364" spans="6:9" x14ac:dyDescent="0.35">
      <c r="F3364"/>
      <c r="G3364"/>
      <c r="I3364"/>
    </row>
    <row r="3365" spans="6:9" x14ac:dyDescent="0.35">
      <c r="F3365"/>
      <c r="G3365"/>
      <c r="I3365"/>
    </row>
    <row r="3366" spans="6:9" x14ac:dyDescent="0.35">
      <c r="F3366"/>
      <c r="G3366"/>
      <c r="I3366"/>
    </row>
    <row r="3367" spans="6:9" x14ac:dyDescent="0.35">
      <c r="F3367"/>
      <c r="G3367"/>
      <c r="I3367"/>
    </row>
    <row r="3368" spans="6:9" x14ac:dyDescent="0.35">
      <c r="F3368"/>
      <c r="G3368"/>
      <c r="I3368"/>
    </row>
    <row r="3369" spans="6:9" x14ac:dyDescent="0.35">
      <c r="F3369"/>
      <c r="G3369"/>
      <c r="I3369"/>
    </row>
    <row r="3370" spans="6:9" x14ac:dyDescent="0.35">
      <c r="F3370"/>
      <c r="G3370"/>
      <c r="I3370"/>
    </row>
    <row r="3371" spans="6:9" x14ac:dyDescent="0.35">
      <c r="F3371"/>
      <c r="G3371"/>
      <c r="I3371"/>
    </row>
    <row r="3372" spans="6:9" x14ac:dyDescent="0.35">
      <c r="F3372"/>
      <c r="G3372"/>
      <c r="I3372"/>
    </row>
    <row r="3373" spans="6:9" x14ac:dyDescent="0.35">
      <c r="F3373"/>
      <c r="G3373"/>
      <c r="I3373"/>
    </row>
    <row r="3374" spans="6:9" x14ac:dyDescent="0.35">
      <c r="F3374"/>
      <c r="G3374"/>
      <c r="I3374"/>
    </row>
    <row r="3375" spans="6:9" x14ac:dyDescent="0.35">
      <c r="F3375"/>
      <c r="G3375"/>
      <c r="I3375"/>
    </row>
    <row r="3376" spans="6:9" x14ac:dyDescent="0.35">
      <c r="F3376"/>
      <c r="G3376"/>
      <c r="I3376"/>
    </row>
    <row r="3377" spans="6:9" x14ac:dyDescent="0.35">
      <c r="F3377"/>
      <c r="G3377"/>
      <c r="I3377"/>
    </row>
    <row r="3378" spans="6:9" x14ac:dyDescent="0.35">
      <c r="F3378"/>
      <c r="G3378"/>
      <c r="I3378"/>
    </row>
    <row r="3379" spans="6:9" x14ac:dyDescent="0.35">
      <c r="F3379"/>
      <c r="G3379"/>
      <c r="I3379"/>
    </row>
    <row r="3380" spans="6:9" x14ac:dyDescent="0.35">
      <c r="F3380"/>
      <c r="G3380"/>
      <c r="I3380"/>
    </row>
    <row r="3381" spans="6:9" x14ac:dyDescent="0.35">
      <c r="F3381"/>
      <c r="G3381"/>
      <c r="I3381"/>
    </row>
    <row r="3382" spans="6:9" x14ac:dyDescent="0.35">
      <c r="F3382"/>
      <c r="G3382"/>
      <c r="I3382"/>
    </row>
    <row r="3383" spans="6:9" x14ac:dyDescent="0.35">
      <c r="F3383"/>
      <c r="G3383"/>
      <c r="I3383"/>
    </row>
    <row r="3384" spans="6:9" x14ac:dyDescent="0.35">
      <c r="F3384"/>
      <c r="G3384"/>
      <c r="I3384"/>
    </row>
    <row r="3385" spans="6:9" x14ac:dyDescent="0.35">
      <c r="F3385"/>
      <c r="G3385"/>
      <c r="I3385"/>
    </row>
    <row r="3386" spans="6:9" x14ac:dyDescent="0.35">
      <c r="F3386"/>
      <c r="G3386"/>
      <c r="I3386"/>
    </row>
    <row r="3387" spans="6:9" x14ac:dyDescent="0.35">
      <c r="F3387"/>
      <c r="G3387"/>
      <c r="I3387"/>
    </row>
    <row r="3388" spans="6:9" x14ac:dyDescent="0.35">
      <c r="F3388"/>
      <c r="G3388"/>
      <c r="I3388"/>
    </row>
    <row r="3389" spans="6:9" x14ac:dyDescent="0.35">
      <c r="F3389"/>
      <c r="G3389"/>
      <c r="I3389"/>
    </row>
    <row r="3390" spans="6:9" x14ac:dyDescent="0.35">
      <c r="F3390"/>
      <c r="G3390"/>
      <c r="I3390"/>
    </row>
    <row r="3391" spans="6:9" x14ac:dyDescent="0.35">
      <c r="F3391"/>
      <c r="G3391"/>
      <c r="I3391"/>
    </row>
    <row r="3392" spans="6:9" x14ac:dyDescent="0.35">
      <c r="F3392"/>
      <c r="G3392"/>
      <c r="I3392"/>
    </row>
    <row r="3393" spans="6:9" x14ac:dyDescent="0.35">
      <c r="F3393"/>
      <c r="G3393"/>
      <c r="I3393"/>
    </row>
    <row r="3394" spans="6:9" x14ac:dyDescent="0.35">
      <c r="F3394"/>
      <c r="G3394"/>
      <c r="I3394"/>
    </row>
    <row r="3395" spans="6:9" x14ac:dyDescent="0.35">
      <c r="F3395"/>
      <c r="G3395"/>
      <c r="I3395"/>
    </row>
    <row r="3396" spans="6:9" x14ac:dyDescent="0.35">
      <c r="F3396"/>
      <c r="G3396"/>
      <c r="I3396"/>
    </row>
    <row r="3397" spans="6:9" x14ac:dyDescent="0.35">
      <c r="F3397"/>
      <c r="G3397"/>
      <c r="I3397"/>
    </row>
    <row r="3398" spans="6:9" x14ac:dyDescent="0.35">
      <c r="F3398"/>
      <c r="G3398"/>
      <c r="I3398"/>
    </row>
    <row r="3399" spans="6:9" x14ac:dyDescent="0.35">
      <c r="F3399"/>
      <c r="G3399"/>
      <c r="I3399"/>
    </row>
    <row r="3400" spans="6:9" x14ac:dyDescent="0.35">
      <c r="F3400"/>
      <c r="G3400"/>
      <c r="I3400"/>
    </row>
    <row r="3401" spans="6:9" x14ac:dyDescent="0.35">
      <c r="F3401"/>
      <c r="G3401"/>
      <c r="I3401"/>
    </row>
    <row r="3402" spans="6:9" x14ac:dyDescent="0.35">
      <c r="F3402"/>
      <c r="G3402"/>
      <c r="I3402"/>
    </row>
    <row r="3403" spans="6:9" x14ac:dyDescent="0.35">
      <c r="F3403"/>
      <c r="G3403"/>
      <c r="I3403"/>
    </row>
    <row r="3404" spans="6:9" x14ac:dyDescent="0.35">
      <c r="F3404"/>
      <c r="G3404"/>
      <c r="I3404"/>
    </row>
    <row r="3405" spans="6:9" x14ac:dyDescent="0.35">
      <c r="F3405"/>
      <c r="G3405"/>
      <c r="I3405"/>
    </row>
    <row r="3406" spans="6:9" x14ac:dyDescent="0.35">
      <c r="F3406"/>
      <c r="G3406"/>
      <c r="I3406"/>
    </row>
    <row r="3407" spans="6:9" x14ac:dyDescent="0.35">
      <c r="F3407"/>
      <c r="G3407"/>
      <c r="I3407"/>
    </row>
    <row r="3408" spans="6:9" x14ac:dyDescent="0.35">
      <c r="F3408"/>
      <c r="G3408"/>
      <c r="I3408"/>
    </row>
    <row r="3409" spans="6:9" x14ac:dyDescent="0.35">
      <c r="F3409"/>
      <c r="G3409"/>
      <c r="I3409"/>
    </row>
    <row r="3410" spans="6:9" x14ac:dyDescent="0.35">
      <c r="F3410"/>
      <c r="G3410"/>
      <c r="I3410"/>
    </row>
    <row r="3411" spans="6:9" x14ac:dyDescent="0.35">
      <c r="F3411"/>
      <c r="G3411"/>
      <c r="I3411"/>
    </row>
    <row r="3412" spans="6:9" x14ac:dyDescent="0.35">
      <c r="F3412"/>
      <c r="G3412"/>
      <c r="I3412"/>
    </row>
    <row r="3413" spans="6:9" x14ac:dyDescent="0.35">
      <c r="F3413"/>
      <c r="G3413"/>
      <c r="I3413"/>
    </row>
    <row r="3414" spans="6:9" x14ac:dyDescent="0.35">
      <c r="F3414"/>
      <c r="G3414"/>
      <c r="I3414"/>
    </row>
    <row r="3415" spans="6:9" x14ac:dyDescent="0.35">
      <c r="F3415"/>
      <c r="G3415"/>
      <c r="I3415"/>
    </row>
    <row r="3416" spans="6:9" x14ac:dyDescent="0.35">
      <c r="F3416"/>
      <c r="G3416"/>
      <c r="I3416"/>
    </row>
    <row r="3417" spans="6:9" x14ac:dyDescent="0.35">
      <c r="F3417"/>
      <c r="G3417"/>
      <c r="I3417"/>
    </row>
    <row r="3418" spans="6:9" x14ac:dyDescent="0.35">
      <c r="F3418"/>
      <c r="G3418"/>
      <c r="I3418"/>
    </row>
    <row r="3419" spans="6:9" x14ac:dyDescent="0.35">
      <c r="F3419"/>
      <c r="G3419"/>
      <c r="I3419"/>
    </row>
    <row r="3420" spans="6:9" x14ac:dyDescent="0.35">
      <c r="F3420"/>
      <c r="G3420"/>
      <c r="I3420"/>
    </row>
    <row r="3421" spans="6:9" x14ac:dyDescent="0.35">
      <c r="F3421"/>
      <c r="G3421"/>
      <c r="I3421"/>
    </row>
    <row r="3422" spans="6:9" x14ac:dyDescent="0.35">
      <c r="F3422"/>
      <c r="G3422"/>
      <c r="I3422"/>
    </row>
    <row r="3423" spans="6:9" x14ac:dyDescent="0.35">
      <c r="F3423"/>
      <c r="G3423"/>
      <c r="I3423"/>
    </row>
    <row r="3424" spans="6:9" x14ac:dyDescent="0.35">
      <c r="F3424"/>
      <c r="G3424"/>
      <c r="I3424"/>
    </row>
    <row r="3425" spans="6:9" x14ac:dyDescent="0.35">
      <c r="F3425"/>
      <c r="G3425"/>
      <c r="I3425"/>
    </row>
    <row r="3426" spans="6:9" x14ac:dyDescent="0.35">
      <c r="F3426"/>
      <c r="G3426"/>
      <c r="I3426"/>
    </row>
    <row r="3427" spans="6:9" x14ac:dyDescent="0.35">
      <c r="F3427"/>
      <c r="G3427"/>
      <c r="I3427"/>
    </row>
    <row r="3428" spans="6:9" x14ac:dyDescent="0.35">
      <c r="F3428"/>
      <c r="G3428"/>
      <c r="I3428"/>
    </row>
    <row r="3429" spans="6:9" x14ac:dyDescent="0.35">
      <c r="F3429"/>
      <c r="G3429"/>
      <c r="I3429"/>
    </row>
    <row r="3430" spans="6:9" x14ac:dyDescent="0.35">
      <c r="F3430"/>
      <c r="G3430"/>
      <c r="I3430"/>
    </row>
    <row r="3431" spans="6:9" x14ac:dyDescent="0.35">
      <c r="F3431"/>
      <c r="G3431"/>
      <c r="I3431"/>
    </row>
    <row r="3432" spans="6:9" x14ac:dyDescent="0.35">
      <c r="F3432"/>
      <c r="G3432"/>
      <c r="I3432"/>
    </row>
    <row r="3433" spans="6:9" x14ac:dyDescent="0.35">
      <c r="F3433"/>
      <c r="G3433"/>
      <c r="I3433"/>
    </row>
    <row r="3434" spans="6:9" x14ac:dyDescent="0.35">
      <c r="F3434"/>
      <c r="G3434"/>
      <c r="I3434"/>
    </row>
    <row r="3435" spans="6:9" x14ac:dyDescent="0.35">
      <c r="F3435"/>
      <c r="G3435"/>
      <c r="I3435"/>
    </row>
    <row r="3436" spans="6:9" x14ac:dyDescent="0.35">
      <c r="F3436"/>
      <c r="G3436"/>
      <c r="I3436"/>
    </row>
    <row r="3437" spans="6:9" x14ac:dyDescent="0.35">
      <c r="F3437"/>
      <c r="G3437"/>
      <c r="I3437"/>
    </row>
    <row r="3438" spans="6:9" x14ac:dyDescent="0.35">
      <c r="F3438"/>
      <c r="G3438"/>
      <c r="I3438"/>
    </row>
    <row r="3439" spans="6:9" x14ac:dyDescent="0.35">
      <c r="F3439"/>
      <c r="G3439"/>
      <c r="I3439"/>
    </row>
    <row r="3440" spans="6:9" x14ac:dyDescent="0.35">
      <c r="F3440"/>
      <c r="G3440"/>
      <c r="I3440"/>
    </row>
    <row r="3441" spans="6:9" x14ac:dyDescent="0.35">
      <c r="F3441"/>
      <c r="G3441"/>
      <c r="I3441"/>
    </row>
    <row r="3442" spans="6:9" x14ac:dyDescent="0.35">
      <c r="F3442"/>
      <c r="G3442"/>
      <c r="I3442"/>
    </row>
    <row r="3443" spans="6:9" x14ac:dyDescent="0.35">
      <c r="F3443"/>
      <c r="G3443"/>
      <c r="I3443"/>
    </row>
    <row r="3444" spans="6:9" x14ac:dyDescent="0.35">
      <c r="F3444"/>
      <c r="G3444"/>
      <c r="I3444"/>
    </row>
    <row r="3445" spans="6:9" x14ac:dyDescent="0.35">
      <c r="F3445"/>
      <c r="G3445"/>
      <c r="I3445"/>
    </row>
    <row r="3446" spans="6:9" x14ac:dyDescent="0.35">
      <c r="F3446"/>
      <c r="G3446"/>
      <c r="I3446"/>
    </row>
    <row r="3447" spans="6:9" x14ac:dyDescent="0.35">
      <c r="F3447"/>
      <c r="G3447"/>
      <c r="I3447"/>
    </row>
    <row r="3448" spans="6:9" x14ac:dyDescent="0.35">
      <c r="F3448"/>
      <c r="G3448"/>
      <c r="I3448"/>
    </row>
    <row r="3449" spans="6:9" x14ac:dyDescent="0.35">
      <c r="F3449"/>
      <c r="G3449"/>
      <c r="I3449"/>
    </row>
    <row r="3450" spans="6:9" x14ac:dyDescent="0.35">
      <c r="F3450"/>
      <c r="G3450"/>
      <c r="I3450"/>
    </row>
    <row r="3451" spans="6:9" x14ac:dyDescent="0.35">
      <c r="F3451"/>
      <c r="G3451"/>
      <c r="I3451"/>
    </row>
    <row r="3452" spans="6:9" x14ac:dyDescent="0.35">
      <c r="F3452"/>
      <c r="G3452"/>
      <c r="I3452"/>
    </row>
    <row r="3453" spans="6:9" x14ac:dyDescent="0.35">
      <c r="F3453"/>
      <c r="G3453"/>
      <c r="I3453"/>
    </row>
    <row r="3454" spans="6:9" x14ac:dyDescent="0.35">
      <c r="F3454"/>
      <c r="G3454"/>
      <c r="I3454"/>
    </row>
    <row r="3455" spans="6:9" x14ac:dyDescent="0.35">
      <c r="F3455"/>
      <c r="G3455"/>
      <c r="I3455"/>
    </row>
    <row r="3456" spans="6:9" x14ac:dyDescent="0.35">
      <c r="F3456"/>
      <c r="G3456"/>
      <c r="I3456"/>
    </row>
    <row r="3457" spans="6:9" x14ac:dyDescent="0.35">
      <c r="F3457"/>
      <c r="G3457"/>
      <c r="I3457"/>
    </row>
    <row r="3458" spans="6:9" x14ac:dyDescent="0.35">
      <c r="F3458"/>
      <c r="G3458"/>
      <c r="I3458"/>
    </row>
    <row r="3459" spans="6:9" x14ac:dyDescent="0.35">
      <c r="F3459"/>
      <c r="G3459"/>
      <c r="I3459"/>
    </row>
    <row r="3460" spans="6:9" x14ac:dyDescent="0.35">
      <c r="F3460"/>
      <c r="G3460"/>
      <c r="I3460"/>
    </row>
    <row r="3461" spans="6:9" x14ac:dyDescent="0.35">
      <c r="F3461"/>
      <c r="G3461"/>
      <c r="I3461"/>
    </row>
    <row r="3462" spans="6:9" x14ac:dyDescent="0.35">
      <c r="F3462"/>
      <c r="G3462"/>
      <c r="I3462"/>
    </row>
    <row r="3463" spans="6:9" x14ac:dyDescent="0.35">
      <c r="F3463"/>
      <c r="G3463"/>
      <c r="I3463"/>
    </row>
    <row r="3464" spans="6:9" x14ac:dyDescent="0.35">
      <c r="F3464"/>
      <c r="G3464"/>
      <c r="I3464"/>
    </row>
    <row r="3465" spans="6:9" x14ac:dyDescent="0.35">
      <c r="F3465"/>
      <c r="G3465"/>
      <c r="I3465"/>
    </row>
    <row r="3466" spans="6:9" x14ac:dyDescent="0.35">
      <c r="F3466"/>
      <c r="G3466"/>
      <c r="I3466"/>
    </row>
    <row r="3467" spans="6:9" x14ac:dyDescent="0.35">
      <c r="F3467"/>
      <c r="G3467"/>
      <c r="I3467"/>
    </row>
    <row r="3468" spans="6:9" x14ac:dyDescent="0.35">
      <c r="F3468"/>
      <c r="G3468"/>
      <c r="I3468"/>
    </row>
    <row r="3469" spans="6:9" x14ac:dyDescent="0.35">
      <c r="F3469"/>
      <c r="G3469"/>
      <c r="I3469"/>
    </row>
    <row r="3470" spans="6:9" x14ac:dyDescent="0.35">
      <c r="F3470"/>
      <c r="G3470"/>
      <c r="I3470"/>
    </row>
    <row r="3471" spans="6:9" x14ac:dyDescent="0.35">
      <c r="F3471"/>
      <c r="G3471"/>
      <c r="I3471"/>
    </row>
    <row r="3472" spans="6:9" x14ac:dyDescent="0.35">
      <c r="F3472"/>
      <c r="G3472"/>
      <c r="I3472"/>
    </row>
    <row r="3473" spans="6:9" x14ac:dyDescent="0.35">
      <c r="F3473"/>
      <c r="G3473"/>
      <c r="I3473"/>
    </row>
    <row r="3474" spans="6:9" x14ac:dyDescent="0.35">
      <c r="F3474"/>
      <c r="G3474"/>
      <c r="I3474"/>
    </row>
    <row r="3475" spans="6:9" x14ac:dyDescent="0.35">
      <c r="F3475"/>
      <c r="G3475"/>
      <c r="I3475"/>
    </row>
    <row r="3476" spans="6:9" x14ac:dyDescent="0.35">
      <c r="F3476"/>
      <c r="G3476"/>
      <c r="I3476"/>
    </row>
    <row r="3477" spans="6:9" x14ac:dyDescent="0.35">
      <c r="F3477"/>
      <c r="G3477"/>
      <c r="I3477"/>
    </row>
    <row r="3478" spans="6:9" x14ac:dyDescent="0.35">
      <c r="F3478"/>
      <c r="G3478"/>
      <c r="I3478"/>
    </row>
    <row r="3479" spans="6:9" x14ac:dyDescent="0.35">
      <c r="F3479"/>
      <c r="G3479"/>
      <c r="I3479"/>
    </row>
    <row r="3480" spans="6:9" x14ac:dyDescent="0.35">
      <c r="F3480"/>
      <c r="G3480"/>
      <c r="I3480"/>
    </row>
    <row r="3481" spans="6:9" x14ac:dyDescent="0.35">
      <c r="F3481"/>
      <c r="G3481"/>
      <c r="I3481"/>
    </row>
    <row r="3482" spans="6:9" x14ac:dyDescent="0.35">
      <c r="F3482"/>
      <c r="G3482"/>
      <c r="I3482"/>
    </row>
    <row r="3483" spans="6:9" x14ac:dyDescent="0.35">
      <c r="F3483"/>
      <c r="G3483"/>
      <c r="I3483"/>
    </row>
    <row r="3484" spans="6:9" x14ac:dyDescent="0.35">
      <c r="F3484"/>
      <c r="G3484"/>
      <c r="I3484"/>
    </row>
    <row r="3485" spans="6:9" x14ac:dyDescent="0.35">
      <c r="F3485"/>
      <c r="G3485"/>
      <c r="I3485"/>
    </row>
    <row r="3486" spans="6:9" x14ac:dyDescent="0.35">
      <c r="F3486"/>
      <c r="G3486"/>
      <c r="I3486"/>
    </row>
    <row r="3487" spans="6:9" x14ac:dyDescent="0.35">
      <c r="F3487"/>
      <c r="G3487"/>
      <c r="I3487"/>
    </row>
    <row r="3488" spans="6:9" x14ac:dyDescent="0.35">
      <c r="F3488"/>
      <c r="G3488"/>
      <c r="I3488"/>
    </row>
    <row r="3489" spans="6:9" x14ac:dyDescent="0.35">
      <c r="F3489"/>
      <c r="G3489"/>
      <c r="I3489"/>
    </row>
    <row r="3490" spans="6:9" x14ac:dyDescent="0.35">
      <c r="F3490"/>
      <c r="G3490"/>
      <c r="I3490"/>
    </row>
    <row r="3491" spans="6:9" x14ac:dyDescent="0.35">
      <c r="F3491"/>
      <c r="G3491"/>
      <c r="I3491"/>
    </row>
    <row r="3492" spans="6:9" x14ac:dyDescent="0.35">
      <c r="F3492"/>
      <c r="G3492"/>
      <c r="I3492"/>
    </row>
    <row r="3493" spans="6:9" x14ac:dyDescent="0.35">
      <c r="F3493"/>
      <c r="G3493"/>
      <c r="I3493"/>
    </row>
    <row r="3494" spans="6:9" x14ac:dyDescent="0.35">
      <c r="F3494"/>
      <c r="G3494"/>
      <c r="I3494"/>
    </row>
    <row r="3495" spans="6:9" x14ac:dyDescent="0.35">
      <c r="F3495"/>
      <c r="G3495"/>
      <c r="I3495"/>
    </row>
    <row r="3496" spans="6:9" x14ac:dyDescent="0.35">
      <c r="F3496"/>
      <c r="G3496"/>
      <c r="I3496"/>
    </row>
    <row r="3497" spans="6:9" x14ac:dyDescent="0.35">
      <c r="F3497"/>
      <c r="G3497"/>
      <c r="I3497"/>
    </row>
    <row r="3498" spans="6:9" x14ac:dyDescent="0.35">
      <c r="F3498"/>
      <c r="G3498"/>
      <c r="I3498"/>
    </row>
    <row r="3499" spans="6:9" x14ac:dyDescent="0.35">
      <c r="F3499"/>
      <c r="G3499"/>
      <c r="I3499"/>
    </row>
    <row r="3500" spans="6:9" x14ac:dyDescent="0.35">
      <c r="F3500"/>
      <c r="G3500"/>
      <c r="I3500"/>
    </row>
    <row r="3501" spans="6:9" x14ac:dyDescent="0.35">
      <c r="F3501"/>
      <c r="G3501"/>
      <c r="I3501"/>
    </row>
    <row r="3502" spans="6:9" x14ac:dyDescent="0.35">
      <c r="F3502"/>
      <c r="G3502"/>
      <c r="I3502"/>
    </row>
    <row r="3503" spans="6:9" x14ac:dyDescent="0.35">
      <c r="F3503"/>
      <c r="G3503"/>
      <c r="I3503"/>
    </row>
    <row r="3504" spans="6:9" x14ac:dyDescent="0.35">
      <c r="F3504"/>
      <c r="G3504"/>
      <c r="I3504"/>
    </row>
    <row r="3505" spans="6:9" x14ac:dyDescent="0.35">
      <c r="F3505"/>
      <c r="G3505"/>
      <c r="I3505"/>
    </row>
    <row r="3506" spans="6:9" x14ac:dyDescent="0.35">
      <c r="F3506"/>
      <c r="G3506"/>
      <c r="I3506"/>
    </row>
    <row r="3507" spans="6:9" x14ac:dyDescent="0.35">
      <c r="F3507"/>
      <c r="G3507"/>
      <c r="I3507"/>
    </row>
    <row r="3508" spans="6:9" x14ac:dyDescent="0.35">
      <c r="F3508"/>
      <c r="G3508"/>
      <c r="I3508"/>
    </row>
    <row r="3509" spans="6:9" x14ac:dyDescent="0.35">
      <c r="F3509"/>
      <c r="G3509"/>
      <c r="I3509"/>
    </row>
    <row r="3510" spans="6:9" x14ac:dyDescent="0.35">
      <c r="F3510"/>
      <c r="G3510"/>
      <c r="I3510"/>
    </row>
    <row r="3511" spans="6:9" x14ac:dyDescent="0.35">
      <c r="F3511"/>
      <c r="G3511"/>
      <c r="I3511"/>
    </row>
    <row r="3512" spans="6:9" x14ac:dyDescent="0.35">
      <c r="F3512"/>
      <c r="G3512"/>
      <c r="I3512"/>
    </row>
    <row r="3513" spans="6:9" x14ac:dyDescent="0.35">
      <c r="F3513"/>
      <c r="G3513"/>
      <c r="I3513"/>
    </row>
    <row r="3514" spans="6:9" x14ac:dyDescent="0.35">
      <c r="F3514"/>
      <c r="G3514"/>
      <c r="I3514"/>
    </row>
    <row r="3515" spans="6:9" x14ac:dyDescent="0.35">
      <c r="F3515"/>
      <c r="G3515"/>
      <c r="I3515"/>
    </row>
    <row r="3516" spans="6:9" x14ac:dyDescent="0.35">
      <c r="F3516"/>
      <c r="G3516"/>
      <c r="I3516"/>
    </row>
    <row r="3517" spans="6:9" x14ac:dyDescent="0.35">
      <c r="F3517"/>
      <c r="G3517"/>
      <c r="I3517"/>
    </row>
    <row r="3518" spans="6:9" x14ac:dyDescent="0.35">
      <c r="F3518"/>
      <c r="G3518"/>
      <c r="I3518"/>
    </row>
    <row r="3519" spans="6:9" x14ac:dyDescent="0.35">
      <c r="F3519"/>
      <c r="G3519"/>
      <c r="I3519"/>
    </row>
    <row r="3520" spans="6:9" x14ac:dyDescent="0.35">
      <c r="F3520"/>
      <c r="G3520"/>
      <c r="I3520"/>
    </row>
    <row r="3521" spans="6:9" x14ac:dyDescent="0.35">
      <c r="F3521"/>
      <c r="G3521"/>
      <c r="I3521"/>
    </row>
    <row r="3522" spans="6:9" x14ac:dyDescent="0.35">
      <c r="F3522"/>
      <c r="G3522"/>
      <c r="I3522"/>
    </row>
    <row r="3523" spans="6:9" x14ac:dyDescent="0.35">
      <c r="F3523"/>
      <c r="G3523"/>
      <c r="I3523"/>
    </row>
    <row r="3524" spans="6:9" x14ac:dyDescent="0.35">
      <c r="F3524"/>
      <c r="G3524"/>
      <c r="I3524"/>
    </row>
    <row r="3525" spans="6:9" x14ac:dyDescent="0.35">
      <c r="F3525"/>
      <c r="G3525"/>
      <c r="I3525"/>
    </row>
    <row r="3526" spans="6:9" x14ac:dyDescent="0.35">
      <c r="F3526"/>
      <c r="G3526"/>
      <c r="I3526"/>
    </row>
    <row r="3527" spans="6:9" x14ac:dyDescent="0.35">
      <c r="F3527"/>
      <c r="G3527"/>
      <c r="I3527"/>
    </row>
    <row r="3528" spans="6:9" x14ac:dyDescent="0.35">
      <c r="F3528"/>
      <c r="G3528"/>
      <c r="I3528"/>
    </row>
    <row r="3529" spans="6:9" x14ac:dyDescent="0.35">
      <c r="F3529"/>
      <c r="G3529"/>
      <c r="I3529"/>
    </row>
    <row r="3530" spans="6:9" x14ac:dyDescent="0.35">
      <c r="F3530"/>
      <c r="G3530"/>
      <c r="I3530"/>
    </row>
    <row r="3531" spans="6:9" x14ac:dyDescent="0.35">
      <c r="F3531"/>
      <c r="G3531"/>
      <c r="I3531"/>
    </row>
    <row r="3532" spans="6:9" x14ac:dyDescent="0.35">
      <c r="F3532"/>
      <c r="G3532"/>
      <c r="I3532"/>
    </row>
    <row r="3533" spans="6:9" x14ac:dyDescent="0.35">
      <c r="F3533"/>
      <c r="G3533"/>
      <c r="I3533"/>
    </row>
    <row r="3534" spans="6:9" x14ac:dyDescent="0.35">
      <c r="F3534"/>
      <c r="G3534"/>
      <c r="I3534"/>
    </row>
    <row r="3535" spans="6:9" x14ac:dyDescent="0.35">
      <c r="F3535"/>
      <c r="G3535"/>
      <c r="I3535"/>
    </row>
    <row r="3536" spans="6:9" x14ac:dyDescent="0.35">
      <c r="F3536"/>
      <c r="G3536"/>
      <c r="I3536"/>
    </row>
    <row r="3537" spans="6:9" x14ac:dyDescent="0.35">
      <c r="F3537"/>
      <c r="G3537"/>
      <c r="I3537"/>
    </row>
    <row r="3538" spans="6:9" x14ac:dyDescent="0.35">
      <c r="F3538"/>
      <c r="G3538"/>
      <c r="I3538"/>
    </row>
    <row r="3539" spans="6:9" x14ac:dyDescent="0.35">
      <c r="F3539"/>
      <c r="G3539"/>
      <c r="I3539"/>
    </row>
    <row r="3540" spans="6:9" x14ac:dyDescent="0.35">
      <c r="F3540"/>
      <c r="G3540"/>
      <c r="I3540"/>
    </row>
    <row r="3541" spans="6:9" x14ac:dyDescent="0.35">
      <c r="F3541"/>
      <c r="G3541"/>
      <c r="I3541"/>
    </row>
    <row r="3542" spans="6:9" x14ac:dyDescent="0.35">
      <c r="F3542"/>
      <c r="G3542"/>
      <c r="I3542"/>
    </row>
    <row r="3543" spans="6:9" x14ac:dyDescent="0.35">
      <c r="F3543"/>
      <c r="G3543"/>
      <c r="I3543"/>
    </row>
    <row r="3544" spans="6:9" x14ac:dyDescent="0.35">
      <c r="F3544"/>
      <c r="G3544"/>
      <c r="I3544"/>
    </row>
    <row r="3545" spans="6:9" x14ac:dyDescent="0.35">
      <c r="F3545"/>
      <c r="G3545"/>
      <c r="I3545"/>
    </row>
    <row r="3546" spans="6:9" x14ac:dyDescent="0.35">
      <c r="F3546"/>
      <c r="G3546"/>
      <c r="I3546"/>
    </row>
    <row r="3547" spans="6:9" x14ac:dyDescent="0.35">
      <c r="F3547"/>
      <c r="G3547"/>
      <c r="I3547"/>
    </row>
    <row r="3548" spans="6:9" x14ac:dyDescent="0.35">
      <c r="F3548"/>
      <c r="G3548"/>
      <c r="I3548"/>
    </row>
    <row r="3549" spans="6:9" x14ac:dyDescent="0.35">
      <c r="F3549"/>
      <c r="G3549"/>
      <c r="I3549"/>
    </row>
    <row r="3550" spans="6:9" x14ac:dyDescent="0.35">
      <c r="F3550"/>
      <c r="G3550"/>
      <c r="I3550"/>
    </row>
    <row r="3551" spans="6:9" x14ac:dyDescent="0.35">
      <c r="F3551"/>
      <c r="G3551"/>
      <c r="I3551"/>
    </row>
    <row r="3552" spans="6:9" x14ac:dyDescent="0.35">
      <c r="F3552"/>
      <c r="G3552"/>
      <c r="I3552"/>
    </row>
    <row r="3553" spans="6:9" x14ac:dyDescent="0.35">
      <c r="F3553"/>
      <c r="G3553"/>
      <c r="I3553"/>
    </row>
    <row r="3554" spans="6:9" x14ac:dyDescent="0.35">
      <c r="F3554"/>
      <c r="G3554"/>
      <c r="I3554"/>
    </row>
    <row r="3555" spans="6:9" x14ac:dyDescent="0.35">
      <c r="F3555"/>
      <c r="G3555"/>
      <c r="I3555"/>
    </row>
    <row r="3556" spans="6:9" x14ac:dyDescent="0.35">
      <c r="F3556"/>
      <c r="G3556"/>
      <c r="I3556"/>
    </row>
    <row r="3557" spans="6:9" x14ac:dyDescent="0.35">
      <c r="F3557"/>
      <c r="G3557"/>
      <c r="I3557"/>
    </row>
    <row r="3558" spans="6:9" x14ac:dyDescent="0.35">
      <c r="F3558"/>
      <c r="G3558"/>
      <c r="I3558"/>
    </row>
    <row r="3559" spans="6:9" x14ac:dyDescent="0.35">
      <c r="F3559"/>
      <c r="G3559"/>
      <c r="I3559"/>
    </row>
    <row r="3560" spans="6:9" x14ac:dyDescent="0.35">
      <c r="F3560"/>
      <c r="G3560"/>
      <c r="I3560"/>
    </row>
    <row r="3561" spans="6:9" x14ac:dyDescent="0.35">
      <c r="F3561"/>
      <c r="G3561"/>
      <c r="I3561"/>
    </row>
    <row r="3562" spans="6:9" x14ac:dyDescent="0.35">
      <c r="F3562"/>
      <c r="G3562"/>
      <c r="I3562"/>
    </row>
    <row r="3563" spans="6:9" x14ac:dyDescent="0.35">
      <c r="F3563"/>
      <c r="G3563"/>
      <c r="I3563"/>
    </row>
    <row r="3564" spans="6:9" x14ac:dyDescent="0.35">
      <c r="F3564"/>
      <c r="G3564"/>
      <c r="I3564"/>
    </row>
    <row r="3565" spans="6:9" x14ac:dyDescent="0.35">
      <c r="F3565"/>
      <c r="G3565"/>
      <c r="I3565"/>
    </row>
    <row r="3566" spans="6:9" x14ac:dyDescent="0.35">
      <c r="F3566"/>
      <c r="G3566"/>
      <c r="I3566"/>
    </row>
    <row r="3567" spans="6:9" x14ac:dyDescent="0.35">
      <c r="F3567"/>
      <c r="G3567"/>
      <c r="I3567"/>
    </row>
    <row r="3568" spans="6:9" x14ac:dyDescent="0.35">
      <c r="F3568"/>
      <c r="G3568"/>
      <c r="I3568"/>
    </row>
    <row r="3569" spans="6:9" x14ac:dyDescent="0.35">
      <c r="F3569"/>
      <c r="G3569"/>
      <c r="I3569"/>
    </row>
    <row r="3570" spans="6:9" x14ac:dyDescent="0.35">
      <c r="F3570"/>
      <c r="G3570"/>
      <c r="I3570"/>
    </row>
    <row r="3571" spans="6:9" x14ac:dyDescent="0.35">
      <c r="F3571"/>
      <c r="G3571"/>
      <c r="I3571"/>
    </row>
    <row r="3572" spans="6:9" x14ac:dyDescent="0.35">
      <c r="F3572"/>
      <c r="G3572"/>
      <c r="I3572"/>
    </row>
    <row r="3573" spans="6:9" x14ac:dyDescent="0.35">
      <c r="F3573"/>
      <c r="G3573"/>
      <c r="I3573"/>
    </row>
    <row r="3574" spans="6:9" x14ac:dyDescent="0.35">
      <c r="F3574"/>
      <c r="G3574"/>
      <c r="I3574"/>
    </row>
    <row r="3575" spans="6:9" x14ac:dyDescent="0.35">
      <c r="F3575"/>
      <c r="G3575"/>
      <c r="I3575"/>
    </row>
    <row r="3576" spans="6:9" x14ac:dyDescent="0.35">
      <c r="F3576"/>
      <c r="G3576"/>
      <c r="I3576"/>
    </row>
    <row r="3577" spans="6:9" x14ac:dyDescent="0.35">
      <c r="F3577"/>
      <c r="G3577"/>
      <c r="I3577"/>
    </row>
    <row r="3578" spans="6:9" x14ac:dyDescent="0.35">
      <c r="F3578"/>
      <c r="G3578"/>
      <c r="I3578"/>
    </row>
    <row r="3579" spans="6:9" x14ac:dyDescent="0.35">
      <c r="F3579"/>
      <c r="G3579"/>
      <c r="I3579"/>
    </row>
    <row r="3580" spans="6:9" x14ac:dyDescent="0.35">
      <c r="F3580"/>
      <c r="G3580"/>
      <c r="I3580"/>
    </row>
    <row r="3581" spans="6:9" x14ac:dyDescent="0.35">
      <c r="F3581"/>
      <c r="G3581"/>
      <c r="I3581"/>
    </row>
    <row r="3582" spans="6:9" x14ac:dyDescent="0.35">
      <c r="F3582"/>
      <c r="G3582"/>
      <c r="I3582"/>
    </row>
    <row r="3583" spans="6:9" x14ac:dyDescent="0.35">
      <c r="F3583"/>
      <c r="G3583"/>
      <c r="I3583"/>
    </row>
    <row r="3584" spans="6:9" x14ac:dyDescent="0.35">
      <c r="F3584"/>
      <c r="G3584"/>
      <c r="I3584"/>
    </row>
    <row r="3585" spans="6:9" x14ac:dyDescent="0.35">
      <c r="F3585"/>
      <c r="G3585"/>
      <c r="I3585"/>
    </row>
    <row r="3586" spans="6:9" x14ac:dyDescent="0.35">
      <c r="F3586"/>
      <c r="G3586"/>
      <c r="I3586"/>
    </row>
    <row r="3587" spans="6:9" x14ac:dyDescent="0.35">
      <c r="F3587"/>
      <c r="G3587"/>
      <c r="I3587"/>
    </row>
    <row r="3588" spans="6:9" x14ac:dyDescent="0.35">
      <c r="F3588"/>
      <c r="G3588"/>
      <c r="I3588"/>
    </row>
    <row r="3589" spans="6:9" x14ac:dyDescent="0.35">
      <c r="F3589"/>
      <c r="G3589"/>
      <c r="I3589"/>
    </row>
    <row r="3590" spans="6:9" x14ac:dyDescent="0.35">
      <c r="F3590"/>
      <c r="G3590"/>
      <c r="I3590"/>
    </row>
    <row r="3591" spans="6:9" x14ac:dyDescent="0.35">
      <c r="F3591"/>
      <c r="G3591"/>
      <c r="I3591"/>
    </row>
    <row r="3592" spans="6:9" x14ac:dyDescent="0.35">
      <c r="F3592"/>
      <c r="G3592"/>
      <c r="I3592"/>
    </row>
    <row r="3593" spans="6:9" x14ac:dyDescent="0.35">
      <c r="F3593"/>
      <c r="G3593"/>
      <c r="I3593"/>
    </row>
    <row r="3594" spans="6:9" x14ac:dyDescent="0.35">
      <c r="F3594"/>
      <c r="G3594"/>
      <c r="I3594"/>
    </row>
    <row r="3595" spans="6:9" x14ac:dyDescent="0.35">
      <c r="F3595"/>
      <c r="G3595"/>
      <c r="I3595"/>
    </row>
    <row r="3596" spans="6:9" x14ac:dyDescent="0.35">
      <c r="F3596"/>
      <c r="G3596"/>
      <c r="I3596"/>
    </row>
    <row r="3597" spans="6:9" x14ac:dyDescent="0.35">
      <c r="F3597"/>
      <c r="G3597"/>
      <c r="I3597"/>
    </row>
    <row r="3598" spans="6:9" x14ac:dyDescent="0.35">
      <c r="F3598"/>
      <c r="G3598"/>
      <c r="I3598"/>
    </row>
    <row r="3599" spans="6:9" x14ac:dyDescent="0.35">
      <c r="F3599"/>
      <c r="G3599"/>
      <c r="I3599"/>
    </row>
    <row r="3600" spans="6:9" x14ac:dyDescent="0.35">
      <c r="F3600"/>
      <c r="G3600"/>
      <c r="I3600"/>
    </row>
    <row r="3601" spans="6:9" x14ac:dyDescent="0.35">
      <c r="F3601"/>
      <c r="G3601"/>
      <c r="I3601"/>
    </row>
    <row r="3602" spans="6:9" x14ac:dyDescent="0.35">
      <c r="F3602"/>
      <c r="G3602"/>
      <c r="I3602"/>
    </row>
    <row r="3603" spans="6:9" x14ac:dyDescent="0.35">
      <c r="F3603"/>
      <c r="G3603"/>
      <c r="I3603"/>
    </row>
    <row r="3604" spans="6:9" x14ac:dyDescent="0.35">
      <c r="F3604"/>
      <c r="G3604"/>
      <c r="I3604"/>
    </row>
    <row r="3605" spans="6:9" x14ac:dyDescent="0.35">
      <c r="F3605"/>
      <c r="G3605"/>
      <c r="I3605"/>
    </row>
    <row r="3606" spans="6:9" x14ac:dyDescent="0.35">
      <c r="F3606"/>
      <c r="G3606"/>
      <c r="I3606"/>
    </row>
    <row r="3607" spans="6:9" x14ac:dyDescent="0.35">
      <c r="F3607"/>
      <c r="G3607"/>
      <c r="I3607"/>
    </row>
    <row r="3608" spans="6:9" x14ac:dyDescent="0.35">
      <c r="F3608"/>
      <c r="G3608"/>
      <c r="I3608"/>
    </row>
    <row r="3609" spans="6:9" x14ac:dyDescent="0.35">
      <c r="F3609"/>
      <c r="G3609"/>
      <c r="I3609"/>
    </row>
    <row r="3610" spans="6:9" x14ac:dyDescent="0.35">
      <c r="F3610"/>
      <c r="G3610"/>
      <c r="I3610"/>
    </row>
    <row r="3611" spans="6:9" x14ac:dyDescent="0.35">
      <c r="F3611"/>
      <c r="G3611"/>
      <c r="I3611"/>
    </row>
    <row r="3612" spans="6:9" x14ac:dyDescent="0.35">
      <c r="F3612"/>
      <c r="G3612"/>
      <c r="I3612"/>
    </row>
    <row r="3613" spans="6:9" x14ac:dyDescent="0.35">
      <c r="F3613"/>
      <c r="G3613"/>
      <c r="I3613"/>
    </row>
    <row r="3614" spans="6:9" x14ac:dyDescent="0.35">
      <c r="F3614"/>
      <c r="G3614"/>
      <c r="I3614"/>
    </row>
    <row r="3615" spans="6:9" x14ac:dyDescent="0.35">
      <c r="F3615"/>
      <c r="G3615"/>
      <c r="I3615"/>
    </row>
    <row r="3616" spans="6:9" x14ac:dyDescent="0.35">
      <c r="F3616"/>
      <c r="G3616"/>
      <c r="I3616"/>
    </row>
    <row r="3617" spans="6:9" x14ac:dyDescent="0.35">
      <c r="F3617"/>
      <c r="G3617"/>
      <c r="I3617"/>
    </row>
    <row r="3618" spans="6:9" x14ac:dyDescent="0.35">
      <c r="F3618"/>
      <c r="G3618"/>
      <c r="I3618"/>
    </row>
    <row r="3619" spans="6:9" x14ac:dyDescent="0.35">
      <c r="F3619"/>
      <c r="G3619"/>
      <c r="I3619"/>
    </row>
    <row r="3620" spans="6:9" x14ac:dyDescent="0.35">
      <c r="F3620"/>
      <c r="G3620"/>
      <c r="I3620"/>
    </row>
    <row r="3621" spans="6:9" x14ac:dyDescent="0.35">
      <c r="F3621"/>
      <c r="G3621"/>
      <c r="I3621"/>
    </row>
    <row r="3622" spans="6:9" x14ac:dyDescent="0.35">
      <c r="F3622"/>
      <c r="G3622"/>
      <c r="I3622"/>
    </row>
    <row r="3623" spans="6:9" x14ac:dyDescent="0.35">
      <c r="F3623"/>
      <c r="G3623"/>
      <c r="I3623"/>
    </row>
    <row r="3624" spans="6:9" x14ac:dyDescent="0.35">
      <c r="F3624"/>
      <c r="G3624"/>
      <c r="I3624"/>
    </row>
    <row r="3625" spans="6:9" x14ac:dyDescent="0.35">
      <c r="F3625"/>
      <c r="G3625"/>
      <c r="I3625"/>
    </row>
    <row r="3626" spans="6:9" x14ac:dyDescent="0.35">
      <c r="F3626"/>
      <c r="G3626"/>
      <c r="I3626"/>
    </row>
    <row r="3627" spans="6:9" x14ac:dyDescent="0.35">
      <c r="F3627"/>
      <c r="G3627"/>
      <c r="I3627"/>
    </row>
    <row r="3628" spans="6:9" x14ac:dyDescent="0.35">
      <c r="F3628"/>
      <c r="G3628"/>
      <c r="I3628"/>
    </row>
    <row r="3629" spans="6:9" x14ac:dyDescent="0.35">
      <c r="F3629"/>
      <c r="G3629"/>
      <c r="I3629"/>
    </row>
    <row r="3630" spans="6:9" x14ac:dyDescent="0.35">
      <c r="F3630"/>
      <c r="G3630"/>
      <c r="I3630"/>
    </row>
    <row r="3631" spans="6:9" x14ac:dyDescent="0.35">
      <c r="F3631"/>
      <c r="G3631"/>
      <c r="I3631"/>
    </row>
    <row r="3632" spans="6:9" x14ac:dyDescent="0.35">
      <c r="F3632"/>
      <c r="G3632"/>
      <c r="I3632"/>
    </row>
    <row r="3633" spans="6:9" x14ac:dyDescent="0.35">
      <c r="F3633"/>
      <c r="G3633"/>
      <c r="I3633"/>
    </row>
    <row r="3634" spans="6:9" x14ac:dyDescent="0.35">
      <c r="F3634"/>
      <c r="G3634"/>
      <c r="I3634"/>
    </row>
    <row r="3635" spans="6:9" x14ac:dyDescent="0.35">
      <c r="F3635"/>
      <c r="G3635"/>
      <c r="I3635"/>
    </row>
    <row r="3636" spans="6:9" x14ac:dyDescent="0.35">
      <c r="F3636"/>
      <c r="G3636"/>
      <c r="I3636"/>
    </row>
    <row r="3637" spans="6:9" x14ac:dyDescent="0.35">
      <c r="F3637"/>
      <c r="G3637"/>
      <c r="I3637"/>
    </row>
    <row r="3638" spans="6:9" x14ac:dyDescent="0.35">
      <c r="F3638"/>
      <c r="G3638"/>
      <c r="I3638"/>
    </row>
    <row r="3639" spans="6:9" x14ac:dyDescent="0.35">
      <c r="F3639"/>
      <c r="G3639"/>
      <c r="I3639"/>
    </row>
    <row r="3640" spans="6:9" x14ac:dyDescent="0.35">
      <c r="F3640"/>
      <c r="G3640"/>
      <c r="I3640"/>
    </row>
    <row r="3641" spans="6:9" x14ac:dyDescent="0.35">
      <c r="F3641"/>
      <c r="G3641"/>
      <c r="I3641"/>
    </row>
    <row r="3642" spans="6:9" x14ac:dyDescent="0.35">
      <c r="F3642"/>
      <c r="G3642"/>
      <c r="I3642"/>
    </row>
    <row r="3643" spans="6:9" x14ac:dyDescent="0.35">
      <c r="F3643"/>
      <c r="G3643"/>
      <c r="I3643"/>
    </row>
    <row r="3644" spans="6:9" x14ac:dyDescent="0.35">
      <c r="F3644"/>
      <c r="G3644"/>
      <c r="I3644"/>
    </row>
    <row r="3645" spans="6:9" x14ac:dyDescent="0.35">
      <c r="F3645"/>
      <c r="G3645"/>
      <c r="I3645"/>
    </row>
    <row r="3646" spans="6:9" x14ac:dyDescent="0.35">
      <c r="F3646"/>
      <c r="G3646"/>
      <c r="I3646"/>
    </row>
    <row r="3647" spans="6:9" x14ac:dyDescent="0.35">
      <c r="F3647"/>
      <c r="G3647"/>
      <c r="I3647"/>
    </row>
    <row r="3648" spans="6:9" x14ac:dyDescent="0.35">
      <c r="F3648"/>
      <c r="G3648"/>
      <c r="I3648"/>
    </row>
    <row r="3649" spans="6:9" x14ac:dyDescent="0.35">
      <c r="F3649"/>
      <c r="G3649"/>
      <c r="I3649"/>
    </row>
    <row r="3650" spans="6:9" x14ac:dyDescent="0.35">
      <c r="F3650"/>
      <c r="G3650"/>
      <c r="I3650"/>
    </row>
    <row r="3651" spans="6:9" x14ac:dyDescent="0.35">
      <c r="F3651"/>
      <c r="G3651"/>
      <c r="I3651"/>
    </row>
    <row r="3652" spans="6:9" x14ac:dyDescent="0.35">
      <c r="F3652"/>
      <c r="G3652"/>
      <c r="I3652"/>
    </row>
    <row r="3653" spans="6:9" x14ac:dyDescent="0.35">
      <c r="F3653"/>
      <c r="G3653"/>
      <c r="I3653"/>
    </row>
    <row r="3654" spans="6:9" x14ac:dyDescent="0.35">
      <c r="F3654"/>
      <c r="G3654"/>
      <c r="I3654"/>
    </row>
    <row r="3655" spans="6:9" x14ac:dyDescent="0.35">
      <c r="F3655"/>
      <c r="G3655"/>
      <c r="I3655"/>
    </row>
    <row r="3656" spans="6:9" x14ac:dyDescent="0.35">
      <c r="F3656"/>
      <c r="G3656"/>
      <c r="I3656"/>
    </row>
    <row r="3657" spans="6:9" x14ac:dyDescent="0.35">
      <c r="F3657"/>
      <c r="G3657"/>
      <c r="I3657"/>
    </row>
    <row r="3658" spans="6:9" x14ac:dyDescent="0.35">
      <c r="F3658"/>
      <c r="G3658"/>
      <c r="I3658"/>
    </row>
    <row r="3659" spans="6:9" x14ac:dyDescent="0.35">
      <c r="F3659"/>
      <c r="G3659"/>
      <c r="I3659"/>
    </row>
    <row r="3660" spans="6:9" x14ac:dyDescent="0.35">
      <c r="F3660"/>
      <c r="G3660"/>
      <c r="I3660"/>
    </row>
    <row r="3661" spans="6:9" x14ac:dyDescent="0.35">
      <c r="F3661"/>
      <c r="G3661"/>
      <c r="I3661"/>
    </row>
    <row r="3662" spans="6:9" x14ac:dyDescent="0.35">
      <c r="F3662"/>
      <c r="G3662"/>
      <c r="I3662"/>
    </row>
    <row r="3663" spans="6:9" x14ac:dyDescent="0.35">
      <c r="F3663"/>
      <c r="G3663"/>
      <c r="I3663"/>
    </row>
    <row r="3664" spans="6:9" x14ac:dyDescent="0.35">
      <c r="F3664"/>
      <c r="G3664"/>
      <c r="I3664"/>
    </row>
    <row r="3665" spans="6:9" x14ac:dyDescent="0.35">
      <c r="F3665"/>
      <c r="G3665"/>
      <c r="I3665"/>
    </row>
    <row r="3666" spans="6:9" x14ac:dyDescent="0.35">
      <c r="F3666"/>
      <c r="G3666"/>
      <c r="I3666"/>
    </row>
    <row r="3667" spans="6:9" x14ac:dyDescent="0.35">
      <c r="F3667"/>
      <c r="G3667"/>
      <c r="I3667"/>
    </row>
    <row r="3668" spans="6:9" x14ac:dyDescent="0.35">
      <c r="F3668"/>
      <c r="G3668"/>
      <c r="I3668"/>
    </row>
    <row r="3669" spans="6:9" x14ac:dyDescent="0.35">
      <c r="F3669"/>
      <c r="G3669"/>
      <c r="I3669"/>
    </row>
    <row r="3670" spans="6:9" x14ac:dyDescent="0.35">
      <c r="F3670"/>
      <c r="G3670"/>
      <c r="I3670"/>
    </row>
    <row r="3671" spans="6:9" x14ac:dyDescent="0.35">
      <c r="F3671"/>
      <c r="G3671"/>
      <c r="I3671"/>
    </row>
    <row r="3672" spans="6:9" x14ac:dyDescent="0.35">
      <c r="F3672"/>
      <c r="G3672"/>
      <c r="I3672"/>
    </row>
    <row r="3673" spans="6:9" x14ac:dyDescent="0.35">
      <c r="F3673"/>
      <c r="G3673"/>
      <c r="I3673"/>
    </row>
    <row r="3674" spans="6:9" x14ac:dyDescent="0.35">
      <c r="F3674"/>
      <c r="G3674"/>
      <c r="I3674"/>
    </row>
    <row r="3675" spans="6:9" x14ac:dyDescent="0.35">
      <c r="F3675"/>
      <c r="G3675"/>
      <c r="I3675"/>
    </row>
    <row r="3676" spans="6:9" x14ac:dyDescent="0.35">
      <c r="F3676"/>
      <c r="G3676"/>
      <c r="I3676"/>
    </row>
    <row r="3677" spans="6:9" x14ac:dyDescent="0.35">
      <c r="F3677"/>
      <c r="G3677"/>
      <c r="I3677"/>
    </row>
    <row r="3678" spans="6:9" x14ac:dyDescent="0.35">
      <c r="F3678"/>
      <c r="G3678"/>
      <c r="I3678"/>
    </row>
    <row r="3679" spans="6:9" x14ac:dyDescent="0.35">
      <c r="F3679"/>
      <c r="G3679"/>
      <c r="I3679"/>
    </row>
    <row r="3680" spans="6:9" x14ac:dyDescent="0.35">
      <c r="F3680"/>
      <c r="G3680"/>
      <c r="I3680"/>
    </row>
    <row r="3681" spans="6:9" x14ac:dyDescent="0.35">
      <c r="F3681"/>
      <c r="G3681"/>
      <c r="I3681"/>
    </row>
    <row r="3682" spans="6:9" x14ac:dyDescent="0.35">
      <c r="F3682"/>
      <c r="G3682"/>
      <c r="I3682"/>
    </row>
    <row r="3683" spans="6:9" x14ac:dyDescent="0.35">
      <c r="F3683"/>
      <c r="G3683"/>
      <c r="I3683"/>
    </row>
    <row r="3684" spans="6:9" x14ac:dyDescent="0.35">
      <c r="F3684"/>
      <c r="G3684"/>
      <c r="I3684"/>
    </row>
    <row r="3685" spans="6:9" x14ac:dyDescent="0.35">
      <c r="F3685"/>
      <c r="G3685"/>
      <c r="I3685"/>
    </row>
    <row r="3686" spans="6:9" x14ac:dyDescent="0.35">
      <c r="F3686"/>
      <c r="G3686"/>
      <c r="I3686"/>
    </row>
    <row r="3687" spans="6:9" x14ac:dyDescent="0.35">
      <c r="F3687"/>
      <c r="G3687"/>
      <c r="I3687"/>
    </row>
    <row r="3688" spans="6:9" x14ac:dyDescent="0.35">
      <c r="F3688"/>
      <c r="G3688"/>
      <c r="I3688"/>
    </row>
    <row r="3689" spans="6:9" x14ac:dyDescent="0.35">
      <c r="F3689"/>
      <c r="G3689"/>
      <c r="I3689"/>
    </row>
    <row r="3690" spans="6:9" x14ac:dyDescent="0.35">
      <c r="F3690"/>
      <c r="G3690"/>
      <c r="I3690"/>
    </row>
    <row r="3691" spans="6:9" x14ac:dyDescent="0.35">
      <c r="F3691"/>
      <c r="G3691"/>
      <c r="I3691"/>
    </row>
    <row r="3692" spans="6:9" x14ac:dyDescent="0.35">
      <c r="F3692"/>
      <c r="G3692"/>
      <c r="I3692"/>
    </row>
    <row r="3693" spans="6:9" x14ac:dyDescent="0.35">
      <c r="F3693"/>
      <c r="G3693"/>
      <c r="I3693"/>
    </row>
    <row r="3694" spans="6:9" x14ac:dyDescent="0.35">
      <c r="F3694"/>
      <c r="G3694"/>
      <c r="I3694"/>
    </row>
    <row r="3695" spans="6:9" x14ac:dyDescent="0.35">
      <c r="F3695"/>
      <c r="G3695"/>
      <c r="I3695"/>
    </row>
    <row r="3696" spans="6:9" x14ac:dyDescent="0.35">
      <c r="F3696"/>
      <c r="G3696"/>
      <c r="I3696"/>
    </row>
    <row r="3697" spans="6:9" x14ac:dyDescent="0.35">
      <c r="F3697"/>
      <c r="G3697"/>
      <c r="I3697"/>
    </row>
    <row r="3698" spans="6:9" x14ac:dyDescent="0.35">
      <c r="F3698"/>
      <c r="G3698"/>
      <c r="I3698"/>
    </row>
    <row r="3699" spans="6:9" x14ac:dyDescent="0.35">
      <c r="F3699"/>
      <c r="G3699"/>
      <c r="I3699"/>
    </row>
    <row r="3700" spans="6:9" x14ac:dyDescent="0.35">
      <c r="F3700"/>
      <c r="G3700"/>
      <c r="I3700"/>
    </row>
    <row r="3701" spans="6:9" x14ac:dyDescent="0.35">
      <c r="F3701"/>
      <c r="G3701"/>
      <c r="I3701"/>
    </row>
    <row r="3702" spans="6:9" x14ac:dyDescent="0.35">
      <c r="F3702"/>
      <c r="G3702"/>
      <c r="I3702"/>
    </row>
    <row r="3703" spans="6:9" x14ac:dyDescent="0.35">
      <c r="F3703"/>
      <c r="G3703"/>
      <c r="I3703"/>
    </row>
    <row r="3704" spans="6:9" x14ac:dyDescent="0.35">
      <c r="F3704"/>
      <c r="G3704"/>
      <c r="I3704"/>
    </row>
    <row r="3705" spans="6:9" x14ac:dyDescent="0.35">
      <c r="F3705"/>
      <c r="G3705"/>
      <c r="I3705"/>
    </row>
    <row r="3706" spans="6:9" x14ac:dyDescent="0.35">
      <c r="F3706"/>
      <c r="G3706"/>
      <c r="I3706"/>
    </row>
    <row r="3707" spans="6:9" x14ac:dyDescent="0.35">
      <c r="F3707"/>
      <c r="G3707"/>
      <c r="I3707"/>
    </row>
    <row r="3708" spans="6:9" x14ac:dyDescent="0.35">
      <c r="F3708"/>
      <c r="G3708"/>
      <c r="I3708"/>
    </row>
    <row r="3709" spans="6:9" x14ac:dyDescent="0.35">
      <c r="F3709"/>
      <c r="G3709"/>
      <c r="I3709"/>
    </row>
    <row r="3710" spans="6:9" x14ac:dyDescent="0.35">
      <c r="F3710"/>
      <c r="G3710"/>
      <c r="I3710"/>
    </row>
    <row r="3711" spans="6:9" x14ac:dyDescent="0.35">
      <c r="F3711"/>
      <c r="G3711"/>
      <c r="I3711"/>
    </row>
    <row r="3712" spans="6:9" x14ac:dyDescent="0.35">
      <c r="F3712"/>
      <c r="G3712"/>
      <c r="I3712"/>
    </row>
    <row r="3713" spans="6:9" x14ac:dyDescent="0.35">
      <c r="F3713"/>
      <c r="G3713"/>
      <c r="I3713"/>
    </row>
    <row r="3714" spans="6:9" x14ac:dyDescent="0.35">
      <c r="F3714"/>
      <c r="G3714"/>
      <c r="I3714"/>
    </row>
    <row r="3715" spans="6:9" x14ac:dyDescent="0.35">
      <c r="F3715"/>
      <c r="G3715"/>
      <c r="I3715"/>
    </row>
    <row r="3716" spans="6:9" x14ac:dyDescent="0.35">
      <c r="F3716"/>
      <c r="G3716"/>
      <c r="I3716"/>
    </row>
    <row r="3717" spans="6:9" x14ac:dyDescent="0.35">
      <c r="F3717"/>
      <c r="G3717"/>
      <c r="I3717"/>
    </row>
    <row r="3718" spans="6:9" x14ac:dyDescent="0.35">
      <c r="F3718"/>
      <c r="G3718"/>
      <c r="I3718"/>
    </row>
    <row r="3719" spans="6:9" x14ac:dyDescent="0.35">
      <c r="F3719"/>
      <c r="G3719"/>
      <c r="I3719"/>
    </row>
    <row r="3720" spans="6:9" x14ac:dyDescent="0.35">
      <c r="F3720"/>
      <c r="G3720"/>
      <c r="I3720"/>
    </row>
    <row r="3721" spans="6:9" x14ac:dyDescent="0.35">
      <c r="F3721"/>
      <c r="G3721"/>
      <c r="I3721"/>
    </row>
    <row r="3722" spans="6:9" x14ac:dyDescent="0.35">
      <c r="F3722"/>
      <c r="G3722"/>
      <c r="I3722"/>
    </row>
    <row r="3723" spans="6:9" x14ac:dyDescent="0.35">
      <c r="F3723"/>
      <c r="G3723"/>
      <c r="I3723"/>
    </row>
    <row r="3724" spans="6:9" x14ac:dyDescent="0.35">
      <c r="F3724"/>
      <c r="G3724"/>
      <c r="I3724"/>
    </row>
    <row r="3725" spans="6:9" x14ac:dyDescent="0.35">
      <c r="F3725"/>
      <c r="G3725"/>
      <c r="I3725"/>
    </row>
    <row r="3726" spans="6:9" x14ac:dyDescent="0.35">
      <c r="F3726"/>
      <c r="G3726"/>
      <c r="I3726"/>
    </row>
    <row r="3727" spans="6:9" x14ac:dyDescent="0.35">
      <c r="F3727"/>
      <c r="G3727"/>
      <c r="I3727"/>
    </row>
    <row r="3728" spans="6:9" x14ac:dyDescent="0.35">
      <c r="F3728"/>
      <c r="G3728"/>
      <c r="I3728"/>
    </row>
    <row r="3729" spans="6:9" x14ac:dyDescent="0.35">
      <c r="F3729"/>
      <c r="G3729"/>
      <c r="I3729"/>
    </row>
    <row r="3730" spans="6:9" x14ac:dyDescent="0.35">
      <c r="F3730"/>
      <c r="G3730"/>
      <c r="I3730"/>
    </row>
    <row r="3731" spans="6:9" x14ac:dyDescent="0.35">
      <c r="F3731"/>
      <c r="G3731"/>
      <c r="I3731"/>
    </row>
    <row r="3732" spans="6:9" x14ac:dyDescent="0.35">
      <c r="F3732"/>
      <c r="G3732"/>
      <c r="I3732"/>
    </row>
    <row r="3733" spans="6:9" x14ac:dyDescent="0.35">
      <c r="F3733"/>
      <c r="G3733"/>
      <c r="I3733"/>
    </row>
    <row r="3734" spans="6:9" x14ac:dyDescent="0.35">
      <c r="F3734"/>
      <c r="G3734"/>
      <c r="I3734"/>
    </row>
    <row r="3735" spans="6:9" x14ac:dyDescent="0.35">
      <c r="F3735"/>
      <c r="G3735"/>
      <c r="I3735"/>
    </row>
    <row r="3736" spans="6:9" x14ac:dyDescent="0.35">
      <c r="F3736"/>
      <c r="G3736"/>
      <c r="I3736"/>
    </row>
    <row r="3737" spans="6:9" x14ac:dyDescent="0.35">
      <c r="F3737"/>
      <c r="G3737"/>
      <c r="I3737"/>
    </row>
    <row r="3738" spans="6:9" x14ac:dyDescent="0.35">
      <c r="F3738"/>
      <c r="G3738"/>
      <c r="I3738"/>
    </row>
    <row r="3739" spans="6:9" x14ac:dyDescent="0.35">
      <c r="F3739"/>
      <c r="G3739"/>
      <c r="I3739"/>
    </row>
    <row r="3740" spans="6:9" x14ac:dyDescent="0.35">
      <c r="F3740"/>
      <c r="G3740"/>
      <c r="I3740"/>
    </row>
    <row r="3741" spans="6:9" x14ac:dyDescent="0.35">
      <c r="F3741"/>
      <c r="G3741"/>
      <c r="I3741"/>
    </row>
    <row r="3742" spans="6:9" x14ac:dyDescent="0.35">
      <c r="F3742"/>
      <c r="G3742"/>
      <c r="I3742"/>
    </row>
    <row r="3743" spans="6:9" x14ac:dyDescent="0.35">
      <c r="F3743"/>
      <c r="G3743"/>
      <c r="I3743"/>
    </row>
    <row r="3744" spans="6:9" x14ac:dyDescent="0.35">
      <c r="F3744"/>
      <c r="G3744"/>
      <c r="I3744"/>
    </row>
    <row r="3745" spans="6:9" x14ac:dyDescent="0.35">
      <c r="F3745"/>
      <c r="G3745"/>
      <c r="I3745"/>
    </row>
    <row r="3746" spans="6:9" x14ac:dyDescent="0.35">
      <c r="F3746"/>
      <c r="G3746"/>
      <c r="I3746"/>
    </row>
    <row r="3747" spans="6:9" x14ac:dyDescent="0.35">
      <c r="F3747"/>
      <c r="G3747"/>
      <c r="I3747"/>
    </row>
    <row r="3748" spans="6:9" x14ac:dyDescent="0.35">
      <c r="F3748"/>
      <c r="G3748"/>
      <c r="I3748"/>
    </row>
    <row r="3749" spans="6:9" x14ac:dyDescent="0.35">
      <c r="F3749"/>
      <c r="G3749"/>
      <c r="I3749"/>
    </row>
    <row r="3750" spans="6:9" x14ac:dyDescent="0.35">
      <c r="F3750"/>
      <c r="G3750"/>
      <c r="I3750"/>
    </row>
    <row r="3751" spans="6:9" x14ac:dyDescent="0.35">
      <c r="F3751"/>
      <c r="G3751"/>
      <c r="I3751"/>
    </row>
    <row r="3752" spans="6:9" x14ac:dyDescent="0.35">
      <c r="F3752"/>
      <c r="G3752"/>
      <c r="I3752"/>
    </row>
    <row r="3753" spans="6:9" x14ac:dyDescent="0.35">
      <c r="F3753"/>
      <c r="G3753"/>
      <c r="I3753"/>
    </row>
    <row r="3754" spans="6:9" x14ac:dyDescent="0.35">
      <c r="F3754"/>
      <c r="G3754"/>
      <c r="I3754"/>
    </row>
    <row r="3755" spans="6:9" x14ac:dyDescent="0.35">
      <c r="F3755"/>
      <c r="G3755"/>
      <c r="I3755"/>
    </row>
    <row r="3756" spans="6:9" x14ac:dyDescent="0.35">
      <c r="F3756"/>
      <c r="G3756"/>
      <c r="I3756"/>
    </row>
    <row r="3757" spans="6:9" x14ac:dyDescent="0.35">
      <c r="F3757"/>
      <c r="G3757"/>
      <c r="I3757"/>
    </row>
    <row r="3758" spans="6:9" x14ac:dyDescent="0.35">
      <c r="F3758"/>
      <c r="G3758"/>
      <c r="I3758"/>
    </row>
    <row r="3759" spans="6:9" x14ac:dyDescent="0.35">
      <c r="F3759"/>
      <c r="G3759"/>
      <c r="I3759"/>
    </row>
    <row r="3760" spans="6:9" x14ac:dyDescent="0.35">
      <c r="F3760"/>
      <c r="G3760"/>
      <c r="I3760"/>
    </row>
    <row r="3761" spans="6:9" x14ac:dyDescent="0.35">
      <c r="F3761"/>
      <c r="G3761"/>
      <c r="I3761"/>
    </row>
    <row r="3762" spans="6:9" x14ac:dyDescent="0.35">
      <c r="F3762"/>
      <c r="G3762"/>
      <c r="I3762"/>
    </row>
    <row r="3763" spans="6:9" x14ac:dyDescent="0.35">
      <c r="F3763"/>
      <c r="G3763"/>
      <c r="I3763"/>
    </row>
    <row r="3764" spans="6:9" x14ac:dyDescent="0.35">
      <c r="F3764"/>
      <c r="G3764"/>
      <c r="I3764"/>
    </row>
    <row r="3765" spans="6:9" x14ac:dyDescent="0.35">
      <c r="F3765"/>
      <c r="G3765"/>
      <c r="I3765"/>
    </row>
    <row r="3766" spans="6:9" x14ac:dyDescent="0.35">
      <c r="F3766"/>
      <c r="G3766"/>
      <c r="I3766"/>
    </row>
    <row r="3767" spans="6:9" x14ac:dyDescent="0.35">
      <c r="F3767"/>
      <c r="G3767"/>
      <c r="I3767"/>
    </row>
    <row r="3768" spans="6:9" x14ac:dyDescent="0.35">
      <c r="F3768"/>
      <c r="G3768"/>
      <c r="I3768"/>
    </row>
    <row r="3769" spans="6:9" x14ac:dyDescent="0.35">
      <c r="F3769"/>
      <c r="G3769"/>
      <c r="I3769"/>
    </row>
    <row r="3770" spans="6:9" x14ac:dyDescent="0.35">
      <c r="F3770"/>
      <c r="G3770"/>
      <c r="I3770"/>
    </row>
    <row r="3771" spans="6:9" x14ac:dyDescent="0.35">
      <c r="F3771"/>
      <c r="G3771"/>
      <c r="I3771"/>
    </row>
    <row r="3772" spans="6:9" x14ac:dyDescent="0.35">
      <c r="F3772"/>
      <c r="G3772"/>
      <c r="I3772"/>
    </row>
    <row r="3773" spans="6:9" x14ac:dyDescent="0.35">
      <c r="F3773"/>
      <c r="G3773"/>
      <c r="I3773"/>
    </row>
    <row r="3774" spans="6:9" x14ac:dyDescent="0.35">
      <c r="F3774"/>
      <c r="G3774"/>
      <c r="I3774"/>
    </row>
    <row r="3775" spans="6:9" x14ac:dyDescent="0.35">
      <c r="F3775"/>
      <c r="G3775"/>
      <c r="I3775"/>
    </row>
    <row r="3776" spans="6:9" x14ac:dyDescent="0.35">
      <c r="F3776"/>
      <c r="G3776"/>
      <c r="I3776"/>
    </row>
    <row r="3777" spans="6:9" x14ac:dyDescent="0.35">
      <c r="F3777"/>
      <c r="G3777"/>
      <c r="I3777"/>
    </row>
    <row r="3778" spans="6:9" x14ac:dyDescent="0.35">
      <c r="F3778"/>
      <c r="G3778"/>
      <c r="I3778"/>
    </row>
    <row r="3779" spans="6:9" x14ac:dyDescent="0.35">
      <c r="F3779"/>
      <c r="G3779"/>
      <c r="I3779"/>
    </row>
    <row r="3780" spans="6:9" x14ac:dyDescent="0.35">
      <c r="F3780"/>
      <c r="G3780"/>
      <c r="I3780"/>
    </row>
    <row r="3781" spans="6:9" x14ac:dyDescent="0.35">
      <c r="F3781"/>
      <c r="G3781"/>
      <c r="I3781"/>
    </row>
    <row r="3782" spans="6:9" x14ac:dyDescent="0.35">
      <c r="F3782"/>
      <c r="G3782"/>
      <c r="I3782"/>
    </row>
    <row r="3783" spans="6:9" x14ac:dyDescent="0.35">
      <c r="F3783"/>
      <c r="G3783"/>
      <c r="I3783"/>
    </row>
    <row r="3784" spans="6:9" x14ac:dyDescent="0.35">
      <c r="F3784"/>
      <c r="G3784"/>
      <c r="I3784"/>
    </row>
    <row r="3785" spans="6:9" x14ac:dyDescent="0.35">
      <c r="F3785"/>
      <c r="G3785"/>
      <c r="I3785"/>
    </row>
    <row r="3786" spans="6:9" x14ac:dyDescent="0.35">
      <c r="F3786"/>
      <c r="G3786"/>
      <c r="I3786"/>
    </row>
    <row r="3787" spans="6:9" x14ac:dyDescent="0.35">
      <c r="F3787"/>
      <c r="G3787"/>
      <c r="I3787"/>
    </row>
    <row r="3788" spans="6:9" x14ac:dyDescent="0.35">
      <c r="F3788"/>
      <c r="G3788"/>
      <c r="I3788"/>
    </row>
    <row r="3789" spans="6:9" x14ac:dyDescent="0.35">
      <c r="F3789"/>
      <c r="G3789"/>
      <c r="I3789"/>
    </row>
    <row r="3790" spans="6:9" x14ac:dyDescent="0.35">
      <c r="F3790"/>
      <c r="G3790"/>
      <c r="I3790"/>
    </row>
    <row r="3791" spans="6:9" x14ac:dyDescent="0.35">
      <c r="F3791"/>
      <c r="G3791"/>
      <c r="I3791"/>
    </row>
    <row r="3792" spans="6:9" x14ac:dyDescent="0.35">
      <c r="F3792"/>
      <c r="G3792"/>
      <c r="I3792"/>
    </row>
    <row r="3793" spans="6:9" x14ac:dyDescent="0.35">
      <c r="F3793"/>
      <c r="G3793"/>
      <c r="I3793"/>
    </row>
    <row r="3794" spans="6:9" x14ac:dyDescent="0.35">
      <c r="F3794"/>
      <c r="G3794"/>
      <c r="I3794"/>
    </row>
    <row r="3795" spans="6:9" x14ac:dyDescent="0.35">
      <c r="F3795"/>
      <c r="G3795"/>
      <c r="I3795"/>
    </row>
    <row r="3796" spans="6:9" x14ac:dyDescent="0.35">
      <c r="F3796"/>
      <c r="G3796"/>
      <c r="I3796"/>
    </row>
    <row r="3797" spans="6:9" x14ac:dyDescent="0.35">
      <c r="F3797"/>
      <c r="G3797"/>
      <c r="I3797"/>
    </row>
    <row r="3798" spans="6:9" x14ac:dyDescent="0.35">
      <c r="F3798"/>
      <c r="G3798"/>
      <c r="I3798"/>
    </row>
    <row r="3799" spans="6:9" x14ac:dyDescent="0.35">
      <c r="F3799"/>
      <c r="G3799"/>
      <c r="I3799"/>
    </row>
    <row r="3800" spans="6:9" x14ac:dyDescent="0.35">
      <c r="F3800"/>
      <c r="G3800"/>
      <c r="I3800"/>
    </row>
    <row r="3801" spans="6:9" x14ac:dyDescent="0.35">
      <c r="F3801"/>
      <c r="G3801"/>
      <c r="I3801"/>
    </row>
    <row r="3802" spans="6:9" x14ac:dyDescent="0.35">
      <c r="F3802"/>
      <c r="G3802"/>
      <c r="I3802"/>
    </row>
    <row r="3803" spans="6:9" x14ac:dyDescent="0.35">
      <c r="F3803"/>
      <c r="G3803"/>
      <c r="I3803"/>
    </row>
    <row r="3804" spans="6:9" x14ac:dyDescent="0.35">
      <c r="F3804"/>
      <c r="G3804"/>
      <c r="I3804"/>
    </row>
    <row r="3805" spans="6:9" x14ac:dyDescent="0.35">
      <c r="F3805"/>
      <c r="G3805"/>
      <c r="I3805"/>
    </row>
    <row r="3806" spans="6:9" x14ac:dyDescent="0.35">
      <c r="F3806"/>
      <c r="G3806"/>
      <c r="I3806"/>
    </row>
    <row r="3807" spans="6:9" x14ac:dyDescent="0.35">
      <c r="F3807"/>
      <c r="G3807"/>
      <c r="I3807"/>
    </row>
    <row r="3808" spans="6:9" x14ac:dyDescent="0.35">
      <c r="F3808"/>
      <c r="G3808"/>
      <c r="I3808"/>
    </row>
    <row r="3809" spans="6:9" x14ac:dyDescent="0.35">
      <c r="F3809"/>
      <c r="G3809"/>
      <c r="I3809"/>
    </row>
    <row r="3810" spans="6:9" x14ac:dyDescent="0.35">
      <c r="F3810"/>
      <c r="G3810"/>
      <c r="I3810"/>
    </row>
    <row r="3811" spans="6:9" x14ac:dyDescent="0.35">
      <c r="F3811"/>
      <c r="G3811"/>
      <c r="I3811"/>
    </row>
    <row r="3812" spans="6:9" x14ac:dyDescent="0.35">
      <c r="F3812"/>
      <c r="G3812"/>
      <c r="I3812"/>
    </row>
    <row r="3813" spans="6:9" x14ac:dyDescent="0.35">
      <c r="F3813"/>
      <c r="G3813"/>
      <c r="I3813"/>
    </row>
    <row r="3814" spans="6:9" x14ac:dyDescent="0.35">
      <c r="F3814"/>
      <c r="G3814"/>
      <c r="I3814"/>
    </row>
    <row r="3815" spans="6:9" x14ac:dyDescent="0.35">
      <c r="F3815"/>
      <c r="G3815"/>
      <c r="I3815"/>
    </row>
    <row r="3816" spans="6:9" x14ac:dyDescent="0.35">
      <c r="F3816"/>
      <c r="G3816"/>
      <c r="I3816"/>
    </row>
    <row r="3817" spans="6:9" x14ac:dyDescent="0.35">
      <c r="F3817"/>
      <c r="G3817"/>
      <c r="I3817"/>
    </row>
    <row r="3818" spans="6:9" x14ac:dyDescent="0.35">
      <c r="F3818"/>
      <c r="G3818"/>
      <c r="I3818"/>
    </row>
    <row r="3819" spans="6:9" x14ac:dyDescent="0.35">
      <c r="F3819"/>
      <c r="G3819"/>
      <c r="I3819"/>
    </row>
    <row r="3820" spans="6:9" x14ac:dyDescent="0.35">
      <c r="F3820"/>
      <c r="G3820"/>
      <c r="I3820"/>
    </row>
    <row r="3821" spans="6:9" x14ac:dyDescent="0.35">
      <c r="F3821"/>
      <c r="G3821"/>
      <c r="I3821"/>
    </row>
    <row r="3822" spans="6:9" x14ac:dyDescent="0.35">
      <c r="F3822"/>
      <c r="G3822"/>
      <c r="I3822"/>
    </row>
    <row r="3823" spans="6:9" x14ac:dyDescent="0.35">
      <c r="F3823"/>
      <c r="G3823"/>
      <c r="I3823"/>
    </row>
    <row r="3824" spans="6:9" x14ac:dyDescent="0.35">
      <c r="F3824"/>
      <c r="G3824"/>
      <c r="I3824"/>
    </row>
    <row r="3825" spans="6:9" x14ac:dyDescent="0.35">
      <c r="F3825"/>
      <c r="G3825"/>
      <c r="I3825"/>
    </row>
    <row r="3826" spans="6:9" x14ac:dyDescent="0.35">
      <c r="F3826"/>
      <c r="G3826"/>
      <c r="I3826"/>
    </row>
    <row r="3827" spans="6:9" x14ac:dyDescent="0.35">
      <c r="F3827"/>
      <c r="G3827"/>
      <c r="I3827"/>
    </row>
    <row r="3828" spans="6:9" x14ac:dyDescent="0.35">
      <c r="F3828"/>
      <c r="G3828"/>
      <c r="I3828"/>
    </row>
    <row r="3829" spans="6:9" x14ac:dyDescent="0.35">
      <c r="F3829"/>
      <c r="G3829"/>
      <c r="I3829"/>
    </row>
    <row r="3830" spans="6:9" x14ac:dyDescent="0.35">
      <c r="F3830"/>
      <c r="G3830"/>
      <c r="I3830"/>
    </row>
    <row r="3831" spans="6:9" x14ac:dyDescent="0.35">
      <c r="F3831"/>
      <c r="G3831"/>
      <c r="I3831"/>
    </row>
    <row r="3832" spans="6:9" x14ac:dyDescent="0.35">
      <c r="F3832"/>
      <c r="G3832"/>
      <c r="I3832"/>
    </row>
    <row r="3833" spans="6:9" x14ac:dyDescent="0.35">
      <c r="F3833"/>
      <c r="G3833"/>
      <c r="I3833"/>
    </row>
    <row r="3834" spans="6:9" x14ac:dyDescent="0.35">
      <c r="F3834"/>
      <c r="G3834"/>
      <c r="I3834"/>
    </row>
    <row r="3835" spans="6:9" x14ac:dyDescent="0.35">
      <c r="F3835"/>
      <c r="G3835"/>
      <c r="I3835"/>
    </row>
    <row r="3836" spans="6:9" x14ac:dyDescent="0.35">
      <c r="F3836"/>
      <c r="G3836"/>
      <c r="I3836"/>
    </row>
    <row r="3837" spans="6:9" x14ac:dyDescent="0.35">
      <c r="F3837"/>
      <c r="G3837"/>
      <c r="I3837"/>
    </row>
    <row r="3838" spans="6:9" x14ac:dyDescent="0.35">
      <c r="F3838"/>
      <c r="G3838"/>
      <c r="I3838"/>
    </row>
    <row r="3839" spans="6:9" x14ac:dyDescent="0.35">
      <c r="F3839"/>
      <c r="G3839"/>
      <c r="I3839"/>
    </row>
    <row r="3840" spans="6:9" x14ac:dyDescent="0.35">
      <c r="F3840"/>
      <c r="G3840"/>
      <c r="I3840"/>
    </row>
    <row r="3841" spans="6:9" x14ac:dyDescent="0.35">
      <c r="F3841"/>
      <c r="G3841"/>
      <c r="I3841"/>
    </row>
    <row r="3842" spans="6:9" x14ac:dyDescent="0.35">
      <c r="F3842"/>
      <c r="G3842"/>
      <c r="I3842"/>
    </row>
    <row r="3843" spans="6:9" x14ac:dyDescent="0.35">
      <c r="F3843"/>
      <c r="G3843"/>
      <c r="I3843"/>
    </row>
    <row r="3844" spans="6:9" x14ac:dyDescent="0.35">
      <c r="F3844"/>
      <c r="G3844"/>
      <c r="I3844"/>
    </row>
    <row r="3845" spans="6:9" x14ac:dyDescent="0.35">
      <c r="F3845"/>
      <c r="G3845"/>
      <c r="I3845"/>
    </row>
    <row r="3846" spans="6:9" x14ac:dyDescent="0.35">
      <c r="F3846"/>
      <c r="G3846"/>
      <c r="I3846"/>
    </row>
    <row r="3847" spans="6:9" x14ac:dyDescent="0.35">
      <c r="F3847"/>
      <c r="G3847"/>
      <c r="I3847"/>
    </row>
    <row r="3848" spans="6:9" x14ac:dyDescent="0.35">
      <c r="F3848"/>
      <c r="G3848"/>
      <c r="I3848"/>
    </row>
    <row r="3849" spans="6:9" x14ac:dyDescent="0.35">
      <c r="F3849"/>
      <c r="G3849"/>
      <c r="I3849"/>
    </row>
    <row r="3850" spans="6:9" x14ac:dyDescent="0.35">
      <c r="F3850"/>
      <c r="G3850"/>
      <c r="I3850"/>
    </row>
    <row r="3851" spans="6:9" x14ac:dyDescent="0.35">
      <c r="F3851"/>
      <c r="G3851"/>
      <c r="I3851"/>
    </row>
    <row r="3852" spans="6:9" x14ac:dyDescent="0.35">
      <c r="F3852"/>
      <c r="G3852"/>
      <c r="I3852"/>
    </row>
    <row r="3853" spans="6:9" x14ac:dyDescent="0.35">
      <c r="F3853"/>
      <c r="G3853"/>
      <c r="I3853"/>
    </row>
    <row r="3854" spans="6:9" x14ac:dyDescent="0.35">
      <c r="F3854"/>
      <c r="G3854"/>
      <c r="I3854"/>
    </row>
    <row r="3855" spans="6:9" x14ac:dyDescent="0.35">
      <c r="F3855"/>
      <c r="G3855"/>
      <c r="I3855"/>
    </row>
    <row r="3856" spans="6:9" x14ac:dyDescent="0.35">
      <c r="F3856"/>
      <c r="G3856"/>
      <c r="I3856"/>
    </row>
    <row r="3857" spans="6:9" x14ac:dyDescent="0.35">
      <c r="F3857"/>
      <c r="G3857"/>
      <c r="I3857"/>
    </row>
    <row r="3858" spans="6:9" x14ac:dyDescent="0.35">
      <c r="F3858"/>
      <c r="G3858"/>
      <c r="I3858"/>
    </row>
    <row r="3859" spans="6:9" x14ac:dyDescent="0.35">
      <c r="F3859"/>
      <c r="G3859"/>
      <c r="I3859"/>
    </row>
    <row r="3860" spans="6:9" x14ac:dyDescent="0.35">
      <c r="F3860"/>
      <c r="G3860"/>
      <c r="I3860"/>
    </row>
    <row r="3861" spans="6:9" x14ac:dyDescent="0.35">
      <c r="F3861"/>
      <c r="G3861"/>
      <c r="I3861"/>
    </row>
    <row r="3862" spans="6:9" x14ac:dyDescent="0.35">
      <c r="F3862"/>
      <c r="G3862"/>
      <c r="I3862"/>
    </row>
    <row r="3863" spans="6:9" x14ac:dyDescent="0.35">
      <c r="F3863"/>
      <c r="G3863"/>
      <c r="I3863"/>
    </row>
    <row r="3864" spans="6:9" x14ac:dyDescent="0.35">
      <c r="F3864"/>
      <c r="G3864"/>
      <c r="I3864"/>
    </row>
    <row r="3865" spans="6:9" x14ac:dyDescent="0.35">
      <c r="F3865"/>
      <c r="G3865"/>
      <c r="I3865"/>
    </row>
    <row r="3866" spans="6:9" x14ac:dyDescent="0.35">
      <c r="F3866"/>
      <c r="G3866"/>
      <c r="I3866"/>
    </row>
    <row r="3867" spans="6:9" x14ac:dyDescent="0.35">
      <c r="F3867"/>
      <c r="G3867"/>
      <c r="I3867"/>
    </row>
    <row r="3868" spans="6:9" x14ac:dyDescent="0.35">
      <c r="F3868"/>
      <c r="G3868"/>
      <c r="I3868"/>
    </row>
    <row r="3869" spans="6:9" x14ac:dyDescent="0.35">
      <c r="F3869"/>
      <c r="G3869"/>
      <c r="I3869"/>
    </row>
    <row r="3870" spans="6:9" x14ac:dyDescent="0.35">
      <c r="F3870"/>
      <c r="G3870"/>
      <c r="I3870"/>
    </row>
    <row r="3871" spans="6:9" x14ac:dyDescent="0.35">
      <c r="F3871"/>
      <c r="G3871"/>
      <c r="I3871"/>
    </row>
    <row r="3872" spans="6:9" x14ac:dyDescent="0.35">
      <c r="F3872"/>
      <c r="G3872"/>
      <c r="I3872"/>
    </row>
    <row r="3873" spans="6:9" x14ac:dyDescent="0.35">
      <c r="F3873"/>
      <c r="G3873"/>
      <c r="I3873"/>
    </row>
    <row r="3874" spans="6:9" x14ac:dyDescent="0.35">
      <c r="F3874"/>
      <c r="G3874"/>
      <c r="I3874"/>
    </row>
    <row r="3875" spans="6:9" x14ac:dyDescent="0.35">
      <c r="F3875"/>
      <c r="G3875"/>
      <c r="I3875"/>
    </row>
    <row r="3876" spans="6:9" x14ac:dyDescent="0.35">
      <c r="F3876"/>
      <c r="G3876"/>
      <c r="I3876"/>
    </row>
    <row r="3877" spans="6:9" x14ac:dyDescent="0.35">
      <c r="F3877"/>
      <c r="G3877"/>
      <c r="I3877"/>
    </row>
    <row r="3878" spans="6:9" x14ac:dyDescent="0.35">
      <c r="F3878"/>
      <c r="G3878"/>
      <c r="I3878"/>
    </row>
    <row r="3879" spans="6:9" x14ac:dyDescent="0.35">
      <c r="F3879"/>
      <c r="G3879"/>
      <c r="I3879"/>
    </row>
    <row r="3880" spans="6:9" x14ac:dyDescent="0.35">
      <c r="F3880"/>
      <c r="G3880"/>
      <c r="I3880"/>
    </row>
    <row r="3881" spans="6:9" x14ac:dyDescent="0.35">
      <c r="F3881"/>
      <c r="G3881"/>
      <c r="I3881"/>
    </row>
    <row r="3882" spans="6:9" x14ac:dyDescent="0.35">
      <c r="F3882"/>
      <c r="G3882"/>
      <c r="I3882"/>
    </row>
    <row r="3883" spans="6:9" x14ac:dyDescent="0.35">
      <c r="F3883"/>
      <c r="G3883"/>
      <c r="I3883"/>
    </row>
    <row r="3884" spans="6:9" x14ac:dyDescent="0.35">
      <c r="F3884"/>
      <c r="G3884"/>
      <c r="I3884"/>
    </row>
    <row r="3885" spans="6:9" x14ac:dyDescent="0.35">
      <c r="F3885"/>
      <c r="G3885"/>
      <c r="I3885"/>
    </row>
    <row r="3886" spans="6:9" x14ac:dyDescent="0.35">
      <c r="F3886"/>
      <c r="G3886"/>
      <c r="I3886"/>
    </row>
    <row r="3887" spans="6:9" x14ac:dyDescent="0.35">
      <c r="F3887"/>
      <c r="G3887"/>
      <c r="I3887"/>
    </row>
    <row r="3888" spans="6:9" x14ac:dyDescent="0.35">
      <c r="F3888"/>
      <c r="G3888"/>
      <c r="I3888"/>
    </row>
    <row r="3889" spans="6:9" x14ac:dyDescent="0.35">
      <c r="F3889"/>
      <c r="G3889"/>
      <c r="I3889"/>
    </row>
    <row r="3890" spans="6:9" x14ac:dyDescent="0.35">
      <c r="F3890"/>
      <c r="G3890"/>
      <c r="I3890"/>
    </row>
    <row r="3891" spans="6:9" x14ac:dyDescent="0.35">
      <c r="F3891"/>
      <c r="G3891"/>
      <c r="I3891"/>
    </row>
    <row r="3892" spans="6:9" x14ac:dyDescent="0.35">
      <c r="F3892"/>
      <c r="G3892"/>
      <c r="I3892"/>
    </row>
    <row r="3893" spans="6:9" x14ac:dyDescent="0.35">
      <c r="F3893"/>
      <c r="G3893"/>
      <c r="I3893"/>
    </row>
    <row r="3894" spans="6:9" x14ac:dyDescent="0.35">
      <c r="F3894"/>
      <c r="G3894"/>
      <c r="I3894"/>
    </row>
    <row r="3895" spans="6:9" x14ac:dyDescent="0.35">
      <c r="F3895"/>
      <c r="G3895"/>
      <c r="I3895"/>
    </row>
    <row r="3896" spans="6:9" x14ac:dyDescent="0.35">
      <c r="F3896"/>
      <c r="G3896"/>
      <c r="I3896"/>
    </row>
    <row r="3897" spans="6:9" x14ac:dyDescent="0.35">
      <c r="F3897"/>
      <c r="G3897"/>
      <c r="I3897"/>
    </row>
    <row r="3898" spans="6:9" x14ac:dyDescent="0.35">
      <c r="F3898"/>
      <c r="G3898"/>
      <c r="I3898"/>
    </row>
    <row r="3899" spans="6:9" x14ac:dyDescent="0.35">
      <c r="F3899"/>
      <c r="G3899"/>
      <c r="I3899"/>
    </row>
    <row r="3900" spans="6:9" x14ac:dyDescent="0.35">
      <c r="F3900"/>
      <c r="G3900"/>
      <c r="I3900"/>
    </row>
    <row r="3901" spans="6:9" x14ac:dyDescent="0.35">
      <c r="F3901"/>
      <c r="G3901"/>
      <c r="I3901"/>
    </row>
    <row r="3902" spans="6:9" x14ac:dyDescent="0.35">
      <c r="F3902"/>
      <c r="G3902"/>
      <c r="I3902"/>
    </row>
    <row r="3903" spans="6:9" x14ac:dyDescent="0.35">
      <c r="F3903"/>
      <c r="G3903"/>
      <c r="I3903"/>
    </row>
    <row r="3904" spans="6:9" x14ac:dyDescent="0.35">
      <c r="F3904"/>
      <c r="G3904"/>
      <c r="I3904"/>
    </row>
    <row r="3905" spans="6:9" x14ac:dyDescent="0.35">
      <c r="F3905"/>
      <c r="G3905"/>
      <c r="I3905"/>
    </row>
    <row r="3906" spans="6:9" x14ac:dyDescent="0.35">
      <c r="F3906"/>
      <c r="G3906"/>
      <c r="I3906"/>
    </row>
    <row r="3907" spans="6:9" x14ac:dyDescent="0.35">
      <c r="F3907"/>
      <c r="G3907"/>
      <c r="I3907"/>
    </row>
    <row r="3908" spans="6:9" x14ac:dyDescent="0.35">
      <c r="F3908"/>
      <c r="G3908"/>
      <c r="I3908"/>
    </row>
    <row r="3909" spans="6:9" x14ac:dyDescent="0.35">
      <c r="F3909"/>
      <c r="G3909"/>
      <c r="I3909"/>
    </row>
    <row r="3910" spans="6:9" x14ac:dyDescent="0.35">
      <c r="F3910"/>
      <c r="G3910"/>
      <c r="I3910"/>
    </row>
    <row r="3911" spans="6:9" x14ac:dyDescent="0.35">
      <c r="F3911"/>
      <c r="G3911"/>
      <c r="I3911"/>
    </row>
    <row r="3912" spans="6:9" x14ac:dyDescent="0.35">
      <c r="F3912"/>
      <c r="G3912"/>
      <c r="I3912"/>
    </row>
    <row r="3913" spans="6:9" x14ac:dyDescent="0.35">
      <c r="F3913"/>
      <c r="G3913"/>
      <c r="I3913"/>
    </row>
    <row r="3914" spans="6:9" x14ac:dyDescent="0.35">
      <c r="F3914"/>
      <c r="G3914"/>
      <c r="I3914"/>
    </row>
    <row r="3915" spans="6:9" x14ac:dyDescent="0.35">
      <c r="F3915"/>
      <c r="G3915"/>
      <c r="I3915"/>
    </row>
    <row r="3916" spans="6:9" x14ac:dyDescent="0.35">
      <c r="F3916"/>
      <c r="G3916"/>
      <c r="I3916"/>
    </row>
    <row r="3917" spans="6:9" x14ac:dyDescent="0.35">
      <c r="F3917"/>
      <c r="G3917"/>
      <c r="I3917"/>
    </row>
    <row r="3918" spans="6:9" x14ac:dyDescent="0.35">
      <c r="F3918"/>
      <c r="G3918"/>
      <c r="I3918"/>
    </row>
    <row r="3919" spans="6:9" x14ac:dyDescent="0.35">
      <c r="F3919"/>
      <c r="G3919"/>
      <c r="I3919"/>
    </row>
    <row r="3920" spans="6:9" x14ac:dyDescent="0.35">
      <c r="F3920"/>
      <c r="G3920"/>
      <c r="I3920"/>
    </row>
    <row r="3921" spans="6:9" x14ac:dyDescent="0.35">
      <c r="F3921"/>
      <c r="G3921"/>
      <c r="I3921"/>
    </row>
    <row r="3922" spans="6:9" x14ac:dyDescent="0.35">
      <c r="F3922"/>
      <c r="G3922"/>
      <c r="I3922"/>
    </row>
    <row r="3923" spans="6:9" x14ac:dyDescent="0.35">
      <c r="F3923"/>
      <c r="G3923"/>
      <c r="I3923"/>
    </row>
    <row r="3924" spans="6:9" x14ac:dyDescent="0.35">
      <c r="F3924"/>
      <c r="G3924"/>
      <c r="I3924"/>
    </row>
    <row r="3925" spans="6:9" x14ac:dyDescent="0.35">
      <c r="F3925"/>
      <c r="G3925"/>
      <c r="I3925"/>
    </row>
    <row r="3926" spans="6:9" x14ac:dyDescent="0.35">
      <c r="F3926"/>
      <c r="G3926"/>
      <c r="I3926"/>
    </row>
    <row r="3927" spans="6:9" x14ac:dyDescent="0.35">
      <c r="F3927"/>
      <c r="G3927"/>
      <c r="I3927"/>
    </row>
    <row r="3928" spans="6:9" x14ac:dyDescent="0.35">
      <c r="F3928"/>
      <c r="G3928"/>
      <c r="I3928"/>
    </row>
    <row r="3929" spans="6:9" x14ac:dyDescent="0.35">
      <c r="F3929"/>
      <c r="G3929"/>
      <c r="I3929"/>
    </row>
    <row r="3930" spans="6:9" x14ac:dyDescent="0.35">
      <c r="F3930"/>
      <c r="G3930"/>
      <c r="I3930"/>
    </row>
    <row r="3931" spans="6:9" x14ac:dyDescent="0.35">
      <c r="F3931"/>
      <c r="G3931"/>
      <c r="I3931"/>
    </row>
    <row r="3932" spans="6:9" x14ac:dyDescent="0.35">
      <c r="F3932"/>
      <c r="G3932"/>
      <c r="I3932"/>
    </row>
    <row r="3933" spans="6:9" x14ac:dyDescent="0.35">
      <c r="F3933"/>
      <c r="G3933"/>
      <c r="I3933"/>
    </row>
    <row r="3934" spans="6:9" x14ac:dyDescent="0.35">
      <c r="F3934"/>
      <c r="G3934"/>
      <c r="I3934"/>
    </row>
    <row r="3935" spans="6:9" x14ac:dyDescent="0.35">
      <c r="F3935"/>
      <c r="G3935"/>
      <c r="I3935"/>
    </row>
    <row r="3936" spans="6:9" x14ac:dyDescent="0.35">
      <c r="F3936"/>
      <c r="G3936"/>
      <c r="I3936"/>
    </row>
    <row r="3937" spans="6:9" x14ac:dyDescent="0.35">
      <c r="F3937"/>
      <c r="G3937"/>
      <c r="I3937"/>
    </row>
    <row r="3938" spans="6:9" x14ac:dyDescent="0.35">
      <c r="F3938"/>
      <c r="G3938"/>
      <c r="I3938"/>
    </row>
    <row r="3939" spans="6:9" x14ac:dyDescent="0.35">
      <c r="F3939"/>
      <c r="G3939"/>
      <c r="I3939"/>
    </row>
    <row r="3940" spans="6:9" x14ac:dyDescent="0.35">
      <c r="F3940"/>
      <c r="G3940"/>
      <c r="I3940"/>
    </row>
    <row r="3941" spans="6:9" x14ac:dyDescent="0.35">
      <c r="F3941"/>
      <c r="G3941"/>
      <c r="I3941"/>
    </row>
    <row r="3942" spans="6:9" x14ac:dyDescent="0.35">
      <c r="F3942"/>
      <c r="G3942"/>
      <c r="I3942"/>
    </row>
    <row r="3943" spans="6:9" x14ac:dyDescent="0.35">
      <c r="F3943"/>
      <c r="G3943"/>
      <c r="I3943"/>
    </row>
    <row r="3944" spans="6:9" x14ac:dyDescent="0.35">
      <c r="F3944"/>
      <c r="G3944"/>
      <c r="I3944"/>
    </row>
    <row r="3945" spans="6:9" x14ac:dyDescent="0.35">
      <c r="F3945"/>
      <c r="G3945"/>
      <c r="I3945"/>
    </row>
    <row r="3946" spans="6:9" x14ac:dyDescent="0.35">
      <c r="F3946"/>
      <c r="G3946"/>
      <c r="I3946"/>
    </row>
    <row r="3947" spans="6:9" x14ac:dyDescent="0.35">
      <c r="F3947"/>
      <c r="G3947"/>
      <c r="I3947"/>
    </row>
    <row r="3948" spans="6:9" x14ac:dyDescent="0.35">
      <c r="F3948"/>
      <c r="G3948"/>
      <c r="I3948"/>
    </row>
    <row r="3949" spans="6:9" x14ac:dyDescent="0.35">
      <c r="F3949"/>
      <c r="G3949"/>
      <c r="I3949"/>
    </row>
    <row r="3950" spans="6:9" x14ac:dyDescent="0.35">
      <c r="F3950"/>
      <c r="G3950"/>
      <c r="I3950"/>
    </row>
    <row r="3951" spans="6:9" x14ac:dyDescent="0.35">
      <c r="F3951"/>
      <c r="G3951"/>
      <c r="I3951"/>
    </row>
    <row r="3952" spans="6:9" x14ac:dyDescent="0.35">
      <c r="F3952"/>
      <c r="G3952"/>
      <c r="I3952"/>
    </row>
    <row r="3953" spans="6:9" x14ac:dyDescent="0.35">
      <c r="F3953"/>
      <c r="G3953"/>
      <c r="I3953"/>
    </row>
    <row r="3954" spans="6:9" x14ac:dyDescent="0.35">
      <c r="F3954"/>
      <c r="G3954"/>
      <c r="I3954"/>
    </row>
    <row r="3955" spans="6:9" x14ac:dyDescent="0.35">
      <c r="F3955"/>
      <c r="G3955"/>
      <c r="I3955"/>
    </row>
    <row r="3956" spans="6:9" x14ac:dyDescent="0.35">
      <c r="F3956"/>
      <c r="G3956"/>
      <c r="I3956"/>
    </row>
    <row r="3957" spans="6:9" x14ac:dyDescent="0.35">
      <c r="F3957"/>
      <c r="G3957"/>
      <c r="I3957"/>
    </row>
    <row r="3958" spans="6:9" x14ac:dyDescent="0.35">
      <c r="F3958"/>
      <c r="G3958"/>
      <c r="I3958"/>
    </row>
    <row r="3959" spans="6:9" x14ac:dyDescent="0.35">
      <c r="F3959"/>
      <c r="G3959"/>
      <c r="I3959"/>
    </row>
    <row r="3960" spans="6:9" x14ac:dyDescent="0.35">
      <c r="F3960"/>
      <c r="G3960"/>
      <c r="I3960"/>
    </row>
    <row r="3961" spans="6:9" x14ac:dyDescent="0.35">
      <c r="F3961"/>
      <c r="G3961"/>
      <c r="I3961"/>
    </row>
    <row r="3962" spans="6:9" x14ac:dyDescent="0.35">
      <c r="F3962"/>
      <c r="G3962"/>
      <c r="I3962"/>
    </row>
    <row r="3963" spans="6:9" x14ac:dyDescent="0.35">
      <c r="F3963"/>
      <c r="G3963"/>
      <c r="I3963"/>
    </row>
    <row r="3964" spans="6:9" x14ac:dyDescent="0.35">
      <c r="F3964"/>
      <c r="G3964"/>
      <c r="I3964"/>
    </row>
    <row r="3965" spans="6:9" x14ac:dyDescent="0.35">
      <c r="F3965"/>
      <c r="G3965"/>
      <c r="I3965"/>
    </row>
    <row r="3966" spans="6:9" x14ac:dyDescent="0.35">
      <c r="F3966"/>
      <c r="G3966"/>
      <c r="I3966"/>
    </row>
    <row r="3967" spans="6:9" x14ac:dyDescent="0.35">
      <c r="F3967"/>
      <c r="G3967"/>
      <c r="I3967"/>
    </row>
    <row r="3968" spans="6:9" x14ac:dyDescent="0.35">
      <c r="F3968"/>
      <c r="G3968"/>
      <c r="I3968"/>
    </row>
    <row r="3969" spans="6:9" x14ac:dyDescent="0.35">
      <c r="F3969"/>
      <c r="G3969"/>
      <c r="I3969"/>
    </row>
    <row r="3970" spans="6:9" x14ac:dyDescent="0.35">
      <c r="F3970"/>
      <c r="G3970"/>
      <c r="I3970"/>
    </row>
    <row r="3971" spans="6:9" x14ac:dyDescent="0.35">
      <c r="F3971"/>
      <c r="G3971"/>
      <c r="I3971"/>
    </row>
    <row r="3972" spans="6:9" x14ac:dyDescent="0.35">
      <c r="F3972"/>
      <c r="G3972"/>
      <c r="I3972"/>
    </row>
    <row r="3973" spans="6:9" x14ac:dyDescent="0.35">
      <c r="F3973"/>
      <c r="G3973"/>
      <c r="I3973"/>
    </row>
    <row r="3974" spans="6:9" x14ac:dyDescent="0.35">
      <c r="F3974"/>
      <c r="G3974"/>
      <c r="I3974"/>
    </row>
    <row r="3975" spans="6:9" x14ac:dyDescent="0.35">
      <c r="F3975"/>
      <c r="G3975"/>
      <c r="I3975"/>
    </row>
    <row r="3976" spans="6:9" x14ac:dyDescent="0.35">
      <c r="F3976"/>
      <c r="G3976"/>
      <c r="I3976"/>
    </row>
    <row r="3977" spans="6:9" x14ac:dyDescent="0.35">
      <c r="F3977"/>
      <c r="G3977"/>
      <c r="I3977"/>
    </row>
    <row r="3978" spans="6:9" x14ac:dyDescent="0.35">
      <c r="F3978"/>
      <c r="G3978"/>
      <c r="I3978"/>
    </row>
    <row r="3979" spans="6:9" x14ac:dyDescent="0.35">
      <c r="F3979"/>
      <c r="G3979"/>
      <c r="I3979"/>
    </row>
    <row r="3980" spans="6:9" x14ac:dyDescent="0.35">
      <c r="F3980"/>
      <c r="G3980"/>
      <c r="I3980"/>
    </row>
    <row r="3981" spans="6:9" x14ac:dyDescent="0.35">
      <c r="F3981"/>
      <c r="G3981"/>
      <c r="I3981"/>
    </row>
    <row r="3982" spans="6:9" x14ac:dyDescent="0.35">
      <c r="F3982"/>
      <c r="G3982"/>
      <c r="I3982"/>
    </row>
    <row r="3983" spans="6:9" x14ac:dyDescent="0.35">
      <c r="F3983"/>
      <c r="G3983"/>
      <c r="I3983"/>
    </row>
    <row r="3984" spans="6:9" x14ac:dyDescent="0.35">
      <c r="F3984"/>
      <c r="G3984"/>
      <c r="I3984"/>
    </row>
    <row r="3985" spans="6:9" x14ac:dyDescent="0.35">
      <c r="F3985"/>
      <c r="G3985"/>
      <c r="I3985"/>
    </row>
    <row r="3986" spans="6:9" x14ac:dyDescent="0.35">
      <c r="F3986"/>
      <c r="G3986"/>
      <c r="I3986"/>
    </row>
    <row r="3987" spans="6:9" x14ac:dyDescent="0.35">
      <c r="F3987"/>
      <c r="G3987"/>
      <c r="I3987"/>
    </row>
    <row r="3988" spans="6:9" x14ac:dyDescent="0.35">
      <c r="F3988"/>
      <c r="G3988"/>
      <c r="I3988"/>
    </row>
    <row r="3989" spans="6:9" x14ac:dyDescent="0.35">
      <c r="F3989"/>
      <c r="G3989"/>
      <c r="I3989"/>
    </row>
    <row r="3990" spans="6:9" x14ac:dyDescent="0.35">
      <c r="F3990"/>
      <c r="G3990"/>
      <c r="I3990"/>
    </row>
    <row r="3991" spans="6:9" x14ac:dyDescent="0.35">
      <c r="F3991"/>
      <c r="G3991"/>
      <c r="I3991"/>
    </row>
    <row r="3992" spans="6:9" x14ac:dyDescent="0.35">
      <c r="F3992"/>
      <c r="G3992"/>
      <c r="I3992"/>
    </row>
    <row r="3993" spans="6:9" x14ac:dyDescent="0.35">
      <c r="F3993"/>
      <c r="G3993"/>
      <c r="I3993"/>
    </row>
    <row r="3994" spans="6:9" x14ac:dyDescent="0.35">
      <c r="F3994"/>
      <c r="G3994"/>
      <c r="I3994"/>
    </row>
    <row r="3995" spans="6:9" x14ac:dyDescent="0.35">
      <c r="F3995"/>
      <c r="G3995"/>
      <c r="I3995"/>
    </row>
    <row r="3996" spans="6:9" x14ac:dyDescent="0.35">
      <c r="F3996"/>
      <c r="G3996"/>
      <c r="I3996"/>
    </row>
    <row r="3997" spans="6:9" x14ac:dyDescent="0.35">
      <c r="F3997"/>
      <c r="G3997"/>
      <c r="I3997"/>
    </row>
    <row r="3998" spans="6:9" x14ac:dyDescent="0.35">
      <c r="F3998"/>
      <c r="G3998"/>
      <c r="I3998"/>
    </row>
    <row r="3999" spans="6:9" x14ac:dyDescent="0.35">
      <c r="F3999"/>
      <c r="G3999"/>
      <c r="I3999"/>
    </row>
    <row r="4000" spans="6:9" x14ac:dyDescent="0.35">
      <c r="F4000"/>
      <c r="G4000"/>
      <c r="I4000"/>
    </row>
    <row r="4001" spans="6:9" x14ac:dyDescent="0.35">
      <c r="F4001"/>
      <c r="G4001"/>
      <c r="I4001"/>
    </row>
    <row r="4002" spans="6:9" x14ac:dyDescent="0.35">
      <c r="F4002"/>
      <c r="G4002"/>
      <c r="I4002"/>
    </row>
    <row r="4003" spans="6:9" x14ac:dyDescent="0.35">
      <c r="F4003"/>
      <c r="G4003"/>
      <c r="I4003"/>
    </row>
    <row r="4004" spans="6:9" x14ac:dyDescent="0.35">
      <c r="F4004"/>
      <c r="G4004"/>
      <c r="I4004"/>
    </row>
    <row r="4005" spans="6:9" x14ac:dyDescent="0.35">
      <c r="F4005"/>
      <c r="G4005"/>
      <c r="I4005"/>
    </row>
    <row r="4006" spans="6:9" x14ac:dyDescent="0.35">
      <c r="F4006"/>
      <c r="G4006"/>
      <c r="I4006"/>
    </row>
    <row r="4007" spans="6:9" x14ac:dyDescent="0.35">
      <c r="F4007"/>
      <c r="G4007"/>
      <c r="I4007"/>
    </row>
    <row r="4008" spans="6:9" x14ac:dyDescent="0.35">
      <c r="F4008"/>
      <c r="G4008"/>
      <c r="I4008"/>
    </row>
    <row r="4009" spans="6:9" x14ac:dyDescent="0.35">
      <c r="F4009"/>
      <c r="G4009"/>
      <c r="I4009"/>
    </row>
    <row r="4010" spans="6:9" x14ac:dyDescent="0.35">
      <c r="F4010"/>
      <c r="G4010"/>
      <c r="I4010"/>
    </row>
    <row r="4011" spans="6:9" x14ac:dyDescent="0.35">
      <c r="F4011"/>
      <c r="G4011"/>
      <c r="I4011"/>
    </row>
    <row r="4012" spans="6:9" x14ac:dyDescent="0.35">
      <c r="F4012"/>
      <c r="G4012"/>
      <c r="I4012"/>
    </row>
    <row r="4013" spans="6:9" x14ac:dyDescent="0.35">
      <c r="F4013"/>
      <c r="G4013"/>
      <c r="I4013"/>
    </row>
    <row r="4014" spans="6:9" x14ac:dyDescent="0.35">
      <c r="F4014"/>
      <c r="G4014"/>
      <c r="I4014"/>
    </row>
    <row r="4015" spans="6:9" x14ac:dyDescent="0.35">
      <c r="F4015"/>
      <c r="G4015"/>
      <c r="I4015"/>
    </row>
    <row r="4016" spans="6:9" x14ac:dyDescent="0.35">
      <c r="F4016"/>
      <c r="G4016"/>
      <c r="I4016"/>
    </row>
    <row r="4017" spans="6:9" x14ac:dyDescent="0.35">
      <c r="F4017"/>
      <c r="G4017"/>
      <c r="I4017"/>
    </row>
    <row r="4018" spans="6:9" x14ac:dyDescent="0.35">
      <c r="F4018"/>
      <c r="G4018"/>
      <c r="I4018"/>
    </row>
    <row r="4019" spans="6:9" x14ac:dyDescent="0.35">
      <c r="F4019"/>
      <c r="G4019"/>
      <c r="I4019"/>
    </row>
    <row r="4020" spans="6:9" x14ac:dyDescent="0.35">
      <c r="F4020"/>
      <c r="G4020"/>
      <c r="I4020"/>
    </row>
    <row r="4021" spans="6:9" x14ac:dyDescent="0.35">
      <c r="F4021"/>
      <c r="G4021"/>
      <c r="I4021"/>
    </row>
    <row r="4022" spans="6:9" x14ac:dyDescent="0.35">
      <c r="F4022"/>
      <c r="G4022"/>
      <c r="I4022"/>
    </row>
    <row r="4023" spans="6:9" x14ac:dyDescent="0.35">
      <c r="F4023"/>
      <c r="G4023"/>
      <c r="I4023"/>
    </row>
    <row r="4024" spans="6:9" x14ac:dyDescent="0.35">
      <c r="F4024"/>
      <c r="G4024"/>
      <c r="I4024"/>
    </row>
    <row r="4025" spans="6:9" x14ac:dyDescent="0.35">
      <c r="F4025"/>
      <c r="G4025"/>
      <c r="I4025"/>
    </row>
    <row r="4026" spans="6:9" x14ac:dyDescent="0.35">
      <c r="F4026"/>
      <c r="G4026"/>
      <c r="I4026"/>
    </row>
    <row r="4027" spans="6:9" x14ac:dyDescent="0.35">
      <c r="F4027"/>
      <c r="G4027"/>
      <c r="I4027"/>
    </row>
    <row r="4028" spans="6:9" x14ac:dyDescent="0.35">
      <c r="F4028"/>
      <c r="G4028"/>
      <c r="I4028"/>
    </row>
    <row r="4029" spans="6:9" x14ac:dyDescent="0.35">
      <c r="F4029"/>
      <c r="G4029"/>
      <c r="I4029"/>
    </row>
    <row r="4030" spans="6:9" x14ac:dyDescent="0.35">
      <c r="F4030"/>
      <c r="G4030"/>
      <c r="I4030"/>
    </row>
    <row r="4031" spans="6:9" x14ac:dyDescent="0.35">
      <c r="F4031"/>
      <c r="G4031"/>
      <c r="I4031"/>
    </row>
    <row r="4032" spans="6:9" x14ac:dyDescent="0.35">
      <c r="F4032"/>
      <c r="G4032"/>
      <c r="I4032"/>
    </row>
    <row r="4033" spans="6:9" x14ac:dyDescent="0.35">
      <c r="F4033"/>
      <c r="G4033"/>
      <c r="I4033"/>
    </row>
    <row r="4034" spans="6:9" x14ac:dyDescent="0.35">
      <c r="F4034"/>
      <c r="G4034"/>
      <c r="I4034"/>
    </row>
    <row r="4035" spans="6:9" x14ac:dyDescent="0.35">
      <c r="F4035"/>
      <c r="G4035"/>
      <c r="I4035"/>
    </row>
    <row r="4036" spans="6:9" x14ac:dyDescent="0.35">
      <c r="F4036"/>
      <c r="G4036"/>
      <c r="I4036"/>
    </row>
    <row r="4037" spans="6:9" x14ac:dyDescent="0.35">
      <c r="F4037"/>
      <c r="G4037"/>
      <c r="I4037"/>
    </row>
    <row r="4038" spans="6:9" x14ac:dyDescent="0.35">
      <c r="F4038"/>
      <c r="G4038"/>
      <c r="I4038"/>
    </row>
    <row r="4039" spans="6:9" x14ac:dyDescent="0.35">
      <c r="F4039"/>
      <c r="G4039"/>
      <c r="I4039"/>
    </row>
    <row r="4040" spans="6:9" x14ac:dyDescent="0.35">
      <c r="F4040"/>
      <c r="G4040"/>
      <c r="I4040"/>
    </row>
    <row r="4041" spans="6:9" x14ac:dyDescent="0.35">
      <c r="F4041"/>
      <c r="G4041"/>
      <c r="I4041"/>
    </row>
    <row r="4042" spans="6:9" x14ac:dyDescent="0.35">
      <c r="F4042"/>
      <c r="G4042"/>
      <c r="I4042"/>
    </row>
    <row r="4043" spans="6:9" x14ac:dyDescent="0.35">
      <c r="F4043"/>
      <c r="G4043"/>
      <c r="I4043"/>
    </row>
    <row r="4044" spans="6:9" x14ac:dyDescent="0.35">
      <c r="F4044"/>
      <c r="G4044"/>
      <c r="I4044"/>
    </row>
    <row r="4045" spans="6:9" x14ac:dyDescent="0.35">
      <c r="F4045"/>
      <c r="G4045"/>
      <c r="I4045"/>
    </row>
    <row r="4046" spans="6:9" x14ac:dyDescent="0.35">
      <c r="F4046"/>
      <c r="G4046"/>
      <c r="I4046"/>
    </row>
    <row r="4047" spans="6:9" x14ac:dyDescent="0.35">
      <c r="F4047"/>
      <c r="G4047"/>
      <c r="I4047"/>
    </row>
    <row r="4048" spans="6:9" x14ac:dyDescent="0.35">
      <c r="F4048"/>
      <c r="G4048"/>
      <c r="I4048"/>
    </row>
    <row r="4049" spans="6:9" x14ac:dyDescent="0.35">
      <c r="F4049"/>
      <c r="G4049"/>
      <c r="I4049"/>
    </row>
    <row r="4050" spans="6:9" x14ac:dyDescent="0.35">
      <c r="F4050"/>
      <c r="G4050"/>
      <c r="I4050"/>
    </row>
    <row r="4051" spans="6:9" x14ac:dyDescent="0.35">
      <c r="F4051"/>
      <c r="G4051"/>
      <c r="I4051"/>
    </row>
    <row r="4052" spans="6:9" x14ac:dyDescent="0.35">
      <c r="F4052"/>
      <c r="G4052"/>
      <c r="I4052"/>
    </row>
    <row r="4053" spans="6:9" x14ac:dyDescent="0.35">
      <c r="F4053"/>
      <c r="G4053"/>
      <c r="I4053"/>
    </row>
    <row r="4054" spans="6:9" x14ac:dyDescent="0.35">
      <c r="F4054"/>
      <c r="G4054"/>
      <c r="I4054"/>
    </row>
    <row r="4055" spans="6:9" x14ac:dyDescent="0.35">
      <c r="F4055"/>
      <c r="G4055"/>
      <c r="I4055"/>
    </row>
    <row r="4056" spans="6:9" x14ac:dyDescent="0.35">
      <c r="F4056"/>
      <c r="G4056"/>
      <c r="I4056"/>
    </row>
    <row r="4057" spans="6:9" x14ac:dyDescent="0.35">
      <c r="F4057"/>
      <c r="G4057"/>
      <c r="I4057"/>
    </row>
    <row r="4058" spans="6:9" x14ac:dyDescent="0.35">
      <c r="F4058"/>
      <c r="G4058"/>
      <c r="I4058"/>
    </row>
    <row r="4059" spans="6:9" x14ac:dyDescent="0.35">
      <c r="F4059"/>
      <c r="G4059"/>
      <c r="I4059"/>
    </row>
    <row r="4060" spans="6:9" x14ac:dyDescent="0.35">
      <c r="F4060"/>
      <c r="G4060"/>
      <c r="I4060"/>
    </row>
    <row r="4061" spans="6:9" x14ac:dyDescent="0.35">
      <c r="F4061"/>
      <c r="G4061"/>
      <c r="I4061"/>
    </row>
    <row r="4062" spans="6:9" x14ac:dyDescent="0.35">
      <c r="F4062"/>
      <c r="G4062"/>
      <c r="I4062"/>
    </row>
    <row r="4063" spans="6:9" x14ac:dyDescent="0.35">
      <c r="F4063"/>
      <c r="G4063"/>
      <c r="I4063"/>
    </row>
    <row r="4064" spans="6:9" x14ac:dyDescent="0.35">
      <c r="F4064"/>
      <c r="G4064"/>
      <c r="I4064"/>
    </row>
    <row r="4065" spans="6:9" x14ac:dyDescent="0.35">
      <c r="F4065"/>
      <c r="G4065"/>
      <c r="I4065"/>
    </row>
    <row r="4066" spans="6:9" x14ac:dyDescent="0.35">
      <c r="F4066"/>
      <c r="G4066"/>
      <c r="I4066"/>
    </row>
    <row r="4067" spans="6:9" x14ac:dyDescent="0.35">
      <c r="F4067"/>
      <c r="G4067"/>
      <c r="I4067"/>
    </row>
    <row r="4068" spans="6:9" x14ac:dyDescent="0.35">
      <c r="F4068"/>
      <c r="G4068"/>
      <c r="I4068"/>
    </row>
    <row r="4069" spans="6:9" x14ac:dyDescent="0.35">
      <c r="F4069"/>
      <c r="G4069"/>
      <c r="I4069"/>
    </row>
    <row r="4070" spans="6:9" x14ac:dyDescent="0.35">
      <c r="F4070"/>
      <c r="G4070"/>
      <c r="I4070"/>
    </row>
    <row r="4071" spans="6:9" x14ac:dyDescent="0.35">
      <c r="F4071"/>
      <c r="G4071"/>
      <c r="I4071"/>
    </row>
    <row r="4072" spans="6:9" x14ac:dyDescent="0.35">
      <c r="F4072"/>
      <c r="G4072"/>
      <c r="I4072"/>
    </row>
    <row r="4073" spans="6:9" x14ac:dyDescent="0.35">
      <c r="F4073"/>
      <c r="G4073"/>
      <c r="I4073"/>
    </row>
    <row r="4074" spans="6:9" x14ac:dyDescent="0.35">
      <c r="F4074"/>
      <c r="G4074"/>
      <c r="I4074"/>
    </row>
    <row r="4075" spans="6:9" x14ac:dyDescent="0.35">
      <c r="F4075"/>
      <c r="G4075"/>
      <c r="I4075"/>
    </row>
    <row r="4076" spans="6:9" x14ac:dyDescent="0.35">
      <c r="F4076"/>
      <c r="G4076"/>
      <c r="I4076"/>
    </row>
    <row r="4077" spans="6:9" x14ac:dyDescent="0.35">
      <c r="F4077"/>
      <c r="G4077"/>
      <c r="I4077"/>
    </row>
    <row r="4078" spans="6:9" x14ac:dyDescent="0.35">
      <c r="F4078"/>
      <c r="G4078"/>
      <c r="I4078"/>
    </row>
    <row r="4079" spans="6:9" x14ac:dyDescent="0.35">
      <c r="F4079"/>
      <c r="G4079"/>
      <c r="I4079"/>
    </row>
    <row r="4080" spans="6:9" x14ac:dyDescent="0.35">
      <c r="F4080"/>
      <c r="G4080"/>
      <c r="I4080"/>
    </row>
    <row r="4081" spans="6:9" x14ac:dyDescent="0.35">
      <c r="F4081"/>
      <c r="G4081"/>
      <c r="I4081"/>
    </row>
    <row r="4082" spans="6:9" x14ac:dyDescent="0.35">
      <c r="F4082"/>
      <c r="G4082"/>
      <c r="I4082"/>
    </row>
    <row r="4083" spans="6:9" x14ac:dyDescent="0.35">
      <c r="F4083"/>
      <c r="G4083"/>
      <c r="I4083"/>
    </row>
    <row r="4084" spans="6:9" x14ac:dyDescent="0.35">
      <c r="F4084"/>
      <c r="G4084"/>
      <c r="I4084"/>
    </row>
    <row r="4085" spans="6:9" x14ac:dyDescent="0.35">
      <c r="F4085"/>
      <c r="G4085"/>
      <c r="I4085"/>
    </row>
    <row r="4086" spans="6:9" x14ac:dyDescent="0.35">
      <c r="F4086"/>
      <c r="G4086"/>
      <c r="I4086"/>
    </row>
    <row r="4087" spans="6:9" x14ac:dyDescent="0.35">
      <c r="F4087"/>
      <c r="G4087"/>
      <c r="I4087"/>
    </row>
    <row r="4088" spans="6:9" x14ac:dyDescent="0.35">
      <c r="F4088"/>
      <c r="G4088"/>
      <c r="I4088"/>
    </row>
    <row r="4089" spans="6:9" x14ac:dyDescent="0.35">
      <c r="F4089"/>
      <c r="G4089"/>
      <c r="I4089"/>
    </row>
    <row r="4090" spans="6:9" x14ac:dyDescent="0.35">
      <c r="F4090"/>
      <c r="G4090"/>
      <c r="I4090"/>
    </row>
    <row r="4091" spans="6:9" x14ac:dyDescent="0.35">
      <c r="F4091"/>
      <c r="G4091"/>
      <c r="I4091"/>
    </row>
    <row r="4092" spans="6:9" x14ac:dyDescent="0.35">
      <c r="F4092"/>
      <c r="G4092"/>
      <c r="I4092"/>
    </row>
    <row r="4093" spans="6:9" x14ac:dyDescent="0.35">
      <c r="F4093"/>
      <c r="G4093"/>
      <c r="I4093"/>
    </row>
    <row r="4094" spans="6:9" x14ac:dyDescent="0.35">
      <c r="F4094"/>
      <c r="G4094"/>
      <c r="I4094"/>
    </row>
    <row r="4095" spans="6:9" x14ac:dyDescent="0.35">
      <c r="F4095"/>
      <c r="G4095"/>
      <c r="I4095"/>
    </row>
    <row r="4096" spans="6:9" x14ac:dyDescent="0.35">
      <c r="F4096"/>
      <c r="G4096"/>
      <c r="I4096"/>
    </row>
    <row r="4097" spans="6:9" x14ac:dyDescent="0.35">
      <c r="F4097"/>
      <c r="G4097"/>
      <c r="I4097"/>
    </row>
    <row r="4098" spans="6:9" x14ac:dyDescent="0.35">
      <c r="F4098"/>
      <c r="G4098"/>
      <c r="I4098"/>
    </row>
    <row r="4099" spans="6:9" x14ac:dyDescent="0.35">
      <c r="F4099"/>
      <c r="G4099"/>
      <c r="I4099"/>
    </row>
    <row r="4100" spans="6:9" x14ac:dyDescent="0.35">
      <c r="F4100"/>
      <c r="G4100"/>
      <c r="I4100"/>
    </row>
    <row r="4101" spans="6:9" x14ac:dyDescent="0.35">
      <c r="F4101"/>
      <c r="G4101"/>
      <c r="I4101"/>
    </row>
    <row r="4102" spans="6:9" x14ac:dyDescent="0.35">
      <c r="F4102"/>
      <c r="G4102"/>
      <c r="I4102"/>
    </row>
    <row r="4103" spans="6:9" x14ac:dyDescent="0.35">
      <c r="F4103"/>
      <c r="G4103"/>
      <c r="I4103"/>
    </row>
    <row r="4104" spans="6:9" x14ac:dyDescent="0.35">
      <c r="F4104"/>
      <c r="G4104"/>
      <c r="I4104"/>
    </row>
    <row r="4105" spans="6:9" x14ac:dyDescent="0.35">
      <c r="F4105"/>
      <c r="G4105"/>
      <c r="I4105"/>
    </row>
    <row r="4106" spans="6:9" x14ac:dyDescent="0.35">
      <c r="F4106"/>
      <c r="G4106"/>
      <c r="I4106"/>
    </row>
    <row r="4107" spans="6:9" x14ac:dyDescent="0.35">
      <c r="F4107"/>
      <c r="G4107"/>
      <c r="I4107"/>
    </row>
    <row r="4108" spans="6:9" x14ac:dyDescent="0.35">
      <c r="F4108"/>
      <c r="G4108"/>
      <c r="I4108"/>
    </row>
    <row r="4109" spans="6:9" x14ac:dyDescent="0.35">
      <c r="F4109"/>
      <c r="G4109"/>
      <c r="I4109"/>
    </row>
    <row r="4110" spans="6:9" x14ac:dyDescent="0.35">
      <c r="F4110"/>
      <c r="G4110"/>
      <c r="I4110"/>
    </row>
    <row r="4111" spans="6:9" x14ac:dyDescent="0.35">
      <c r="F4111"/>
      <c r="G4111"/>
      <c r="I4111"/>
    </row>
    <row r="4112" spans="6:9" x14ac:dyDescent="0.35">
      <c r="F4112"/>
      <c r="G4112"/>
      <c r="I4112"/>
    </row>
    <row r="4113" spans="6:9" x14ac:dyDescent="0.35">
      <c r="F4113"/>
      <c r="G4113"/>
      <c r="I4113"/>
    </row>
    <row r="4114" spans="6:9" x14ac:dyDescent="0.35">
      <c r="F4114"/>
      <c r="G4114"/>
      <c r="I4114"/>
    </row>
    <row r="4115" spans="6:9" x14ac:dyDescent="0.35">
      <c r="F4115"/>
      <c r="G4115"/>
      <c r="I4115"/>
    </row>
    <row r="4116" spans="6:9" x14ac:dyDescent="0.35">
      <c r="F4116"/>
      <c r="G4116"/>
      <c r="I4116"/>
    </row>
    <row r="4117" spans="6:9" x14ac:dyDescent="0.35">
      <c r="F4117"/>
      <c r="G4117"/>
      <c r="I4117"/>
    </row>
    <row r="4118" spans="6:9" x14ac:dyDescent="0.35">
      <c r="F4118"/>
      <c r="G4118"/>
      <c r="I4118"/>
    </row>
    <row r="4119" spans="6:9" x14ac:dyDescent="0.35">
      <c r="F4119"/>
      <c r="G4119"/>
      <c r="I4119"/>
    </row>
    <row r="4120" spans="6:9" x14ac:dyDescent="0.35">
      <c r="F4120"/>
      <c r="G4120"/>
      <c r="I4120"/>
    </row>
    <row r="4121" spans="6:9" x14ac:dyDescent="0.35">
      <c r="F4121"/>
      <c r="G4121"/>
      <c r="I4121"/>
    </row>
    <row r="4122" spans="6:9" x14ac:dyDescent="0.35">
      <c r="F4122"/>
      <c r="G4122"/>
      <c r="I4122"/>
    </row>
    <row r="4123" spans="6:9" x14ac:dyDescent="0.35">
      <c r="F4123"/>
      <c r="G4123"/>
      <c r="I4123"/>
    </row>
    <row r="4124" spans="6:9" x14ac:dyDescent="0.35">
      <c r="F4124"/>
      <c r="G4124"/>
      <c r="I4124"/>
    </row>
    <row r="4125" spans="6:9" x14ac:dyDescent="0.35">
      <c r="F4125"/>
      <c r="G4125"/>
      <c r="I4125"/>
    </row>
    <row r="4126" spans="6:9" x14ac:dyDescent="0.35">
      <c r="F4126"/>
      <c r="G4126"/>
      <c r="I4126"/>
    </row>
    <row r="4127" spans="6:9" x14ac:dyDescent="0.35">
      <c r="F4127"/>
      <c r="G4127"/>
      <c r="I4127"/>
    </row>
    <row r="4128" spans="6:9" x14ac:dyDescent="0.35">
      <c r="F4128"/>
      <c r="G4128"/>
      <c r="I4128"/>
    </row>
    <row r="4129" spans="6:9" x14ac:dyDescent="0.35">
      <c r="F4129"/>
      <c r="G4129"/>
      <c r="I4129"/>
    </row>
    <row r="4130" spans="6:9" x14ac:dyDescent="0.35">
      <c r="F4130"/>
      <c r="G4130"/>
      <c r="I4130"/>
    </row>
    <row r="4131" spans="6:9" x14ac:dyDescent="0.35">
      <c r="F4131"/>
      <c r="G4131"/>
      <c r="I4131"/>
    </row>
    <row r="4132" spans="6:9" x14ac:dyDescent="0.35">
      <c r="F4132"/>
      <c r="G4132"/>
      <c r="I4132"/>
    </row>
    <row r="4133" spans="6:9" x14ac:dyDescent="0.35">
      <c r="F4133"/>
      <c r="G4133"/>
      <c r="I4133"/>
    </row>
    <row r="4134" spans="6:9" x14ac:dyDescent="0.35">
      <c r="F4134"/>
      <c r="G4134"/>
      <c r="I4134"/>
    </row>
    <row r="4135" spans="6:9" x14ac:dyDescent="0.35">
      <c r="F4135"/>
      <c r="G4135"/>
      <c r="I4135"/>
    </row>
    <row r="4136" spans="6:9" x14ac:dyDescent="0.35">
      <c r="F4136"/>
      <c r="G4136"/>
      <c r="I4136"/>
    </row>
    <row r="4137" spans="6:9" x14ac:dyDescent="0.35">
      <c r="F4137"/>
      <c r="G4137"/>
      <c r="I4137"/>
    </row>
    <row r="4138" spans="6:9" x14ac:dyDescent="0.35">
      <c r="F4138"/>
      <c r="G4138"/>
      <c r="I4138"/>
    </row>
    <row r="4139" spans="6:9" x14ac:dyDescent="0.35">
      <c r="F4139"/>
      <c r="G4139"/>
      <c r="I4139"/>
    </row>
    <row r="4140" spans="6:9" x14ac:dyDescent="0.35">
      <c r="F4140"/>
      <c r="G4140"/>
      <c r="I4140"/>
    </row>
    <row r="4141" spans="6:9" x14ac:dyDescent="0.35">
      <c r="F4141"/>
      <c r="G4141"/>
      <c r="I4141"/>
    </row>
    <row r="4142" spans="6:9" x14ac:dyDescent="0.35">
      <c r="F4142"/>
      <c r="G4142"/>
      <c r="I4142"/>
    </row>
    <row r="4143" spans="6:9" x14ac:dyDescent="0.35">
      <c r="F4143"/>
      <c r="G4143"/>
      <c r="I4143"/>
    </row>
    <row r="4144" spans="6:9" x14ac:dyDescent="0.35">
      <c r="F4144"/>
      <c r="G4144"/>
      <c r="I4144"/>
    </row>
    <row r="4145" spans="6:9" x14ac:dyDescent="0.35">
      <c r="F4145"/>
      <c r="G4145"/>
      <c r="I4145"/>
    </row>
    <row r="4146" spans="6:9" x14ac:dyDescent="0.35">
      <c r="F4146"/>
      <c r="G4146"/>
      <c r="I4146"/>
    </row>
    <row r="4147" spans="6:9" x14ac:dyDescent="0.35">
      <c r="F4147"/>
      <c r="G4147"/>
      <c r="I4147"/>
    </row>
    <row r="4148" spans="6:9" x14ac:dyDescent="0.35">
      <c r="F4148"/>
      <c r="G4148"/>
      <c r="I4148"/>
    </row>
    <row r="4149" spans="6:9" x14ac:dyDescent="0.35">
      <c r="F4149"/>
      <c r="G4149"/>
      <c r="I4149"/>
    </row>
    <row r="4150" spans="6:9" x14ac:dyDescent="0.35">
      <c r="F4150"/>
      <c r="G4150"/>
      <c r="I4150"/>
    </row>
    <row r="4151" spans="6:9" x14ac:dyDescent="0.35">
      <c r="F4151"/>
      <c r="G4151"/>
      <c r="I4151"/>
    </row>
    <row r="4152" spans="6:9" x14ac:dyDescent="0.35">
      <c r="F4152"/>
      <c r="G4152"/>
      <c r="I4152"/>
    </row>
    <row r="4153" spans="6:9" x14ac:dyDescent="0.35">
      <c r="F4153"/>
      <c r="G4153"/>
      <c r="I4153"/>
    </row>
    <row r="4154" spans="6:9" x14ac:dyDescent="0.35">
      <c r="F4154"/>
      <c r="G4154"/>
      <c r="I4154"/>
    </row>
    <row r="4155" spans="6:9" x14ac:dyDescent="0.35">
      <c r="F4155"/>
      <c r="G4155"/>
      <c r="I4155"/>
    </row>
    <row r="4156" spans="6:9" x14ac:dyDescent="0.35">
      <c r="F4156"/>
      <c r="G4156"/>
      <c r="I4156"/>
    </row>
    <row r="4157" spans="6:9" x14ac:dyDescent="0.35">
      <c r="F4157"/>
      <c r="G4157"/>
      <c r="I4157"/>
    </row>
    <row r="4158" spans="6:9" x14ac:dyDescent="0.35">
      <c r="F4158"/>
      <c r="G4158"/>
      <c r="I4158"/>
    </row>
    <row r="4159" spans="6:9" x14ac:dyDescent="0.35">
      <c r="F4159"/>
      <c r="G4159"/>
      <c r="I4159"/>
    </row>
    <row r="4160" spans="6:9" x14ac:dyDescent="0.35">
      <c r="F4160"/>
      <c r="G4160"/>
      <c r="I4160"/>
    </row>
    <row r="4161" spans="6:9" x14ac:dyDescent="0.35">
      <c r="F4161"/>
      <c r="G4161"/>
      <c r="I4161"/>
    </row>
    <row r="4162" spans="6:9" x14ac:dyDescent="0.35">
      <c r="F4162"/>
      <c r="G4162"/>
      <c r="I4162"/>
    </row>
    <row r="4163" spans="6:9" x14ac:dyDescent="0.35">
      <c r="F4163"/>
      <c r="G4163"/>
      <c r="I4163"/>
    </row>
    <row r="4164" spans="6:9" x14ac:dyDescent="0.35">
      <c r="F4164"/>
      <c r="G4164"/>
      <c r="I4164"/>
    </row>
    <row r="4165" spans="6:9" x14ac:dyDescent="0.35">
      <c r="F4165"/>
      <c r="G4165"/>
      <c r="I4165"/>
    </row>
    <row r="4166" spans="6:9" x14ac:dyDescent="0.35">
      <c r="F4166"/>
      <c r="G4166"/>
      <c r="I4166"/>
    </row>
    <row r="4167" spans="6:9" x14ac:dyDescent="0.35">
      <c r="F4167"/>
      <c r="G4167"/>
      <c r="I4167"/>
    </row>
    <row r="4168" spans="6:9" x14ac:dyDescent="0.35">
      <c r="F4168"/>
      <c r="G4168"/>
      <c r="I4168"/>
    </row>
    <row r="4169" spans="6:9" x14ac:dyDescent="0.35">
      <c r="F4169"/>
      <c r="G4169"/>
      <c r="I4169"/>
    </row>
    <row r="4170" spans="6:9" x14ac:dyDescent="0.35">
      <c r="F4170"/>
      <c r="G4170"/>
      <c r="I4170"/>
    </row>
    <row r="4171" spans="6:9" x14ac:dyDescent="0.35">
      <c r="F4171"/>
      <c r="G4171"/>
      <c r="I4171"/>
    </row>
    <row r="4172" spans="6:9" x14ac:dyDescent="0.35">
      <c r="F4172"/>
      <c r="G4172"/>
      <c r="I4172"/>
    </row>
    <row r="4173" spans="6:9" x14ac:dyDescent="0.35">
      <c r="F4173"/>
      <c r="G4173"/>
      <c r="I4173"/>
    </row>
    <row r="4174" spans="6:9" x14ac:dyDescent="0.35">
      <c r="F4174"/>
      <c r="G4174"/>
      <c r="I4174"/>
    </row>
    <row r="4175" spans="6:9" x14ac:dyDescent="0.35">
      <c r="F4175"/>
      <c r="G4175"/>
      <c r="I4175"/>
    </row>
    <row r="4176" spans="6:9" x14ac:dyDescent="0.35">
      <c r="F4176"/>
      <c r="G4176"/>
      <c r="I4176"/>
    </row>
    <row r="4177" spans="6:9" x14ac:dyDescent="0.35">
      <c r="F4177"/>
      <c r="G4177"/>
      <c r="I4177"/>
    </row>
    <row r="4178" spans="6:9" x14ac:dyDescent="0.35">
      <c r="F4178"/>
      <c r="G4178"/>
      <c r="I4178"/>
    </row>
    <row r="4179" spans="6:9" x14ac:dyDescent="0.35">
      <c r="F4179"/>
      <c r="G4179"/>
      <c r="I4179"/>
    </row>
    <row r="4180" spans="6:9" x14ac:dyDescent="0.35">
      <c r="F4180"/>
      <c r="G4180"/>
      <c r="I4180"/>
    </row>
    <row r="4181" spans="6:9" x14ac:dyDescent="0.35">
      <c r="F4181"/>
      <c r="G4181"/>
      <c r="I4181"/>
    </row>
    <row r="4182" spans="6:9" x14ac:dyDescent="0.35">
      <c r="F4182"/>
      <c r="G4182"/>
      <c r="I4182"/>
    </row>
    <row r="4183" spans="6:9" x14ac:dyDescent="0.35">
      <c r="F4183"/>
      <c r="G4183"/>
      <c r="I4183"/>
    </row>
    <row r="4184" spans="6:9" x14ac:dyDescent="0.35">
      <c r="F4184"/>
      <c r="G4184"/>
      <c r="I4184"/>
    </row>
    <row r="4185" spans="6:9" x14ac:dyDescent="0.35">
      <c r="F4185"/>
      <c r="G4185"/>
      <c r="I4185"/>
    </row>
    <row r="4186" spans="6:9" x14ac:dyDescent="0.35">
      <c r="F4186"/>
      <c r="G4186"/>
      <c r="I4186"/>
    </row>
    <row r="4187" spans="6:9" x14ac:dyDescent="0.35">
      <c r="F4187"/>
      <c r="G4187"/>
      <c r="I4187"/>
    </row>
    <row r="4188" spans="6:9" x14ac:dyDescent="0.35">
      <c r="F4188"/>
      <c r="G4188"/>
      <c r="I4188"/>
    </row>
    <row r="4189" spans="6:9" x14ac:dyDescent="0.35">
      <c r="F4189"/>
      <c r="G4189"/>
      <c r="I4189"/>
    </row>
    <row r="4190" spans="6:9" x14ac:dyDescent="0.35">
      <c r="F4190"/>
      <c r="G4190"/>
      <c r="I4190"/>
    </row>
    <row r="4191" spans="6:9" x14ac:dyDescent="0.35">
      <c r="F4191"/>
      <c r="G4191"/>
      <c r="I4191"/>
    </row>
    <row r="4192" spans="6:9" x14ac:dyDescent="0.35">
      <c r="F4192"/>
      <c r="G4192"/>
      <c r="I4192"/>
    </row>
    <row r="4193" spans="6:9" x14ac:dyDescent="0.35">
      <c r="F4193"/>
      <c r="G4193"/>
      <c r="I4193"/>
    </row>
    <row r="4194" spans="6:9" x14ac:dyDescent="0.35">
      <c r="F4194"/>
      <c r="G4194"/>
      <c r="I4194"/>
    </row>
    <row r="4195" spans="6:9" x14ac:dyDescent="0.35">
      <c r="F4195"/>
      <c r="G4195"/>
      <c r="I4195"/>
    </row>
    <row r="4196" spans="6:9" x14ac:dyDescent="0.35">
      <c r="F4196"/>
      <c r="G4196"/>
      <c r="I4196"/>
    </row>
    <row r="4197" spans="6:9" x14ac:dyDescent="0.35">
      <c r="F4197"/>
      <c r="G4197"/>
      <c r="I4197"/>
    </row>
    <row r="4198" spans="6:9" x14ac:dyDescent="0.35">
      <c r="F4198"/>
      <c r="G4198"/>
      <c r="I4198"/>
    </row>
    <row r="4199" spans="6:9" x14ac:dyDescent="0.35">
      <c r="F4199"/>
      <c r="G4199"/>
      <c r="I4199"/>
    </row>
    <row r="4200" spans="6:9" x14ac:dyDescent="0.35">
      <c r="F4200"/>
      <c r="G4200"/>
      <c r="I4200"/>
    </row>
    <row r="4201" spans="6:9" x14ac:dyDescent="0.35">
      <c r="F4201"/>
      <c r="G4201"/>
      <c r="I4201"/>
    </row>
    <row r="4202" spans="6:9" x14ac:dyDescent="0.35">
      <c r="F4202"/>
      <c r="G4202"/>
      <c r="I4202"/>
    </row>
    <row r="4203" spans="6:9" x14ac:dyDescent="0.35">
      <c r="F4203"/>
      <c r="G4203"/>
      <c r="I4203"/>
    </row>
    <row r="4204" spans="6:9" x14ac:dyDescent="0.35">
      <c r="F4204"/>
      <c r="G4204"/>
      <c r="I4204"/>
    </row>
    <row r="4205" spans="6:9" x14ac:dyDescent="0.35">
      <c r="F4205"/>
      <c r="G4205"/>
      <c r="I4205"/>
    </row>
    <row r="4206" spans="6:9" x14ac:dyDescent="0.35">
      <c r="F4206"/>
      <c r="G4206"/>
      <c r="I4206"/>
    </row>
    <row r="4207" spans="6:9" x14ac:dyDescent="0.35">
      <c r="F4207"/>
      <c r="G4207"/>
      <c r="I4207"/>
    </row>
    <row r="4208" spans="6:9" x14ac:dyDescent="0.35">
      <c r="F4208"/>
      <c r="G4208"/>
      <c r="I4208"/>
    </row>
    <row r="4209" spans="6:9" x14ac:dyDescent="0.35">
      <c r="F4209"/>
      <c r="G4209"/>
      <c r="I4209"/>
    </row>
    <row r="4210" spans="6:9" x14ac:dyDescent="0.35">
      <c r="F4210"/>
      <c r="G4210"/>
      <c r="I4210"/>
    </row>
    <row r="4211" spans="6:9" x14ac:dyDescent="0.35">
      <c r="F4211"/>
      <c r="G4211"/>
      <c r="I4211"/>
    </row>
    <row r="4212" spans="6:9" x14ac:dyDescent="0.35">
      <c r="F4212"/>
      <c r="G4212"/>
      <c r="I4212"/>
    </row>
    <row r="4213" spans="6:9" x14ac:dyDescent="0.35">
      <c r="F4213"/>
      <c r="G4213"/>
      <c r="I4213"/>
    </row>
    <row r="4214" spans="6:9" x14ac:dyDescent="0.35">
      <c r="F4214"/>
      <c r="G4214"/>
      <c r="I4214"/>
    </row>
    <row r="4215" spans="6:9" x14ac:dyDescent="0.35">
      <c r="F4215"/>
      <c r="G4215"/>
      <c r="I4215"/>
    </row>
    <row r="4216" spans="6:9" x14ac:dyDescent="0.35">
      <c r="F4216"/>
      <c r="G4216"/>
      <c r="I4216"/>
    </row>
    <row r="4217" spans="6:9" x14ac:dyDescent="0.35">
      <c r="F4217"/>
      <c r="G4217"/>
      <c r="I4217"/>
    </row>
    <row r="4218" spans="6:9" x14ac:dyDescent="0.35">
      <c r="F4218"/>
      <c r="G4218"/>
      <c r="I4218"/>
    </row>
    <row r="4219" spans="6:9" x14ac:dyDescent="0.35">
      <c r="F4219"/>
      <c r="G4219"/>
      <c r="I4219"/>
    </row>
    <row r="4220" spans="6:9" x14ac:dyDescent="0.35">
      <c r="F4220"/>
      <c r="G4220"/>
      <c r="I4220"/>
    </row>
    <row r="4221" spans="6:9" x14ac:dyDescent="0.35">
      <c r="F4221"/>
      <c r="G4221"/>
      <c r="I4221"/>
    </row>
    <row r="4222" spans="6:9" x14ac:dyDescent="0.35">
      <c r="F4222"/>
      <c r="G4222"/>
      <c r="I4222"/>
    </row>
    <row r="4223" spans="6:9" x14ac:dyDescent="0.35">
      <c r="F4223"/>
      <c r="G4223"/>
      <c r="I4223"/>
    </row>
    <row r="4224" spans="6:9" x14ac:dyDescent="0.35">
      <c r="F4224"/>
      <c r="G4224"/>
      <c r="I4224"/>
    </row>
    <row r="4225" spans="6:9" x14ac:dyDescent="0.35">
      <c r="F4225"/>
      <c r="G4225"/>
      <c r="I4225"/>
    </row>
    <row r="4226" spans="6:9" x14ac:dyDescent="0.35">
      <c r="F4226"/>
      <c r="G4226"/>
      <c r="I4226"/>
    </row>
    <row r="4227" spans="6:9" x14ac:dyDescent="0.35">
      <c r="F4227"/>
      <c r="G4227"/>
      <c r="I4227"/>
    </row>
    <row r="4228" spans="6:9" x14ac:dyDescent="0.35">
      <c r="F4228"/>
      <c r="G4228"/>
      <c r="I4228"/>
    </row>
    <row r="4229" spans="6:9" x14ac:dyDescent="0.35">
      <c r="F4229"/>
      <c r="G4229"/>
      <c r="I4229"/>
    </row>
    <row r="4230" spans="6:9" x14ac:dyDescent="0.35">
      <c r="F4230"/>
      <c r="G4230"/>
      <c r="I4230"/>
    </row>
    <row r="4231" spans="6:9" x14ac:dyDescent="0.35">
      <c r="F4231"/>
      <c r="G4231"/>
      <c r="I4231"/>
    </row>
    <row r="4232" spans="6:9" x14ac:dyDescent="0.35">
      <c r="F4232"/>
      <c r="G4232"/>
      <c r="I4232"/>
    </row>
    <row r="4233" spans="6:9" x14ac:dyDescent="0.35">
      <c r="F4233"/>
      <c r="G4233"/>
      <c r="I4233"/>
    </row>
    <row r="4234" spans="6:9" x14ac:dyDescent="0.35">
      <c r="F4234"/>
      <c r="G4234"/>
      <c r="I4234"/>
    </row>
    <row r="4235" spans="6:9" x14ac:dyDescent="0.35">
      <c r="F4235"/>
      <c r="G4235"/>
      <c r="I4235"/>
    </row>
    <row r="4236" spans="6:9" x14ac:dyDescent="0.35">
      <c r="F4236"/>
      <c r="G4236"/>
      <c r="I4236"/>
    </row>
    <row r="4237" spans="6:9" x14ac:dyDescent="0.35">
      <c r="F4237"/>
      <c r="G4237"/>
      <c r="I4237"/>
    </row>
    <row r="4238" spans="6:9" x14ac:dyDescent="0.35">
      <c r="F4238"/>
      <c r="G4238"/>
      <c r="I4238"/>
    </row>
    <row r="4239" spans="6:9" x14ac:dyDescent="0.35">
      <c r="F4239"/>
      <c r="G4239"/>
      <c r="I4239"/>
    </row>
    <row r="4240" spans="6:9" x14ac:dyDescent="0.35">
      <c r="F4240"/>
      <c r="G4240"/>
      <c r="I4240"/>
    </row>
    <row r="4241" spans="6:9" x14ac:dyDescent="0.35">
      <c r="F4241"/>
      <c r="G4241"/>
      <c r="I4241"/>
    </row>
    <row r="4242" spans="6:9" x14ac:dyDescent="0.35">
      <c r="F4242"/>
      <c r="G4242"/>
      <c r="I4242"/>
    </row>
    <row r="4243" spans="6:9" x14ac:dyDescent="0.35">
      <c r="F4243"/>
      <c r="G4243"/>
      <c r="I4243"/>
    </row>
    <row r="4244" spans="6:9" x14ac:dyDescent="0.35">
      <c r="F4244"/>
      <c r="G4244"/>
      <c r="I4244"/>
    </row>
    <row r="4245" spans="6:9" x14ac:dyDescent="0.35">
      <c r="F4245"/>
      <c r="G4245"/>
      <c r="I4245"/>
    </row>
    <row r="4246" spans="6:9" x14ac:dyDescent="0.35">
      <c r="F4246"/>
      <c r="G4246"/>
      <c r="I4246"/>
    </row>
    <row r="4247" spans="6:9" x14ac:dyDescent="0.35">
      <c r="F4247"/>
      <c r="G4247"/>
      <c r="I4247"/>
    </row>
    <row r="4248" spans="6:9" x14ac:dyDescent="0.35">
      <c r="F4248"/>
      <c r="G4248"/>
      <c r="I4248"/>
    </row>
    <row r="4249" spans="6:9" x14ac:dyDescent="0.35">
      <c r="F4249"/>
      <c r="G4249"/>
      <c r="I4249"/>
    </row>
    <row r="4250" spans="6:9" x14ac:dyDescent="0.35">
      <c r="F4250"/>
      <c r="G4250"/>
      <c r="I4250"/>
    </row>
    <row r="4251" spans="6:9" x14ac:dyDescent="0.35">
      <c r="F4251"/>
      <c r="G4251"/>
      <c r="I4251"/>
    </row>
    <row r="4252" spans="6:9" x14ac:dyDescent="0.35">
      <c r="F4252"/>
      <c r="G4252"/>
      <c r="I4252"/>
    </row>
    <row r="4253" spans="6:9" x14ac:dyDescent="0.35">
      <c r="F4253"/>
      <c r="G4253"/>
      <c r="I4253"/>
    </row>
    <row r="4254" spans="6:9" x14ac:dyDescent="0.35">
      <c r="F4254"/>
      <c r="G4254"/>
      <c r="I4254"/>
    </row>
    <row r="4255" spans="6:9" x14ac:dyDescent="0.35">
      <c r="F4255"/>
      <c r="G4255"/>
      <c r="I4255"/>
    </row>
    <row r="4256" spans="6:9" x14ac:dyDescent="0.35">
      <c r="F4256"/>
      <c r="G4256"/>
      <c r="I4256"/>
    </row>
    <row r="4257" spans="6:9" x14ac:dyDescent="0.35">
      <c r="F4257"/>
      <c r="G4257"/>
      <c r="I4257"/>
    </row>
    <row r="4258" spans="6:9" x14ac:dyDescent="0.35">
      <c r="F4258"/>
      <c r="G4258"/>
      <c r="I4258"/>
    </row>
    <row r="4259" spans="6:9" x14ac:dyDescent="0.35">
      <c r="F4259"/>
      <c r="G4259"/>
      <c r="I4259"/>
    </row>
    <row r="4260" spans="6:9" x14ac:dyDescent="0.35">
      <c r="F4260"/>
      <c r="G4260"/>
      <c r="I4260"/>
    </row>
    <row r="4261" spans="6:9" x14ac:dyDescent="0.35">
      <c r="F4261"/>
      <c r="G4261"/>
      <c r="I4261"/>
    </row>
    <row r="4262" spans="6:9" x14ac:dyDescent="0.35">
      <c r="F4262"/>
      <c r="G4262"/>
      <c r="I4262"/>
    </row>
    <row r="4263" spans="6:9" x14ac:dyDescent="0.35">
      <c r="F4263"/>
      <c r="G4263"/>
      <c r="I4263"/>
    </row>
    <row r="4264" spans="6:9" x14ac:dyDescent="0.35">
      <c r="F4264"/>
      <c r="G4264"/>
      <c r="I4264"/>
    </row>
    <row r="4265" spans="6:9" x14ac:dyDescent="0.35">
      <c r="F4265"/>
      <c r="G4265"/>
      <c r="I4265"/>
    </row>
    <row r="4266" spans="6:9" x14ac:dyDescent="0.35">
      <c r="F4266"/>
      <c r="G4266"/>
      <c r="I4266"/>
    </row>
    <row r="4267" spans="6:9" x14ac:dyDescent="0.35">
      <c r="F4267"/>
      <c r="G4267"/>
      <c r="I4267"/>
    </row>
    <row r="4268" spans="6:9" x14ac:dyDescent="0.35">
      <c r="F4268"/>
      <c r="G4268"/>
      <c r="I4268"/>
    </row>
    <row r="4269" spans="6:9" x14ac:dyDescent="0.35">
      <c r="F4269"/>
      <c r="G4269"/>
      <c r="I4269"/>
    </row>
    <row r="4270" spans="6:9" x14ac:dyDescent="0.35">
      <c r="F4270"/>
      <c r="G4270"/>
      <c r="I4270"/>
    </row>
    <row r="4271" spans="6:9" x14ac:dyDescent="0.35">
      <c r="F4271"/>
      <c r="G4271"/>
      <c r="I4271"/>
    </row>
    <row r="4272" spans="6:9" x14ac:dyDescent="0.35">
      <c r="F4272"/>
      <c r="G4272"/>
      <c r="I4272"/>
    </row>
    <row r="4273" spans="6:9" x14ac:dyDescent="0.35">
      <c r="F4273"/>
      <c r="G4273"/>
      <c r="I4273"/>
    </row>
    <row r="4274" spans="6:9" x14ac:dyDescent="0.35">
      <c r="F4274"/>
      <c r="G4274"/>
      <c r="I4274"/>
    </row>
    <row r="4275" spans="6:9" x14ac:dyDescent="0.35">
      <c r="F4275"/>
      <c r="G4275"/>
      <c r="I4275"/>
    </row>
    <row r="4276" spans="6:9" x14ac:dyDescent="0.35">
      <c r="F4276"/>
      <c r="G4276"/>
      <c r="I4276"/>
    </row>
    <row r="4277" spans="6:9" x14ac:dyDescent="0.35">
      <c r="F4277"/>
      <c r="G4277"/>
      <c r="I4277"/>
    </row>
    <row r="4278" spans="6:9" x14ac:dyDescent="0.35">
      <c r="F4278"/>
      <c r="G4278"/>
      <c r="I4278"/>
    </row>
    <row r="4279" spans="6:9" x14ac:dyDescent="0.35">
      <c r="F4279"/>
      <c r="G4279"/>
      <c r="I4279"/>
    </row>
    <row r="4280" spans="6:9" x14ac:dyDescent="0.35">
      <c r="F4280"/>
      <c r="G4280"/>
      <c r="I4280"/>
    </row>
    <row r="4281" spans="6:9" x14ac:dyDescent="0.35">
      <c r="F4281"/>
      <c r="G4281"/>
      <c r="I4281"/>
    </row>
    <row r="4282" spans="6:9" x14ac:dyDescent="0.35">
      <c r="F4282"/>
      <c r="G4282"/>
      <c r="I4282"/>
    </row>
    <row r="4283" spans="6:9" x14ac:dyDescent="0.35">
      <c r="F4283"/>
      <c r="G4283"/>
      <c r="I4283"/>
    </row>
    <row r="4284" spans="6:9" x14ac:dyDescent="0.35">
      <c r="F4284"/>
      <c r="G4284"/>
      <c r="I4284"/>
    </row>
    <row r="4285" spans="6:9" x14ac:dyDescent="0.35">
      <c r="F4285"/>
      <c r="G4285"/>
      <c r="I4285"/>
    </row>
    <row r="4286" spans="6:9" x14ac:dyDescent="0.35">
      <c r="F4286"/>
      <c r="G4286"/>
      <c r="I4286"/>
    </row>
    <row r="4287" spans="6:9" x14ac:dyDescent="0.35">
      <c r="F4287"/>
      <c r="G4287"/>
      <c r="I4287"/>
    </row>
    <row r="4288" spans="6:9" x14ac:dyDescent="0.35">
      <c r="F4288"/>
      <c r="G4288"/>
      <c r="I4288"/>
    </row>
    <row r="4289" spans="6:9" x14ac:dyDescent="0.35">
      <c r="F4289"/>
      <c r="G4289"/>
      <c r="I4289"/>
    </row>
    <row r="4290" spans="6:9" x14ac:dyDescent="0.35">
      <c r="F4290"/>
      <c r="G4290"/>
      <c r="I4290"/>
    </row>
    <row r="4291" spans="6:9" x14ac:dyDescent="0.35">
      <c r="F4291"/>
      <c r="G4291"/>
      <c r="I4291"/>
    </row>
    <row r="4292" spans="6:9" x14ac:dyDescent="0.35">
      <c r="F4292"/>
      <c r="G4292"/>
      <c r="I4292"/>
    </row>
    <row r="4293" spans="6:9" x14ac:dyDescent="0.35">
      <c r="F4293"/>
      <c r="G4293"/>
      <c r="I4293"/>
    </row>
    <row r="4294" spans="6:9" x14ac:dyDescent="0.35">
      <c r="F4294"/>
      <c r="G4294"/>
      <c r="I4294"/>
    </row>
    <row r="4295" spans="6:9" x14ac:dyDescent="0.35">
      <c r="F4295"/>
      <c r="G4295"/>
      <c r="I4295"/>
    </row>
    <row r="4296" spans="6:9" x14ac:dyDescent="0.35">
      <c r="F4296"/>
      <c r="G4296"/>
      <c r="I4296"/>
    </row>
    <row r="4297" spans="6:9" x14ac:dyDescent="0.35">
      <c r="F4297"/>
      <c r="G4297"/>
      <c r="I4297"/>
    </row>
    <row r="4298" spans="6:9" x14ac:dyDescent="0.35">
      <c r="F4298"/>
      <c r="G4298"/>
      <c r="I4298"/>
    </row>
    <row r="4299" spans="6:9" x14ac:dyDescent="0.35">
      <c r="F4299"/>
      <c r="G4299"/>
      <c r="I4299"/>
    </row>
    <row r="4300" spans="6:9" x14ac:dyDescent="0.35">
      <c r="F4300"/>
      <c r="G4300"/>
      <c r="I4300"/>
    </row>
    <row r="4301" spans="6:9" x14ac:dyDescent="0.35">
      <c r="F4301"/>
      <c r="G4301"/>
      <c r="I4301"/>
    </row>
    <row r="4302" spans="6:9" x14ac:dyDescent="0.35">
      <c r="F4302"/>
      <c r="G4302"/>
      <c r="I4302"/>
    </row>
    <row r="4303" spans="6:9" x14ac:dyDescent="0.35">
      <c r="F4303"/>
      <c r="G4303"/>
      <c r="I4303"/>
    </row>
    <row r="4304" spans="6:9" x14ac:dyDescent="0.35">
      <c r="F4304"/>
      <c r="G4304"/>
      <c r="I4304"/>
    </row>
    <row r="4305" spans="6:9" x14ac:dyDescent="0.35">
      <c r="F4305"/>
      <c r="G4305"/>
      <c r="I4305"/>
    </row>
    <row r="4306" spans="6:9" x14ac:dyDescent="0.35">
      <c r="F4306"/>
      <c r="G4306"/>
      <c r="I4306"/>
    </row>
    <row r="4307" spans="6:9" x14ac:dyDescent="0.35">
      <c r="F4307"/>
      <c r="G4307"/>
      <c r="I4307"/>
    </row>
    <row r="4308" spans="6:9" x14ac:dyDescent="0.35">
      <c r="F4308"/>
      <c r="G4308"/>
      <c r="I4308"/>
    </row>
    <row r="4309" spans="6:9" x14ac:dyDescent="0.35">
      <c r="F4309"/>
      <c r="G4309"/>
      <c r="I4309"/>
    </row>
    <row r="4310" spans="6:9" x14ac:dyDescent="0.35">
      <c r="F4310"/>
      <c r="G4310"/>
      <c r="I4310"/>
    </row>
    <row r="4311" spans="6:9" x14ac:dyDescent="0.35">
      <c r="F4311"/>
      <c r="G4311"/>
      <c r="I4311"/>
    </row>
    <row r="4312" spans="6:9" x14ac:dyDescent="0.35">
      <c r="F4312"/>
      <c r="G4312"/>
      <c r="I4312"/>
    </row>
    <row r="4313" spans="6:9" x14ac:dyDescent="0.35">
      <c r="F4313"/>
      <c r="G4313"/>
      <c r="I4313"/>
    </row>
    <row r="4314" spans="6:9" x14ac:dyDescent="0.35">
      <c r="F4314"/>
      <c r="G4314"/>
      <c r="I4314"/>
    </row>
    <row r="4315" spans="6:9" x14ac:dyDescent="0.35">
      <c r="F4315"/>
      <c r="G4315"/>
      <c r="I4315"/>
    </row>
    <row r="4316" spans="6:9" x14ac:dyDescent="0.35">
      <c r="F4316"/>
      <c r="G4316"/>
      <c r="I4316"/>
    </row>
    <row r="4317" spans="6:9" x14ac:dyDescent="0.35">
      <c r="F4317"/>
      <c r="G4317"/>
      <c r="I4317"/>
    </row>
    <row r="4318" spans="6:9" x14ac:dyDescent="0.35">
      <c r="F4318"/>
      <c r="G4318"/>
      <c r="I4318"/>
    </row>
    <row r="4319" spans="6:9" x14ac:dyDescent="0.35">
      <c r="F4319"/>
      <c r="G4319"/>
      <c r="I4319"/>
    </row>
    <row r="4320" spans="6:9" x14ac:dyDescent="0.35">
      <c r="F4320"/>
      <c r="G4320"/>
      <c r="I4320"/>
    </row>
    <row r="4321" spans="6:9" x14ac:dyDescent="0.35">
      <c r="F4321"/>
      <c r="G4321"/>
      <c r="I4321"/>
    </row>
    <row r="4322" spans="6:9" x14ac:dyDescent="0.35">
      <c r="F4322"/>
      <c r="G4322"/>
      <c r="I4322"/>
    </row>
    <row r="4323" spans="6:9" x14ac:dyDescent="0.35">
      <c r="F4323"/>
      <c r="G4323"/>
      <c r="I4323"/>
    </row>
    <row r="4324" spans="6:9" x14ac:dyDescent="0.35">
      <c r="F4324"/>
      <c r="G4324"/>
      <c r="I4324"/>
    </row>
    <row r="4325" spans="6:9" x14ac:dyDescent="0.35">
      <c r="F4325"/>
      <c r="G4325"/>
      <c r="I4325"/>
    </row>
    <row r="4326" spans="6:9" x14ac:dyDescent="0.35">
      <c r="F4326"/>
      <c r="G4326"/>
      <c r="I4326"/>
    </row>
    <row r="4327" spans="6:9" x14ac:dyDescent="0.35">
      <c r="F4327"/>
      <c r="G4327"/>
      <c r="I4327"/>
    </row>
    <row r="4328" spans="6:9" x14ac:dyDescent="0.35">
      <c r="F4328"/>
      <c r="G4328"/>
      <c r="I4328"/>
    </row>
    <row r="4329" spans="6:9" x14ac:dyDescent="0.35">
      <c r="F4329"/>
      <c r="G4329"/>
      <c r="I4329"/>
    </row>
    <row r="4330" spans="6:9" x14ac:dyDescent="0.35">
      <c r="F4330"/>
      <c r="G4330"/>
      <c r="I4330"/>
    </row>
    <row r="4331" spans="6:9" x14ac:dyDescent="0.35">
      <c r="F4331"/>
      <c r="G4331"/>
      <c r="I4331"/>
    </row>
    <row r="4332" spans="6:9" x14ac:dyDescent="0.35">
      <c r="F4332"/>
      <c r="G4332"/>
      <c r="I4332"/>
    </row>
    <row r="4333" spans="6:9" x14ac:dyDescent="0.35">
      <c r="F4333"/>
      <c r="G4333"/>
      <c r="I4333"/>
    </row>
    <row r="4334" spans="6:9" x14ac:dyDescent="0.35">
      <c r="F4334"/>
      <c r="G4334"/>
      <c r="I4334"/>
    </row>
    <row r="4335" spans="6:9" x14ac:dyDescent="0.35">
      <c r="F4335"/>
      <c r="G4335"/>
      <c r="I4335"/>
    </row>
    <row r="4336" spans="6:9" x14ac:dyDescent="0.35">
      <c r="F4336"/>
      <c r="G4336"/>
      <c r="I4336"/>
    </row>
    <row r="4337" spans="6:9" x14ac:dyDescent="0.35">
      <c r="F4337"/>
      <c r="G4337"/>
      <c r="I4337"/>
    </row>
    <row r="4338" spans="6:9" x14ac:dyDescent="0.35">
      <c r="F4338"/>
      <c r="G4338"/>
      <c r="I4338"/>
    </row>
    <row r="4339" spans="6:9" x14ac:dyDescent="0.35">
      <c r="F4339"/>
      <c r="G4339"/>
      <c r="I4339"/>
    </row>
    <row r="4340" spans="6:9" x14ac:dyDescent="0.35">
      <c r="F4340"/>
      <c r="G4340"/>
      <c r="I4340"/>
    </row>
    <row r="4341" spans="6:9" x14ac:dyDescent="0.35">
      <c r="F4341"/>
      <c r="G4341"/>
      <c r="I4341"/>
    </row>
    <row r="4342" spans="6:9" x14ac:dyDescent="0.35">
      <c r="F4342"/>
      <c r="G4342"/>
      <c r="I4342"/>
    </row>
    <row r="4343" spans="6:9" x14ac:dyDescent="0.35">
      <c r="F4343"/>
      <c r="G4343"/>
      <c r="I4343"/>
    </row>
    <row r="4344" spans="6:9" x14ac:dyDescent="0.35">
      <c r="F4344"/>
      <c r="G4344"/>
      <c r="I4344"/>
    </row>
    <row r="4345" spans="6:9" x14ac:dyDescent="0.35">
      <c r="F4345"/>
      <c r="G4345"/>
      <c r="I4345"/>
    </row>
    <row r="4346" spans="6:9" x14ac:dyDescent="0.35">
      <c r="F4346"/>
      <c r="G4346"/>
      <c r="I4346"/>
    </row>
    <row r="4347" spans="6:9" x14ac:dyDescent="0.35">
      <c r="F4347"/>
      <c r="G4347"/>
      <c r="I4347"/>
    </row>
    <row r="4348" spans="6:9" x14ac:dyDescent="0.35">
      <c r="F4348"/>
      <c r="G4348"/>
      <c r="I4348"/>
    </row>
    <row r="4349" spans="6:9" x14ac:dyDescent="0.35">
      <c r="F4349"/>
      <c r="G4349"/>
      <c r="I4349"/>
    </row>
    <row r="4350" spans="6:9" x14ac:dyDescent="0.35">
      <c r="F4350"/>
      <c r="G4350"/>
      <c r="I4350"/>
    </row>
    <row r="4351" spans="6:9" x14ac:dyDescent="0.35">
      <c r="F4351"/>
      <c r="G4351"/>
      <c r="I4351"/>
    </row>
    <row r="4352" spans="6:9" x14ac:dyDescent="0.35">
      <c r="F4352"/>
      <c r="G4352"/>
      <c r="I4352"/>
    </row>
    <row r="4353" spans="6:9" x14ac:dyDescent="0.35">
      <c r="F4353"/>
      <c r="G4353"/>
      <c r="I4353"/>
    </row>
    <row r="4354" spans="6:9" x14ac:dyDescent="0.35">
      <c r="F4354"/>
      <c r="G4354"/>
      <c r="I4354"/>
    </row>
    <row r="4355" spans="6:9" x14ac:dyDescent="0.35">
      <c r="F4355"/>
      <c r="G4355"/>
      <c r="I4355"/>
    </row>
    <row r="4356" spans="6:9" x14ac:dyDescent="0.35">
      <c r="F4356"/>
      <c r="G4356"/>
      <c r="I4356"/>
    </row>
    <row r="4357" spans="6:9" x14ac:dyDescent="0.35">
      <c r="F4357"/>
      <c r="G4357"/>
      <c r="I4357"/>
    </row>
    <row r="4358" spans="6:9" x14ac:dyDescent="0.35">
      <c r="F4358"/>
      <c r="G4358"/>
      <c r="I4358"/>
    </row>
    <row r="4359" spans="6:9" x14ac:dyDescent="0.35">
      <c r="F4359"/>
      <c r="G4359"/>
      <c r="I4359"/>
    </row>
    <row r="4360" spans="6:9" x14ac:dyDescent="0.35">
      <c r="F4360"/>
      <c r="G4360"/>
      <c r="I4360"/>
    </row>
    <row r="4361" spans="6:9" x14ac:dyDescent="0.35">
      <c r="F4361"/>
      <c r="G4361"/>
      <c r="I4361"/>
    </row>
    <row r="4362" spans="6:9" x14ac:dyDescent="0.35">
      <c r="F4362"/>
      <c r="G4362"/>
      <c r="I4362"/>
    </row>
    <row r="4363" spans="6:9" x14ac:dyDescent="0.35">
      <c r="F4363"/>
      <c r="G4363"/>
      <c r="I4363"/>
    </row>
    <row r="4364" spans="6:9" x14ac:dyDescent="0.35">
      <c r="F4364"/>
      <c r="G4364"/>
      <c r="I4364"/>
    </row>
    <row r="4365" spans="6:9" x14ac:dyDescent="0.35">
      <c r="F4365"/>
      <c r="G4365"/>
      <c r="I4365"/>
    </row>
    <row r="4366" spans="6:9" x14ac:dyDescent="0.35">
      <c r="F4366"/>
      <c r="G4366"/>
      <c r="I4366"/>
    </row>
    <row r="4367" spans="6:9" x14ac:dyDescent="0.35">
      <c r="F4367"/>
      <c r="G4367"/>
      <c r="I4367"/>
    </row>
    <row r="4368" spans="6:9" x14ac:dyDescent="0.35">
      <c r="F4368"/>
      <c r="G4368"/>
      <c r="I4368"/>
    </row>
    <row r="4369" spans="6:9" x14ac:dyDescent="0.35">
      <c r="F4369"/>
      <c r="G4369"/>
      <c r="I4369"/>
    </row>
    <row r="4370" spans="6:9" x14ac:dyDescent="0.35">
      <c r="F4370"/>
      <c r="G4370"/>
      <c r="I4370"/>
    </row>
    <row r="4371" spans="6:9" x14ac:dyDescent="0.35">
      <c r="F4371"/>
      <c r="G4371"/>
      <c r="I4371"/>
    </row>
    <row r="4372" spans="6:9" x14ac:dyDescent="0.35">
      <c r="F4372"/>
      <c r="G4372"/>
      <c r="I4372"/>
    </row>
    <row r="4373" spans="6:9" x14ac:dyDescent="0.35">
      <c r="F4373"/>
      <c r="G4373"/>
      <c r="I4373"/>
    </row>
    <row r="4374" spans="6:9" x14ac:dyDescent="0.35">
      <c r="F4374"/>
      <c r="G4374"/>
      <c r="I4374"/>
    </row>
    <row r="4375" spans="6:9" x14ac:dyDescent="0.35">
      <c r="F4375"/>
      <c r="G4375"/>
      <c r="I4375"/>
    </row>
    <row r="4376" spans="6:9" x14ac:dyDescent="0.35">
      <c r="F4376"/>
      <c r="G4376"/>
      <c r="I4376"/>
    </row>
    <row r="4377" spans="6:9" x14ac:dyDescent="0.35">
      <c r="F4377"/>
      <c r="G4377"/>
      <c r="I4377"/>
    </row>
    <row r="4378" spans="6:9" x14ac:dyDescent="0.35">
      <c r="F4378"/>
      <c r="G4378"/>
      <c r="I4378"/>
    </row>
    <row r="4379" spans="6:9" x14ac:dyDescent="0.35">
      <c r="F4379"/>
      <c r="G4379"/>
      <c r="I4379"/>
    </row>
    <row r="4380" spans="6:9" x14ac:dyDescent="0.35">
      <c r="F4380"/>
      <c r="G4380"/>
      <c r="I4380"/>
    </row>
    <row r="4381" spans="6:9" x14ac:dyDescent="0.35">
      <c r="F4381"/>
      <c r="G4381"/>
      <c r="I4381"/>
    </row>
    <row r="4382" spans="6:9" x14ac:dyDescent="0.35">
      <c r="F4382"/>
      <c r="G4382"/>
      <c r="I4382"/>
    </row>
    <row r="4383" spans="6:9" x14ac:dyDescent="0.35">
      <c r="F4383"/>
      <c r="G4383"/>
      <c r="I4383"/>
    </row>
    <row r="4384" spans="6:9" x14ac:dyDescent="0.35">
      <c r="F4384"/>
      <c r="G4384"/>
      <c r="I4384"/>
    </row>
    <row r="4385" spans="6:9" x14ac:dyDescent="0.35">
      <c r="F4385"/>
      <c r="G4385"/>
      <c r="I4385"/>
    </row>
    <row r="4386" spans="6:9" x14ac:dyDescent="0.35">
      <c r="F4386"/>
      <c r="G4386"/>
      <c r="I4386"/>
    </row>
    <row r="4387" spans="6:9" x14ac:dyDescent="0.35">
      <c r="F4387"/>
      <c r="G4387"/>
      <c r="I4387"/>
    </row>
    <row r="4388" spans="6:9" x14ac:dyDescent="0.35">
      <c r="F4388"/>
      <c r="G4388"/>
      <c r="I4388"/>
    </row>
    <row r="4389" spans="6:9" x14ac:dyDescent="0.35">
      <c r="F4389"/>
      <c r="G4389"/>
      <c r="I4389"/>
    </row>
    <row r="4390" spans="6:9" x14ac:dyDescent="0.35">
      <c r="F4390"/>
      <c r="G4390"/>
      <c r="I4390"/>
    </row>
    <row r="4391" spans="6:9" x14ac:dyDescent="0.35">
      <c r="F4391"/>
      <c r="G4391"/>
      <c r="I4391"/>
    </row>
    <row r="4392" spans="6:9" x14ac:dyDescent="0.35">
      <c r="F4392"/>
      <c r="G4392"/>
      <c r="I4392"/>
    </row>
    <row r="4393" spans="6:9" x14ac:dyDescent="0.35">
      <c r="F4393"/>
      <c r="G4393"/>
      <c r="I4393"/>
    </row>
    <row r="4394" spans="6:9" x14ac:dyDescent="0.35">
      <c r="F4394"/>
      <c r="G4394"/>
      <c r="I4394"/>
    </row>
    <row r="4395" spans="6:9" x14ac:dyDescent="0.35">
      <c r="F4395"/>
      <c r="G4395"/>
      <c r="I4395"/>
    </row>
    <row r="4396" spans="6:9" x14ac:dyDescent="0.35">
      <c r="F4396"/>
      <c r="G4396"/>
      <c r="I4396"/>
    </row>
    <row r="4397" spans="6:9" x14ac:dyDescent="0.35">
      <c r="F4397"/>
      <c r="G4397"/>
      <c r="I4397"/>
    </row>
    <row r="4398" spans="6:9" x14ac:dyDescent="0.35">
      <c r="F4398"/>
      <c r="G4398"/>
      <c r="I4398"/>
    </row>
    <row r="4399" spans="6:9" x14ac:dyDescent="0.35">
      <c r="F4399"/>
      <c r="G4399"/>
      <c r="I4399"/>
    </row>
    <row r="4400" spans="6:9" x14ac:dyDescent="0.35">
      <c r="F4400"/>
      <c r="G4400"/>
      <c r="I4400"/>
    </row>
    <row r="4401" spans="6:9" x14ac:dyDescent="0.35">
      <c r="F4401"/>
      <c r="G4401"/>
      <c r="I4401"/>
    </row>
    <row r="4402" spans="6:9" x14ac:dyDescent="0.35">
      <c r="F4402"/>
      <c r="G4402"/>
      <c r="I4402"/>
    </row>
    <row r="4403" spans="6:9" x14ac:dyDescent="0.35">
      <c r="F4403"/>
      <c r="G4403"/>
      <c r="I4403"/>
    </row>
    <row r="4404" spans="6:9" x14ac:dyDescent="0.35">
      <c r="F4404"/>
      <c r="G4404"/>
      <c r="I4404"/>
    </row>
    <row r="4405" spans="6:9" x14ac:dyDescent="0.35">
      <c r="F4405"/>
      <c r="G4405"/>
      <c r="I4405"/>
    </row>
    <row r="4406" spans="6:9" x14ac:dyDescent="0.35">
      <c r="F4406"/>
      <c r="G4406"/>
      <c r="I4406"/>
    </row>
    <row r="4407" spans="6:9" x14ac:dyDescent="0.35">
      <c r="F4407"/>
      <c r="G4407"/>
      <c r="I4407"/>
    </row>
    <row r="4408" spans="6:9" x14ac:dyDescent="0.35">
      <c r="F4408"/>
      <c r="G4408"/>
      <c r="I4408"/>
    </row>
    <row r="4409" spans="6:9" x14ac:dyDescent="0.35">
      <c r="F4409"/>
      <c r="G4409"/>
      <c r="I4409"/>
    </row>
    <row r="4410" spans="6:9" x14ac:dyDescent="0.35">
      <c r="F4410"/>
      <c r="G4410"/>
      <c r="I4410"/>
    </row>
    <row r="4411" spans="6:9" x14ac:dyDescent="0.35">
      <c r="F4411"/>
      <c r="G4411"/>
      <c r="I4411"/>
    </row>
    <row r="4412" spans="6:9" x14ac:dyDescent="0.35">
      <c r="F4412"/>
      <c r="G4412"/>
      <c r="I4412"/>
    </row>
    <row r="4413" spans="6:9" x14ac:dyDescent="0.35">
      <c r="F4413"/>
      <c r="G4413"/>
      <c r="I4413"/>
    </row>
    <row r="4414" spans="6:9" x14ac:dyDescent="0.35">
      <c r="F4414"/>
      <c r="G4414"/>
      <c r="I4414"/>
    </row>
    <row r="4415" spans="6:9" x14ac:dyDescent="0.35">
      <c r="F4415"/>
      <c r="G4415"/>
      <c r="I4415"/>
    </row>
    <row r="4416" spans="6:9" x14ac:dyDescent="0.35">
      <c r="F4416"/>
      <c r="G4416"/>
      <c r="I4416"/>
    </row>
    <row r="4417" spans="6:9" x14ac:dyDescent="0.35">
      <c r="F4417"/>
      <c r="G4417"/>
      <c r="I4417"/>
    </row>
    <row r="4418" spans="6:9" x14ac:dyDescent="0.35">
      <c r="F4418"/>
      <c r="G4418"/>
      <c r="I44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1:Q2440"/>
  <sheetViews>
    <sheetView showGridLines="0" zoomScale="87" zoomScaleNormal="87" workbookViewId="0">
      <selection activeCell="P7" sqref="P7"/>
    </sheetView>
  </sheetViews>
  <sheetFormatPr baseColWidth="10" defaultRowHeight="14.5" x14ac:dyDescent="0.35"/>
  <cols>
    <col min="1" max="1" width="10.7265625" style="30" customWidth="1"/>
    <col min="2" max="2" width="26" customWidth="1"/>
    <col min="3" max="3" width="12.7265625" style="30" customWidth="1"/>
    <col min="4" max="4" width="10.1796875" customWidth="1"/>
    <col min="5" max="5" width="17.36328125" style="85" customWidth="1"/>
    <col min="6" max="6" width="12.1796875" style="86" customWidth="1"/>
    <col min="7" max="7" width="17.36328125" customWidth="1"/>
    <col min="8" max="8" width="10.7265625" style="30" customWidth="1"/>
    <col min="9" max="9" width="23.26953125" customWidth="1"/>
    <col min="10" max="10" width="15.26953125" style="30" customWidth="1"/>
    <col min="11" max="11" width="19" customWidth="1"/>
    <col min="12" max="12" width="10.7265625" style="44" hidden="1" customWidth="1"/>
    <col min="13" max="13" width="17.36328125" customWidth="1"/>
    <col min="14" max="14" width="6.81640625" customWidth="1"/>
    <col min="15" max="15" width="13.1796875" style="44" customWidth="1"/>
    <col min="16" max="16" width="28.90625" customWidth="1"/>
    <col min="17" max="17" width="19.08984375" customWidth="1"/>
    <col min="18" max="18" width="8.1796875" customWidth="1"/>
    <col min="19" max="47" width="6.81640625" customWidth="1"/>
    <col min="48" max="70" width="7.81640625" customWidth="1"/>
    <col min="71" max="71" width="11.7265625" bestFit="1" customWidth="1"/>
  </cols>
  <sheetData>
    <row r="1" spans="1:17" x14ac:dyDescent="0.35">
      <c r="A1"/>
      <c r="H1"/>
    </row>
    <row r="2" spans="1:17" x14ac:dyDescent="0.35">
      <c r="A2" s="111" t="s">
        <v>220</v>
      </c>
      <c r="B2" s="111"/>
      <c r="C2" s="111"/>
      <c r="D2" s="111"/>
      <c r="E2" s="89"/>
      <c r="F2" s="87"/>
      <c r="G2" s="43"/>
      <c r="H2" s="111" t="s">
        <v>221</v>
      </c>
      <c r="I2" s="111"/>
      <c r="J2" s="111"/>
      <c r="K2" s="111"/>
      <c r="L2" s="111"/>
      <c r="M2" s="111"/>
      <c r="O2" s="110" t="s">
        <v>230</v>
      </c>
      <c r="P2" s="110"/>
      <c r="Q2" s="110"/>
    </row>
    <row r="3" spans="1:17" x14ac:dyDescent="0.35">
      <c r="A3" s="42" t="s">
        <v>0</v>
      </c>
      <c r="B3" s="21" t="s">
        <v>1</v>
      </c>
      <c r="C3" s="21" t="s">
        <v>182</v>
      </c>
      <c r="D3" s="21" t="s">
        <v>239</v>
      </c>
      <c r="E3" s="22" t="s">
        <v>169</v>
      </c>
      <c r="F3"/>
      <c r="H3" s="42" t="s">
        <v>0</v>
      </c>
      <c r="I3" s="21" t="s">
        <v>1</v>
      </c>
      <c r="J3" s="21" t="s">
        <v>172</v>
      </c>
      <c r="K3" s="21" t="s">
        <v>227</v>
      </c>
      <c r="L3" s="42" t="s">
        <v>233</v>
      </c>
      <c r="M3" s="44" t="s">
        <v>169</v>
      </c>
      <c r="O3" s="42" t="s">
        <v>0</v>
      </c>
      <c r="P3" s="21" t="s">
        <v>1</v>
      </c>
      <c r="Q3" s="45" t="s">
        <v>229</v>
      </c>
    </row>
    <row r="4" spans="1:17" x14ac:dyDescent="0.35">
      <c r="A4" s="44">
        <v>300109</v>
      </c>
      <c r="B4" t="s">
        <v>127</v>
      </c>
      <c r="C4" t="s">
        <v>209</v>
      </c>
      <c r="D4" t="s">
        <v>222</v>
      </c>
      <c r="E4" s="22">
        <v>1</v>
      </c>
      <c r="F4"/>
      <c r="H4" s="44">
        <v>300109</v>
      </c>
      <c r="I4" t="s">
        <v>127</v>
      </c>
      <c r="J4" t="s">
        <v>187</v>
      </c>
      <c r="K4" t="s">
        <v>222</v>
      </c>
      <c r="L4" t="s">
        <v>222</v>
      </c>
      <c r="M4" s="22">
        <v>2</v>
      </c>
      <c r="O4" s="47">
        <v>300109</v>
      </c>
      <c r="P4" t="s">
        <v>127</v>
      </c>
      <c r="Q4" s="46">
        <v>336</v>
      </c>
    </row>
    <row r="5" spans="1:17" x14ac:dyDescent="0.35">
      <c r="A5" s="44"/>
      <c r="C5" t="s">
        <v>187</v>
      </c>
      <c r="D5" t="s">
        <v>222</v>
      </c>
      <c r="E5" s="22">
        <v>3</v>
      </c>
      <c r="F5"/>
      <c r="H5" s="44"/>
      <c r="J5" t="s">
        <v>191</v>
      </c>
      <c r="K5" t="s">
        <v>222</v>
      </c>
      <c r="L5" t="s">
        <v>222</v>
      </c>
      <c r="M5" s="22">
        <v>1</v>
      </c>
      <c r="O5" s="47" t="s">
        <v>168</v>
      </c>
      <c r="P5" s="44"/>
      <c r="Q5" s="52">
        <v>336</v>
      </c>
    </row>
    <row r="6" spans="1:17" x14ac:dyDescent="0.35">
      <c r="A6" s="44"/>
      <c r="C6" t="s">
        <v>191</v>
      </c>
      <c r="D6" t="s">
        <v>222</v>
      </c>
      <c r="E6" s="22">
        <v>1</v>
      </c>
      <c r="F6"/>
      <c r="H6" s="44"/>
      <c r="J6" t="s">
        <v>188</v>
      </c>
      <c r="K6" t="s">
        <v>222</v>
      </c>
      <c r="L6" t="s">
        <v>222</v>
      </c>
      <c r="M6" s="22">
        <v>1</v>
      </c>
      <c r="O6"/>
    </row>
    <row r="7" spans="1:17" x14ac:dyDescent="0.35">
      <c r="A7" s="44"/>
      <c r="C7" t="s">
        <v>210</v>
      </c>
      <c r="D7" t="s">
        <v>222</v>
      </c>
      <c r="E7" s="22">
        <v>1</v>
      </c>
      <c r="F7"/>
      <c r="H7" s="44"/>
      <c r="J7" t="s">
        <v>190</v>
      </c>
      <c r="K7" t="s">
        <v>222</v>
      </c>
      <c r="L7" t="s">
        <v>222</v>
      </c>
      <c r="M7" s="22">
        <v>1</v>
      </c>
      <c r="O7"/>
    </row>
    <row r="8" spans="1:17" x14ac:dyDescent="0.35">
      <c r="A8" s="44"/>
      <c r="C8" t="s">
        <v>211</v>
      </c>
      <c r="D8" t="s">
        <v>222</v>
      </c>
      <c r="E8" s="22">
        <v>1</v>
      </c>
      <c r="F8"/>
      <c r="H8" s="44"/>
      <c r="J8" t="s">
        <v>189</v>
      </c>
      <c r="K8" t="s">
        <v>222</v>
      </c>
      <c r="L8" t="s">
        <v>222</v>
      </c>
      <c r="M8" s="22">
        <v>1</v>
      </c>
      <c r="O8"/>
    </row>
    <row r="9" spans="1:17" x14ac:dyDescent="0.35">
      <c r="A9" s="44"/>
      <c r="C9" t="s">
        <v>188</v>
      </c>
      <c r="D9" t="s">
        <v>222</v>
      </c>
      <c r="E9" s="22">
        <v>1</v>
      </c>
      <c r="F9"/>
      <c r="H9" s="44"/>
      <c r="J9" t="s">
        <v>186</v>
      </c>
      <c r="K9" t="s">
        <v>222</v>
      </c>
      <c r="L9" t="s">
        <v>222</v>
      </c>
      <c r="M9" s="22">
        <v>1</v>
      </c>
      <c r="O9"/>
    </row>
    <row r="10" spans="1:17" x14ac:dyDescent="0.35">
      <c r="A10" s="44"/>
      <c r="C10" t="s">
        <v>190</v>
      </c>
      <c r="D10" t="s">
        <v>222</v>
      </c>
      <c r="E10" s="22">
        <v>1</v>
      </c>
      <c r="F10"/>
      <c r="H10" s="44"/>
      <c r="J10" t="s">
        <v>192</v>
      </c>
      <c r="K10" t="s">
        <v>222</v>
      </c>
      <c r="L10" t="s">
        <v>222</v>
      </c>
      <c r="M10" s="22">
        <v>1</v>
      </c>
      <c r="O10"/>
    </row>
    <row r="11" spans="1:17" x14ac:dyDescent="0.35">
      <c r="A11" s="44"/>
      <c r="C11" t="s">
        <v>189</v>
      </c>
      <c r="D11" t="s">
        <v>222</v>
      </c>
      <c r="E11" s="22">
        <v>1</v>
      </c>
      <c r="F11"/>
      <c r="H11" s="44"/>
      <c r="J11" t="s">
        <v>195</v>
      </c>
      <c r="K11" t="s">
        <v>222</v>
      </c>
      <c r="L11" t="s">
        <v>222</v>
      </c>
      <c r="M11" s="22">
        <v>1</v>
      </c>
      <c r="O11"/>
    </row>
    <row r="12" spans="1:17" x14ac:dyDescent="0.35">
      <c r="A12" s="44"/>
      <c r="C12" t="s">
        <v>186</v>
      </c>
      <c r="D12" t="s">
        <v>222</v>
      </c>
      <c r="E12" s="22">
        <v>1</v>
      </c>
      <c r="F12"/>
      <c r="H12" s="44"/>
      <c r="J12" t="s">
        <v>183</v>
      </c>
      <c r="K12" t="s">
        <v>222</v>
      </c>
      <c r="L12" t="s">
        <v>222</v>
      </c>
      <c r="M12" s="22">
        <v>1</v>
      </c>
      <c r="O12"/>
    </row>
    <row r="13" spans="1:17" x14ac:dyDescent="0.35">
      <c r="A13" s="44"/>
      <c r="C13" t="s">
        <v>192</v>
      </c>
      <c r="D13" t="s">
        <v>222</v>
      </c>
      <c r="E13" s="22">
        <v>2</v>
      </c>
      <c r="F13"/>
      <c r="H13" s="44"/>
      <c r="J13" t="s">
        <v>197</v>
      </c>
      <c r="K13" t="s">
        <v>267</v>
      </c>
      <c r="L13" t="s">
        <v>222</v>
      </c>
      <c r="M13" s="22">
        <v>4</v>
      </c>
      <c r="O13"/>
    </row>
    <row r="14" spans="1:17" x14ac:dyDescent="0.35">
      <c r="A14" s="44"/>
      <c r="C14" t="s">
        <v>195</v>
      </c>
      <c r="D14" t="s">
        <v>222</v>
      </c>
      <c r="E14" s="22">
        <v>1</v>
      </c>
      <c r="F14"/>
      <c r="H14" s="44"/>
      <c r="J14"/>
      <c r="L14" t="s">
        <v>247</v>
      </c>
      <c r="M14" s="22">
        <v>10</v>
      </c>
      <c r="O14"/>
    </row>
    <row r="15" spans="1:17" x14ac:dyDescent="0.35">
      <c r="A15" s="44"/>
      <c r="C15" t="s">
        <v>206</v>
      </c>
      <c r="D15" t="s">
        <v>222</v>
      </c>
      <c r="E15" s="22">
        <v>1</v>
      </c>
      <c r="F15"/>
      <c r="H15" s="44"/>
      <c r="J15" t="s">
        <v>193</v>
      </c>
      <c r="K15" t="s">
        <v>224</v>
      </c>
      <c r="L15" t="s">
        <v>247</v>
      </c>
      <c r="M15" s="22">
        <v>3</v>
      </c>
      <c r="O15"/>
    </row>
    <row r="16" spans="1:17" x14ac:dyDescent="0.35">
      <c r="A16" s="44"/>
      <c r="C16" t="s">
        <v>204</v>
      </c>
      <c r="D16" t="s">
        <v>222</v>
      </c>
      <c r="E16" s="22">
        <v>2</v>
      </c>
      <c r="F16"/>
      <c r="H16" s="44"/>
      <c r="J16"/>
      <c r="K16" t="s">
        <v>222</v>
      </c>
      <c r="L16" t="s">
        <v>222</v>
      </c>
      <c r="M16" s="22">
        <v>2</v>
      </c>
      <c r="O16"/>
    </row>
    <row r="17" spans="1:15" x14ac:dyDescent="0.35">
      <c r="A17" s="44"/>
      <c r="C17" t="s">
        <v>202</v>
      </c>
      <c r="D17" t="s">
        <v>222</v>
      </c>
      <c r="E17" s="22">
        <v>2</v>
      </c>
      <c r="F17"/>
      <c r="H17" s="44"/>
      <c r="J17"/>
      <c r="K17" t="s">
        <v>267</v>
      </c>
      <c r="L17" t="s">
        <v>222</v>
      </c>
      <c r="M17" s="22">
        <v>5</v>
      </c>
      <c r="O17"/>
    </row>
    <row r="18" spans="1:15" x14ac:dyDescent="0.35">
      <c r="A18" s="44"/>
      <c r="C18" t="s">
        <v>203</v>
      </c>
      <c r="D18" t="s">
        <v>222</v>
      </c>
      <c r="E18" s="22">
        <v>4</v>
      </c>
      <c r="F18"/>
      <c r="H18" s="44"/>
      <c r="J18" t="s">
        <v>207</v>
      </c>
      <c r="K18" t="s">
        <v>223</v>
      </c>
      <c r="L18" t="s">
        <v>222</v>
      </c>
      <c r="M18" s="22">
        <v>43</v>
      </c>
      <c r="O18"/>
    </row>
    <row r="19" spans="1:15" x14ac:dyDescent="0.35">
      <c r="A19" s="44"/>
      <c r="C19" t="s">
        <v>197</v>
      </c>
      <c r="D19" t="s">
        <v>222</v>
      </c>
      <c r="E19" s="22">
        <v>14</v>
      </c>
      <c r="F19"/>
      <c r="H19" s="44"/>
      <c r="J19" t="s">
        <v>194</v>
      </c>
      <c r="K19" t="s">
        <v>226</v>
      </c>
      <c r="L19" t="s">
        <v>222</v>
      </c>
      <c r="M19" s="22">
        <v>38</v>
      </c>
      <c r="O19"/>
    </row>
    <row r="20" spans="1:15" x14ac:dyDescent="0.35">
      <c r="A20" s="44"/>
      <c r="C20" t="s">
        <v>193</v>
      </c>
      <c r="D20" t="s">
        <v>222</v>
      </c>
      <c r="E20" s="22">
        <v>9</v>
      </c>
      <c r="F20"/>
      <c r="H20" s="44"/>
      <c r="J20"/>
      <c r="K20" t="s">
        <v>222</v>
      </c>
      <c r="L20" t="s">
        <v>222</v>
      </c>
      <c r="M20" s="22">
        <v>1</v>
      </c>
      <c r="O20"/>
    </row>
    <row r="21" spans="1:15" x14ac:dyDescent="0.35">
      <c r="A21" s="44"/>
      <c r="C21" t="s">
        <v>201</v>
      </c>
      <c r="D21" t="s">
        <v>222</v>
      </c>
      <c r="E21" s="22">
        <v>57</v>
      </c>
      <c r="F21"/>
      <c r="H21" s="44"/>
      <c r="J21" t="s">
        <v>196</v>
      </c>
      <c r="K21" t="s">
        <v>222</v>
      </c>
      <c r="L21" t="s">
        <v>222</v>
      </c>
      <c r="M21" s="22">
        <v>2</v>
      </c>
      <c r="O21"/>
    </row>
    <row r="22" spans="1:15" x14ac:dyDescent="0.35">
      <c r="A22" s="44"/>
      <c r="C22" t="s">
        <v>207</v>
      </c>
      <c r="D22" t="s">
        <v>222</v>
      </c>
      <c r="E22" s="22">
        <v>140</v>
      </c>
      <c r="F22"/>
      <c r="H22" s="44"/>
      <c r="J22" t="s">
        <v>243</v>
      </c>
      <c r="K22" t="s">
        <v>226</v>
      </c>
      <c r="L22" t="s">
        <v>222</v>
      </c>
      <c r="M22" s="22">
        <v>15</v>
      </c>
      <c r="O22"/>
    </row>
    <row r="23" spans="1:15" x14ac:dyDescent="0.35">
      <c r="A23" s="44"/>
      <c r="C23" t="s">
        <v>200</v>
      </c>
      <c r="D23" t="s">
        <v>222</v>
      </c>
      <c r="E23" s="22">
        <v>42</v>
      </c>
      <c r="F23"/>
      <c r="H23" s="44"/>
      <c r="J23" t="s">
        <v>200</v>
      </c>
      <c r="K23" t="s">
        <v>226</v>
      </c>
      <c r="L23" t="s">
        <v>222</v>
      </c>
      <c r="M23" s="22">
        <v>1</v>
      </c>
      <c r="O23"/>
    </row>
    <row r="24" spans="1:15" x14ac:dyDescent="0.35">
      <c r="A24" s="44"/>
      <c r="C24" t="s">
        <v>194</v>
      </c>
      <c r="D24" t="s">
        <v>222</v>
      </c>
      <c r="E24" s="22">
        <v>41</v>
      </c>
      <c r="F24"/>
      <c r="H24" s="44"/>
      <c r="J24"/>
      <c r="K24" t="s">
        <v>232</v>
      </c>
      <c r="L24" t="s">
        <v>222</v>
      </c>
      <c r="M24" s="22">
        <v>29</v>
      </c>
      <c r="O24"/>
    </row>
    <row r="25" spans="1:15" x14ac:dyDescent="0.35">
      <c r="A25" s="44"/>
      <c r="C25" t="s">
        <v>196</v>
      </c>
      <c r="D25" t="s">
        <v>222</v>
      </c>
      <c r="E25" s="22">
        <v>22</v>
      </c>
      <c r="F25"/>
      <c r="H25" s="44"/>
      <c r="J25"/>
      <c r="K25" t="s">
        <v>304</v>
      </c>
      <c r="L25" t="s">
        <v>222</v>
      </c>
      <c r="M25" s="22">
        <v>1</v>
      </c>
      <c r="O25"/>
    </row>
    <row r="26" spans="1:15" x14ac:dyDescent="0.35">
      <c r="A26" s="44"/>
      <c r="C26" t="s">
        <v>255</v>
      </c>
      <c r="D26" t="s">
        <v>222</v>
      </c>
      <c r="E26" s="22">
        <v>1</v>
      </c>
      <c r="F26"/>
      <c r="H26" s="44"/>
      <c r="J26" t="s">
        <v>206</v>
      </c>
      <c r="K26" t="s">
        <v>244</v>
      </c>
      <c r="L26" t="s">
        <v>222</v>
      </c>
      <c r="M26" s="22">
        <v>1</v>
      </c>
      <c r="O26"/>
    </row>
    <row r="27" spans="1:15" x14ac:dyDescent="0.35">
      <c r="A27" s="44"/>
      <c r="C27" t="s">
        <v>254</v>
      </c>
      <c r="D27" t="s">
        <v>222</v>
      </c>
      <c r="E27" s="22">
        <v>1</v>
      </c>
      <c r="F27"/>
      <c r="H27" s="44"/>
      <c r="J27" t="s">
        <v>202</v>
      </c>
      <c r="K27" t="s">
        <v>271</v>
      </c>
      <c r="L27" t="s">
        <v>222</v>
      </c>
      <c r="M27" s="22">
        <v>2</v>
      </c>
      <c r="O27"/>
    </row>
    <row r="28" spans="1:15" x14ac:dyDescent="0.35">
      <c r="A28" s="44"/>
      <c r="C28" t="s">
        <v>253</v>
      </c>
      <c r="D28" t="s">
        <v>222</v>
      </c>
      <c r="E28" s="22">
        <v>4</v>
      </c>
      <c r="F28"/>
      <c r="H28" s="44"/>
      <c r="J28" t="s">
        <v>255</v>
      </c>
      <c r="K28" t="s">
        <v>287</v>
      </c>
      <c r="L28" t="s">
        <v>222</v>
      </c>
      <c r="M28" s="22">
        <v>1</v>
      </c>
      <c r="O28"/>
    </row>
    <row r="29" spans="1:15" x14ac:dyDescent="0.35">
      <c r="A29" s="44"/>
      <c r="C29" t="s">
        <v>259</v>
      </c>
      <c r="D29" t="s">
        <v>222</v>
      </c>
      <c r="E29" s="22">
        <v>1</v>
      </c>
      <c r="F29"/>
      <c r="H29" s="44"/>
      <c r="J29" t="s">
        <v>203</v>
      </c>
      <c r="K29" t="s">
        <v>225</v>
      </c>
      <c r="L29" t="s">
        <v>222</v>
      </c>
      <c r="M29" s="22">
        <v>2</v>
      </c>
      <c r="O29"/>
    </row>
    <row r="30" spans="1:15" x14ac:dyDescent="0.35">
      <c r="A30" s="44"/>
      <c r="C30" t="s">
        <v>265</v>
      </c>
      <c r="D30" t="s">
        <v>222</v>
      </c>
      <c r="E30" s="22">
        <v>1</v>
      </c>
      <c r="F30"/>
      <c r="H30" s="44"/>
      <c r="J30" t="s">
        <v>201</v>
      </c>
      <c r="K30" t="s">
        <v>308</v>
      </c>
      <c r="L30" t="s">
        <v>222</v>
      </c>
      <c r="M30" s="22">
        <v>57</v>
      </c>
      <c r="O30"/>
    </row>
    <row r="31" spans="1:15" x14ac:dyDescent="0.35">
      <c r="A31" s="44"/>
      <c r="C31" t="s">
        <v>261</v>
      </c>
      <c r="D31" t="s">
        <v>222</v>
      </c>
      <c r="E31" s="22">
        <v>1</v>
      </c>
      <c r="F31"/>
      <c r="H31" s="44"/>
      <c r="J31">
        <v>901816195</v>
      </c>
      <c r="K31" t="s">
        <v>267</v>
      </c>
      <c r="L31" t="s">
        <v>222</v>
      </c>
      <c r="M31" s="22">
        <v>2</v>
      </c>
      <c r="O31"/>
    </row>
    <row r="32" spans="1:15" x14ac:dyDescent="0.35">
      <c r="A32" s="44"/>
      <c r="C32" t="s">
        <v>264</v>
      </c>
      <c r="D32" t="s">
        <v>222</v>
      </c>
      <c r="E32" s="22">
        <v>106</v>
      </c>
      <c r="F32"/>
      <c r="H32" s="44"/>
      <c r="J32">
        <v>500055461</v>
      </c>
      <c r="K32" t="s">
        <v>267</v>
      </c>
      <c r="L32" t="s">
        <v>222</v>
      </c>
      <c r="M32" s="22">
        <v>2</v>
      </c>
      <c r="O32"/>
    </row>
    <row r="33" spans="1:15" x14ac:dyDescent="0.35">
      <c r="A33" s="44"/>
      <c r="C33" t="s">
        <v>274</v>
      </c>
      <c r="D33" t="s">
        <v>222</v>
      </c>
      <c r="E33" s="22">
        <v>20</v>
      </c>
      <c r="F33"/>
      <c r="H33" s="44"/>
      <c r="J33">
        <v>901856429</v>
      </c>
      <c r="K33" t="s">
        <v>267</v>
      </c>
      <c r="L33" t="s">
        <v>222</v>
      </c>
      <c r="M33" s="22">
        <v>1</v>
      </c>
      <c r="O33"/>
    </row>
    <row r="34" spans="1:15" x14ac:dyDescent="0.35">
      <c r="A34" s="44"/>
      <c r="C34">
        <v>901816195</v>
      </c>
      <c r="D34" t="s">
        <v>222</v>
      </c>
      <c r="E34" s="22">
        <v>1</v>
      </c>
      <c r="F34"/>
      <c r="H34" s="44"/>
      <c r="J34" t="s">
        <v>259</v>
      </c>
      <c r="K34" t="s">
        <v>309</v>
      </c>
      <c r="L34" t="s">
        <v>222</v>
      </c>
      <c r="M34" s="22">
        <v>1</v>
      </c>
      <c r="O34"/>
    </row>
    <row r="35" spans="1:15" x14ac:dyDescent="0.35">
      <c r="A35" s="44"/>
      <c r="C35">
        <v>500055461</v>
      </c>
      <c r="D35" t="s">
        <v>222</v>
      </c>
      <c r="E35" s="22">
        <v>1</v>
      </c>
      <c r="F35"/>
      <c r="H35" s="44"/>
      <c r="J35" t="s">
        <v>204</v>
      </c>
      <c r="K35" t="s">
        <v>304</v>
      </c>
      <c r="L35" t="s">
        <v>222</v>
      </c>
      <c r="M35" s="22">
        <v>1</v>
      </c>
      <c r="O35"/>
    </row>
    <row r="36" spans="1:15" x14ac:dyDescent="0.35">
      <c r="A36" s="44"/>
      <c r="C36">
        <v>500054633</v>
      </c>
      <c r="D36" t="s">
        <v>222</v>
      </c>
      <c r="E36" s="22">
        <v>1</v>
      </c>
      <c r="F36"/>
      <c r="H36" s="44"/>
      <c r="J36" t="s">
        <v>274</v>
      </c>
      <c r="K36" t="s">
        <v>314</v>
      </c>
      <c r="L36" t="s">
        <v>222</v>
      </c>
      <c r="M36" s="22">
        <v>6</v>
      </c>
      <c r="O36"/>
    </row>
    <row r="37" spans="1:15" x14ac:dyDescent="0.35">
      <c r="A37" s="44"/>
      <c r="C37">
        <v>901856429</v>
      </c>
      <c r="D37" t="s">
        <v>222</v>
      </c>
      <c r="E37" s="22">
        <v>1</v>
      </c>
      <c r="F37"/>
      <c r="H37" s="44"/>
      <c r="J37" t="s">
        <v>324</v>
      </c>
      <c r="K37" t="s">
        <v>304</v>
      </c>
      <c r="L37" t="s">
        <v>222</v>
      </c>
      <c r="M37" s="22">
        <v>1</v>
      </c>
      <c r="O37"/>
    </row>
    <row r="38" spans="1:15" x14ac:dyDescent="0.35">
      <c r="A38" s="44"/>
      <c r="C38" t="s">
        <v>243</v>
      </c>
      <c r="D38" t="s">
        <v>222</v>
      </c>
      <c r="E38" s="22">
        <v>29</v>
      </c>
      <c r="F38"/>
      <c r="H38" s="44"/>
      <c r="J38" t="s">
        <v>325</v>
      </c>
      <c r="K38" t="s">
        <v>309</v>
      </c>
      <c r="L38" t="s">
        <v>222</v>
      </c>
      <c r="M38" s="22">
        <v>1</v>
      </c>
      <c r="O38"/>
    </row>
    <row r="39" spans="1:15" x14ac:dyDescent="0.35">
      <c r="A39" s="44"/>
      <c r="C39" t="s">
        <v>322</v>
      </c>
      <c r="D39" t="s">
        <v>222</v>
      </c>
      <c r="E39" s="22">
        <v>1</v>
      </c>
      <c r="F39"/>
      <c r="H39" s="44"/>
      <c r="J39" t="s">
        <v>253</v>
      </c>
      <c r="K39" t="s">
        <v>304</v>
      </c>
      <c r="L39" t="s">
        <v>222</v>
      </c>
      <c r="M39" s="22">
        <v>4</v>
      </c>
      <c r="O39"/>
    </row>
    <row r="40" spans="1:15" x14ac:dyDescent="0.35">
      <c r="A40" s="44"/>
      <c r="C40" t="s">
        <v>327</v>
      </c>
      <c r="D40" t="s">
        <v>222</v>
      </c>
      <c r="E40" s="22">
        <v>1</v>
      </c>
      <c r="F40"/>
      <c r="H40" s="44"/>
      <c r="J40" t="s">
        <v>261</v>
      </c>
      <c r="K40" t="s">
        <v>354</v>
      </c>
      <c r="L40" t="s">
        <v>222</v>
      </c>
      <c r="M40" s="22">
        <v>1</v>
      </c>
      <c r="O40"/>
    </row>
    <row r="41" spans="1:15" x14ac:dyDescent="0.35">
      <c r="A41" s="44"/>
      <c r="C41" t="s">
        <v>325</v>
      </c>
      <c r="D41" t="s">
        <v>222</v>
      </c>
      <c r="E41" s="22">
        <v>1</v>
      </c>
      <c r="F41"/>
      <c r="H41" s="44"/>
      <c r="J41" t="s">
        <v>341</v>
      </c>
      <c r="K41" t="s">
        <v>267</v>
      </c>
      <c r="L41" t="s">
        <v>222</v>
      </c>
      <c r="M41" s="22">
        <v>9</v>
      </c>
      <c r="O41"/>
    </row>
    <row r="42" spans="1:15" x14ac:dyDescent="0.35">
      <c r="A42" s="44"/>
      <c r="C42" t="s">
        <v>324</v>
      </c>
      <c r="D42" t="s">
        <v>222</v>
      </c>
      <c r="E42" s="22">
        <v>1</v>
      </c>
      <c r="F42"/>
      <c r="H42" s="44"/>
      <c r="J42" t="s">
        <v>345</v>
      </c>
      <c r="K42" t="s">
        <v>304</v>
      </c>
      <c r="L42" t="s">
        <v>222</v>
      </c>
      <c r="M42" s="22">
        <v>1</v>
      </c>
      <c r="O42"/>
    </row>
    <row r="43" spans="1:15" x14ac:dyDescent="0.35">
      <c r="A43" s="44"/>
      <c r="C43">
        <v>500100028</v>
      </c>
      <c r="D43" t="s">
        <v>222</v>
      </c>
      <c r="E43" s="22">
        <v>1</v>
      </c>
      <c r="F43"/>
      <c r="H43" s="44"/>
      <c r="J43">
        <v>500054633</v>
      </c>
      <c r="K43" t="s">
        <v>267</v>
      </c>
      <c r="L43" t="s">
        <v>222</v>
      </c>
      <c r="M43" s="22">
        <v>2</v>
      </c>
      <c r="O43"/>
    </row>
    <row r="44" spans="1:15" x14ac:dyDescent="0.35">
      <c r="A44" s="44"/>
      <c r="C44" t="s">
        <v>334</v>
      </c>
      <c r="D44" t="s">
        <v>222</v>
      </c>
      <c r="E44" s="22">
        <v>30</v>
      </c>
      <c r="F44"/>
      <c r="H44" s="44"/>
      <c r="J44">
        <v>500100028</v>
      </c>
      <c r="K44" t="s">
        <v>267</v>
      </c>
      <c r="L44" t="s">
        <v>222</v>
      </c>
      <c r="M44" s="22">
        <v>1</v>
      </c>
      <c r="O44"/>
    </row>
    <row r="45" spans="1:15" x14ac:dyDescent="0.35">
      <c r="A45" s="44"/>
      <c r="C45" t="s">
        <v>341</v>
      </c>
      <c r="D45" t="s">
        <v>222</v>
      </c>
      <c r="E45" s="22">
        <v>4</v>
      </c>
      <c r="F45"/>
      <c r="H45" s="44"/>
      <c r="J45">
        <v>901856529</v>
      </c>
      <c r="K45" t="s">
        <v>267</v>
      </c>
      <c r="L45" t="s">
        <v>222</v>
      </c>
      <c r="M45" s="22">
        <v>1</v>
      </c>
      <c r="O45"/>
    </row>
    <row r="46" spans="1:15" x14ac:dyDescent="0.35">
      <c r="A46" s="44"/>
      <c r="C46" t="s">
        <v>357</v>
      </c>
      <c r="D46" t="s">
        <v>222</v>
      </c>
      <c r="E46" s="22">
        <v>1</v>
      </c>
      <c r="F46"/>
      <c r="H46" s="44"/>
      <c r="J46" t="s">
        <v>361</v>
      </c>
      <c r="K46" t="s">
        <v>267</v>
      </c>
      <c r="L46" t="s">
        <v>222</v>
      </c>
      <c r="M46" s="22">
        <v>28</v>
      </c>
      <c r="O46"/>
    </row>
    <row r="47" spans="1:15" x14ac:dyDescent="0.35">
      <c r="A47" s="44"/>
      <c r="C47" t="s">
        <v>356</v>
      </c>
      <c r="D47" t="s">
        <v>222</v>
      </c>
      <c r="E47" s="22">
        <v>1</v>
      </c>
      <c r="F47"/>
      <c r="H47" s="44"/>
      <c r="J47" t="s">
        <v>334</v>
      </c>
      <c r="K47" t="s">
        <v>232</v>
      </c>
      <c r="L47" t="s">
        <v>222</v>
      </c>
      <c r="M47" s="22">
        <v>1</v>
      </c>
      <c r="O47"/>
    </row>
    <row r="48" spans="1:15" x14ac:dyDescent="0.35">
      <c r="A48" s="44"/>
      <c r="C48" t="s">
        <v>358</v>
      </c>
      <c r="D48" t="s">
        <v>222</v>
      </c>
      <c r="E48" s="22">
        <v>1</v>
      </c>
      <c r="F48"/>
      <c r="H48" s="44"/>
      <c r="J48" t="s">
        <v>356</v>
      </c>
      <c r="K48" t="s">
        <v>304</v>
      </c>
      <c r="L48" t="s">
        <v>222</v>
      </c>
      <c r="M48" s="22">
        <v>1</v>
      </c>
      <c r="O48"/>
    </row>
    <row r="49" spans="1:15" x14ac:dyDescent="0.35">
      <c r="A49" s="44"/>
      <c r="C49" t="s">
        <v>333</v>
      </c>
      <c r="D49" t="s">
        <v>222</v>
      </c>
      <c r="E49" s="22">
        <v>79</v>
      </c>
      <c r="F49"/>
      <c r="H49" s="44"/>
      <c r="J49" t="s">
        <v>364</v>
      </c>
      <c r="K49" t="s">
        <v>226</v>
      </c>
      <c r="L49" t="s">
        <v>222</v>
      </c>
      <c r="M49" s="22">
        <v>36</v>
      </c>
      <c r="O49"/>
    </row>
    <row r="50" spans="1:15" x14ac:dyDescent="0.35">
      <c r="A50" s="44"/>
      <c r="C50" t="s">
        <v>361</v>
      </c>
      <c r="D50" t="s">
        <v>222</v>
      </c>
      <c r="E50" s="22">
        <v>28</v>
      </c>
      <c r="F50"/>
      <c r="H50" s="44"/>
      <c r="J50" t="s">
        <v>362</v>
      </c>
      <c r="K50" t="s">
        <v>271</v>
      </c>
      <c r="L50" t="s">
        <v>222</v>
      </c>
      <c r="M50" s="22">
        <v>1</v>
      </c>
      <c r="O50"/>
    </row>
    <row r="51" spans="1:15" x14ac:dyDescent="0.35">
      <c r="A51" s="86" t="s">
        <v>168</v>
      </c>
      <c r="B51" s="86"/>
      <c r="C51" s="86"/>
      <c r="D51" s="86"/>
      <c r="E51" s="51">
        <v>665</v>
      </c>
      <c r="F51"/>
      <c r="H51" s="44"/>
      <c r="J51" t="s">
        <v>357</v>
      </c>
      <c r="K51" t="s">
        <v>304</v>
      </c>
      <c r="L51" t="s">
        <v>222</v>
      </c>
      <c r="M51" s="22">
        <v>1</v>
      </c>
      <c r="O51"/>
    </row>
    <row r="52" spans="1:15" x14ac:dyDescent="0.35">
      <c r="A52"/>
      <c r="C52"/>
      <c r="E52"/>
      <c r="F52"/>
      <c r="H52" s="44"/>
      <c r="I52" t="s">
        <v>342</v>
      </c>
      <c r="J52"/>
      <c r="L52"/>
      <c r="M52" s="22">
        <v>329</v>
      </c>
      <c r="O52"/>
    </row>
    <row r="53" spans="1:15" x14ac:dyDescent="0.35">
      <c r="A53"/>
      <c r="C53"/>
      <c r="E53"/>
      <c r="F53"/>
      <c r="H53" s="44" t="s">
        <v>168</v>
      </c>
      <c r="I53" s="44"/>
      <c r="J53" s="44"/>
      <c r="K53" s="44"/>
      <c r="M53" s="51">
        <v>329</v>
      </c>
      <c r="O53"/>
    </row>
    <row r="54" spans="1:15" x14ac:dyDescent="0.35">
      <c r="A54"/>
      <c r="C54"/>
      <c r="E54"/>
      <c r="F54"/>
      <c r="H54"/>
      <c r="J54"/>
      <c r="L54"/>
      <c r="O54"/>
    </row>
    <row r="55" spans="1:15" x14ac:dyDescent="0.35">
      <c r="A55"/>
      <c r="C55"/>
      <c r="E55"/>
      <c r="F55"/>
      <c r="H55"/>
      <c r="J55"/>
      <c r="L55"/>
      <c r="O55"/>
    </row>
    <row r="56" spans="1:15" x14ac:dyDescent="0.35">
      <c r="A56"/>
      <c r="C56"/>
      <c r="E56"/>
      <c r="F56"/>
      <c r="H56"/>
      <c r="J56"/>
      <c r="L56"/>
      <c r="O56"/>
    </row>
    <row r="57" spans="1:15" x14ac:dyDescent="0.35">
      <c r="A57"/>
      <c r="C57"/>
      <c r="E57"/>
      <c r="F57"/>
      <c r="H57"/>
      <c r="J57"/>
      <c r="L57"/>
      <c r="O57"/>
    </row>
    <row r="58" spans="1:15" x14ac:dyDescent="0.35">
      <c r="A58"/>
      <c r="C58"/>
      <c r="E58"/>
      <c r="F58"/>
      <c r="H58"/>
      <c r="J58"/>
      <c r="L58"/>
      <c r="O58"/>
    </row>
    <row r="59" spans="1:15" x14ac:dyDescent="0.35">
      <c r="A59"/>
      <c r="C59"/>
      <c r="E59"/>
      <c r="F59"/>
      <c r="H59"/>
      <c r="J59"/>
      <c r="L59"/>
      <c r="O59"/>
    </row>
    <row r="60" spans="1:15" x14ac:dyDescent="0.35">
      <c r="A60"/>
      <c r="C60"/>
      <c r="E60"/>
      <c r="F60"/>
      <c r="H60"/>
      <c r="J60"/>
      <c r="L60"/>
      <c r="O60"/>
    </row>
    <row r="61" spans="1:15" x14ac:dyDescent="0.35">
      <c r="A61"/>
      <c r="C61"/>
      <c r="E61"/>
      <c r="F61"/>
      <c r="H61"/>
      <c r="J61"/>
      <c r="L61"/>
      <c r="O61"/>
    </row>
    <row r="62" spans="1:15" x14ac:dyDescent="0.35">
      <c r="A62"/>
      <c r="C62"/>
      <c r="E62"/>
      <c r="F62"/>
      <c r="H62"/>
      <c r="J62"/>
      <c r="L62"/>
      <c r="O62"/>
    </row>
    <row r="63" spans="1:15" x14ac:dyDescent="0.35">
      <c r="A63"/>
      <c r="C63"/>
      <c r="E63"/>
      <c r="F63"/>
      <c r="H63"/>
      <c r="J63"/>
      <c r="L63"/>
      <c r="O63"/>
    </row>
    <row r="64" spans="1:15" x14ac:dyDescent="0.35">
      <c r="A64"/>
      <c r="C64"/>
      <c r="E64"/>
      <c r="F64"/>
      <c r="H64"/>
      <c r="J64"/>
      <c r="L64"/>
      <c r="O64"/>
    </row>
    <row r="65" spans="1:15" x14ac:dyDescent="0.35">
      <c r="A65"/>
      <c r="C65"/>
      <c r="E65"/>
      <c r="F65"/>
      <c r="H65"/>
      <c r="J65"/>
      <c r="L65"/>
      <c r="O65"/>
    </row>
    <row r="66" spans="1:15" x14ac:dyDescent="0.35">
      <c r="A66"/>
      <c r="C66"/>
      <c r="E66"/>
      <c r="F66"/>
      <c r="H66"/>
      <c r="J66"/>
      <c r="L66"/>
      <c r="O66"/>
    </row>
    <row r="67" spans="1:15" x14ac:dyDescent="0.35">
      <c r="A67"/>
      <c r="C67"/>
      <c r="E67"/>
      <c r="F67"/>
      <c r="H67"/>
      <c r="J67"/>
      <c r="L67"/>
      <c r="O67"/>
    </row>
    <row r="68" spans="1:15" x14ac:dyDescent="0.35">
      <c r="A68"/>
      <c r="C68"/>
      <c r="E68"/>
      <c r="F68"/>
      <c r="H68"/>
      <c r="J68"/>
      <c r="L68"/>
      <c r="O68"/>
    </row>
    <row r="69" spans="1:15" x14ac:dyDescent="0.35">
      <c r="A69"/>
      <c r="C69"/>
      <c r="E69"/>
      <c r="F69"/>
      <c r="H69"/>
      <c r="J69"/>
      <c r="L69"/>
      <c r="O69"/>
    </row>
    <row r="70" spans="1:15" x14ac:dyDescent="0.35">
      <c r="A70"/>
      <c r="C70"/>
      <c r="E70"/>
      <c r="F70"/>
      <c r="H70"/>
      <c r="J70"/>
      <c r="L70"/>
      <c r="O70"/>
    </row>
    <row r="71" spans="1:15" x14ac:dyDescent="0.35">
      <c r="A71"/>
      <c r="C71"/>
      <c r="E71"/>
      <c r="F71"/>
      <c r="H71"/>
      <c r="J71"/>
      <c r="L71"/>
      <c r="O71"/>
    </row>
    <row r="72" spans="1:15" x14ac:dyDescent="0.35">
      <c r="A72"/>
      <c r="C72"/>
      <c r="E72"/>
      <c r="F72"/>
      <c r="H72"/>
      <c r="J72"/>
      <c r="L72"/>
      <c r="O72"/>
    </row>
    <row r="73" spans="1:15" x14ac:dyDescent="0.35">
      <c r="A73"/>
      <c r="C73"/>
      <c r="E73"/>
      <c r="F73"/>
      <c r="H73"/>
      <c r="J73"/>
      <c r="L73"/>
      <c r="O73"/>
    </row>
    <row r="74" spans="1:15" x14ac:dyDescent="0.35">
      <c r="A74"/>
      <c r="C74"/>
      <c r="E74"/>
      <c r="F74"/>
      <c r="H74"/>
      <c r="J74"/>
      <c r="L74"/>
      <c r="O74"/>
    </row>
    <row r="75" spans="1:15" x14ac:dyDescent="0.35">
      <c r="A75"/>
      <c r="C75"/>
      <c r="E75"/>
      <c r="F75"/>
      <c r="H75"/>
      <c r="J75"/>
      <c r="L75"/>
      <c r="O75"/>
    </row>
    <row r="76" spans="1:15" x14ac:dyDescent="0.35">
      <c r="A76"/>
      <c r="C76"/>
      <c r="E76"/>
      <c r="F76"/>
      <c r="H76"/>
      <c r="J76"/>
      <c r="L76"/>
      <c r="O76"/>
    </row>
    <row r="77" spans="1:15" x14ac:dyDescent="0.35">
      <c r="A77"/>
      <c r="C77"/>
      <c r="E77"/>
      <c r="F77"/>
      <c r="H77"/>
      <c r="J77"/>
      <c r="L77"/>
      <c r="O77"/>
    </row>
    <row r="78" spans="1:15" x14ac:dyDescent="0.35">
      <c r="A78"/>
      <c r="C78"/>
      <c r="E78"/>
      <c r="F78"/>
      <c r="H78"/>
      <c r="J78"/>
      <c r="L78"/>
      <c r="O78"/>
    </row>
    <row r="79" spans="1:15" x14ac:dyDescent="0.35">
      <c r="A79"/>
      <c r="C79"/>
      <c r="E79"/>
      <c r="F79"/>
      <c r="H79"/>
      <c r="J79"/>
      <c r="L79"/>
      <c r="O79"/>
    </row>
    <row r="80" spans="1:15" x14ac:dyDescent="0.35">
      <c r="A80"/>
      <c r="C80"/>
      <c r="E80"/>
      <c r="F80"/>
      <c r="H80"/>
      <c r="J80"/>
      <c r="L80"/>
      <c r="O80"/>
    </row>
    <row r="81" spans="1:15" x14ac:dyDescent="0.35">
      <c r="A81"/>
      <c r="C81"/>
      <c r="E81"/>
      <c r="F81"/>
      <c r="H81"/>
      <c r="J81"/>
      <c r="L81"/>
      <c r="O81"/>
    </row>
    <row r="82" spans="1:15" x14ac:dyDescent="0.35">
      <c r="A82"/>
      <c r="C82"/>
      <c r="E82"/>
      <c r="F82"/>
      <c r="H82"/>
      <c r="J82"/>
      <c r="L82"/>
      <c r="O82"/>
    </row>
    <row r="83" spans="1:15" x14ac:dyDescent="0.35">
      <c r="A83"/>
      <c r="C83"/>
      <c r="E83"/>
      <c r="F83"/>
      <c r="H83"/>
      <c r="J83"/>
      <c r="L83"/>
      <c r="O83"/>
    </row>
    <row r="84" spans="1:15" x14ac:dyDescent="0.35">
      <c r="A84"/>
      <c r="C84"/>
      <c r="E84"/>
      <c r="F84"/>
      <c r="H84"/>
      <c r="J84"/>
      <c r="L84"/>
      <c r="O84"/>
    </row>
    <row r="85" spans="1:15" x14ac:dyDescent="0.35">
      <c r="A85"/>
      <c r="C85"/>
      <c r="E85"/>
      <c r="F85"/>
      <c r="H85"/>
      <c r="J85"/>
      <c r="L85"/>
      <c r="O85"/>
    </row>
    <row r="86" spans="1:15" x14ac:dyDescent="0.35">
      <c r="A86"/>
      <c r="C86"/>
      <c r="E86"/>
      <c r="F86"/>
      <c r="H86"/>
      <c r="J86"/>
      <c r="L86"/>
      <c r="O86"/>
    </row>
    <row r="87" spans="1:15" x14ac:dyDescent="0.35">
      <c r="A87"/>
      <c r="C87"/>
      <c r="E87"/>
      <c r="F87"/>
      <c r="H87"/>
      <c r="J87"/>
      <c r="L87"/>
      <c r="O87"/>
    </row>
    <row r="88" spans="1:15" x14ac:dyDescent="0.35">
      <c r="A88"/>
      <c r="C88"/>
      <c r="E88"/>
      <c r="F88"/>
      <c r="H88"/>
      <c r="J88"/>
      <c r="L88"/>
      <c r="O88"/>
    </row>
    <row r="89" spans="1:15" x14ac:dyDescent="0.35">
      <c r="A89"/>
      <c r="C89"/>
      <c r="E89"/>
      <c r="F89"/>
      <c r="H89"/>
      <c r="J89"/>
      <c r="L89"/>
      <c r="O89"/>
    </row>
    <row r="90" spans="1:15" x14ac:dyDescent="0.35">
      <c r="A90"/>
      <c r="C90"/>
      <c r="E90"/>
      <c r="F90"/>
      <c r="H90"/>
      <c r="J90"/>
      <c r="L90"/>
      <c r="O90"/>
    </row>
    <row r="91" spans="1:15" x14ac:dyDescent="0.35">
      <c r="A91"/>
      <c r="C91"/>
      <c r="E91"/>
      <c r="F91"/>
      <c r="H91"/>
      <c r="J91"/>
      <c r="L91"/>
      <c r="O91"/>
    </row>
    <row r="92" spans="1:15" x14ac:dyDescent="0.35">
      <c r="A92"/>
      <c r="C92"/>
      <c r="E92"/>
      <c r="F92"/>
      <c r="H92"/>
      <c r="J92"/>
      <c r="L92"/>
      <c r="O92"/>
    </row>
    <row r="93" spans="1:15" x14ac:dyDescent="0.35">
      <c r="A93"/>
      <c r="C93"/>
      <c r="E93"/>
      <c r="F93"/>
      <c r="H93"/>
      <c r="J93"/>
      <c r="L93"/>
      <c r="O93"/>
    </row>
    <row r="94" spans="1:15" x14ac:dyDescent="0.35">
      <c r="A94"/>
      <c r="C94"/>
      <c r="E94"/>
      <c r="F94"/>
      <c r="H94"/>
      <c r="J94"/>
      <c r="L94"/>
      <c r="O94"/>
    </row>
    <row r="95" spans="1:15" x14ac:dyDescent="0.35">
      <c r="A95"/>
      <c r="C95"/>
      <c r="E95"/>
      <c r="F95"/>
      <c r="H95"/>
      <c r="J95"/>
      <c r="L95"/>
      <c r="O95"/>
    </row>
    <row r="96" spans="1:15" x14ac:dyDescent="0.35">
      <c r="A96"/>
      <c r="C96"/>
      <c r="E96"/>
      <c r="F96"/>
      <c r="H96"/>
      <c r="J96"/>
      <c r="L96"/>
      <c r="O96"/>
    </row>
    <row r="97" spans="1:15" x14ac:dyDescent="0.35">
      <c r="A97"/>
      <c r="C97"/>
      <c r="E97"/>
      <c r="F97"/>
      <c r="H97"/>
      <c r="J97"/>
      <c r="L97"/>
      <c r="O97"/>
    </row>
    <row r="98" spans="1:15" x14ac:dyDescent="0.35">
      <c r="A98"/>
      <c r="C98"/>
      <c r="E98"/>
      <c r="F98"/>
      <c r="H98"/>
      <c r="J98"/>
      <c r="L98"/>
      <c r="O98"/>
    </row>
    <row r="99" spans="1:15" x14ac:dyDescent="0.35">
      <c r="A99"/>
      <c r="C99"/>
      <c r="E99"/>
      <c r="F99"/>
      <c r="H99"/>
      <c r="J99"/>
      <c r="L99"/>
      <c r="O99"/>
    </row>
    <row r="100" spans="1:15" x14ac:dyDescent="0.35">
      <c r="A100"/>
      <c r="C100"/>
      <c r="E100"/>
      <c r="F100"/>
      <c r="H100"/>
      <c r="J100"/>
      <c r="L100"/>
      <c r="O100"/>
    </row>
    <row r="101" spans="1:15" x14ac:dyDescent="0.35">
      <c r="A101"/>
      <c r="C101"/>
      <c r="E101"/>
      <c r="F101"/>
      <c r="H101"/>
      <c r="J101"/>
      <c r="L101"/>
      <c r="O101"/>
    </row>
    <row r="102" spans="1:15" x14ac:dyDescent="0.35">
      <c r="A102"/>
      <c r="C102"/>
      <c r="E102"/>
      <c r="F102"/>
      <c r="H102"/>
      <c r="J102"/>
      <c r="L102"/>
      <c r="O102"/>
    </row>
    <row r="103" spans="1:15" x14ac:dyDescent="0.35">
      <c r="A103"/>
      <c r="C103"/>
      <c r="E103"/>
      <c r="F103"/>
      <c r="H103"/>
      <c r="J103"/>
      <c r="L103"/>
      <c r="O103"/>
    </row>
    <row r="104" spans="1:15" x14ac:dyDescent="0.35">
      <c r="A104"/>
      <c r="C104"/>
      <c r="E104"/>
      <c r="F104"/>
      <c r="H104"/>
      <c r="J104"/>
      <c r="L104"/>
      <c r="O104"/>
    </row>
    <row r="105" spans="1:15" x14ac:dyDescent="0.35">
      <c r="A105"/>
      <c r="C105"/>
      <c r="E105"/>
      <c r="F105"/>
      <c r="H105"/>
      <c r="J105"/>
      <c r="L105"/>
      <c r="O105"/>
    </row>
    <row r="106" spans="1:15" x14ac:dyDescent="0.35">
      <c r="A106"/>
      <c r="C106"/>
      <c r="E106"/>
      <c r="F106"/>
      <c r="H106"/>
      <c r="J106"/>
      <c r="L106"/>
      <c r="O106"/>
    </row>
    <row r="107" spans="1:15" x14ac:dyDescent="0.35">
      <c r="A107"/>
      <c r="C107"/>
      <c r="E107"/>
      <c r="F107"/>
      <c r="H107"/>
      <c r="J107"/>
      <c r="L107"/>
      <c r="O107"/>
    </row>
    <row r="108" spans="1:15" x14ac:dyDescent="0.35">
      <c r="A108"/>
      <c r="C108"/>
      <c r="E108"/>
      <c r="F108"/>
      <c r="H108"/>
      <c r="J108"/>
      <c r="L108"/>
      <c r="O108"/>
    </row>
    <row r="109" spans="1:15" x14ac:dyDescent="0.35">
      <c r="A109"/>
      <c r="C109"/>
      <c r="E109"/>
      <c r="F109"/>
      <c r="H109"/>
      <c r="J109"/>
      <c r="L109"/>
      <c r="O109"/>
    </row>
    <row r="110" spans="1:15" x14ac:dyDescent="0.35">
      <c r="A110"/>
      <c r="C110"/>
      <c r="E110"/>
      <c r="F110"/>
      <c r="H110"/>
      <c r="J110"/>
      <c r="L110"/>
      <c r="O110"/>
    </row>
    <row r="111" spans="1:15" x14ac:dyDescent="0.35">
      <c r="A111"/>
      <c r="C111"/>
      <c r="E111"/>
      <c r="F111"/>
      <c r="H111"/>
      <c r="J111"/>
      <c r="L111"/>
      <c r="O111"/>
    </row>
    <row r="112" spans="1:15" x14ac:dyDescent="0.35">
      <c r="A112"/>
      <c r="C112"/>
      <c r="E112"/>
      <c r="F112"/>
      <c r="H112"/>
      <c r="J112"/>
      <c r="L112"/>
      <c r="O112"/>
    </row>
    <row r="113" spans="1:15" x14ac:dyDescent="0.35">
      <c r="A113"/>
      <c r="C113"/>
      <c r="E113"/>
      <c r="F113"/>
      <c r="H113"/>
      <c r="J113"/>
      <c r="L113"/>
      <c r="O113"/>
    </row>
    <row r="114" spans="1:15" x14ac:dyDescent="0.35">
      <c r="A114"/>
      <c r="C114"/>
      <c r="E114"/>
      <c r="F114"/>
      <c r="H114"/>
      <c r="J114"/>
      <c r="L114"/>
      <c r="O114"/>
    </row>
    <row r="115" spans="1:15" x14ac:dyDescent="0.35">
      <c r="A115"/>
      <c r="C115"/>
      <c r="E115"/>
      <c r="F115"/>
      <c r="H115"/>
      <c r="J115"/>
      <c r="L115"/>
      <c r="O115"/>
    </row>
    <row r="116" spans="1:15" x14ac:dyDescent="0.35">
      <c r="A116"/>
      <c r="C116"/>
      <c r="E116"/>
      <c r="F116"/>
      <c r="H116"/>
      <c r="J116"/>
      <c r="L116"/>
      <c r="O116"/>
    </row>
    <row r="117" spans="1:15" x14ac:dyDescent="0.35">
      <c r="A117"/>
      <c r="C117"/>
      <c r="E117"/>
      <c r="F117"/>
      <c r="H117"/>
      <c r="J117"/>
      <c r="L117"/>
      <c r="O117"/>
    </row>
    <row r="118" spans="1:15" x14ac:dyDescent="0.35">
      <c r="A118"/>
      <c r="C118"/>
      <c r="E118"/>
      <c r="F118"/>
      <c r="H118"/>
      <c r="J118"/>
      <c r="L118"/>
      <c r="O118"/>
    </row>
    <row r="119" spans="1:15" x14ac:dyDescent="0.35">
      <c r="A119"/>
      <c r="C119"/>
      <c r="E119"/>
      <c r="F119"/>
      <c r="H119"/>
      <c r="J119"/>
      <c r="L119"/>
      <c r="O119"/>
    </row>
    <row r="120" spans="1:15" x14ac:dyDescent="0.35">
      <c r="A120"/>
      <c r="C120"/>
      <c r="E120"/>
      <c r="F120"/>
      <c r="H120"/>
      <c r="J120"/>
      <c r="L120"/>
      <c r="O120"/>
    </row>
    <row r="121" spans="1:15" x14ac:dyDescent="0.35">
      <c r="A121"/>
      <c r="C121"/>
      <c r="E121"/>
      <c r="F121"/>
      <c r="H121"/>
      <c r="J121"/>
      <c r="L121"/>
      <c r="O121"/>
    </row>
    <row r="122" spans="1:15" x14ac:dyDescent="0.35">
      <c r="A122"/>
      <c r="C122"/>
      <c r="E122"/>
      <c r="F122"/>
      <c r="H122"/>
      <c r="J122"/>
      <c r="L122"/>
      <c r="O122"/>
    </row>
    <row r="123" spans="1:15" x14ac:dyDescent="0.35">
      <c r="A123"/>
      <c r="C123"/>
      <c r="E123"/>
      <c r="F123"/>
      <c r="H123"/>
      <c r="J123"/>
      <c r="L123"/>
      <c r="O123"/>
    </row>
    <row r="124" spans="1:15" x14ac:dyDescent="0.35">
      <c r="A124"/>
      <c r="C124"/>
      <c r="E124"/>
      <c r="F124"/>
      <c r="H124"/>
      <c r="J124"/>
      <c r="L124"/>
      <c r="O124"/>
    </row>
    <row r="125" spans="1:15" x14ac:dyDescent="0.35">
      <c r="A125"/>
      <c r="C125"/>
      <c r="E125"/>
      <c r="F125"/>
      <c r="H125"/>
      <c r="J125"/>
      <c r="L125"/>
      <c r="O125"/>
    </row>
    <row r="126" spans="1:15" x14ac:dyDescent="0.35">
      <c r="A126"/>
      <c r="C126"/>
      <c r="E126"/>
      <c r="F126"/>
      <c r="H126"/>
      <c r="J126"/>
      <c r="L126"/>
      <c r="O126"/>
    </row>
    <row r="127" spans="1:15" x14ac:dyDescent="0.35">
      <c r="A127"/>
      <c r="C127"/>
      <c r="E127"/>
      <c r="F127"/>
      <c r="H127"/>
      <c r="J127"/>
      <c r="L127"/>
      <c r="O127"/>
    </row>
    <row r="128" spans="1:15" x14ac:dyDescent="0.35">
      <c r="A128"/>
      <c r="C128"/>
      <c r="E128"/>
      <c r="F128"/>
      <c r="H128"/>
      <c r="J128"/>
      <c r="L128"/>
      <c r="O128"/>
    </row>
    <row r="129" spans="1:15" x14ac:dyDescent="0.35">
      <c r="A129"/>
      <c r="C129"/>
      <c r="E129"/>
      <c r="F129"/>
      <c r="H129"/>
      <c r="J129"/>
      <c r="L129"/>
      <c r="O129"/>
    </row>
    <row r="130" spans="1:15" x14ac:dyDescent="0.35">
      <c r="A130"/>
      <c r="C130"/>
      <c r="E130"/>
      <c r="F130"/>
      <c r="H130"/>
      <c r="J130"/>
      <c r="L130"/>
      <c r="O130"/>
    </row>
    <row r="131" spans="1:15" x14ac:dyDescent="0.35">
      <c r="A131"/>
      <c r="C131"/>
      <c r="E131"/>
      <c r="F131"/>
      <c r="H131"/>
      <c r="J131"/>
      <c r="L131"/>
      <c r="O131"/>
    </row>
    <row r="132" spans="1:15" x14ac:dyDescent="0.35">
      <c r="A132"/>
      <c r="C132"/>
      <c r="E132"/>
      <c r="F132"/>
      <c r="H132"/>
      <c r="J132"/>
      <c r="L132"/>
      <c r="O132"/>
    </row>
    <row r="133" spans="1:15" x14ac:dyDescent="0.35">
      <c r="A133"/>
      <c r="C133"/>
      <c r="E133"/>
      <c r="F133"/>
      <c r="H133"/>
      <c r="J133"/>
      <c r="L133"/>
      <c r="O133"/>
    </row>
    <row r="134" spans="1:15" x14ac:dyDescent="0.35">
      <c r="A134"/>
      <c r="C134"/>
      <c r="E134"/>
      <c r="F134"/>
      <c r="H134"/>
      <c r="J134"/>
      <c r="L134"/>
      <c r="O134"/>
    </row>
    <row r="135" spans="1:15" x14ac:dyDescent="0.35">
      <c r="A135"/>
      <c r="C135"/>
      <c r="E135"/>
      <c r="F135"/>
      <c r="H135"/>
      <c r="J135"/>
      <c r="L135"/>
      <c r="O135"/>
    </row>
    <row r="136" spans="1:15" x14ac:dyDescent="0.35">
      <c r="A136"/>
      <c r="C136"/>
      <c r="E136"/>
      <c r="F136"/>
      <c r="H136"/>
      <c r="J136"/>
      <c r="L136"/>
      <c r="O136"/>
    </row>
    <row r="137" spans="1:15" x14ac:dyDescent="0.35">
      <c r="A137"/>
      <c r="C137"/>
      <c r="E137"/>
      <c r="F137"/>
      <c r="H137"/>
      <c r="J137"/>
      <c r="L137"/>
      <c r="O137"/>
    </row>
    <row r="138" spans="1:15" x14ac:dyDescent="0.35">
      <c r="A138"/>
      <c r="C138"/>
      <c r="E138"/>
      <c r="F138"/>
      <c r="H138"/>
      <c r="J138"/>
      <c r="L138"/>
      <c r="O138"/>
    </row>
    <row r="139" spans="1:15" x14ac:dyDescent="0.35">
      <c r="A139"/>
      <c r="C139"/>
      <c r="E139"/>
      <c r="F139"/>
      <c r="H139"/>
      <c r="J139"/>
      <c r="L139"/>
      <c r="O139"/>
    </row>
    <row r="140" spans="1:15" x14ac:dyDescent="0.35">
      <c r="A140"/>
      <c r="C140"/>
      <c r="E140"/>
      <c r="F140"/>
      <c r="H140"/>
      <c r="J140"/>
      <c r="L140"/>
      <c r="O140"/>
    </row>
    <row r="141" spans="1:15" x14ac:dyDescent="0.35">
      <c r="A141"/>
      <c r="C141"/>
      <c r="E141"/>
      <c r="F141"/>
      <c r="H141"/>
      <c r="J141"/>
      <c r="L141"/>
      <c r="O141"/>
    </row>
    <row r="142" spans="1:15" x14ac:dyDescent="0.35">
      <c r="A142"/>
      <c r="C142"/>
      <c r="E142"/>
      <c r="F142"/>
      <c r="H142"/>
      <c r="J142"/>
      <c r="L142"/>
      <c r="O142"/>
    </row>
    <row r="143" spans="1:15" x14ac:dyDescent="0.35">
      <c r="A143"/>
      <c r="C143"/>
      <c r="E143"/>
      <c r="F143"/>
      <c r="H143"/>
      <c r="J143"/>
      <c r="L143"/>
      <c r="O143"/>
    </row>
    <row r="144" spans="1:15" x14ac:dyDescent="0.35">
      <c r="A144"/>
      <c r="C144"/>
      <c r="E144"/>
      <c r="F144"/>
      <c r="H144"/>
      <c r="J144"/>
      <c r="L144"/>
      <c r="O144"/>
    </row>
    <row r="145" spans="1:15" x14ac:dyDescent="0.35">
      <c r="A145"/>
      <c r="C145"/>
      <c r="E145"/>
      <c r="F145"/>
      <c r="H145"/>
      <c r="J145"/>
      <c r="L145"/>
      <c r="O145"/>
    </row>
    <row r="146" spans="1:15" x14ac:dyDescent="0.35">
      <c r="A146"/>
      <c r="C146"/>
      <c r="E146"/>
      <c r="F146"/>
      <c r="H146"/>
      <c r="J146"/>
      <c r="L146"/>
      <c r="O146"/>
    </row>
    <row r="147" spans="1:15" x14ac:dyDescent="0.35">
      <c r="A147"/>
      <c r="C147"/>
      <c r="E147"/>
      <c r="F147"/>
      <c r="H147"/>
      <c r="J147"/>
      <c r="L147"/>
      <c r="O147"/>
    </row>
    <row r="148" spans="1:15" x14ac:dyDescent="0.35">
      <c r="A148"/>
      <c r="C148"/>
      <c r="E148"/>
      <c r="F148"/>
      <c r="H148"/>
      <c r="J148"/>
      <c r="L148"/>
      <c r="O148"/>
    </row>
    <row r="149" spans="1:15" x14ac:dyDescent="0.35">
      <c r="A149"/>
      <c r="C149"/>
      <c r="E149"/>
      <c r="F149"/>
      <c r="H149"/>
      <c r="J149"/>
      <c r="L149"/>
      <c r="O149"/>
    </row>
    <row r="150" spans="1:15" x14ac:dyDescent="0.35">
      <c r="A150"/>
      <c r="C150"/>
      <c r="E150"/>
      <c r="F150"/>
      <c r="H150"/>
      <c r="J150"/>
      <c r="L150"/>
      <c r="O150"/>
    </row>
    <row r="151" spans="1:15" x14ac:dyDescent="0.35">
      <c r="A151"/>
      <c r="C151"/>
      <c r="E151"/>
      <c r="F151"/>
      <c r="H151"/>
      <c r="J151"/>
      <c r="L151"/>
      <c r="O151"/>
    </row>
    <row r="152" spans="1:15" x14ac:dyDescent="0.35">
      <c r="A152"/>
      <c r="C152"/>
      <c r="E152"/>
      <c r="F152"/>
      <c r="H152"/>
      <c r="J152"/>
      <c r="L152"/>
      <c r="O152"/>
    </row>
    <row r="153" spans="1:15" x14ac:dyDescent="0.35">
      <c r="A153"/>
      <c r="C153"/>
      <c r="E153"/>
      <c r="F153"/>
      <c r="H153"/>
      <c r="J153"/>
      <c r="L153"/>
      <c r="O153"/>
    </row>
    <row r="154" spans="1:15" x14ac:dyDescent="0.35">
      <c r="A154"/>
      <c r="C154"/>
      <c r="E154"/>
      <c r="F154"/>
      <c r="H154"/>
      <c r="J154"/>
      <c r="L154"/>
      <c r="O154"/>
    </row>
    <row r="155" spans="1:15" x14ac:dyDescent="0.35">
      <c r="A155"/>
      <c r="C155"/>
      <c r="E155"/>
      <c r="F155"/>
      <c r="H155"/>
      <c r="J155"/>
      <c r="L155"/>
      <c r="O155"/>
    </row>
    <row r="156" spans="1:15" x14ac:dyDescent="0.35">
      <c r="A156"/>
      <c r="C156"/>
      <c r="E156"/>
      <c r="F156"/>
      <c r="H156"/>
      <c r="J156"/>
      <c r="L156"/>
      <c r="O156"/>
    </row>
    <row r="157" spans="1:15" x14ac:dyDescent="0.35">
      <c r="A157"/>
      <c r="C157"/>
      <c r="E157"/>
      <c r="F157"/>
      <c r="H157"/>
      <c r="J157"/>
      <c r="L157"/>
      <c r="O157"/>
    </row>
    <row r="158" spans="1:15" x14ac:dyDescent="0.35">
      <c r="A158"/>
      <c r="C158"/>
      <c r="E158"/>
      <c r="F158"/>
      <c r="H158"/>
      <c r="J158"/>
      <c r="L158"/>
      <c r="O158"/>
    </row>
    <row r="159" spans="1:15" x14ac:dyDescent="0.35">
      <c r="A159"/>
      <c r="C159"/>
      <c r="E159"/>
      <c r="F159"/>
      <c r="H159"/>
      <c r="J159"/>
      <c r="L159"/>
      <c r="O159"/>
    </row>
    <row r="160" spans="1:15" x14ac:dyDescent="0.35">
      <c r="A160"/>
      <c r="C160"/>
      <c r="E160"/>
      <c r="F160"/>
      <c r="H160"/>
      <c r="J160"/>
      <c r="L160"/>
      <c r="O160"/>
    </row>
    <row r="161" spans="1:15" x14ac:dyDescent="0.35">
      <c r="A161"/>
      <c r="C161"/>
      <c r="E161"/>
      <c r="F161"/>
      <c r="H161"/>
      <c r="J161"/>
      <c r="L161"/>
      <c r="O161"/>
    </row>
    <row r="162" spans="1:15" x14ac:dyDescent="0.35">
      <c r="A162"/>
      <c r="C162"/>
      <c r="E162"/>
      <c r="F162"/>
      <c r="H162"/>
      <c r="J162"/>
      <c r="L162"/>
      <c r="O162"/>
    </row>
    <row r="163" spans="1:15" x14ac:dyDescent="0.35">
      <c r="A163"/>
      <c r="C163"/>
      <c r="E163"/>
      <c r="F163"/>
      <c r="H163"/>
      <c r="J163"/>
      <c r="L163"/>
      <c r="O163"/>
    </row>
    <row r="164" spans="1:15" x14ac:dyDescent="0.35">
      <c r="A164"/>
      <c r="C164"/>
      <c r="E164"/>
      <c r="F164"/>
      <c r="H164"/>
      <c r="J164"/>
      <c r="L164"/>
      <c r="O164"/>
    </row>
    <row r="165" spans="1:15" x14ac:dyDescent="0.35">
      <c r="A165"/>
      <c r="C165"/>
      <c r="E165"/>
      <c r="F165"/>
      <c r="H165"/>
      <c r="J165"/>
      <c r="L165"/>
      <c r="O165"/>
    </row>
    <row r="166" spans="1:15" x14ac:dyDescent="0.35">
      <c r="A166"/>
      <c r="C166"/>
      <c r="E166"/>
      <c r="F166"/>
      <c r="H166"/>
      <c r="J166"/>
      <c r="L166"/>
      <c r="O166"/>
    </row>
    <row r="167" spans="1:15" x14ac:dyDescent="0.35">
      <c r="A167"/>
      <c r="C167"/>
      <c r="E167"/>
      <c r="F167"/>
      <c r="H167"/>
      <c r="J167"/>
      <c r="L167"/>
      <c r="O167"/>
    </row>
    <row r="168" spans="1:15" x14ac:dyDescent="0.35">
      <c r="A168"/>
      <c r="C168"/>
      <c r="E168"/>
      <c r="F168"/>
      <c r="H168"/>
      <c r="J168"/>
      <c r="L168"/>
      <c r="O168"/>
    </row>
    <row r="169" spans="1:15" x14ac:dyDescent="0.35">
      <c r="A169"/>
      <c r="C169"/>
      <c r="E169"/>
      <c r="F169"/>
      <c r="H169"/>
      <c r="J169"/>
      <c r="L169"/>
      <c r="O169"/>
    </row>
    <row r="170" spans="1:15" x14ac:dyDescent="0.35">
      <c r="A170"/>
      <c r="C170"/>
      <c r="E170"/>
      <c r="F170"/>
      <c r="H170"/>
      <c r="J170"/>
      <c r="L170"/>
      <c r="O170"/>
    </row>
    <row r="171" spans="1:15" x14ac:dyDescent="0.35">
      <c r="A171"/>
      <c r="C171"/>
      <c r="E171"/>
      <c r="F171"/>
      <c r="H171"/>
      <c r="J171"/>
      <c r="L171"/>
      <c r="O171"/>
    </row>
    <row r="172" spans="1:15" x14ac:dyDescent="0.35">
      <c r="A172"/>
      <c r="C172"/>
      <c r="E172"/>
      <c r="F172"/>
      <c r="H172"/>
      <c r="J172"/>
      <c r="L172"/>
      <c r="O172"/>
    </row>
    <row r="173" spans="1:15" x14ac:dyDescent="0.35">
      <c r="A173"/>
      <c r="C173"/>
      <c r="E173"/>
      <c r="F173"/>
      <c r="H173"/>
      <c r="J173"/>
      <c r="L173"/>
      <c r="O173"/>
    </row>
    <row r="174" spans="1:15" x14ac:dyDescent="0.35">
      <c r="A174"/>
      <c r="C174"/>
      <c r="E174"/>
      <c r="F174"/>
      <c r="H174"/>
      <c r="J174"/>
      <c r="L174"/>
      <c r="O174"/>
    </row>
    <row r="175" spans="1:15" x14ac:dyDescent="0.35">
      <c r="A175"/>
      <c r="C175"/>
      <c r="E175"/>
      <c r="F175"/>
      <c r="H175"/>
      <c r="J175"/>
      <c r="L175"/>
      <c r="O175"/>
    </row>
    <row r="176" spans="1:15" x14ac:dyDescent="0.35">
      <c r="A176"/>
      <c r="C176"/>
      <c r="E176"/>
      <c r="F176"/>
      <c r="H176"/>
      <c r="J176"/>
      <c r="L176"/>
      <c r="O176"/>
    </row>
    <row r="177" spans="1:15" x14ac:dyDescent="0.35">
      <c r="A177"/>
      <c r="C177"/>
      <c r="E177"/>
      <c r="F177"/>
      <c r="H177"/>
      <c r="J177"/>
      <c r="L177"/>
      <c r="O177"/>
    </row>
    <row r="178" spans="1:15" x14ac:dyDescent="0.35">
      <c r="A178"/>
      <c r="C178"/>
      <c r="E178"/>
      <c r="F178"/>
      <c r="H178"/>
      <c r="J178"/>
      <c r="L178"/>
      <c r="O178"/>
    </row>
    <row r="179" spans="1:15" x14ac:dyDescent="0.35">
      <c r="A179"/>
      <c r="C179"/>
      <c r="E179"/>
      <c r="F179"/>
      <c r="H179"/>
      <c r="J179"/>
      <c r="L179"/>
      <c r="O179"/>
    </row>
    <row r="180" spans="1:15" x14ac:dyDescent="0.35">
      <c r="A180"/>
      <c r="C180"/>
      <c r="E180"/>
      <c r="F180"/>
      <c r="H180"/>
      <c r="J180"/>
      <c r="L180"/>
      <c r="O180"/>
    </row>
    <row r="181" spans="1:15" x14ac:dyDescent="0.35">
      <c r="A181"/>
      <c r="C181"/>
      <c r="E181"/>
      <c r="F181"/>
      <c r="H181"/>
      <c r="J181"/>
      <c r="L181"/>
      <c r="O181"/>
    </row>
    <row r="182" spans="1:15" x14ac:dyDescent="0.35">
      <c r="A182"/>
      <c r="C182"/>
      <c r="E182"/>
      <c r="F182"/>
      <c r="H182"/>
      <c r="J182"/>
      <c r="L182"/>
      <c r="O182"/>
    </row>
    <row r="183" spans="1:15" x14ac:dyDescent="0.35">
      <c r="A183"/>
      <c r="C183"/>
      <c r="E183"/>
      <c r="F183"/>
      <c r="H183"/>
      <c r="J183"/>
      <c r="L183"/>
      <c r="O183"/>
    </row>
    <row r="184" spans="1:15" x14ac:dyDescent="0.35">
      <c r="A184"/>
      <c r="C184"/>
      <c r="E184"/>
      <c r="F184"/>
      <c r="H184"/>
      <c r="J184"/>
      <c r="L184"/>
      <c r="O184"/>
    </row>
    <row r="185" spans="1:15" x14ac:dyDescent="0.35">
      <c r="A185"/>
      <c r="C185"/>
      <c r="E185"/>
      <c r="F185"/>
      <c r="H185"/>
      <c r="J185"/>
      <c r="L185"/>
      <c r="O185"/>
    </row>
    <row r="186" spans="1:15" x14ac:dyDescent="0.35">
      <c r="A186"/>
      <c r="C186"/>
      <c r="E186"/>
      <c r="F186"/>
      <c r="H186"/>
      <c r="J186"/>
      <c r="L186"/>
      <c r="O186"/>
    </row>
    <row r="187" spans="1:15" x14ac:dyDescent="0.35">
      <c r="A187"/>
      <c r="C187"/>
      <c r="E187"/>
      <c r="F187"/>
      <c r="H187"/>
      <c r="J187"/>
      <c r="L187"/>
      <c r="O187"/>
    </row>
    <row r="188" spans="1:15" x14ac:dyDescent="0.35">
      <c r="A188"/>
      <c r="C188"/>
      <c r="E188"/>
      <c r="F188"/>
      <c r="H188"/>
      <c r="J188"/>
      <c r="L188"/>
      <c r="O188"/>
    </row>
    <row r="189" spans="1:15" x14ac:dyDescent="0.35">
      <c r="A189"/>
      <c r="C189"/>
      <c r="E189"/>
      <c r="F189"/>
      <c r="H189"/>
      <c r="J189"/>
      <c r="L189"/>
      <c r="O189"/>
    </row>
    <row r="190" spans="1:15" x14ac:dyDescent="0.35">
      <c r="A190"/>
      <c r="C190"/>
      <c r="E190"/>
      <c r="F190"/>
      <c r="H190"/>
      <c r="J190"/>
      <c r="L190"/>
    </row>
    <row r="191" spans="1:15" x14ac:dyDescent="0.35">
      <c r="A191"/>
      <c r="C191"/>
      <c r="E191"/>
      <c r="F191"/>
      <c r="H191"/>
      <c r="J191"/>
      <c r="L191"/>
    </row>
    <row r="192" spans="1:15" x14ac:dyDescent="0.35">
      <c r="A192"/>
      <c r="C192"/>
      <c r="E192"/>
      <c r="F192"/>
      <c r="H192"/>
      <c r="J192"/>
      <c r="L192"/>
    </row>
    <row r="193" spans="1:12" x14ac:dyDescent="0.35">
      <c r="A193"/>
      <c r="C193"/>
      <c r="E193"/>
      <c r="F193"/>
      <c r="H193"/>
      <c r="J193"/>
      <c r="L193"/>
    </row>
    <row r="194" spans="1:12" x14ac:dyDescent="0.35">
      <c r="A194"/>
      <c r="C194"/>
      <c r="E194"/>
      <c r="F194"/>
      <c r="H194"/>
      <c r="J194"/>
      <c r="L194"/>
    </row>
    <row r="195" spans="1:12" x14ac:dyDescent="0.35">
      <c r="A195"/>
      <c r="C195"/>
      <c r="E195"/>
      <c r="F195"/>
      <c r="H195"/>
      <c r="J195"/>
      <c r="L195"/>
    </row>
    <row r="196" spans="1:12" x14ac:dyDescent="0.35">
      <c r="A196"/>
      <c r="C196"/>
      <c r="E196"/>
      <c r="F196"/>
      <c r="H196"/>
      <c r="J196"/>
      <c r="L196"/>
    </row>
    <row r="197" spans="1:12" x14ac:dyDescent="0.35">
      <c r="A197"/>
      <c r="C197"/>
      <c r="E197"/>
      <c r="F197"/>
      <c r="H197"/>
      <c r="J197"/>
      <c r="L197"/>
    </row>
    <row r="198" spans="1:12" x14ac:dyDescent="0.35">
      <c r="A198"/>
      <c r="C198"/>
      <c r="E198"/>
      <c r="F198"/>
      <c r="H198"/>
      <c r="J198"/>
      <c r="L198"/>
    </row>
    <row r="199" spans="1:12" x14ac:dyDescent="0.35">
      <c r="A199"/>
      <c r="C199"/>
      <c r="E199"/>
      <c r="F199"/>
      <c r="H199"/>
      <c r="J199"/>
      <c r="L199"/>
    </row>
    <row r="200" spans="1:12" x14ac:dyDescent="0.35">
      <c r="A200"/>
      <c r="C200"/>
      <c r="E200"/>
      <c r="F200"/>
      <c r="H200"/>
      <c r="J200"/>
      <c r="L200"/>
    </row>
    <row r="201" spans="1:12" x14ac:dyDescent="0.35">
      <c r="A201"/>
      <c r="C201"/>
      <c r="E201"/>
      <c r="F201"/>
      <c r="H201"/>
      <c r="J201"/>
      <c r="L201"/>
    </row>
    <row r="202" spans="1:12" x14ac:dyDescent="0.35">
      <c r="A202"/>
      <c r="C202"/>
      <c r="E202"/>
      <c r="F202"/>
      <c r="H202"/>
      <c r="J202"/>
      <c r="L202"/>
    </row>
    <row r="203" spans="1:12" x14ac:dyDescent="0.35">
      <c r="A203"/>
      <c r="C203"/>
      <c r="E203"/>
      <c r="F203"/>
      <c r="H203"/>
      <c r="J203"/>
      <c r="L203"/>
    </row>
    <row r="204" spans="1:12" x14ac:dyDescent="0.35">
      <c r="A204"/>
      <c r="C204"/>
      <c r="E204"/>
      <c r="F204"/>
      <c r="H204"/>
      <c r="J204"/>
      <c r="L204"/>
    </row>
    <row r="205" spans="1:12" x14ac:dyDescent="0.35">
      <c r="A205"/>
      <c r="C205"/>
      <c r="E205"/>
      <c r="F205"/>
      <c r="H205"/>
      <c r="J205"/>
      <c r="L205"/>
    </row>
    <row r="206" spans="1:12" x14ac:dyDescent="0.35">
      <c r="A206"/>
      <c r="C206"/>
      <c r="E206"/>
      <c r="F206"/>
      <c r="H206"/>
      <c r="J206"/>
      <c r="L206"/>
    </row>
    <row r="207" spans="1:12" x14ac:dyDescent="0.35">
      <c r="A207"/>
      <c r="C207"/>
      <c r="E207"/>
      <c r="F207"/>
      <c r="H207"/>
      <c r="J207"/>
      <c r="L207"/>
    </row>
    <row r="208" spans="1:12" x14ac:dyDescent="0.35">
      <c r="A208"/>
      <c r="C208"/>
      <c r="E208"/>
      <c r="F208"/>
      <c r="H208"/>
      <c r="J208"/>
      <c r="L208"/>
    </row>
    <row r="209" spans="1:12" x14ac:dyDescent="0.35">
      <c r="A209"/>
      <c r="C209"/>
      <c r="E209"/>
      <c r="F209"/>
      <c r="H209"/>
      <c r="J209"/>
      <c r="L209"/>
    </row>
    <row r="210" spans="1:12" x14ac:dyDescent="0.35">
      <c r="A210"/>
      <c r="C210"/>
      <c r="E210"/>
      <c r="F210"/>
      <c r="H210"/>
      <c r="J210"/>
      <c r="L210"/>
    </row>
    <row r="211" spans="1:12" x14ac:dyDescent="0.35">
      <c r="A211"/>
      <c r="C211"/>
      <c r="E211"/>
      <c r="F211"/>
      <c r="H211"/>
      <c r="J211"/>
      <c r="L211"/>
    </row>
    <row r="212" spans="1:12" x14ac:dyDescent="0.35">
      <c r="A212"/>
      <c r="C212"/>
      <c r="E212"/>
      <c r="F212"/>
      <c r="H212"/>
      <c r="J212"/>
      <c r="L212"/>
    </row>
    <row r="213" spans="1:12" x14ac:dyDescent="0.35">
      <c r="A213"/>
      <c r="C213"/>
      <c r="E213"/>
      <c r="F213"/>
      <c r="H213"/>
      <c r="J213"/>
      <c r="L213"/>
    </row>
    <row r="214" spans="1:12" x14ac:dyDescent="0.35">
      <c r="A214"/>
      <c r="C214"/>
      <c r="E214"/>
      <c r="F214"/>
      <c r="H214"/>
      <c r="J214"/>
      <c r="L214"/>
    </row>
    <row r="215" spans="1:12" x14ac:dyDescent="0.35">
      <c r="A215"/>
      <c r="C215"/>
      <c r="E215"/>
      <c r="F215"/>
      <c r="H215"/>
      <c r="J215"/>
      <c r="L215"/>
    </row>
    <row r="216" spans="1:12" x14ac:dyDescent="0.35">
      <c r="A216"/>
      <c r="C216"/>
      <c r="E216"/>
      <c r="F216"/>
      <c r="H216"/>
      <c r="J216"/>
      <c r="L216"/>
    </row>
    <row r="217" spans="1:12" x14ac:dyDescent="0.35">
      <c r="A217"/>
      <c r="C217"/>
      <c r="E217"/>
      <c r="F217"/>
      <c r="H217"/>
      <c r="J217"/>
      <c r="L217"/>
    </row>
    <row r="218" spans="1:12" x14ac:dyDescent="0.35">
      <c r="A218"/>
      <c r="C218"/>
      <c r="E218"/>
      <c r="F218"/>
      <c r="H218"/>
      <c r="J218"/>
      <c r="L218"/>
    </row>
    <row r="219" spans="1:12" x14ac:dyDescent="0.35">
      <c r="A219"/>
      <c r="C219"/>
      <c r="E219"/>
      <c r="F219"/>
      <c r="H219"/>
      <c r="J219"/>
      <c r="L219"/>
    </row>
    <row r="220" spans="1:12" x14ac:dyDescent="0.35">
      <c r="A220"/>
      <c r="C220"/>
      <c r="E220"/>
      <c r="F220"/>
      <c r="H220"/>
      <c r="J220"/>
      <c r="L220"/>
    </row>
    <row r="221" spans="1:12" x14ac:dyDescent="0.35">
      <c r="A221"/>
      <c r="C221"/>
      <c r="E221"/>
      <c r="F221"/>
      <c r="H221"/>
      <c r="J221"/>
      <c r="L221"/>
    </row>
    <row r="222" spans="1:12" x14ac:dyDescent="0.35">
      <c r="A222"/>
      <c r="C222"/>
      <c r="E222"/>
      <c r="F222"/>
      <c r="H222"/>
      <c r="J222"/>
      <c r="L222"/>
    </row>
    <row r="223" spans="1:12" x14ac:dyDescent="0.35">
      <c r="A223"/>
      <c r="C223"/>
      <c r="E223"/>
      <c r="F223"/>
      <c r="H223"/>
      <c r="J223"/>
      <c r="L223"/>
    </row>
    <row r="224" spans="1:12" x14ac:dyDescent="0.35">
      <c r="A224"/>
      <c r="C224"/>
      <c r="E224"/>
      <c r="F224"/>
      <c r="H224"/>
      <c r="J224"/>
      <c r="L224"/>
    </row>
    <row r="225" spans="1:12" x14ac:dyDescent="0.35">
      <c r="A225"/>
      <c r="C225"/>
      <c r="E225"/>
      <c r="F225"/>
      <c r="H225"/>
      <c r="J225"/>
      <c r="L225"/>
    </row>
    <row r="226" spans="1:12" x14ac:dyDescent="0.35">
      <c r="A226"/>
      <c r="C226"/>
      <c r="E226"/>
      <c r="F226"/>
      <c r="H226"/>
      <c r="J226"/>
      <c r="L226"/>
    </row>
    <row r="227" spans="1:12" x14ac:dyDescent="0.35">
      <c r="A227"/>
      <c r="C227"/>
      <c r="E227"/>
      <c r="F227"/>
      <c r="H227"/>
      <c r="J227"/>
      <c r="L227"/>
    </row>
    <row r="228" spans="1:12" x14ac:dyDescent="0.35">
      <c r="A228"/>
      <c r="C228"/>
      <c r="E228"/>
      <c r="F228"/>
      <c r="H228"/>
      <c r="J228"/>
      <c r="L228"/>
    </row>
    <row r="229" spans="1:12" x14ac:dyDescent="0.35">
      <c r="A229"/>
      <c r="C229"/>
      <c r="E229"/>
      <c r="F229"/>
      <c r="H229"/>
      <c r="J229"/>
      <c r="L229"/>
    </row>
    <row r="230" spans="1:12" x14ac:dyDescent="0.35">
      <c r="A230"/>
      <c r="C230"/>
      <c r="E230"/>
      <c r="F230"/>
      <c r="H230"/>
      <c r="J230"/>
      <c r="L230"/>
    </row>
    <row r="231" spans="1:12" x14ac:dyDescent="0.35">
      <c r="A231"/>
      <c r="C231"/>
      <c r="E231"/>
      <c r="F231"/>
      <c r="H231"/>
      <c r="J231"/>
      <c r="L231"/>
    </row>
    <row r="232" spans="1:12" x14ac:dyDescent="0.35">
      <c r="A232"/>
      <c r="C232"/>
      <c r="E232"/>
      <c r="F232"/>
      <c r="H232"/>
      <c r="J232"/>
      <c r="L232"/>
    </row>
    <row r="233" spans="1:12" x14ac:dyDescent="0.35">
      <c r="A233"/>
      <c r="C233"/>
      <c r="E233"/>
      <c r="F233"/>
      <c r="H233"/>
      <c r="J233"/>
      <c r="L233"/>
    </row>
    <row r="234" spans="1:12" x14ac:dyDescent="0.35">
      <c r="A234"/>
      <c r="C234"/>
      <c r="E234"/>
      <c r="F234"/>
      <c r="H234"/>
      <c r="J234"/>
      <c r="L234"/>
    </row>
    <row r="235" spans="1:12" x14ac:dyDescent="0.35">
      <c r="A235"/>
      <c r="C235"/>
      <c r="E235"/>
      <c r="F235"/>
      <c r="H235"/>
      <c r="J235"/>
      <c r="L235"/>
    </row>
    <row r="236" spans="1:12" x14ac:dyDescent="0.35">
      <c r="A236"/>
      <c r="C236"/>
      <c r="E236"/>
      <c r="F236"/>
      <c r="H236"/>
      <c r="J236"/>
      <c r="L236"/>
    </row>
    <row r="237" spans="1:12" x14ac:dyDescent="0.35">
      <c r="A237"/>
      <c r="C237"/>
      <c r="E237"/>
      <c r="F237"/>
      <c r="H237"/>
      <c r="J237"/>
      <c r="L237"/>
    </row>
    <row r="238" spans="1:12" x14ac:dyDescent="0.35">
      <c r="A238"/>
      <c r="C238"/>
      <c r="E238"/>
      <c r="F238"/>
      <c r="H238"/>
      <c r="J238"/>
      <c r="L238"/>
    </row>
    <row r="239" spans="1:12" x14ac:dyDescent="0.35">
      <c r="A239"/>
      <c r="C239"/>
      <c r="E239"/>
      <c r="F239"/>
      <c r="H239"/>
      <c r="J239"/>
      <c r="L239"/>
    </row>
    <row r="240" spans="1:12" x14ac:dyDescent="0.35">
      <c r="A240"/>
      <c r="C240"/>
      <c r="E240"/>
      <c r="F240"/>
      <c r="H240"/>
      <c r="J240"/>
      <c r="L240"/>
    </row>
    <row r="241" spans="1:12" x14ac:dyDescent="0.35">
      <c r="A241"/>
      <c r="C241"/>
      <c r="E241"/>
      <c r="F241"/>
      <c r="H241"/>
      <c r="J241"/>
      <c r="L241"/>
    </row>
    <row r="242" spans="1:12" x14ac:dyDescent="0.35">
      <c r="A242"/>
      <c r="C242"/>
      <c r="E242"/>
      <c r="F242"/>
      <c r="H242"/>
      <c r="J242"/>
      <c r="L242"/>
    </row>
    <row r="243" spans="1:12" x14ac:dyDescent="0.35">
      <c r="A243"/>
      <c r="C243"/>
      <c r="E243"/>
      <c r="F243"/>
      <c r="H243"/>
      <c r="J243"/>
      <c r="L243"/>
    </row>
    <row r="244" spans="1:12" x14ac:dyDescent="0.35">
      <c r="A244"/>
      <c r="C244"/>
      <c r="E244"/>
      <c r="F244"/>
      <c r="H244"/>
      <c r="J244"/>
      <c r="L244"/>
    </row>
    <row r="245" spans="1:12" x14ac:dyDescent="0.35">
      <c r="A245"/>
      <c r="C245"/>
      <c r="E245"/>
      <c r="F245"/>
      <c r="H245"/>
      <c r="J245"/>
      <c r="L245"/>
    </row>
    <row r="246" spans="1:12" x14ac:dyDescent="0.35">
      <c r="A246"/>
      <c r="C246"/>
      <c r="E246"/>
      <c r="F246"/>
      <c r="H246"/>
      <c r="J246"/>
      <c r="L246"/>
    </row>
    <row r="247" spans="1:12" x14ac:dyDescent="0.35">
      <c r="A247"/>
      <c r="C247"/>
      <c r="E247"/>
      <c r="F247"/>
      <c r="H247"/>
      <c r="J247"/>
      <c r="L247"/>
    </row>
    <row r="248" spans="1:12" x14ac:dyDescent="0.35">
      <c r="A248"/>
      <c r="C248"/>
      <c r="E248"/>
      <c r="F248"/>
      <c r="H248"/>
      <c r="J248"/>
      <c r="L248"/>
    </row>
    <row r="249" spans="1:12" x14ac:dyDescent="0.35">
      <c r="A249"/>
      <c r="C249"/>
      <c r="E249"/>
      <c r="F249"/>
      <c r="H249"/>
      <c r="J249"/>
      <c r="L249"/>
    </row>
    <row r="250" spans="1:12" x14ac:dyDescent="0.35">
      <c r="A250"/>
      <c r="C250"/>
      <c r="E250"/>
      <c r="F250"/>
      <c r="H250"/>
      <c r="J250"/>
      <c r="L250"/>
    </row>
    <row r="251" spans="1:12" x14ac:dyDescent="0.35">
      <c r="A251"/>
      <c r="C251"/>
      <c r="E251"/>
      <c r="F251"/>
      <c r="H251"/>
      <c r="J251"/>
      <c r="L251"/>
    </row>
    <row r="252" spans="1:12" x14ac:dyDescent="0.35">
      <c r="A252"/>
      <c r="C252"/>
      <c r="E252"/>
      <c r="F252"/>
      <c r="H252"/>
      <c r="J252"/>
      <c r="L252"/>
    </row>
    <row r="253" spans="1:12" x14ac:dyDescent="0.35">
      <c r="A253"/>
      <c r="C253"/>
      <c r="E253"/>
      <c r="F253"/>
      <c r="H253"/>
      <c r="J253"/>
      <c r="L253"/>
    </row>
    <row r="254" spans="1:12" x14ac:dyDescent="0.35">
      <c r="A254"/>
      <c r="C254"/>
      <c r="E254"/>
      <c r="F254"/>
      <c r="H254"/>
      <c r="J254"/>
      <c r="L254"/>
    </row>
    <row r="255" spans="1:12" x14ac:dyDescent="0.35">
      <c r="A255"/>
      <c r="C255"/>
      <c r="E255"/>
      <c r="F255"/>
      <c r="H255"/>
      <c r="J255"/>
      <c r="L255"/>
    </row>
    <row r="256" spans="1:12" x14ac:dyDescent="0.35">
      <c r="A256"/>
      <c r="C256"/>
      <c r="E256"/>
      <c r="F256"/>
      <c r="H256"/>
      <c r="J256"/>
      <c r="L256"/>
    </row>
    <row r="257" spans="1:12" x14ac:dyDescent="0.35">
      <c r="A257"/>
      <c r="C257"/>
      <c r="E257"/>
      <c r="F257"/>
      <c r="H257"/>
      <c r="J257"/>
      <c r="L257"/>
    </row>
    <row r="258" spans="1:12" x14ac:dyDescent="0.35">
      <c r="A258"/>
      <c r="C258"/>
      <c r="E258"/>
      <c r="F258"/>
      <c r="H258"/>
      <c r="J258"/>
      <c r="L258"/>
    </row>
    <row r="259" spans="1:12" x14ac:dyDescent="0.35">
      <c r="A259"/>
      <c r="C259"/>
      <c r="E259"/>
      <c r="F259"/>
      <c r="H259"/>
      <c r="J259"/>
      <c r="L259"/>
    </row>
    <row r="260" spans="1:12" x14ac:dyDescent="0.35">
      <c r="A260"/>
      <c r="C260"/>
      <c r="E260"/>
      <c r="F260"/>
      <c r="H260"/>
      <c r="J260"/>
      <c r="L260"/>
    </row>
    <row r="261" spans="1:12" x14ac:dyDescent="0.35">
      <c r="A261"/>
      <c r="C261"/>
      <c r="E261"/>
      <c r="F261"/>
      <c r="H261"/>
      <c r="J261"/>
      <c r="L261"/>
    </row>
    <row r="262" spans="1:12" x14ac:dyDescent="0.35">
      <c r="A262"/>
      <c r="C262"/>
      <c r="E262"/>
      <c r="F262"/>
      <c r="H262"/>
      <c r="J262"/>
      <c r="L262"/>
    </row>
    <row r="263" spans="1:12" x14ac:dyDescent="0.35">
      <c r="A263"/>
      <c r="C263"/>
      <c r="E263"/>
      <c r="F263"/>
      <c r="H263"/>
      <c r="J263"/>
      <c r="L263"/>
    </row>
    <row r="264" spans="1:12" x14ac:dyDescent="0.35">
      <c r="A264"/>
      <c r="C264"/>
      <c r="E264"/>
      <c r="F264"/>
      <c r="H264"/>
      <c r="J264"/>
      <c r="L264"/>
    </row>
    <row r="265" spans="1:12" x14ac:dyDescent="0.35">
      <c r="A265"/>
      <c r="C265"/>
      <c r="E265"/>
      <c r="F265"/>
      <c r="H265"/>
      <c r="J265"/>
      <c r="L265"/>
    </row>
    <row r="266" spans="1:12" x14ac:dyDescent="0.35">
      <c r="A266"/>
      <c r="C266"/>
      <c r="E266"/>
      <c r="F266"/>
      <c r="H266"/>
      <c r="J266"/>
      <c r="L266"/>
    </row>
    <row r="267" spans="1:12" x14ac:dyDescent="0.35">
      <c r="A267"/>
      <c r="C267"/>
      <c r="E267"/>
      <c r="F267"/>
      <c r="H267"/>
      <c r="J267"/>
      <c r="L267"/>
    </row>
    <row r="268" spans="1:12" x14ac:dyDescent="0.35">
      <c r="A268"/>
      <c r="C268"/>
      <c r="E268"/>
      <c r="F268"/>
      <c r="H268"/>
      <c r="J268"/>
      <c r="L268"/>
    </row>
    <row r="269" spans="1:12" x14ac:dyDescent="0.35">
      <c r="A269"/>
      <c r="C269"/>
      <c r="E269"/>
      <c r="F269"/>
      <c r="H269"/>
      <c r="J269"/>
      <c r="L269"/>
    </row>
    <row r="270" spans="1:12" x14ac:dyDescent="0.35">
      <c r="A270"/>
      <c r="C270"/>
      <c r="E270"/>
      <c r="F270"/>
      <c r="H270"/>
      <c r="J270"/>
      <c r="L270"/>
    </row>
    <row r="271" spans="1:12" x14ac:dyDescent="0.35">
      <c r="A271"/>
      <c r="C271"/>
      <c r="E271"/>
      <c r="F271"/>
      <c r="H271"/>
      <c r="J271"/>
      <c r="L271"/>
    </row>
    <row r="272" spans="1:12" x14ac:dyDescent="0.35">
      <c r="A272"/>
      <c r="C272"/>
      <c r="E272"/>
      <c r="F272"/>
      <c r="H272"/>
      <c r="J272"/>
      <c r="L272"/>
    </row>
    <row r="273" spans="1:12" x14ac:dyDescent="0.35">
      <c r="A273"/>
      <c r="C273"/>
      <c r="E273"/>
      <c r="F273"/>
      <c r="H273"/>
      <c r="J273"/>
      <c r="L273"/>
    </row>
    <row r="274" spans="1:12" x14ac:dyDescent="0.35">
      <c r="A274"/>
      <c r="C274"/>
      <c r="E274"/>
      <c r="F274"/>
      <c r="H274"/>
      <c r="J274"/>
      <c r="L274"/>
    </row>
    <row r="275" spans="1:12" x14ac:dyDescent="0.35">
      <c r="A275"/>
      <c r="C275"/>
      <c r="E275"/>
      <c r="F275"/>
      <c r="H275"/>
      <c r="J275"/>
      <c r="L275"/>
    </row>
    <row r="276" spans="1:12" x14ac:dyDescent="0.35">
      <c r="A276"/>
      <c r="C276"/>
      <c r="E276"/>
      <c r="F276"/>
      <c r="H276"/>
      <c r="J276"/>
      <c r="L276"/>
    </row>
    <row r="277" spans="1:12" x14ac:dyDescent="0.35">
      <c r="A277"/>
      <c r="C277"/>
      <c r="E277"/>
      <c r="F277"/>
      <c r="H277"/>
      <c r="J277"/>
      <c r="L277"/>
    </row>
    <row r="278" spans="1:12" x14ac:dyDescent="0.35">
      <c r="A278"/>
      <c r="C278"/>
      <c r="E278"/>
      <c r="F278"/>
      <c r="H278"/>
      <c r="J278"/>
      <c r="L278"/>
    </row>
    <row r="279" spans="1:12" x14ac:dyDescent="0.35">
      <c r="A279"/>
      <c r="C279"/>
      <c r="E279"/>
      <c r="F279"/>
      <c r="H279"/>
      <c r="J279"/>
      <c r="L279"/>
    </row>
    <row r="280" spans="1:12" x14ac:dyDescent="0.35">
      <c r="A280"/>
      <c r="C280"/>
      <c r="E280"/>
      <c r="F280"/>
      <c r="H280"/>
      <c r="J280"/>
      <c r="L280"/>
    </row>
    <row r="281" spans="1:12" x14ac:dyDescent="0.35">
      <c r="A281"/>
      <c r="C281"/>
      <c r="E281"/>
      <c r="F281"/>
      <c r="H281"/>
      <c r="J281"/>
      <c r="L281"/>
    </row>
    <row r="282" spans="1:12" x14ac:dyDescent="0.35">
      <c r="A282"/>
      <c r="C282"/>
      <c r="E282"/>
      <c r="F282"/>
      <c r="H282"/>
      <c r="J282"/>
      <c r="L282"/>
    </row>
    <row r="283" spans="1:12" x14ac:dyDescent="0.35">
      <c r="A283"/>
      <c r="C283"/>
      <c r="E283"/>
      <c r="F283"/>
      <c r="H283"/>
      <c r="J283"/>
      <c r="L283"/>
    </row>
    <row r="284" spans="1:12" x14ac:dyDescent="0.35">
      <c r="A284"/>
      <c r="C284"/>
      <c r="E284"/>
      <c r="F284"/>
      <c r="H284"/>
      <c r="J284"/>
      <c r="L284"/>
    </row>
    <row r="285" spans="1:12" x14ac:dyDescent="0.35">
      <c r="A285"/>
      <c r="C285"/>
      <c r="E285"/>
      <c r="F285"/>
      <c r="H285"/>
      <c r="J285"/>
      <c r="L285"/>
    </row>
    <row r="286" spans="1:12" x14ac:dyDescent="0.35">
      <c r="A286"/>
      <c r="C286"/>
      <c r="E286"/>
      <c r="F286"/>
      <c r="H286"/>
      <c r="J286"/>
      <c r="L286"/>
    </row>
    <row r="287" spans="1:12" x14ac:dyDescent="0.35">
      <c r="A287"/>
      <c r="C287"/>
      <c r="E287"/>
      <c r="F287"/>
      <c r="H287"/>
      <c r="J287"/>
      <c r="L287"/>
    </row>
    <row r="288" spans="1:12" x14ac:dyDescent="0.35">
      <c r="A288"/>
      <c r="C288"/>
      <c r="E288"/>
      <c r="F288"/>
      <c r="H288"/>
      <c r="J288"/>
      <c r="L288"/>
    </row>
    <row r="289" spans="1:12" x14ac:dyDescent="0.35">
      <c r="A289"/>
      <c r="C289"/>
      <c r="E289"/>
      <c r="F289"/>
      <c r="H289"/>
      <c r="J289"/>
      <c r="L289"/>
    </row>
    <row r="290" spans="1:12" x14ac:dyDescent="0.35">
      <c r="A290"/>
      <c r="C290"/>
      <c r="E290"/>
      <c r="F290"/>
      <c r="H290"/>
      <c r="J290"/>
      <c r="L290"/>
    </row>
    <row r="291" spans="1:12" x14ac:dyDescent="0.35">
      <c r="A291"/>
      <c r="C291"/>
      <c r="E291"/>
      <c r="F291"/>
      <c r="H291"/>
      <c r="J291"/>
      <c r="L291"/>
    </row>
    <row r="292" spans="1:12" x14ac:dyDescent="0.35">
      <c r="A292"/>
      <c r="C292"/>
      <c r="E292"/>
      <c r="F292"/>
      <c r="H292"/>
      <c r="J292"/>
      <c r="L292"/>
    </row>
    <row r="293" spans="1:12" x14ac:dyDescent="0.35">
      <c r="A293"/>
      <c r="C293"/>
      <c r="E293"/>
      <c r="F293"/>
      <c r="H293"/>
      <c r="J293"/>
      <c r="L293"/>
    </row>
    <row r="294" spans="1:12" x14ac:dyDescent="0.35">
      <c r="A294"/>
      <c r="C294"/>
      <c r="E294"/>
      <c r="F294"/>
      <c r="H294"/>
      <c r="J294"/>
      <c r="L294"/>
    </row>
    <row r="295" spans="1:12" x14ac:dyDescent="0.35">
      <c r="A295"/>
      <c r="C295"/>
      <c r="E295"/>
      <c r="F295"/>
      <c r="H295"/>
      <c r="J295"/>
      <c r="L295"/>
    </row>
    <row r="296" spans="1:12" x14ac:dyDescent="0.35">
      <c r="A296"/>
      <c r="C296"/>
      <c r="E296"/>
      <c r="F296"/>
      <c r="H296"/>
      <c r="J296"/>
      <c r="L296"/>
    </row>
    <row r="297" spans="1:12" x14ac:dyDescent="0.35">
      <c r="A297"/>
      <c r="C297"/>
      <c r="E297"/>
      <c r="F297"/>
      <c r="H297"/>
      <c r="J297"/>
      <c r="L297"/>
    </row>
    <row r="298" spans="1:12" x14ac:dyDescent="0.35">
      <c r="A298"/>
      <c r="C298"/>
      <c r="E298"/>
      <c r="F298"/>
      <c r="H298"/>
      <c r="J298"/>
      <c r="L298"/>
    </row>
    <row r="299" spans="1:12" x14ac:dyDescent="0.35">
      <c r="A299"/>
      <c r="C299"/>
      <c r="E299"/>
      <c r="F299"/>
      <c r="H299"/>
      <c r="J299"/>
      <c r="L299"/>
    </row>
    <row r="300" spans="1:12" x14ac:dyDescent="0.35">
      <c r="A300"/>
      <c r="C300"/>
      <c r="E300"/>
      <c r="F300"/>
      <c r="H300"/>
      <c r="J300"/>
      <c r="L300"/>
    </row>
    <row r="301" spans="1:12" x14ac:dyDescent="0.35">
      <c r="A301"/>
      <c r="C301"/>
      <c r="E301"/>
      <c r="F301"/>
      <c r="H301"/>
      <c r="J301"/>
      <c r="L301"/>
    </row>
    <row r="302" spans="1:12" x14ac:dyDescent="0.35">
      <c r="A302"/>
      <c r="C302"/>
      <c r="E302"/>
      <c r="F302"/>
      <c r="H302"/>
      <c r="J302"/>
      <c r="L302"/>
    </row>
    <row r="303" spans="1:12" x14ac:dyDescent="0.35">
      <c r="A303"/>
      <c r="C303"/>
      <c r="E303"/>
      <c r="F303"/>
      <c r="H303"/>
      <c r="J303"/>
      <c r="L303"/>
    </row>
    <row r="304" spans="1:12" x14ac:dyDescent="0.35">
      <c r="A304"/>
      <c r="C304"/>
      <c r="E304"/>
      <c r="F304"/>
      <c r="H304"/>
      <c r="J304"/>
      <c r="L304"/>
    </row>
    <row r="305" spans="1:12" x14ac:dyDescent="0.35">
      <c r="A305"/>
      <c r="C305"/>
      <c r="E305"/>
      <c r="F305"/>
      <c r="H305"/>
      <c r="J305"/>
      <c r="L305"/>
    </row>
    <row r="306" spans="1:12" x14ac:dyDescent="0.35">
      <c r="A306"/>
      <c r="C306"/>
      <c r="E306"/>
      <c r="F306"/>
      <c r="H306"/>
      <c r="J306"/>
      <c r="L306"/>
    </row>
    <row r="307" spans="1:12" x14ac:dyDescent="0.35">
      <c r="A307"/>
      <c r="C307"/>
      <c r="E307"/>
      <c r="F307"/>
      <c r="H307"/>
      <c r="J307"/>
      <c r="L307"/>
    </row>
    <row r="308" spans="1:12" x14ac:dyDescent="0.35">
      <c r="A308"/>
      <c r="C308"/>
      <c r="E308"/>
      <c r="F308"/>
      <c r="H308"/>
      <c r="J308"/>
      <c r="L308"/>
    </row>
    <row r="309" spans="1:12" x14ac:dyDescent="0.35">
      <c r="A309"/>
      <c r="C309"/>
      <c r="E309"/>
      <c r="F309"/>
      <c r="H309"/>
      <c r="J309"/>
      <c r="L309"/>
    </row>
    <row r="310" spans="1:12" x14ac:dyDescent="0.35">
      <c r="A310"/>
      <c r="C310"/>
      <c r="E310"/>
      <c r="F310"/>
      <c r="H310"/>
      <c r="J310"/>
      <c r="L310"/>
    </row>
    <row r="311" spans="1:12" x14ac:dyDescent="0.35">
      <c r="A311"/>
      <c r="C311"/>
      <c r="E311"/>
      <c r="F311"/>
      <c r="H311"/>
      <c r="J311"/>
      <c r="L311"/>
    </row>
    <row r="312" spans="1:12" x14ac:dyDescent="0.35">
      <c r="A312"/>
      <c r="C312"/>
      <c r="E312"/>
      <c r="F312"/>
      <c r="H312"/>
      <c r="J312"/>
      <c r="L312"/>
    </row>
    <row r="313" spans="1:12" x14ac:dyDescent="0.35">
      <c r="A313"/>
      <c r="C313"/>
      <c r="E313"/>
      <c r="F313"/>
      <c r="H313"/>
      <c r="J313"/>
      <c r="L313"/>
    </row>
    <row r="314" spans="1:12" x14ac:dyDescent="0.35">
      <c r="A314"/>
      <c r="C314"/>
      <c r="E314"/>
      <c r="F314"/>
      <c r="H314"/>
      <c r="J314"/>
      <c r="L314"/>
    </row>
    <row r="315" spans="1:12" x14ac:dyDescent="0.35">
      <c r="A315"/>
      <c r="C315"/>
      <c r="E315"/>
      <c r="F315"/>
      <c r="H315"/>
      <c r="J315"/>
      <c r="L315"/>
    </row>
    <row r="316" spans="1:12" x14ac:dyDescent="0.35">
      <c r="A316"/>
      <c r="C316"/>
      <c r="E316"/>
      <c r="F316"/>
      <c r="H316"/>
      <c r="J316"/>
      <c r="L316"/>
    </row>
    <row r="317" spans="1:12" x14ac:dyDescent="0.35">
      <c r="A317"/>
      <c r="C317"/>
      <c r="E317"/>
      <c r="F317"/>
      <c r="H317"/>
      <c r="J317"/>
      <c r="L317"/>
    </row>
    <row r="318" spans="1:12" x14ac:dyDescent="0.35">
      <c r="A318"/>
      <c r="C318"/>
      <c r="E318"/>
      <c r="F318"/>
      <c r="H318"/>
      <c r="J318"/>
      <c r="L318"/>
    </row>
    <row r="319" spans="1:12" x14ac:dyDescent="0.35">
      <c r="A319"/>
      <c r="C319"/>
      <c r="E319"/>
      <c r="F319"/>
      <c r="H319"/>
      <c r="J319"/>
      <c r="L319"/>
    </row>
    <row r="320" spans="1:12" x14ac:dyDescent="0.35">
      <c r="A320"/>
      <c r="C320"/>
      <c r="E320"/>
      <c r="F320"/>
      <c r="H320"/>
      <c r="J320"/>
      <c r="L320"/>
    </row>
    <row r="321" spans="1:12" x14ac:dyDescent="0.35">
      <c r="A321"/>
      <c r="C321"/>
      <c r="E321"/>
      <c r="F321"/>
      <c r="H321"/>
      <c r="J321"/>
      <c r="L321"/>
    </row>
    <row r="322" spans="1:12" x14ac:dyDescent="0.35">
      <c r="A322"/>
      <c r="C322"/>
      <c r="E322"/>
      <c r="F322"/>
      <c r="H322"/>
      <c r="J322"/>
      <c r="L322"/>
    </row>
    <row r="323" spans="1:12" x14ac:dyDescent="0.35">
      <c r="A323"/>
      <c r="C323"/>
      <c r="E323"/>
      <c r="F323"/>
      <c r="H323"/>
      <c r="J323"/>
      <c r="L323"/>
    </row>
    <row r="324" spans="1:12" x14ac:dyDescent="0.35">
      <c r="A324"/>
      <c r="C324"/>
      <c r="E324"/>
      <c r="F324"/>
      <c r="H324"/>
      <c r="J324"/>
      <c r="L324"/>
    </row>
    <row r="325" spans="1:12" x14ac:dyDescent="0.35">
      <c r="A325"/>
      <c r="C325"/>
      <c r="E325"/>
      <c r="F325"/>
      <c r="H325"/>
      <c r="J325"/>
      <c r="L325"/>
    </row>
    <row r="326" spans="1:12" x14ac:dyDescent="0.35">
      <c r="A326"/>
      <c r="C326"/>
      <c r="E326"/>
      <c r="F326"/>
      <c r="H326"/>
      <c r="J326"/>
      <c r="L326"/>
    </row>
    <row r="327" spans="1:12" x14ac:dyDescent="0.35">
      <c r="A327"/>
      <c r="C327"/>
      <c r="E327"/>
      <c r="F327"/>
      <c r="H327"/>
      <c r="J327"/>
      <c r="L327"/>
    </row>
    <row r="328" spans="1:12" x14ac:dyDescent="0.35">
      <c r="A328"/>
      <c r="C328"/>
      <c r="E328"/>
      <c r="F328"/>
      <c r="H328"/>
      <c r="J328"/>
      <c r="L328"/>
    </row>
    <row r="329" spans="1:12" x14ac:dyDescent="0.35">
      <c r="A329"/>
      <c r="C329"/>
      <c r="E329"/>
      <c r="F329"/>
      <c r="H329"/>
      <c r="J329"/>
      <c r="L329"/>
    </row>
    <row r="330" spans="1:12" x14ac:dyDescent="0.35">
      <c r="A330"/>
      <c r="C330"/>
      <c r="E330"/>
      <c r="F330"/>
      <c r="H330"/>
      <c r="J330"/>
      <c r="L330"/>
    </row>
    <row r="331" spans="1:12" x14ac:dyDescent="0.35">
      <c r="A331"/>
      <c r="C331"/>
      <c r="E331"/>
      <c r="F331"/>
      <c r="H331"/>
      <c r="J331"/>
      <c r="L331"/>
    </row>
    <row r="332" spans="1:12" x14ac:dyDescent="0.35">
      <c r="A332"/>
      <c r="C332"/>
      <c r="E332"/>
      <c r="F332"/>
      <c r="H332"/>
      <c r="J332"/>
      <c r="L332"/>
    </row>
    <row r="333" spans="1:12" x14ac:dyDescent="0.35">
      <c r="A333"/>
      <c r="C333"/>
      <c r="E333"/>
      <c r="F333"/>
      <c r="H333"/>
      <c r="J333"/>
      <c r="L333"/>
    </row>
    <row r="334" spans="1:12" x14ac:dyDescent="0.35">
      <c r="A334"/>
      <c r="C334"/>
      <c r="E334"/>
      <c r="F334"/>
      <c r="H334"/>
      <c r="J334"/>
      <c r="L334"/>
    </row>
    <row r="335" spans="1:12" x14ac:dyDescent="0.35">
      <c r="A335"/>
      <c r="C335"/>
      <c r="E335"/>
      <c r="F335"/>
      <c r="H335"/>
      <c r="J335"/>
      <c r="L335"/>
    </row>
    <row r="336" spans="1:12" x14ac:dyDescent="0.35">
      <c r="A336"/>
      <c r="C336"/>
      <c r="E336"/>
      <c r="F336"/>
      <c r="H336"/>
      <c r="J336"/>
      <c r="L336"/>
    </row>
    <row r="337" spans="1:12" x14ac:dyDescent="0.35">
      <c r="A337"/>
      <c r="C337"/>
      <c r="E337"/>
      <c r="F337"/>
      <c r="H337"/>
      <c r="J337"/>
      <c r="L337"/>
    </row>
    <row r="338" spans="1:12" x14ac:dyDescent="0.35">
      <c r="A338"/>
      <c r="C338"/>
      <c r="E338"/>
      <c r="F338"/>
      <c r="H338"/>
      <c r="J338"/>
      <c r="L338"/>
    </row>
    <row r="339" spans="1:12" x14ac:dyDescent="0.35">
      <c r="A339"/>
      <c r="C339"/>
      <c r="E339"/>
      <c r="F339"/>
      <c r="H339"/>
      <c r="J339"/>
      <c r="L339"/>
    </row>
    <row r="340" spans="1:12" x14ac:dyDescent="0.35">
      <c r="A340"/>
      <c r="C340"/>
      <c r="E340"/>
      <c r="F340"/>
      <c r="H340"/>
      <c r="J340"/>
      <c r="L340"/>
    </row>
    <row r="341" spans="1:12" x14ac:dyDescent="0.35">
      <c r="A341"/>
      <c r="C341"/>
      <c r="E341"/>
      <c r="F341"/>
      <c r="H341"/>
      <c r="J341"/>
      <c r="L341"/>
    </row>
    <row r="342" spans="1:12" x14ac:dyDescent="0.35">
      <c r="A342"/>
      <c r="C342"/>
      <c r="E342"/>
      <c r="F342"/>
      <c r="H342"/>
      <c r="J342"/>
      <c r="L342"/>
    </row>
    <row r="343" spans="1:12" x14ac:dyDescent="0.35">
      <c r="A343"/>
      <c r="C343"/>
      <c r="E343"/>
      <c r="F343"/>
      <c r="H343"/>
      <c r="J343"/>
      <c r="L343"/>
    </row>
    <row r="344" spans="1:12" x14ac:dyDescent="0.35">
      <c r="A344"/>
      <c r="C344"/>
      <c r="E344"/>
      <c r="F344"/>
      <c r="H344"/>
      <c r="J344"/>
      <c r="L344"/>
    </row>
    <row r="345" spans="1:12" x14ac:dyDescent="0.35">
      <c r="A345"/>
      <c r="C345"/>
      <c r="E345"/>
      <c r="F345"/>
      <c r="H345"/>
      <c r="J345"/>
      <c r="L345"/>
    </row>
    <row r="346" spans="1:12" x14ac:dyDescent="0.35">
      <c r="A346"/>
      <c r="C346"/>
      <c r="E346"/>
      <c r="F346"/>
      <c r="H346"/>
      <c r="J346"/>
      <c r="L346"/>
    </row>
    <row r="347" spans="1:12" x14ac:dyDescent="0.35">
      <c r="A347"/>
      <c r="C347"/>
      <c r="E347"/>
      <c r="F347"/>
      <c r="H347"/>
      <c r="J347"/>
      <c r="L347"/>
    </row>
    <row r="348" spans="1:12" x14ac:dyDescent="0.35">
      <c r="A348"/>
      <c r="C348"/>
      <c r="E348"/>
      <c r="F348"/>
      <c r="H348"/>
      <c r="J348"/>
      <c r="L348"/>
    </row>
    <row r="349" spans="1:12" x14ac:dyDescent="0.35">
      <c r="A349"/>
      <c r="C349"/>
      <c r="E349"/>
      <c r="F349"/>
      <c r="H349"/>
      <c r="J349"/>
      <c r="L349"/>
    </row>
    <row r="350" spans="1:12" x14ac:dyDescent="0.35">
      <c r="A350"/>
      <c r="C350"/>
      <c r="E350"/>
      <c r="F350"/>
      <c r="H350"/>
      <c r="J350"/>
      <c r="L350"/>
    </row>
    <row r="351" spans="1:12" x14ac:dyDescent="0.35">
      <c r="A351"/>
      <c r="C351"/>
      <c r="E351"/>
      <c r="F351"/>
      <c r="H351"/>
      <c r="J351"/>
      <c r="L351"/>
    </row>
    <row r="352" spans="1:12" x14ac:dyDescent="0.35">
      <c r="A352"/>
      <c r="C352"/>
      <c r="E352"/>
      <c r="F352"/>
      <c r="H352"/>
      <c r="J352"/>
      <c r="L352"/>
    </row>
    <row r="353" spans="1:12" x14ac:dyDescent="0.35">
      <c r="A353"/>
      <c r="C353"/>
      <c r="E353"/>
      <c r="F353"/>
      <c r="H353"/>
      <c r="J353"/>
      <c r="L353"/>
    </row>
    <row r="354" spans="1:12" x14ac:dyDescent="0.35">
      <c r="A354"/>
      <c r="C354"/>
      <c r="E354"/>
      <c r="F354"/>
      <c r="H354"/>
      <c r="J354"/>
      <c r="L354"/>
    </row>
    <row r="355" spans="1:12" x14ac:dyDescent="0.35">
      <c r="A355"/>
      <c r="C355"/>
      <c r="E355"/>
      <c r="F355"/>
      <c r="H355"/>
      <c r="J355"/>
      <c r="L355"/>
    </row>
    <row r="356" spans="1:12" x14ac:dyDescent="0.35">
      <c r="A356"/>
      <c r="C356"/>
      <c r="E356"/>
      <c r="F356"/>
      <c r="H356"/>
      <c r="J356"/>
      <c r="L356"/>
    </row>
    <row r="357" spans="1:12" x14ac:dyDescent="0.35">
      <c r="A357"/>
      <c r="C357"/>
      <c r="E357"/>
      <c r="F357"/>
      <c r="H357"/>
      <c r="J357"/>
      <c r="L357"/>
    </row>
    <row r="358" spans="1:12" x14ac:dyDescent="0.35">
      <c r="A358"/>
      <c r="C358"/>
      <c r="E358"/>
      <c r="F358"/>
      <c r="H358"/>
      <c r="J358"/>
      <c r="L358"/>
    </row>
    <row r="359" spans="1:12" x14ac:dyDescent="0.35">
      <c r="A359"/>
      <c r="C359"/>
      <c r="E359"/>
      <c r="F359"/>
      <c r="H359"/>
      <c r="J359"/>
      <c r="L359"/>
    </row>
    <row r="360" spans="1:12" x14ac:dyDescent="0.35">
      <c r="A360"/>
      <c r="C360"/>
      <c r="E360"/>
      <c r="F360"/>
      <c r="H360"/>
      <c r="J360"/>
      <c r="L360"/>
    </row>
    <row r="361" spans="1:12" x14ac:dyDescent="0.35">
      <c r="A361"/>
      <c r="C361"/>
      <c r="E361"/>
      <c r="F361"/>
      <c r="H361"/>
      <c r="J361"/>
      <c r="L361"/>
    </row>
    <row r="362" spans="1:12" x14ac:dyDescent="0.35">
      <c r="A362"/>
      <c r="C362"/>
      <c r="E362"/>
      <c r="F362"/>
      <c r="H362"/>
      <c r="J362"/>
      <c r="L362"/>
    </row>
    <row r="363" spans="1:12" x14ac:dyDescent="0.35">
      <c r="A363"/>
      <c r="C363"/>
      <c r="E363"/>
      <c r="F363"/>
      <c r="H363"/>
      <c r="J363"/>
      <c r="L363"/>
    </row>
    <row r="364" spans="1:12" x14ac:dyDescent="0.35">
      <c r="A364"/>
      <c r="C364"/>
      <c r="E364"/>
      <c r="F364"/>
      <c r="H364"/>
      <c r="J364"/>
      <c r="L364"/>
    </row>
    <row r="365" spans="1:12" x14ac:dyDescent="0.35">
      <c r="A365"/>
      <c r="C365"/>
      <c r="E365"/>
      <c r="F365"/>
      <c r="H365"/>
      <c r="J365"/>
      <c r="L365"/>
    </row>
    <row r="366" spans="1:12" x14ac:dyDescent="0.35">
      <c r="A366"/>
      <c r="C366"/>
      <c r="E366"/>
      <c r="F366"/>
      <c r="H366"/>
      <c r="J366"/>
      <c r="L366"/>
    </row>
    <row r="367" spans="1:12" x14ac:dyDescent="0.35">
      <c r="A367"/>
      <c r="C367"/>
      <c r="E367"/>
      <c r="F367"/>
      <c r="H367"/>
      <c r="J367"/>
      <c r="L367"/>
    </row>
    <row r="368" spans="1:12" x14ac:dyDescent="0.35">
      <c r="A368"/>
      <c r="C368"/>
      <c r="E368"/>
      <c r="F368"/>
      <c r="H368"/>
      <c r="J368"/>
      <c r="L368"/>
    </row>
    <row r="369" spans="1:12" x14ac:dyDescent="0.35">
      <c r="A369"/>
      <c r="C369"/>
      <c r="E369"/>
      <c r="F369"/>
      <c r="H369"/>
      <c r="J369"/>
      <c r="L369"/>
    </row>
    <row r="370" spans="1:12" x14ac:dyDescent="0.35">
      <c r="A370"/>
      <c r="C370"/>
      <c r="E370"/>
      <c r="F370"/>
      <c r="H370"/>
      <c r="J370"/>
      <c r="L370"/>
    </row>
    <row r="371" spans="1:12" x14ac:dyDescent="0.35">
      <c r="A371"/>
      <c r="C371"/>
      <c r="E371"/>
      <c r="F371"/>
      <c r="H371"/>
      <c r="J371"/>
      <c r="L371"/>
    </row>
    <row r="372" spans="1:12" x14ac:dyDescent="0.35">
      <c r="A372"/>
      <c r="C372"/>
      <c r="E372"/>
      <c r="F372"/>
      <c r="H372"/>
      <c r="J372"/>
      <c r="L372"/>
    </row>
    <row r="373" spans="1:12" x14ac:dyDescent="0.35">
      <c r="A373"/>
      <c r="C373"/>
      <c r="E373"/>
      <c r="F373"/>
      <c r="H373"/>
      <c r="J373"/>
      <c r="L373"/>
    </row>
    <row r="374" spans="1:12" x14ac:dyDescent="0.35">
      <c r="A374"/>
      <c r="C374"/>
      <c r="E374"/>
      <c r="F374"/>
      <c r="H374"/>
      <c r="J374"/>
      <c r="L374"/>
    </row>
    <row r="375" spans="1:12" x14ac:dyDescent="0.35">
      <c r="A375"/>
      <c r="C375"/>
      <c r="E375"/>
      <c r="F375"/>
      <c r="H375"/>
      <c r="J375"/>
      <c r="L375"/>
    </row>
    <row r="376" spans="1:12" x14ac:dyDescent="0.35">
      <c r="A376"/>
      <c r="C376"/>
      <c r="E376"/>
      <c r="F376"/>
      <c r="H376"/>
      <c r="J376"/>
      <c r="L376"/>
    </row>
    <row r="377" spans="1:12" x14ac:dyDescent="0.35">
      <c r="A377"/>
      <c r="C377"/>
      <c r="E377"/>
      <c r="F377"/>
      <c r="H377"/>
      <c r="J377"/>
      <c r="L377"/>
    </row>
    <row r="378" spans="1:12" x14ac:dyDescent="0.35">
      <c r="A378"/>
      <c r="C378"/>
      <c r="E378"/>
      <c r="F378"/>
      <c r="H378"/>
      <c r="J378"/>
      <c r="L378"/>
    </row>
    <row r="379" spans="1:12" x14ac:dyDescent="0.35">
      <c r="A379"/>
      <c r="C379"/>
      <c r="E379"/>
      <c r="F379"/>
      <c r="H379"/>
      <c r="J379"/>
      <c r="L379"/>
    </row>
    <row r="380" spans="1:12" x14ac:dyDescent="0.35">
      <c r="A380"/>
      <c r="C380"/>
      <c r="E380"/>
      <c r="F380"/>
      <c r="H380"/>
      <c r="J380"/>
      <c r="L380"/>
    </row>
    <row r="381" spans="1:12" x14ac:dyDescent="0.35">
      <c r="A381"/>
      <c r="C381"/>
      <c r="E381"/>
      <c r="F381"/>
      <c r="H381"/>
      <c r="J381"/>
      <c r="L381"/>
    </row>
    <row r="382" spans="1:12" x14ac:dyDescent="0.35">
      <c r="A382"/>
      <c r="C382"/>
      <c r="E382"/>
      <c r="F382"/>
      <c r="H382"/>
      <c r="J382"/>
      <c r="L382"/>
    </row>
    <row r="383" spans="1:12" x14ac:dyDescent="0.35">
      <c r="A383"/>
      <c r="C383"/>
      <c r="E383"/>
      <c r="F383"/>
      <c r="H383"/>
      <c r="J383"/>
      <c r="L383"/>
    </row>
    <row r="384" spans="1:12" x14ac:dyDescent="0.35">
      <c r="A384"/>
      <c r="C384"/>
      <c r="E384"/>
      <c r="F384"/>
      <c r="H384"/>
      <c r="J384"/>
      <c r="L384"/>
    </row>
    <row r="385" spans="1:12" x14ac:dyDescent="0.35">
      <c r="A385"/>
      <c r="C385"/>
      <c r="E385"/>
      <c r="F385"/>
      <c r="H385"/>
      <c r="J385"/>
      <c r="L385"/>
    </row>
    <row r="386" spans="1:12" x14ac:dyDescent="0.35">
      <c r="A386"/>
      <c r="C386"/>
      <c r="E386"/>
      <c r="F386"/>
      <c r="H386"/>
      <c r="J386"/>
      <c r="L386"/>
    </row>
    <row r="387" spans="1:12" x14ac:dyDescent="0.35">
      <c r="A387"/>
      <c r="C387"/>
      <c r="E387"/>
      <c r="F387"/>
      <c r="H387"/>
      <c r="J387"/>
      <c r="L387"/>
    </row>
    <row r="388" spans="1:12" x14ac:dyDescent="0.35">
      <c r="A388"/>
      <c r="C388"/>
      <c r="E388"/>
      <c r="F388"/>
      <c r="H388"/>
      <c r="J388"/>
      <c r="L388"/>
    </row>
    <row r="389" spans="1:12" x14ac:dyDescent="0.35">
      <c r="A389"/>
      <c r="C389"/>
      <c r="E389"/>
      <c r="F389"/>
      <c r="H389"/>
      <c r="J389"/>
      <c r="L389"/>
    </row>
    <row r="390" spans="1:12" x14ac:dyDescent="0.35">
      <c r="A390"/>
      <c r="C390"/>
      <c r="E390"/>
      <c r="F390"/>
      <c r="H390"/>
      <c r="J390"/>
      <c r="L390"/>
    </row>
    <row r="391" spans="1:12" x14ac:dyDescent="0.35">
      <c r="A391"/>
      <c r="C391"/>
      <c r="E391"/>
      <c r="F391"/>
      <c r="H391"/>
      <c r="J391"/>
      <c r="L391"/>
    </row>
    <row r="392" spans="1:12" x14ac:dyDescent="0.35">
      <c r="A392"/>
      <c r="C392"/>
      <c r="E392"/>
      <c r="F392"/>
      <c r="H392"/>
      <c r="J392"/>
      <c r="L392"/>
    </row>
    <row r="393" spans="1:12" x14ac:dyDescent="0.35">
      <c r="A393"/>
      <c r="C393"/>
      <c r="E393"/>
      <c r="F393"/>
      <c r="H393"/>
      <c r="J393"/>
      <c r="L393"/>
    </row>
    <row r="394" spans="1:12" x14ac:dyDescent="0.35">
      <c r="A394"/>
      <c r="C394"/>
      <c r="E394"/>
      <c r="F394"/>
      <c r="H394"/>
      <c r="J394"/>
      <c r="L394"/>
    </row>
    <row r="395" spans="1:12" x14ac:dyDescent="0.35">
      <c r="A395"/>
      <c r="C395"/>
      <c r="E395"/>
      <c r="F395"/>
      <c r="H395"/>
      <c r="J395"/>
      <c r="L395"/>
    </row>
    <row r="396" spans="1:12" x14ac:dyDescent="0.35">
      <c r="A396"/>
      <c r="C396"/>
      <c r="E396"/>
      <c r="F396"/>
      <c r="H396"/>
      <c r="J396"/>
      <c r="L396"/>
    </row>
    <row r="397" spans="1:12" x14ac:dyDescent="0.35">
      <c r="A397"/>
      <c r="C397"/>
      <c r="E397"/>
      <c r="F397"/>
      <c r="H397"/>
      <c r="J397"/>
      <c r="L397"/>
    </row>
    <row r="398" spans="1:12" x14ac:dyDescent="0.35">
      <c r="A398"/>
      <c r="C398"/>
      <c r="E398"/>
      <c r="F398"/>
      <c r="H398"/>
      <c r="J398"/>
      <c r="L398"/>
    </row>
    <row r="399" spans="1:12" x14ac:dyDescent="0.35">
      <c r="A399"/>
      <c r="C399"/>
      <c r="E399"/>
      <c r="F399"/>
      <c r="H399"/>
      <c r="J399"/>
      <c r="L399"/>
    </row>
    <row r="400" spans="1:12" x14ac:dyDescent="0.35">
      <c r="A400"/>
      <c r="C400"/>
      <c r="E400"/>
      <c r="F400"/>
      <c r="H400"/>
      <c r="J400"/>
      <c r="L400"/>
    </row>
    <row r="401" spans="1:12" x14ac:dyDescent="0.35">
      <c r="A401"/>
      <c r="C401"/>
      <c r="E401"/>
      <c r="F401"/>
      <c r="H401"/>
      <c r="J401"/>
      <c r="L401"/>
    </row>
    <row r="402" spans="1:12" x14ac:dyDescent="0.35">
      <c r="A402"/>
      <c r="C402"/>
      <c r="E402"/>
      <c r="F402"/>
      <c r="H402"/>
      <c r="J402"/>
      <c r="L402"/>
    </row>
    <row r="403" spans="1:12" x14ac:dyDescent="0.35">
      <c r="A403"/>
      <c r="C403"/>
      <c r="E403"/>
      <c r="F403"/>
      <c r="H403"/>
      <c r="J403"/>
      <c r="L403"/>
    </row>
    <row r="404" spans="1:12" x14ac:dyDescent="0.35">
      <c r="A404"/>
      <c r="C404"/>
      <c r="E404"/>
      <c r="F404"/>
      <c r="H404"/>
      <c r="J404"/>
      <c r="L404"/>
    </row>
    <row r="405" spans="1:12" x14ac:dyDescent="0.35">
      <c r="A405"/>
      <c r="C405"/>
      <c r="E405"/>
      <c r="F405"/>
      <c r="H405"/>
      <c r="J405"/>
      <c r="L405"/>
    </row>
    <row r="406" spans="1:12" x14ac:dyDescent="0.35">
      <c r="A406"/>
      <c r="C406"/>
      <c r="E406"/>
      <c r="F406"/>
      <c r="H406"/>
      <c r="J406"/>
      <c r="L406"/>
    </row>
    <row r="407" spans="1:12" x14ac:dyDescent="0.35">
      <c r="A407"/>
      <c r="C407"/>
      <c r="E407"/>
      <c r="F407"/>
      <c r="H407"/>
      <c r="J407"/>
      <c r="L407"/>
    </row>
    <row r="408" spans="1:12" x14ac:dyDescent="0.35">
      <c r="A408"/>
      <c r="C408"/>
      <c r="E408"/>
      <c r="F408"/>
      <c r="H408"/>
      <c r="J408"/>
      <c r="L408"/>
    </row>
    <row r="409" spans="1:12" x14ac:dyDescent="0.35">
      <c r="A409"/>
      <c r="C409"/>
      <c r="E409"/>
      <c r="F409"/>
      <c r="H409"/>
      <c r="J409"/>
      <c r="L409"/>
    </row>
    <row r="410" spans="1:12" x14ac:dyDescent="0.35">
      <c r="A410"/>
      <c r="C410"/>
      <c r="E410"/>
      <c r="F410"/>
      <c r="H410"/>
      <c r="J410"/>
      <c r="L410"/>
    </row>
    <row r="411" spans="1:12" x14ac:dyDescent="0.35">
      <c r="A411"/>
      <c r="C411"/>
      <c r="E411"/>
      <c r="F411"/>
      <c r="H411"/>
      <c r="J411"/>
      <c r="L411"/>
    </row>
    <row r="412" spans="1:12" x14ac:dyDescent="0.35">
      <c r="A412"/>
      <c r="C412"/>
      <c r="E412"/>
      <c r="F412"/>
      <c r="H412"/>
      <c r="J412"/>
      <c r="L412"/>
    </row>
    <row r="413" spans="1:12" x14ac:dyDescent="0.35">
      <c r="A413"/>
      <c r="C413"/>
      <c r="E413"/>
      <c r="F413"/>
      <c r="H413"/>
      <c r="J413"/>
      <c r="L413"/>
    </row>
    <row r="414" spans="1:12" x14ac:dyDescent="0.35">
      <c r="A414"/>
      <c r="C414"/>
      <c r="E414"/>
      <c r="F414"/>
      <c r="H414"/>
      <c r="J414"/>
      <c r="L414"/>
    </row>
    <row r="415" spans="1:12" x14ac:dyDescent="0.35">
      <c r="A415"/>
      <c r="C415"/>
      <c r="E415"/>
      <c r="F415"/>
      <c r="H415"/>
      <c r="J415"/>
      <c r="L415"/>
    </row>
    <row r="416" spans="1:12" x14ac:dyDescent="0.35">
      <c r="A416"/>
      <c r="C416"/>
      <c r="E416"/>
      <c r="F416"/>
      <c r="H416"/>
      <c r="J416"/>
      <c r="L416"/>
    </row>
    <row r="417" spans="1:12" x14ac:dyDescent="0.35">
      <c r="A417"/>
      <c r="C417"/>
      <c r="E417"/>
      <c r="F417"/>
      <c r="H417"/>
      <c r="J417"/>
      <c r="L417"/>
    </row>
    <row r="418" spans="1:12" x14ac:dyDescent="0.35">
      <c r="A418"/>
      <c r="C418"/>
      <c r="E418"/>
      <c r="F418"/>
      <c r="H418"/>
      <c r="J418"/>
      <c r="L418"/>
    </row>
    <row r="419" spans="1:12" x14ac:dyDescent="0.35">
      <c r="A419"/>
      <c r="C419"/>
      <c r="E419"/>
      <c r="F419"/>
      <c r="H419"/>
      <c r="J419"/>
      <c r="L419"/>
    </row>
    <row r="420" spans="1:12" x14ac:dyDescent="0.35">
      <c r="A420"/>
      <c r="C420"/>
      <c r="E420"/>
      <c r="F420"/>
      <c r="H420"/>
      <c r="J420"/>
      <c r="L420"/>
    </row>
    <row r="421" spans="1:12" x14ac:dyDescent="0.35">
      <c r="A421"/>
      <c r="C421"/>
      <c r="E421"/>
      <c r="F421"/>
      <c r="H421"/>
      <c r="J421"/>
      <c r="L421"/>
    </row>
    <row r="422" spans="1:12" x14ac:dyDescent="0.35">
      <c r="A422"/>
      <c r="C422"/>
      <c r="E422"/>
      <c r="F422"/>
      <c r="H422"/>
      <c r="J422"/>
      <c r="L422"/>
    </row>
    <row r="423" spans="1:12" x14ac:dyDescent="0.35">
      <c r="A423"/>
      <c r="C423"/>
      <c r="E423"/>
      <c r="F423"/>
      <c r="H423"/>
      <c r="J423"/>
      <c r="L423"/>
    </row>
    <row r="424" spans="1:12" x14ac:dyDescent="0.35">
      <c r="A424"/>
      <c r="C424"/>
      <c r="E424"/>
      <c r="F424"/>
      <c r="H424"/>
      <c r="J424"/>
      <c r="L424"/>
    </row>
    <row r="425" spans="1:12" x14ac:dyDescent="0.35">
      <c r="A425"/>
      <c r="C425"/>
      <c r="E425"/>
      <c r="F425"/>
      <c r="H425"/>
      <c r="J425"/>
      <c r="L425"/>
    </row>
    <row r="426" spans="1:12" x14ac:dyDescent="0.35">
      <c r="A426"/>
      <c r="C426"/>
      <c r="E426"/>
      <c r="F426"/>
      <c r="H426"/>
      <c r="J426"/>
      <c r="L426"/>
    </row>
    <row r="427" spans="1:12" x14ac:dyDescent="0.35">
      <c r="A427"/>
      <c r="C427"/>
      <c r="E427"/>
      <c r="F427"/>
      <c r="H427"/>
      <c r="J427"/>
      <c r="L427"/>
    </row>
    <row r="428" spans="1:12" x14ac:dyDescent="0.35">
      <c r="A428"/>
      <c r="C428"/>
      <c r="E428"/>
      <c r="F428"/>
      <c r="H428"/>
      <c r="J428"/>
      <c r="L428"/>
    </row>
    <row r="429" spans="1:12" x14ac:dyDescent="0.35">
      <c r="A429"/>
      <c r="C429"/>
      <c r="E429"/>
      <c r="F429"/>
      <c r="H429"/>
      <c r="J429"/>
      <c r="L429"/>
    </row>
    <row r="430" spans="1:12" x14ac:dyDescent="0.35">
      <c r="A430"/>
      <c r="C430"/>
      <c r="E430"/>
      <c r="F430"/>
      <c r="H430"/>
      <c r="J430"/>
      <c r="L430"/>
    </row>
    <row r="431" spans="1:12" x14ac:dyDescent="0.35">
      <c r="A431"/>
      <c r="C431"/>
      <c r="E431"/>
      <c r="F431"/>
      <c r="H431"/>
      <c r="J431"/>
      <c r="L431"/>
    </row>
    <row r="432" spans="1:12" x14ac:dyDescent="0.35">
      <c r="A432"/>
      <c r="C432"/>
      <c r="E432"/>
      <c r="F432"/>
      <c r="H432"/>
      <c r="J432"/>
      <c r="L432"/>
    </row>
    <row r="433" spans="1:12" x14ac:dyDescent="0.35">
      <c r="A433"/>
      <c r="C433"/>
      <c r="E433"/>
      <c r="F433"/>
      <c r="H433"/>
      <c r="J433"/>
      <c r="L433"/>
    </row>
    <row r="434" spans="1:12" x14ac:dyDescent="0.35">
      <c r="A434"/>
      <c r="C434"/>
      <c r="E434"/>
      <c r="F434"/>
      <c r="H434"/>
      <c r="J434"/>
      <c r="L434"/>
    </row>
    <row r="435" spans="1:12" x14ac:dyDescent="0.35">
      <c r="A435"/>
      <c r="C435"/>
      <c r="E435"/>
      <c r="F435"/>
      <c r="H435"/>
      <c r="J435"/>
      <c r="L435"/>
    </row>
    <row r="436" spans="1:12" x14ac:dyDescent="0.35">
      <c r="A436"/>
      <c r="C436"/>
      <c r="E436"/>
      <c r="F436"/>
      <c r="H436"/>
      <c r="J436"/>
      <c r="L436"/>
    </row>
    <row r="437" spans="1:12" x14ac:dyDescent="0.35">
      <c r="A437"/>
      <c r="C437"/>
      <c r="E437"/>
      <c r="F437"/>
      <c r="H437"/>
      <c r="J437"/>
      <c r="L437"/>
    </row>
    <row r="438" spans="1:12" x14ac:dyDescent="0.35">
      <c r="A438"/>
      <c r="C438"/>
      <c r="E438"/>
      <c r="F438"/>
      <c r="H438"/>
      <c r="J438"/>
      <c r="L438"/>
    </row>
    <row r="439" spans="1:12" x14ac:dyDescent="0.35">
      <c r="A439"/>
      <c r="C439"/>
      <c r="E439"/>
      <c r="F439"/>
      <c r="H439"/>
      <c r="J439"/>
      <c r="L439"/>
    </row>
    <row r="440" spans="1:12" x14ac:dyDescent="0.35">
      <c r="A440"/>
      <c r="C440"/>
      <c r="E440"/>
      <c r="F440"/>
      <c r="H440"/>
      <c r="J440"/>
      <c r="L440"/>
    </row>
    <row r="441" spans="1:12" x14ac:dyDescent="0.35">
      <c r="A441"/>
      <c r="C441"/>
      <c r="E441"/>
      <c r="F441"/>
      <c r="H441"/>
      <c r="J441"/>
      <c r="L441"/>
    </row>
    <row r="442" spans="1:12" x14ac:dyDescent="0.35">
      <c r="A442"/>
      <c r="C442"/>
      <c r="E442"/>
      <c r="F442"/>
      <c r="H442"/>
      <c r="J442"/>
      <c r="L442"/>
    </row>
    <row r="443" spans="1:12" x14ac:dyDescent="0.35">
      <c r="A443"/>
      <c r="C443"/>
      <c r="E443"/>
      <c r="F443"/>
      <c r="H443"/>
      <c r="J443"/>
      <c r="L443"/>
    </row>
    <row r="444" spans="1:12" x14ac:dyDescent="0.35">
      <c r="A444"/>
      <c r="C444"/>
      <c r="E444"/>
      <c r="F444"/>
      <c r="H444"/>
      <c r="J444"/>
      <c r="L444"/>
    </row>
    <row r="445" spans="1:12" x14ac:dyDescent="0.35">
      <c r="A445"/>
      <c r="C445"/>
      <c r="E445"/>
      <c r="F445"/>
      <c r="H445"/>
      <c r="J445"/>
      <c r="L445"/>
    </row>
    <row r="446" spans="1:12" x14ac:dyDescent="0.35">
      <c r="A446"/>
      <c r="C446"/>
      <c r="E446"/>
      <c r="F446"/>
      <c r="H446"/>
      <c r="J446"/>
      <c r="L446"/>
    </row>
    <row r="447" spans="1:12" x14ac:dyDescent="0.35">
      <c r="A447"/>
      <c r="C447"/>
      <c r="E447"/>
      <c r="F447"/>
      <c r="H447"/>
      <c r="J447"/>
      <c r="L447"/>
    </row>
    <row r="448" spans="1:12" x14ac:dyDescent="0.35">
      <c r="A448"/>
      <c r="C448"/>
      <c r="E448"/>
      <c r="F448"/>
      <c r="H448"/>
      <c r="J448"/>
      <c r="L448"/>
    </row>
    <row r="449" spans="1:12" x14ac:dyDescent="0.35">
      <c r="A449"/>
      <c r="C449"/>
      <c r="E449"/>
      <c r="F449"/>
      <c r="H449"/>
      <c r="J449"/>
      <c r="L449"/>
    </row>
    <row r="450" spans="1:12" x14ac:dyDescent="0.35">
      <c r="A450"/>
      <c r="C450"/>
      <c r="E450"/>
      <c r="F450"/>
      <c r="H450"/>
      <c r="J450"/>
      <c r="L450"/>
    </row>
    <row r="451" spans="1:12" x14ac:dyDescent="0.35">
      <c r="A451"/>
      <c r="C451"/>
      <c r="E451"/>
      <c r="F451"/>
      <c r="H451"/>
      <c r="J451"/>
      <c r="L451"/>
    </row>
    <row r="452" spans="1:12" x14ac:dyDescent="0.35">
      <c r="A452"/>
      <c r="C452"/>
      <c r="E452"/>
      <c r="F452"/>
      <c r="H452"/>
      <c r="J452"/>
      <c r="L452"/>
    </row>
    <row r="453" spans="1:12" x14ac:dyDescent="0.35">
      <c r="A453"/>
      <c r="C453"/>
      <c r="E453"/>
      <c r="F453"/>
      <c r="H453"/>
      <c r="J453"/>
      <c r="L453"/>
    </row>
    <row r="454" spans="1:12" x14ac:dyDescent="0.35">
      <c r="A454"/>
      <c r="C454"/>
      <c r="E454"/>
      <c r="F454"/>
      <c r="H454"/>
      <c r="J454"/>
      <c r="L454"/>
    </row>
    <row r="455" spans="1:12" x14ac:dyDescent="0.35">
      <c r="A455"/>
      <c r="C455"/>
      <c r="E455"/>
      <c r="F455"/>
      <c r="H455"/>
      <c r="J455"/>
      <c r="L455"/>
    </row>
    <row r="456" spans="1:12" x14ac:dyDescent="0.35">
      <c r="A456"/>
      <c r="C456"/>
      <c r="E456"/>
      <c r="F456"/>
      <c r="H456"/>
      <c r="J456"/>
      <c r="L456"/>
    </row>
    <row r="457" spans="1:12" x14ac:dyDescent="0.35">
      <c r="A457"/>
      <c r="C457"/>
      <c r="E457"/>
      <c r="F457"/>
      <c r="H457"/>
      <c r="J457"/>
      <c r="L457"/>
    </row>
    <row r="458" spans="1:12" x14ac:dyDescent="0.35">
      <c r="A458"/>
      <c r="C458"/>
      <c r="E458"/>
      <c r="F458"/>
      <c r="H458"/>
      <c r="J458"/>
      <c r="L458"/>
    </row>
    <row r="459" spans="1:12" x14ac:dyDescent="0.35">
      <c r="A459"/>
      <c r="C459"/>
      <c r="E459"/>
      <c r="F459"/>
      <c r="H459"/>
      <c r="J459"/>
      <c r="L459"/>
    </row>
    <row r="460" spans="1:12" x14ac:dyDescent="0.35">
      <c r="A460"/>
      <c r="C460"/>
      <c r="E460"/>
      <c r="F460"/>
      <c r="H460"/>
      <c r="J460"/>
      <c r="L460"/>
    </row>
    <row r="461" spans="1:12" x14ac:dyDescent="0.35">
      <c r="A461"/>
      <c r="C461"/>
      <c r="E461"/>
      <c r="F461"/>
      <c r="H461"/>
      <c r="J461"/>
      <c r="L461"/>
    </row>
    <row r="462" spans="1:12" x14ac:dyDescent="0.35">
      <c r="A462"/>
      <c r="C462"/>
      <c r="E462"/>
      <c r="F462"/>
      <c r="H462"/>
      <c r="J462"/>
      <c r="L462"/>
    </row>
    <row r="463" spans="1:12" x14ac:dyDescent="0.35">
      <c r="A463"/>
      <c r="C463"/>
      <c r="E463"/>
      <c r="F463"/>
      <c r="H463"/>
      <c r="J463"/>
      <c r="L463"/>
    </row>
    <row r="464" spans="1:12" x14ac:dyDescent="0.35">
      <c r="A464"/>
      <c r="C464"/>
      <c r="E464"/>
      <c r="F464"/>
      <c r="H464"/>
      <c r="J464"/>
      <c r="L464"/>
    </row>
    <row r="465" spans="1:12" x14ac:dyDescent="0.35">
      <c r="A465"/>
      <c r="C465"/>
      <c r="E465"/>
      <c r="F465"/>
      <c r="H465"/>
      <c r="J465"/>
      <c r="L465"/>
    </row>
    <row r="466" spans="1:12" x14ac:dyDescent="0.35">
      <c r="A466"/>
      <c r="C466"/>
      <c r="E466"/>
      <c r="F466"/>
      <c r="H466"/>
      <c r="J466"/>
      <c r="L466"/>
    </row>
    <row r="467" spans="1:12" x14ac:dyDescent="0.35">
      <c r="A467"/>
      <c r="C467"/>
      <c r="E467"/>
      <c r="F467"/>
      <c r="H467"/>
      <c r="J467"/>
      <c r="L467"/>
    </row>
    <row r="468" spans="1:12" x14ac:dyDescent="0.35">
      <c r="A468"/>
      <c r="C468"/>
      <c r="E468"/>
      <c r="F468"/>
      <c r="H468"/>
      <c r="J468"/>
      <c r="L468"/>
    </row>
    <row r="469" spans="1:12" x14ac:dyDescent="0.35">
      <c r="A469"/>
      <c r="C469"/>
      <c r="E469"/>
      <c r="F469"/>
      <c r="H469"/>
      <c r="J469"/>
      <c r="L469"/>
    </row>
    <row r="470" spans="1:12" x14ac:dyDescent="0.35">
      <c r="A470"/>
      <c r="C470"/>
      <c r="E470"/>
      <c r="F470"/>
      <c r="H470"/>
      <c r="J470"/>
      <c r="L470"/>
    </row>
    <row r="471" spans="1:12" x14ac:dyDescent="0.35">
      <c r="A471"/>
      <c r="C471"/>
      <c r="E471"/>
      <c r="F471"/>
      <c r="H471"/>
      <c r="J471"/>
      <c r="L471"/>
    </row>
    <row r="472" spans="1:12" x14ac:dyDescent="0.35">
      <c r="A472"/>
      <c r="C472"/>
      <c r="E472"/>
      <c r="F472"/>
      <c r="H472"/>
      <c r="J472"/>
      <c r="L472"/>
    </row>
    <row r="473" spans="1:12" x14ac:dyDescent="0.35">
      <c r="A473"/>
      <c r="C473"/>
      <c r="E473"/>
      <c r="F473"/>
      <c r="H473"/>
      <c r="J473"/>
      <c r="L473"/>
    </row>
    <row r="474" spans="1:12" x14ac:dyDescent="0.35">
      <c r="A474"/>
      <c r="C474"/>
      <c r="E474"/>
      <c r="F474"/>
      <c r="H474"/>
      <c r="J474"/>
      <c r="L474"/>
    </row>
    <row r="475" spans="1:12" x14ac:dyDescent="0.35">
      <c r="A475"/>
      <c r="C475"/>
      <c r="E475"/>
      <c r="F475"/>
      <c r="H475"/>
      <c r="J475"/>
      <c r="L475"/>
    </row>
    <row r="476" spans="1:12" x14ac:dyDescent="0.35">
      <c r="A476"/>
      <c r="C476"/>
      <c r="E476"/>
      <c r="F476"/>
      <c r="H476"/>
      <c r="J476"/>
      <c r="L476"/>
    </row>
    <row r="477" spans="1:12" x14ac:dyDescent="0.35">
      <c r="A477"/>
      <c r="C477"/>
      <c r="E477"/>
      <c r="F477"/>
      <c r="H477"/>
      <c r="J477"/>
      <c r="L477"/>
    </row>
    <row r="478" spans="1:12" x14ac:dyDescent="0.35">
      <c r="A478"/>
      <c r="C478"/>
      <c r="E478"/>
      <c r="F478"/>
      <c r="H478"/>
      <c r="J478"/>
      <c r="L478"/>
    </row>
    <row r="479" spans="1:12" x14ac:dyDescent="0.35">
      <c r="A479"/>
      <c r="C479"/>
      <c r="E479"/>
      <c r="F479"/>
      <c r="H479"/>
      <c r="J479"/>
      <c r="L479"/>
    </row>
    <row r="480" spans="1:12" x14ac:dyDescent="0.35">
      <c r="A480"/>
      <c r="C480"/>
      <c r="E480"/>
      <c r="F480"/>
      <c r="H480"/>
      <c r="J480"/>
      <c r="L480"/>
    </row>
    <row r="481" spans="1:12" x14ac:dyDescent="0.35">
      <c r="A481"/>
      <c r="C481"/>
      <c r="E481"/>
      <c r="F481"/>
      <c r="H481"/>
      <c r="J481"/>
      <c r="L481"/>
    </row>
    <row r="482" spans="1:12" x14ac:dyDescent="0.35">
      <c r="A482"/>
      <c r="C482"/>
      <c r="E482"/>
      <c r="F482"/>
      <c r="H482"/>
      <c r="J482"/>
      <c r="L482"/>
    </row>
    <row r="483" spans="1:12" x14ac:dyDescent="0.35">
      <c r="A483"/>
      <c r="C483"/>
      <c r="E483"/>
      <c r="F483"/>
      <c r="H483"/>
      <c r="J483"/>
      <c r="L483"/>
    </row>
    <row r="484" spans="1:12" x14ac:dyDescent="0.35">
      <c r="A484"/>
      <c r="C484"/>
      <c r="E484"/>
      <c r="F484"/>
      <c r="H484"/>
      <c r="J484"/>
      <c r="L484"/>
    </row>
    <row r="485" spans="1:12" x14ac:dyDescent="0.35">
      <c r="A485"/>
      <c r="C485"/>
      <c r="E485"/>
      <c r="F485"/>
      <c r="H485"/>
      <c r="J485"/>
      <c r="L485"/>
    </row>
    <row r="486" spans="1:12" x14ac:dyDescent="0.35">
      <c r="A486"/>
      <c r="C486"/>
      <c r="E486"/>
      <c r="F486"/>
      <c r="H486"/>
      <c r="J486"/>
      <c r="L486"/>
    </row>
    <row r="487" spans="1:12" x14ac:dyDescent="0.35">
      <c r="A487"/>
      <c r="C487"/>
      <c r="E487"/>
      <c r="F487"/>
      <c r="H487"/>
      <c r="J487"/>
      <c r="L487"/>
    </row>
    <row r="488" spans="1:12" x14ac:dyDescent="0.35">
      <c r="A488"/>
      <c r="C488"/>
      <c r="E488"/>
      <c r="F488"/>
      <c r="H488"/>
      <c r="J488"/>
      <c r="L488"/>
    </row>
    <row r="489" spans="1:12" x14ac:dyDescent="0.35">
      <c r="A489"/>
      <c r="C489"/>
      <c r="E489"/>
      <c r="F489"/>
      <c r="H489"/>
      <c r="J489"/>
      <c r="L489"/>
    </row>
    <row r="490" spans="1:12" x14ac:dyDescent="0.35">
      <c r="A490"/>
      <c r="C490"/>
      <c r="E490"/>
      <c r="F490"/>
      <c r="H490"/>
      <c r="J490"/>
      <c r="L490"/>
    </row>
    <row r="491" spans="1:12" x14ac:dyDescent="0.35">
      <c r="A491"/>
      <c r="C491"/>
      <c r="E491"/>
      <c r="F491"/>
      <c r="H491"/>
      <c r="J491"/>
      <c r="L491"/>
    </row>
    <row r="492" spans="1:12" x14ac:dyDescent="0.35">
      <c r="A492"/>
      <c r="C492"/>
      <c r="E492"/>
      <c r="F492"/>
      <c r="H492"/>
      <c r="J492"/>
      <c r="L492"/>
    </row>
    <row r="493" spans="1:12" x14ac:dyDescent="0.35">
      <c r="A493"/>
      <c r="C493"/>
      <c r="E493"/>
      <c r="F493"/>
      <c r="H493"/>
      <c r="J493"/>
      <c r="L493"/>
    </row>
    <row r="494" spans="1:12" x14ac:dyDescent="0.35">
      <c r="A494"/>
      <c r="C494"/>
      <c r="E494"/>
      <c r="F494"/>
      <c r="H494"/>
      <c r="J494"/>
      <c r="L494"/>
    </row>
    <row r="495" spans="1:12" x14ac:dyDescent="0.35">
      <c r="A495"/>
      <c r="C495"/>
      <c r="E495"/>
      <c r="F495"/>
      <c r="H495"/>
      <c r="J495"/>
      <c r="L495"/>
    </row>
    <row r="496" spans="1:12" x14ac:dyDescent="0.35">
      <c r="A496"/>
      <c r="C496"/>
      <c r="E496"/>
      <c r="F496"/>
      <c r="H496"/>
      <c r="J496"/>
      <c r="L496"/>
    </row>
    <row r="497" spans="1:12" x14ac:dyDescent="0.35">
      <c r="A497"/>
      <c r="C497"/>
      <c r="E497"/>
      <c r="F497"/>
      <c r="H497"/>
      <c r="J497"/>
      <c r="L497"/>
    </row>
    <row r="498" spans="1:12" x14ac:dyDescent="0.35">
      <c r="A498"/>
      <c r="C498"/>
      <c r="E498"/>
      <c r="F498"/>
      <c r="H498"/>
      <c r="J498"/>
      <c r="L498"/>
    </row>
    <row r="499" spans="1:12" x14ac:dyDescent="0.35">
      <c r="A499"/>
      <c r="C499"/>
      <c r="E499"/>
      <c r="F499"/>
      <c r="H499"/>
      <c r="J499"/>
      <c r="L499"/>
    </row>
    <row r="500" spans="1:12" x14ac:dyDescent="0.35">
      <c r="A500"/>
      <c r="C500"/>
      <c r="E500"/>
      <c r="F500"/>
      <c r="H500"/>
      <c r="J500"/>
      <c r="L500"/>
    </row>
    <row r="501" spans="1:12" x14ac:dyDescent="0.35">
      <c r="A501"/>
      <c r="C501"/>
      <c r="E501"/>
      <c r="F501"/>
      <c r="H501"/>
      <c r="J501"/>
      <c r="L501"/>
    </row>
    <row r="502" spans="1:12" x14ac:dyDescent="0.35">
      <c r="A502"/>
      <c r="C502"/>
      <c r="E502"/>
      <c r="F502"/>
      <c r="H502"/>
      <c r="J502"/>
      <c r="L502"/>
    </row>
    <row r="503" spans="1:12" x14ac:dyDescent="0.35">
      <c r="A503"/>
      <c r="C503"/>
      <c r="E503"/>
      <c r="F503"/>
      <c r="H503"/>
      <c r="J503"/>
      <c r="L503"/>
    </row>
    <row r="504" spans="1:12" x14ac:dyDescent="0.35">
      <c r="A504"/>
      <c r="C504"/>
      <c r="E504"/>
      <c r="F504"/>
      <c r="H504"/>
      <c r="J504"/>
      <c r="L504"/>
    </row>
    <row r="505" spans="1:12" x14ac:dyDescent="0.35">
      <c r="A505"/>
      <c r="C505"/>
      <c r="E505"/>
      <c r="F505"/>
      <c r="H505"/>
      <c r="J505"/>
      <c r="L505"/>
    </row>
    <row r="506" spans="1:12" x14ac:dyDescent="0.35">
      <c r="A506"/>
      <c r="C506"/>
      <c r="E506"/>
      <c r="F506"/>
      <c r="H506"/>
      <c r="J506"/>
      <c r="L506"/>
    </row>
    <row r="507" spans="1:12" x14ac:dyDescent="0.35">
      <c r="A507"/>
      <c r="C507"/>
      <c r="E507"/>
      <c r="F507"/>
      <c r="H507"/>
      <c r="J507"/>
      <c r="L507"/>
    </row>
    <row r="508" spans="1:12" x14ac:dyDescent="0.35">
      <c r="A508"/>
      <c r="C508"/>
      <c r="E508"/>
      <c r="F508"/>
      <c r="H508"/>
      <c r="J508"/>
      <c r="L508"/>
    </row>
    <row r="509" spans="1:12" x14ac:dyDescent="0.35">
      <c r="A509"/>
      <c r="C509"/>
      <c r="E509"/>
      <c r="F509"/>
      <c r="H509"/>
      <c r="J509"/>
      <c r="L509"/>
    </row>
    <row r="510" spans="1:12" x14ac:dyDescent="0.35">
      <c r="A510"/>
      <c r="C510"/>
      <c r="E510"/>
      <c r="F510"/>
      <c r="H510"/>
      <c r="J510"/>
      <c r="L510"/>
    </row>
    <row r="511" spans="1:12" x14ac:dyDescent="0.35">
      <c r="A511"/>
      <c r="C511"/>
      <c r="E511"/>
      <c r="F511"/>
      <c r="H511"/>
      <c r="J511"/>
      <c r="L511"/>
    </row>
    <row r="512" spans="1:12" x14ac:dyDescent="0.35">
      <c r="A512"/>
      <c r="C512"/>
      <c r="E512"/>
      <c r="F512"/>
      <c r="H512"/>
      <c r="J512"/>
      <c r="L512"/>
    </row>
    <row r="513" spans="1:12" x14ac:dyDescent="0.35">
      <c r="A513"/>
      <c r="C513"/>
      <c r="E513"/>
      <c r="F513"/>
      <c r="H513"/>
      <c r="J513"/>
      <c r="L513"/>
    </row>
    <row r="514" spans="1:12" x14ac:dyDescent="0.35">
      <c r="A514"/>
      <c r="C514"/>
      <c r="E514"/>
      <c r="F514"/>
      <c r="H514"/>
      <c r="J514"/>
      <c r="L514"/>
    </row>
    <row r="515" spans="1:12" x14ac:dyDescent="0.35">
      <c r="A515"/>
      <c r="C515"/>
      <c r="E515"/>
      <c r="F515"/>
      <c r="H515"/>
      <c r="J515"/>
      <c r="L515"/>
    </row>
    <row r="516" spans="1:12" x14ac:dyDescent="0.35">
      <c r="A516"/>
      <c r="C516"/>
      <c r="E516"/>
      <c r="F516"/>
      <c r="H516"/>
      <c r="J516"/>
      <c r="L516"/>
    </row>
    <row r="517" spans="1:12" x14ac:dyDescent="0.35">
      <c r="A517"/>
      <c r="C517"/>
      <c r="E517"/>
      <c r="F517"/>
      <c r="H517"/>
      <c r="J517"/>
      <c r="L517"/>
    </row>
    <row r="518" spans="1:12" x14ac:dyDescent="0.35">
      <c r="A518"/>
      <c r="C518"/>
      <c r="E518"/>
      <c r="F518"/>
      <c r="H518"/>
      <c r="J518"/>
      <c r="L518"/>
    </row>
    <row r="519" spans="1:12" x14ac:dyDescent="0.35">
      <c r="A519"/>
      <c r="C519"/>
      <c r="E519"/>
      <c r="F519"/>
      <c r="H519"/>
      <c r="J519"/>
      <c r="L519"/>
    </row>
    <row r="520" spans="1:12" x14ac:dyDescent="0.35">
      <c r="A520"/>
      <c r="C520"/>
      <c r="E520"/>
      <c r="F520"/>
      <c r="H520"/>
      <c r="J520"/>
      <c r="L520"/>
    </row>
    <row r="521" spans="1:12" x14ac:dyDescent="0.35">
      <c r="A521"/>
      <c r="C521"/>
      <c r="E521"/>
      <c r="F521"/>
      <c r="H521"/>
      <c r="J521"/>
      <c r="L521"/>
    </row>
    <row r="522" spans="1:12" x14ac:dyDescent="0.35">
      <c r="A522"/>
      <c r="C522"/>
      <c r="E522"/>
      <c r="F522"/>
      <c r="H522"/>
      <c r="J522"/>
      <c r="L522"/>
    </row>
    <row r="523" spans="1:12" x14ac:dyDescent="0.35">
      <c r="A523"/>
      <c r="C523"/>
      <c r="E523"/>
      <c r="F523"/>
      <c r="H523"/>
      <c r="J523"/>
      <c r="L523"/>
    </row>
    <row r="524" spans="1:12" x14ac:dyDescent="0.35">
      <c r="A524"/>
      <c r="C524"/>
      <c r="E524"/>
      <c r="F524"/>
      <c r="H524"/>
      <c r="J524"/>
      <c r="L524"/>
    </row>
    <row r="525" spans="1:12" x14ac:dyDescent="0.35">
      <c r="A525"/>
      <c r="C525"/>
      <c r="E525"/>
      <c r="F525"/>
      <c r="H525"/>
      <c r="J525"/>
      <c r="L525"/>
    </row>
    <row r="526" spans="1:12" x14ac:dyDescent="0.35">
      <c r="A526"/>
      <c r="C526"/>
      <c r="E526"/>
      <c r="F526"/>
      <c r="H526"/>
      <c r="J526"/>
      <c r="L526"/>
    </row>
    <row r="527" spans="1:12" x14ac:dyDescent="0.35">
      <c r="A527"/>
      <c r="C527"/>
      <c r="E527"/>
      <c r="F527"/>
      <c r="H527"/>
      <c r="J527"/>
      <c r="L527"/>
    </row>
    <row r="528" spans="1:12" x14ac:dyDescent="0.35">
      <c r="A528"/>
      <c r="C528"/>
      <c r="E528"/>
      <c r="F528"/>
      <c r="H528"/>
      <c r="J528"/>
      <c r="L528"/>
    </row>
    <row r="529" spans="1:12" x14ac:dyDescent="0.35">
      <c r="A529"/>
      <c r="C529"/>
      <c r="E529"/>
      <c r="F529"/>
      <c r="H529"/>
      <c r="J529"/>
      <c r="L529"/>
    </row>
    <row r="530" spans="1:12" x14ac:dyDescent="0.35">
      <c r="A530"/>
      <c r="C530"/>
      <c r="E530"/>
      <c r="F530"/>
      <c r="H530"/>
      <c r="J530"/>
      <c r="L530"/>
    </row>
    <row r="531" spans="1:12" x14ac:dyDescent="0.35">
      <c r="A531"/>
      <c r="C531"/>
      <c r="E531"/>
      <c r="F531"/>
      <c r="H531"/>
      <c r="J531"/>
      <c r="L531"/>
    </row>
    <row r="532" spans="1:12" x14ac:dyDescent="0.35">
      <c r="A532"/>
      <c r="C532"/>
      <c r="E532"/>
      <c r="F532"/>
      <c r="H532"/>
      <c r="J532"/>
      <c r="L532"/>
    </row>
    <row r="533" spans="1:12" x14ac:dyDescent="0.35">
      <c r="A533"/>
      <c r="C533"/>
      <c r="E533"/>
      <c r="F533"/>
      <c r="H533"/>
      <c r="J533"/>
      <c r="L533"/>
    </row>
    <row r="534" spans="1:12" x14ac:dyDescent="0.35">
      <c r="A534"/>
      <c r="C534"/>
      <c r="E534"/>
      <c r="F534"/>
      <c r="H534"/>
      <c r="J534"/>
      <c r="L534"/>
    </row>
    <row r="535" spans="1:12" x14ac:dyDescent="0.35">
      <c r="A535"/>
      <c r="C535"/>
      <c r="E535"/>
      <c r="F535"/>
      <c r="H535"/>
      <c r="J535"/>
      <c r="L535"/>
    </row>
    <row r="536" spans="1:12" x14ac:dyDescent="0.35">
      <c r="A536"/>
      <c r="C536"/>
      <c r="E536"/>
      <c r="F536"/>
      <c r="H536"/>
      <c r="J536"/>
      <c r="L536"/>
    </row>
    <row r="537" spans="1:12" x14ac:dyDescent="0.35">
      <c r="A537"/>
      <c r="C537"/>
      <c r="E537"/>
      <c r="F537"/>
      <c r="H537"/>
      <c r="J537"/>
      <c r="L537"/>
    </row>
    <row r="538" spans="1:12" x14ac:dyDescent="0.35">
      <c r="A538"/>
      <c r="C538"/>
      <c r="E538"/>
      <c r="F538"/>
      <c r="H538"/>
      <c r="J538"/>
      <c r="L538"/>
    </row>
    <row r="539" spans="1:12" x14ac:dyDescent="0.35">
      <c r="A539"/>
      <c r="C539"/>
      <c r="E539"/>
      <c r="F539"/>
      <c r="H539"/>
      <c r="J539"/>
      <c r="L539"/>
    </row>
    <row r="540" spans="1:12" x14ac:dyDescent="0.35">
      <c r="A540"/>
      <c r="C540"/>
      <c r="E540"/>
      <c r="F540"/>
      <c r="H540"/>
      <c r="J540"/>
      <c r="L540"/>
    </row>
    <row r="541" spans="1:12" x14ac:dyDescent="0.35">
      <c r="A541"/>
      <c r="C541"/>
      <c r="E541"/>
      <c r="F541"/>
      <c r="H541"/>
      <c r="J541"/>
      <c r="L541"/>
    </row>
    <row r="542" spans="1:12" x14ac:dyDescent="0.35">
      <c r="A542"/>
      <c r="C542"/>
      <c r="E542"/>
      <c r="F542"/>
      <c r="H542"/>
      <c r="J542"/>
      <c r="L542"/>
    </row>
    <row r="543" spans="1:12" x14ac:dyDescent="0.35">
      <c r="A543"/>
      <c r="C543"/>
      <c r="E543"/>
      <c r="F543"/>
      <c r="H543"/>
      <c r="J543"/>
      <c r="L543"/>
    </row>
    <row r="544" spans="1:12" x14ac:dyDescent="0.35">
      <c r="A544"/>
      <c r="C544"/>
      <c r="E544"/>
      <c r="F544"/>
      <c r="H544"/>
      <c r="J544"/>
      <c r="L544"/>
    </row>
    <row r="545" spans="1:12" x14ac:dyDescent="0.35">
      <c r="A545"/>
      <c r="C545"/>
      <c r="E545"/>
      <c r="F545"/>
      <c r="H545"/>
      <c r="J545"/>
      <c r="L545"/>
    </row>
    <row r="546" spans="1:12" x14ac:dyDescent="0.35">
      <c r="A546"/>
      <c r="C546"/>
      <c r="E546"/>
      <c r="F546"/>
      <c r="H546"/>
      <c r="J546"/>
      <c r="L546"/>
    </row>
    <row r="547" spans="1:12" x14ac:dyDescent="0.35">
      <c r="A547"/>
      <c r="C547"/>
      <c r="E547"/>
      <c r="F547"/>
      <c r="H547"/>
      <c r="J547"/>
      <c r="L547"/>
    </row>
    <row r="548" spans="1:12" x14ac:dyDescent="0.35">
      <c r="A548"/>
      <c r="C548"/>
      <c r="E548"/>
      <c r="F548"/>
      <c r="H548"/>
      <c r="J548"/>
      <c r="L548"/>
    </row>
    <row r="549" spans="1:12" x14ac:dyDescent="0.35">
      <c r="A549"/>
      <c r="C549"/>
      <c r="E549"/>
      <c r="F549"/>
      <c r="H549"/>
      <c r="J549"/>
      <c r="L549"/>
    </row>
    <row r="550" spans="1:12" x14ac:dyDescent="0.35">
      <c r="A550"/>
      <c r="C550"/>
      <c r="E550"/>
      <c r="F550"/>
      <c r="H550"/>
      <c r="J550"/>
      <c r="L550"/>
    </row>
    <row r="551" spans="1:12" x14ac:dyDescent="0.35">
      <c r="A551"/>
      <c r="C551"/>
      <c r="E551"/>
      <c r="F551"/>
      <c r="H551"/>
      <c r="J551"/>
      <c r="L551"/>
    </row>
    <row r="552" spans="1:12" x14ac:dyDescent="0.35">
      <c r="A552"/>
      <c r="C552"/>
      <c r="E552"/>
      <c r="F552"/>
      <c r="H552"/>
      <c r="J552"/>
      <c r="L552"/>
    </row>
    <row r="553" spans="1:12" x14ac:dyDescent="0.35">
      <c r="A553"/>
      <c r="C553"/>
      <c r="E553"/>
      <c r="F553"/>
      <c r="H553"/>
      <c r="J553"/>
      <c r="L553"/>
    </row>
    <row r="554" spans="1:12" x14ac:dyDescent="0.35">
      <c r="A554"/>
      <c r="C554"/>
      <c r="E554"/>
      <c r="F554"/>
      <c r="H554"/>
      <c r="J554"/>
      <c r="L554"/>
    </row>
    <row r="555" spans="1:12" x14ac:dyDescent="0.35">
      <c r="A555"/>
      <c r="C555"/>
      <c r="E555"/>
      <c r="F555"/>
      <c r="H555"/>
      <c r="J555"/>
      <c r="L555"/>
    </row>
    <row r="556" spans="1:12" x14ac:dyDescent="0.35">
      <c r="A556"/>
      <c r="C556"/>
      <c r="E556"/>
      <c r="F556"/>
      <c r="H556"/>
      <c r="J556"/>
      <c r="L556"/>
    </row>
    <row r="557" spans="1:12" x14ac:dyDescent="0.35">
      <c r="A557"/>
      <c r="C557"/>
      <c r="E557"/>
      <c r="F557"/>
      <c r="H557"/>
      <c r="J557"/>
      <c r="L557"/>
    </row>
    <row r="558" spans="1:12" x14ac:dyDescent="0.35">
      <c r="A558"/>
      <c r="C558"/>
      <c r="E558"/>
      <c r="F558"/>
      <c r="H558"/>
      <c r="J558"/>
      <c r="L558"/>
    </row>
    <row r="559" spans="1:12" x14ac:dyDescent="0.35">
      <c r="A559"/>
      <c r="C559"/>
      <c r="E559"/>
      <c r="F559"/>
      <c r="H559"/>
      <c r="J559"/>
      <c r="L559"/>
    </row>
    <row r="560" spans="1:12" x14ac:dyDescent="0.35">
      <c r="A560"/>
      <c r="C560"/>
      <c r="E560"/>
      <c r="F560"/>
      <c r="H560"/>
      <c r="J560"/>
      <c r="L560"/>
    </row>
    <row r="561" spans="1:12" x14ac:dyDescent="0.35">
      <c r="A561"/>
      <c r="C561"/>
      <c r="E561"/>
      <c r="F561"/>
      <c r="H561"/>
      <c r="J561"/>
      <c r="L561"/>
    </row>
    <row r="562" spans="1:12" x14ac:dyDescent="0.35">
      <c r="A562"/>
      <c r="C562"/>
      <c r="E562"/>
      <c r="F562"/>
      <c r="H562"/>
      <c r="J562"/>
      <c r="L562"/>
    </row>
    <row r="563" spans="1:12" x14ac:dyDescent="0.35">
      <c r="A563"/>
      <c r="C563"/>
      <c r="E563"/>
      <c r="F563"/>
      <c r="H563"/>
      <c r="J563"/>
      <c r="L563"/>
    </row>
    <row r="564" spans="1:12" x14ac:dyDescent="0.35">
      <c r="A564"/>
      <c r="C564"/>
      <c r="E564"/>
      <c r="F564"/>
      <c r="H564"/>
      <c r="J564"/>
      <c r="L564"/>
    </row>
    <row r="565" spans="1:12" x14ac:dyDescent="0.35">
      <c r="A565"/>
      <c r="C565"/>
      <c r="E565"/>
      <c r="F565"/>
      <c r="H565"/>
      <c r="J565"/>
      <c r="L565"/>
    </row>
    <row r="566" spans="1:12" x14ac:dyDescent="0.35">
      <c r="A566"/>
      <c r="C566"/>
      <c r="E566"/>
      <c r="F566"/>
      <c r="H566"/>
      <c r="J566"/>
      <c r="L566"/>
    </row>
    <row r="567" spans="1:12" x14ac:dyDescent="0.35">
      <c r="A567"/>
      <c r="C567"/>
      <c r="E567"/>
      <c r="F567"/>
      <c r="H567"/>
      <c r="J567"/>
      <c r="L567"/>
    </row>
    <row r="568" spans="1:12" x14ac:dyDescent="0.35">
      <c r="A568"/>
      <c r="C568"/>
      <c r="E568"/>
      <c r="F568"/>
      <c r="H568"/>
      <c r="J568"/>
      <c r="L568"/>
    </row>
    <row r="569" spans="1:12" x14ac:dyDescent="0.35">
      <c r="A569"/>
      <c r="C569"/>
      <c r="E569"/>
      <c r="F569"/>
      <c r="H569"/>
      <c r="J569"/>
      <c r="L569"/>
    </row>
    <row r="570" spans="1:12" x14ac:dyDescent="0.35">
      <c r="A570"/>
      <c r="C570"/>
      <c r="E570"/>
      <c r="F570"/>
      <c r="H570"/>
      <c r="J570"/>
      <c r="L570"/>
    </row>
    <row r="571" spans="1:12" x14ac:dyDescent="0.35">
      <c r="A571"/>
      <c r="C571"/>
      <c r="E571"/>
      <c r="F571"/>
      <c r="H571"/>
      <c r="J571"/>
      <c r="L571"/>
    </row>
    <row r="572" spans="1:12" x14ac:dyDescent="0.35">
      <c r="A572"/>
      <c r="C572"/>
      <c r="E572"/>
      <c r="F572"/>
      <c r="H572"/>
      <c r="J572"/>
      <c r="L572"/>
    </row>
    <row r="573" spans="1:12" x14ac:dyDescent="0.35">
      <c r="A573"/>
      <c r="C573"/>
      <c r="E573"/>
      <c r="F573"/>
      <c r="H573"/>
      <c r="J573"/>
      <c r="L573"/>
    </row>
    <row r="574" spans="1:12" x14ac:dyDescent="0.35">
      <c r="A574"/>
      <c r="C574"/>
      <c r="E574"/>
      <c r="F574"/>
      <c r="H574"/>
      <c r="J574"/>
      <c r="L574"/>
    </row>
    <row r="575" spans="1:12" x14ac:dyDescent="0.35">
      <c r="A575"/>
      <c r="C575"/>
      <c r="E575"/>
      <c r="F575"/>
      <c r="H575"/>
      <c r="J575"/>
      <c r="L575"/>
    </row>
    <row r="576" spans="1:12" x14ac:dyDescent="0.35">
      <c r="A576"/>
      <c r="C576"/>
      <c r="E576"/>
      <c r="F576"/>
      <c r="H576"/>
      <c r="J576"/>
      <c r="L576"/>
    </row>
    <row r="577" spans="1:12" x14ac:dyDescent="0.35">
      <c r="A577"/>
      <c r="C577"/>
      <c r="E577"/>
      <c r="F577"/>
      <c r="H577"/>
      <c r="J577"/>
      <c r="L577"/>
    </row>
    <row r="578" spans="1:12" x14ac:dyDescent="0.35">
      <c r="A578"/>
      <c r="C578"/>
      <c r="E578"/>
      <c r="F578"/>
      <c r="H578"/>
      <c r="J578"/>
      <c r="L578"/>
    </row>
    <row r="579" spans="1:12" x14ac:dyDescent="0.35">
      <c r="A579"/>
      <c r="C579"/>
      <c r="E579"/>
      <c r="F579"/>
      <c r="H579"/>
      <c r="J579"/>
      <c r="L579"/>
    </row>
    <row r="580" spans="1:12" x14ac:dyDescent="0.35">
      <c r="A580"/>
      <c r="C580"/>
      <c r="E580"/>
      <c r="F580"/>
      <c r="H580"/>
      <c r="J580"/>
      <c r="L580"/>
    </row>
    <row r="581" spans="1:12" x14ac:dyDescent="0.35">
      <c r="A581"/>
      <c r="C581"/>
      <c r="E581"/>
      <c r="F581"/>
      <c r="H581"/>
      <c r="J581"/>
      <c r="L581"/>
    </row>
    <row r="582" spans="1:12" x14ac:dyDescent="0.35">
      <c r="A582"/>
      <c r="C582"/>
      <c r="E582"/>
      <c r="F582"/>
      <c r="H582"/>
      <c r="J582"/>
      <c r="L582"/>
    </row>
    <row r="583" spans="1:12" x14ac:dyDescent="0.35">
      <c r="A583"/>
      <c r="C583"/>
      <c r="E583"/>
      <c r="F583"/>
      <c r="H583"/>
      <c r="J583"/>
      <c r="L583"/>
    </row>
    <row r="584" spans="1:12" x14ac:dyDescent="0.35">
      <c r="A584"/>
      <c r="C584"/>
      <c r="E584"/>
      <c r="F584"/>
      <c r="H584"/>
      <c r="J584"/>
      <c r="L584"/>
    </row>
    <row r="585" spans="1:12" x14ac:dyDescent="0.35">
      <c r="A585"/>
      <c r="C585"/>
      <c r="E585"/>
      <c r="F585"/>
      <c r="H585"/>
      <c r="J585"/>
      <c r="L585"/>
    </row>
    <row r="586" spans="1:12" x14ac:dyDescent="0.35">
      <c r="A586"/>
      <c r="C586"/>
      <c r="E586"/>
      <c r="F586"/>
      <c r="H586"/>
      <c r="J586"/>
      <c r="L586"/>
    </row>
    <row r="587" spans="1:12" x14ac:dyDescent="0.35">
      <c r="A587"/>
      <c r="C587"/>
      <c r="E587"/>
      <c r="F587"/>
      <c r="H587"/>
      <c r="J587"/>
      <c r="L587"/>
    </row>
    <row r="588" spans="1:12" x14ac:dyDescent="0.35">
      <c r="A588"/>
      <c r="C588"/>
      <c r="E588"/>
      <c r="F588"/>
      <c r="H588"/>
      <c r="J588"/>
      <c r="L588"/>
    </row>
    <row r="589" spans="1:12" x14ac:dyDescent="0.35">
      <c r="A589"/>
      <c r="C589"/>
      <c r="E589"/>
      <c r="F589"/>
      <c r="H589"/>
      <c r="J589"/>
      <c r="L589"/>
    </row>
    <row r="590" spans="1:12" x14ac:dyDescent="0.35">
      <c r="A590"/>
      <c r="C590"/>
      <c r="E590"/>
      <c r="F590"/>
      <c r="H590"/>
      <c r="J590"/>
      <c r="L590"/>
    </row>
    <row r="591" spans="1:12" x14ac:dyDescent="0.35">
      <c r="A591"/>
      <c r="C591"/>
      <c r="E591"/>
      <c r="F591"/>
      <c r="H591"/>
      <c r="J591"/>
      <c r="L591"/>
    </row>
    <row r="592" spans="1:12" x14ac:dyDescent="0.35">
      <c r="A592"/>
      <c r="C592"/>
      <c r="E592"/>
      <c r="F592"/>
      <c r="H592"/>
      <c r="J592"/>
      <c r="L592"/>
    </row>
    <row r="593" spans="1:12" x14ac:dyDescent="0.35">
      <c r="A593"/>
      <c r="C593"/>
      <c r="E593"/>
      <c r="F593"/>
      <c r="H593"/>
      <c r="J593"/>
      <c r="L593"/>
    </row>
    <row r="594" spans="1:12" x14ac:dyDescent="0.35">
      <c r="A594"/>
      <c r="C594"/>
      <c r="E594"/>
      <c r="F594"/>
      <c r="H594"/>
      <c r="J594"/>
      <c r="L594"/>
    </row>
    <row r="595" spans="1:12" x14ac:dyDescent="0.35">
      <c r="A595"/>
      <c r="C595"/>
      <c r="E595"/>
      <c r="F595"/>
      <c r="H595"/>
      <c r="J595"/>
      <c r="L595"/>
    </row>
    <row r="596" spans="1:12" x14ac:dyDescent="0.35">
      <c r="A596"/>
      <c r="C596"/>
      <c r="E596"/>
      <c r="F596"/>
      <c r="H596"/>
      <c r="J596"/>
      <c r="L596"/>
    </row>
    <row r="597" spans="1:12" x14ac:dyDescent="0.35">
      <c r="A597"/>
      <c r="C597"/>
      <c r="E597"/>
      <c r="F597"/>
      <c r="H597"/>
      <c r="J597"/>
      <c r="L597"/>
    </row>
    <row r="598" spans="1:12" x14ac:dyDescent="0.35">
      <c r="A598"/>
      <c r="C598"/>
      <c r="E598"/>
      <c r="F598"/>
      <c r="H598"/>
      <c r="J598"/>
      <c r="L598"/>
    </row>
    <row r="599" spans="1:12" x14ac:dyDescent="0.35">
      <c r="A599"/>
      <c r="C599"/>
      <c r="E599"/>
      <c r="F599"/>
      <c r="H599"/>
      <c r="J599"/>
      <c r="L599"/>
    </row>
    <row r="600" spans="1:12" x14ac:dyDescent="0.35">
      <c r="A600"/>
      <c r="C600"/>
      <c r="E600"/>
      <c r="F600"/>
      <c r="H600"/>
      <c r="J600"/>
      <c r="L600"/>
    </row>
    <row r="601" spans="1:12" x14ac:dyDescent="0.35">
      <c r="A601"/>
      <c r="C601"/>
      <c r="E601"/>
      <c r="F601"/>
      <c r="H601"/>
      <c r="J601"/>
      <c r="L601"/>
    </row>
    <row r="602" spans="1:12" x14ac:dyDescent="0.35">
      <c r="A602"/>
      <c r="C602"/>
      <c r="E602"/>
      <c r="F602"/>
      <c r="H602"/>
      <c r="J602"/>
      <c r="L602"/>
    </row>
    <row r="603" spans="1:12" x14ac:dyDescent="0.35">
      <c r="A603"/>
      <c r="C603"/>
      <c r="E603"/>
      <c r="F603"/>
      <c r="H603"/>
      <c r="J603"/>
      <c r="L603"/>
    </row>
    <row r="604" spans="1:12" x14ac:dyDescent="0.35">
      <c r="A604"/>
      <c r="C604"/>
      <c r="E604"/>
      <c r="F604"/>
      <c r="H604"/>
      <c r="J604"/>
      <c r="L604"/>
    </row>
    <row r="605" spans="1:12" x14ac:dyDescent="0.35">
      <c r="A605"/>
      <c r="C605"/>
      <c r="E605"/>
      <c r="F605"/>
      <c r="H605"/>
      <c r="J605"/>
      <c r="L605"/>
    </row>
    <row r="606" spans="1:12" x14ac:dyDescent="0.35">
      <c r="A606"/>
      <c r="C606"/>
      <c r="E606"/>
      <c r="F606"/>
      <c r="H606"/>
      <c r="J606"/>
      <c r="L606"/>
    </row>
    <row r="607" spans="1:12" x14ac:dyDescent="0.35">
      <c r="A607"/>
      <c r="C607"/>
      <c r="E607"/>
      <c r="F607"/>
      <c r="H607"/>
      <c r="J607"/>
      <c r="L607"/>
    </row>
    <row r="608" spans="1:12" x14ac:dyDescent="0.35">
      <c r="A608"/>
      <c r="C608"/>
      <c r="E608"/>
      <c r="F608"/>
      <c r="H608"/>
      <c r="J608"/>
      <c r="L608"/>
    </row>
    <row r="609" spans="1:12" x14ac:dyDescent="0.35">
      <c r="A609"/>
      <c r="C609"/>
      <c r="E609"/>
      <c r="F609"/>
      <c r="H609"/>
      <c r="J609"/>
      <c r="L609"/>
    </row>
    <row r="610" spans="1:12" x14ac:dyDescent="0.35">
      <c r="A610"/>
      <c r="C610"/>
      <c r="E610"/>
      <c r="F610"/>
      <c r="H610"/>
      <c r="J610"/>
      <c r="L610"/>
    </row>
    <row r="611" spans="1:12" x14ac:dyDescent="0.35">
      <c r="A611"/>
      <c r="C611"/>
      <c r="E611"/>
      <c r="F611"/>
      <c r="H611"/>
      <c r="J611"/>
      <c r="L611"/>
    </row>
    <row r="612" spans="1:12" x14ac:dyDescent="0.35">
      <c r="A612"/>
      <c r="C612"/>
      <c r="E612"/>
      <c r="F612"/>
      <c r="H612"/>
      <c r="J612"/>
      <c r="L612"/>
    </row>
    <row r="613" spans="1:12" x14ac:dyDescent="0.35">
      <c r="A613"/>
      <c r="C613"/>
      <c r="E613"/>
      <c r="F613"/>
      <c r="H613"/>
      <c r="J613"/>
      <c r="L613"/>
    </row>
    <row r="614" spans="1:12" x14ac:dyDescent="0.35">
      <c r="A614"/>
      <c r="C614"/>
      <c r="E614"/>
      <c r="F614"/>
      <c r="H614"/>
      <c r="J614"/>
      <c r="L614"/>
    </row>
    <row r="615" spans="1:12" x14ac:dyDescent="0.35">
      <c r="A615"/>
      <c r="C615"/>
      <c r="E615"/>
      <c r="F615"/>
      <c r="H615"/>
      <c r="J615"/>
      <c r="L615"/>
    </row>
    <row r="616" spans="1:12" x14ac:dyDescent="0.35">
      <c r="A616"/>
      <c r="C616"/>
      <c r="E616"/>
      <c r="F616"/>
      <c r="H616"/>
      <c r="J616"/>
      <c r="L616"/>
    </row>
    <row r="617" spans="1:12" x14ac:dyDescent="0.35">
      <c r="A617"/>
      <c r="C617"/>
      <c r="E617"/>
      <c r="F617"/>
      <c r="H617"/>
      <c r="J617"/>
      <c r="L617"/>
    </row>
    <row r="618" spans="1:12" x14ac:dyDescent="0.35">
      <c r="A618"/>
      <c r="C618"/>
      <c r="E618"/>
      <c r="F618"/>
      <c r="H618"/>
      <c r="J618"/>
      <c r="L618"/>
    </row>
    <row r="619" spans="1:12" x14ac:dyDescent="0.35">
      <c r="A619"/>
      <c r="C619"/>
      <c r="E619"/>
      <c r="F619"/>
      <c r="H619"/>
      <c r="J619"/>
      <c r="L619"/>
    </row>
    <row r="620" spans="1:12" x14ac:dyDescent="0.35">
      <c r="A620"/>
      <c r="C620"/>
      <c r="E620"/>
      <c r="F620"/>
      <c r="H620"/>
      <c r="J620"/>
      <c r="L620"/>
    </row>
    <row r="621" spans="1:12" x14ac:dyDescent="0.35">
      <c r="A621"/>
      <c r="C621"/>
      <c r="E621"/>
      <c r="F621"/>
      <c r="H621"/>
      <c r="J621"/>
      <c r="L621"/>
    </row>
    <row r="622" spans="1:12" x14ac:dyDescent="0.35">
      <c r="A622"/>
      <c r="C622"/>
      <c r="E622"/>
      <c r="F622"/>
      <c r="H622"/>
      <c r="J622"/>
      <c r="L622"/>
    </row>
    <row r="623" spans="1:12" x14ac:dyDescent="0.35">
      <c r="A623"/>
      <c r="C623"/>
      <c r="E623"/>
      <c r="F623"/>
      <c r="H623"/>
      <c r="J623"/>
      <c r="L623"/>
    </row>
    <row r="624" spans="1:12" x14ac:dyDescent="0.35">
      <c r="A624"/>
      <c r="C624"/>
      <c r="E624"/>
      <c r="F624"/>
      <c r="H624"/>
      <c r="J624"/>
      <c r="L624"/>
    </row>
    <row r="625" spans="1:12" x14ac:dyDescent="0.35">
      <c r="A625"/>
      <c r="C625"/>
      <c r="E625"/>
      <c r="F625"/>
      <c r="H625"/>
      <c r="J625"/>
      <c r="L625"/>
    </row>
    <row r="626" spans="1:12" x14ac:dyDescent="0.35">
      <c r="A626"/>
      <c r="C626"/>
      <c r="E626"/>
      <c r="F626"/>
      <c r="H626"/>
      <c r="J626"/>
      <c r="L626"/>
    </row>
    <row r="627" spans="1:12" x14ac:dyDescent="0.35">
      <c r="A627"/>
      <c r="C627"/>
      <c r="E627"/>
      <c r="F627"/>
      <c r="H627"/>
      <c r="J627"/>
      <c r="L627"/>
    </row>
    <row r="628" spans="1:12" x14ac:dyDescent="0.35">
      <c r="A628"/>
      <c r="C628"/>
      <c r="E628"/>
      <c r="F628"/>
      <c r="H628"/>
      <c r="J628"/>
      <c r="L628"/>
    </row>
    <row r="629" spans="1:12" x14ac:dyDescent="0.35">
      <c r="A629"/>
      <c r="C629"/>
      <c r="E629"/>
      <c r="F629"/>
      <c r="H629"/>
      <c r="J629"/>
      <c r="L629"/>
    </row>
    <row r="630" spans="1:12" x14ac:dyDescent="0.35">
      <c r="A630"/>
      <c r="C630"/>
      <c r="E630"/>
      <c r="F630"/>
      <c r="H630"/>
      <c r="J630"/>
      <c r="L630"/>
    </row>
    <row r="631" spans="1:12" x14ac:dyDescent="0.35">
      <c r="A631"/>
      <c r="C631"/>
      <c r="E631"/>
      <c r="F631"/>
      <c r="H631"/>
      <c r="J631"/>
      <c r="L631"/>
    </row>
    <row r="632" spans="1:12" x14ac:dyDescent="0.35">
      <c r="A632"/>
      <c r="C632"/>
      <c r="E632"/>
      <c r="F632"/>
      <c r="H632"/>
      <c r="J632"/>
      <c r="L632"/>
    </row>
    <row r="633" spans="1:12" x14ac:dyDescent="0.35">
      <c r="A633"/>
      <c r="C633"/>
      <c r="E633"/>
      <c r="F633"/>
      <c r="H633"/>
      <c r="J633"/>
      <c r="L633"/>
    </row>
    <row r="634" spans="1:12" x14ac:dyDescent="0.35">
      <c r="A634"/>
      <c r="C634"/>
      <c r="E634"/>
      <c r="F634"/>
      <c r="H634"/>
      <c r="J634"/>
      <c r="L634"/>
    </row>
    <row r="635" spans="1:12" x14ac:dyDescent="0.35">
      <c r="A635"/>
      <c r="C635"/>
      <c r="E635"/>
      <c r="F635"/>
      <c r="H635"/>
      <c r="J635"/>
      <c r="L635"/>
    </row>
    <row r="636" spans="1:12" x14ac:dyDescent="0.35">
      <c r="A636"/>
      <c r="C636"/>
      <c r="E636"/>
      <c r="F636"/>
      <c r="H636"/>
      <c r="J636"/>
      <c r="L636"/>
    </row>
    <row r="637" spans="1:12" x14ac:dyDescent="0.35">
      <c r="A637"/>
      <c r="C637"/>
      <c r="E637"/>
      <c r="F637"/>
      <c r="H637"/>
      <c r="J637"/>
      <c r="L637"/>
    </row>
    <row r="638" spans="1:12" x14ac:dyDescent="0.35">
      <c r="A638"/>
      <c r="C638"/>
      <c r="E638"/>
      <c r="F638"/>
      <c r="H638"/>
      <c r="J638"/>
      <c r="L638"/>
    </row>
    <row r="639" spans="1:12" x14ac:dyDescent="0.35">
      <c r="A639"/>
      <c r="C639"/>
      <c r="E639"/>
      <c r="F639"/>
      <c r="H639"/>
      <c r="J639"/>
      <c r="L639"/>
    </row>
    <row r="640" spans="1:12" x14ac:dyDescent="0.35">
      <c r="A640"/>
      <c r="C640"/>
      <c r="E640"/>
      <c r="F640"/>
      <c r="H640"/>
      <c r="J640"/>
      <c r="L640"/>
    </row>
    <row r="641" spans="1:12" x14ac:dyDescent="0.35">
      <c r="A641"/>
      <c r="C641"/>
      <c r="E641"/>
      <c r="F641"/>
      <c r="H641"/>
      <c r="J641"/>
      <c r="L641"/>
    </row>
    <row r="642" spans="1:12" x14ac:dyDescent="0.35">
      <c r="A642"/>
      <c r="C642"/>
      <c r="E642"/>
      <c r="F642"/>
      <c r="H642"/>
      <c r="J642"/>
      <c r="L642"/>
    </row>
    <row r="643" spans="1:12" x14ac:dyDescent="0.35">
      <c r="A643"/>
      <c r="C643"/>
      <c r="E643"/>
      <c r="F643"/>
      <c r="H643"/>
      <c r="J643"/>
      <c r="L643"/>
    </row>
    <row r="644" spans="1:12" x14ac:dyDescent="0.35">
      <c r="A644"/>
      <c r="C644"/>
      <c r="E644"/>
      <c r="F644"/>
      <c r="H644"/>
      <c r="J644"/>
      <c r="L644"/>
    </row>
    <row r="645" spans="1:12" x14ac:dyDescent="0.35">
      <c r="A645"/>
      <c r="C645"/>
      <c r="E645"/>
      <c r="F645"/>
      <c r="H645"/>
      <c r="J645"/>
      <c r="L645"/>
    </row>
    <row r="646" spans="1:12" x14ac:dyDescent="0.35">
      <c r="A646"/>
      <c r="C646"/>
      <c r="E646"/>
      <c r="F646"/>
      <c r="H646"/>
      <c r="J646"/>
      <c r="L646"/>
    </row>
    <row r="647" spans="1:12" x14ac:dyDescent="0.35">
      <c r="A647"/>
      <c r="C647"/>
      <c r="E647"/>
      <c r="F647"/>
      <c r="H647"/>
      <c r="J647"/>
      <c r="L647"/>
    </row>
    <row r="648" spans="1:12" x14ac:dyDescent="0.35">
      <c r="A648"/>
      <c r="C648"/>
      <c r="E648"/>
      <c r="F648"/>
      <c r="H648"/>
      <c r="J648"/>
      <c r="L648"/>
    </row>
    <row r="649" spans="1:12" x14ac:dyDescent="0.35">
      <c r="A649"/>
      <c r="C649"/>
      <c r="E649"/>
      <c r="F649"/>
      <c r="H649"/>
      <c r="J649"/>
      <c r="L649"/>
    </row>
    <row r="650" spans="1:12" x14ac:dyDescent="0.35">
      <c r="A650"/>
      <c r="C650"/>
      <c r="E650"/>
      <c r="F650"/>
      <c r="H650"/>
      <c r="J650"/>
      <c r="L650"/>
    </row>
    <row r="651" spans="1:12" x14ac:dyDescent="0.35">
      <c r="A651"/>
      <c r="C651"/>
      <c r="E651"/>
      <c r="F651"/>
      <c r="H651"/>
      <c r="J651"/>
      <c r="L651"/>
    </row>
    <row r="652" spans="1:12" x14ac:dyDescent="0.35">
      <c r="A652"/>
      <c r="C652"/>
      <c r="E652"/>
      <c r="F652"/>
      <c r="H652"/>
      <c r="J652"/>
      <c r="L652"/>
    </row>
    <row r="653" spans="1:12" x14ac:dyDescent="0.35">
      <c r="A653"/>
      <c r="C653"/>
      <c r="E653"/>
      <c r="F653"/>
      <c r="H653"/>
      <c r="J653"/>
      <c r="L653"/>
    </row>
    <row r="654" spans="1:12" x14ac:dyDescent="0.35">
      <c r="A654"/>
      <c r="C654"/>
      <c r="E654"/>
      <c r="F654"/>
      <c r="H654"/>
      <c r="J654"/>
      <c r="L654"/>
    </row>
    <row r="655" spans="1:12" x14ac:dyDescent="0.35">
      <c r="A655"/>
      <c r="C655"/>
      <c r="E655"/>
      <c r="F655"/>
      <c r="H655"/>
      <c r="J655"/>
      <c r="L655"/>
    </row>
    <row r="656" spans="1:12" x14ac:dyDescent="0.35">
      <c r="A656"/>
      <c r="C656"/>
      <c r="E656"/>
      <c r="F656"/>
      <c r="H656"/>
      <c r="J656"/>
      <c r="L656"/>
    </row>
    <row r="657" spans="1:12" x14ac:dyDescent="0.35">
      <c r="A657"/>
      <c r="C657"/>
      <c r="E657"/>
      <c r="F657"/>
      <c r="H657"/>
      <c r="J657"/>
      <c r="L657"/>
    </row>
    <row r="658" spans="1:12" x14ac:dyDescent="0.35">
      <c r="A658"/>
      <c r="C658"/>
      <c r="E658"/>
      <c r="F658"/>
      <c r="H658"/>
      <c r="J658"/>
      <c r="L658"/>
    </row>
    <row r="659" spans="1:12" x14ac:dyDescent="0.35">
      <c r="A659"/>
      <c r="C659"/>
      <c r="E659"/>
      <c r="F659"/>
      <c r="H659"/>
      <c r="J659"/>
      <c r="L659"/>
    </row>
    <row r="660" spans="1:12" x14ac:dyDescent="0.35">
      <c r="A660"/>
      <c r="C660"/>
      <c r="E660"/>
      <c r="F660"/>
      <c r="H660"/>
      <c r="J660"/>
      <c r="L660"/>
    </row>
    <row r="661" spans="1:12" x14ac:dyDescent="0.35">
      <c r="A661"/>
      <c r="C661"/>
      <c r="E661"/>
      <c r="F661"/>
      <c r="H661"/>
      <c r="J661"/>
      <c r="L661"/>
    </row>
    <row r="662" spans="1:12" x14ac:dyDescent="0.35">
      <c r="A662"/>
      <c r="C662"/>
      <c r="E662"/>
      <c r="F662"/>
      <c r="H662"/>
      <c r="J662"/>
      <c r="L662"/>
    </row>
    <row r="663" spans="1:12" x14ac:dyDescent="0.35">
      <c r="A663"/>
      <c r="C663"/>
      <c r="E663"/>
      <c r="F663"/>
      <c r="H663"/>
      <c r="J663"/>
      <c r="L663"/>
    </row>
    <row r="664" spans="1:12" x14ac:dyDescent="0.35">
      <c r="A664"/>
      <c r="C664"/>
      <c r="E664"/>
      <c r="F664"/>
      <c r="H664"/>
      <c r="J664"/>
      <c r="L664"/>
    </row>
    <row r="665" spans="1:12" x14ac:dyDescent="0.35">
      <c r="A665"/>
      <c r="C665"/>
      <c r="E665"/>
      <c r="F665"/>
      <c r="H665"/>
      <c r="J665"/>
      <c r="L665"/>
    </row>
    <row r="666" spans="1:12" x14ac:dyDescent="0.35">
      <c r="A666"/>
      <c r="C666"/>
      <c r="E666"/>
      <c r="F666"/>
      <c r="H666"/>
      <c r="J666"/>
      <c r="L666"/>
    </row>
    <row r="667" spans="1:12" x14ac:dyDescent="0.35">
      <c r="A667"/>
      <c r="C667"/>
      <c r="E667"/>
      <c r="F667"/>
      <c r="H667"/>
      <c r="J667"/>
      <c r="L667"/>
    </row>
    <row r="668" spans="1:12" x14ac:dyDescent="0.35">
      <c r="A668"/>
      <c r="C668"/>
      <c r="E668"/>
      <c r="F668"/>
      <c r="H668"/>
      <c r="J668"/>
      <c r="L668"/>
    </row>
    <row r="669" spans="1:12" x14ac:dyDescent="0.35">
      <c r="A669"/>
      <c r="C669"/>
      <c r="E669"/>
      <c r="F669"/>
      <c r="H669"/>
      <c r="J669"/>
      <c r="L669"/>
    </row>
    <row r="670" spans="1:12" x14ac:dyDescent="0.35">
      <c r="A670"/>
      <c r="C670"/>
      <c r="E670"/>
      <c r="F670"/>
      <c r="H670"/>
      <c r="J670"/>
      <c r="L670"/>
    </row>
    <row r="671" spans="1:12" x14ac:dyDescent="0.35">
      <c r="A671"/>
      <c r="C671"/>
      <c r="E671"/>
      <c r="F671"/>
      <c r="H671"/>
      <c r="J671"/>
      <c r="L671"/>
    </row>
    <row r="672" spans="1:12" x14ac:dyDescent="0.35">
      <c r="A672"/>
      <c r="C672"/>
      <c r="E672"/>
      <c r="F672"/>
      <c r="H672"/>
      <c r="J672"/>
      <c r="L672"/>
    </row>
    <row r="673" spans="1:12" x14ac:dyDescent="0.35">
      <c r="A673"/>
      <c r="C673"/>
      <c r="E673"/>
      <c r="F673"/>
      <c r="H673"/>
      <c r="J673"/>
      <c r="L673"/>
    </row>
    <row r="674" spans="1:12" x14ac:dyDescent="0.35">
      <c r="A674"/>
      <c r="C674"/>
      <c r="E674"/>
      <c r="F674"/>
      <c r="H674"/>
      <c r="J674"/>
      <c r="L674"/>
    </row>
    <row r="675" spans="1:12" x14ac:dyDescent="0.35">
      <c r="A675"/>
      <c r="C675"/>
      <c r="E675"/>
      <c r="F675"/>
      <c r="H675"/>
      <c r="J675"/>
      <c r="L675"/>
    </row>
    <row r="676" spans="1:12" x14ac:dyDescent="0.35">
      <c r="A676"/>
      <c r="C676"/>
      <c r="E676"/>
      <c r="F676"/>
      <c r="H676"/>
      <c r="J676"/>
      <c r="L676"/>
    </row>
    <row r="677" spans="1:12" x14ac:dyDescent="0.35">
      <c r="A677"/>
      <c r="C677"/>
      <c r="E677"/>
      <c r="F677"/>
      <c r="H677"/>
      <c r="J677"/>
      <c r="L677"/>
    </row>
    <row r="678" spans="1:12" x14ac:dyDescent="0.35">
      <c r="A678"/>
      <c r="C678"/>
      <c r="E678"/>
      <c r="F678"/>
      <c r="H678"/>
      <c r="J678"/>
      <c r="L678"/>
    </row>
    <row r="679" spans="1:12" x14ac:dyDescent="0.35">
      <c r="A679"/>
      <c r="C679"/>
      <c r="E679"/>
      <c r="F679"/>
      <c r="H679"/>
      <c r="J679"/>
      <c r="L679"/>
    </row>
    <row r="680" spans="1:12" x14ac:dyDescent="0.35">
      <c r="A680"/>
      <c r="C680"/>
      <c r="E680"/>
      <c r="F680"/>
      <c r="H680"/>
      <c r="J680"/>
      <c r="L680"/>
    </row>
    <row r="681" spans="1:12" x14ac:dyDescent="0.35">
      <c r="A681"/>
      <c r="C681"/>
      <c r="E681"/>
      <c r="F681"/>
      <c r="H681"/>
      <c r="J681"/>
      <c r="L681"/>
    </row>
    <row r="682" spans="1:12" x14ac:dyDescent="0.35">
      <c r="A682"/>
      <c r="C682"/>
      <c r="E682"/>
      <c r="F682"/>
      <c r="H682"/>
      <c r="J682"/>
      <c r="L682"/>
    </row>
    <row r="683" spans="1:12" x14ac:dyDescent="0.35">
      <c r="A683"/>
      <c r="C683"/>
      <c r="E683"/>
      <c r="F683"/>
      <c r="H683"/>
      <c r="J683"/>
      <c r="L683"/>
    </row>
    <row r="684" spans="1:12" x14ac:dyDescent="0.35">
      <c r="A684"/>
      <c r="C684"/>
      <c r="E684"/>
      <c r="F684"/>
      <c r="H684"/>
      <c r="J684"/>
      <c r="L684"/>
    </row>
    <row r="685" spans="1:12" x14ac:dyDescent="0.35">
      <c r="A685"/>
      <c r="C685"/>
      <c r="E685"/>
      <c r="F685"/>
      <c r="H685"/>
      <c r="J685"/>
      <c r="L685"/>
    </row>
    <row r="686" spans="1:12" x14ac:dyDescent="0.35">
      <c r="A686"/>
      <c r="C686"/>
      <c r="E686"/>
      <c r="F686"/>
      <c r="H686"/>
      <c r="J686"/>
      <c r="L686"/>
    </row>
    <row r="687" spans="1:12" x14ac:dyDescent="0.35">
      <c r="A687"/>
      <c r="C687"/>
      <c r="E687"/>
      <c r="F687"/>
      <c r="H687"/>
      <c r="J687"/>
      <c r="L687"/>
    </row>
    <row r="688" spans="1:12" x14ac:dyDescent="0.35">
      <c r="A688"/>
      <c r="C688"/>
      <c r="E688"/>
      <c r="F688"/>
      <c r="H688"/>
      <c r="J688"/>
      <c r="L688"/>
    </row>
    <row r="689" spans="1:12" x14ac:dyDescent="0.35">
      <c r="A689"/>
      <c r="C689"/>
      <c r="E689"/>
      <c r="F689"/>
      <c r="H689"/>
      <c r="J689"/>
      <c r="L689"/>
    </row>
    <row r="690" spans="1:12" x14ac:dyDescent="0.35">
      <c r="A690"/>
      <c r="C690"/>
      <c r="E690"/>
      <c r="F690"/>
      <c r="H690"/>
      <c r="J690"/>
      <c r="L690"/>
    </row>
    <row r="691" spans="1:12" x14ac:dyDescent="0.35">
      <c r="A691"/>
      <c r="C691"/>
      <c r="E691"/>
      <c r="F691"/>
      <c r="H691"/>
      <c r="J691"/>
      <c r="L691"/>
    </row>
    <row r="692" spans="1:12" x14ac:dyDescent="0.35">
      <c r="A692"/>
      <c r="C692"/>
      <c r="E692"/>
      <c r="F692"/>
      <c r="H692"/>
      <c r="J692"/>
      <c r="L692"/>
    </row>
    <row r="693" spans="1:12" x14ac:dyDescent="0.35">
      <c r="A693"/>
      <c r="C693"/>
      <c r="E693"/>
      <c r="F693"/>
      <c r="H693"/>
      <c r="J693"/>
      <c r="L693"/>
    </row>
    <row r="694" spans="1:12" x14ac:dyDescent="0.35">
      <c r="A694"/>
      <c r="C694"/>
      <c r="E694"/>
      <c r="F694"/>
      <c r="H694"/>
      <c r="J694"/>
      <c r="L694"/>
    </row>
    <row r="695" spans="1:12" x14ac:dyDescent="0.35">
      <c r="A695"/>
      <c r="C695"/>
      <c r="E695"/>
      <c r="F695"/>
      <c r="H695"/>
      <c r="J695"/>
      <c r="L695"/>
    </row>
    <row r="696" spans="1:12" x14ac:dyDescent="0.35">
      <c r="A696"/>
      <c r="C696"/>
      <c r="E696"/>
      <c r="F696"/>
      <c r="H696"/>
      <c r="J696"/>
      <c r="L696"/>
    </row>
    <row r="697" spans="1:12" x14ac:dyDescent="0.35">
      <c r="A697"/>
      <c r="C697"/>
      <c r="E697"/>
      <c r="F697"/>
      <c r="H697"/>
      <c r="J697"/>
      <c r="L697"/>
    </row>
    <row r="698" spans="1:12" x14ac:dyDescent="0.35">
      <c r="A698"/>
      <c r="C698"/>
      <c r="E698"/>
      <c r="F698"/>
      <c r="H698"/>
      <c r="J698"/>
      <c r="L698"/>
    </row>
    <row r="699" spans="1:12" x14ac:dyDescent="0.35">
      <c r="A699"/>
      <c r="C699"/>
      <c r="E699"/>
      <c r="F699"/>
      <c r="H699"/>
      <c r="J699"/>
      <c r="L699"/>
    </row>
    <row r="700" spans="1:12" x14ac:dyDescent="0.35">
      <c r="A700"/>
      <c r="C700"/>
      <c r="E700"/>
      <c r="F700"/>
      <c r="H700"/>
      <c r="J700"/>
      <c r="L700"/>
    </row>
    <row r="701" spans="1:12" x14ac:dyDescent="0.35">
      <c r="A701"/>
      <c r="C701"/>
      <c r="E701"/>
      <c r="F701"/>
      <c r="H701"/>
      <c r="J701"/>
      <c r="L701"/>
    </row>
    <row r="702" spans="1:12" x14ac:dyDescent="0.35">
      <c r="A702"/>
      <c r="C702"/>
      <c r="E702"/>
      <c r="F702"/>
      <c r="H702"/>
      <c r="J702"/>
      <c r="L702"/>
    </row>
    <row r="703" spans="1:12" x14ac:dyDescent="0.35">
      <c r="A703"/>
      <c r="C703"/>
      <c r="E703"/>
      <c r="F703"/>
      <c r="H703"/>
      <c r="J703"/>
      <c r="L703"/>
    </row>
    <row r="704" spans="1:12" x14ac:dyDescent="0.35">
      <c r="A704"/>
      <c r="C704"/>
      <c r="E704"/>
      <c r="F704"/>
      <c r="H704"/>
      <c r="J704"/>
      <c r="L704"/>
    </row>
    <row r="705" spans="1:12" x14ac:dyDescent="0.35">
      <c r="A705"/>
      <c r="C705"/>
      <c r="E705"/>
      <c r="F705"/>
      <c r="H705"/>
      <c r="J705"/>
      <c r="L705"/>
    </row>
    <row r="706" spans="1:12" x14ac:dyDescent="0.35">
      <c r="A706"/>
      <c r="C706"/>
      <c r="E706"/>
      <c r="F706"/>
      <c r="H706"/>
      <c r="J706"/>
      <c r="L706"/>
    </row>
    <row r="707" spans="1:12" x14ac:dyDescent="0.35">
      <c r="A707"/>
      <c r="C707"/>
      <c r="E707"/>
      <c r="F707"/>
      <c r="H707"/>
      <c r="J707"/>
      <c r="L707"/>
    </row>
    <row r="708" spans="1:12" x14ac:dyDescent="0.35">
      <c r="A708"/>
      <c r="C708"/>
      <c r="E708"/>
      <c r="F708"/>
      <c r="H708"/>
      <c r="J708"/>
      <c r="L708"/>
    </row>
    <row r="709" spans="1:12" x14ac:dyDescent="0.35">
      <c r="A709"/>
      <c r="C709"/>
      <c r="E709"/>
      <c r="F709"/>
      <c r="H709"/>
      <c r="J709"/>
      <c r="L709"/>
    </row>
    <row r="710" spans="1:12" x14ac:dyDescent="0.35">
      <c r="A710"/>
      <c r="C710"/>
      <c r="E710"/>
      <c r="F710"/>
      <c r="H710"/>
      <c r="J710"/>
      <c r="L710"/>
    </row>
    <row r="711" spans="1:12" x14ac:dyDescent="0.35">
      <c r="A711"/>
      <c r="C711"/>
      <c r="E711"/>
      <c r="F711"/>
      <c r="H711"/>
      <c r="J711"/>
      <c r="L711"/>
    </row>
    <row r="712" spans="1:12" x14ac:dyDescent="0.35">
      <c r="A712"/>
      <c r="C712"/>
      <c r="E712"/>
      <c r="F712"/>
      <c r="H712"/>
      <c r="J712"/>
      <c r="L712"/>
    </row>
    <row r="713" spans="1:12" x14ac:dyDescent="0.35">
      <c r="A713"/>
      <c r="C713"/>
      <c r="E713"/>
      <c r="F713"/>
      <c r="H713"/>
      <c r="J713"/>
      <c r="L713"/>
    </row>
    <row r="714" spans="1:12" x14ac:dyDescent="0.35">
      <c r="A714"/>
      <c r="C714"/>
      <c r="E714"/>
      <c r="F714"/>
      <c r="H714"/>
      <c r="J714"/>
      <c r="L714"/>
    </row>
    <row r="715" spans="1:12" x14ac:dyDescent="0.35">
      <c r="A715"/>
      <c r="C715"/>
      <c r="E715"/>
      <c r="F715"/>
      <c r="H715"/>
      <c r="J715"/>
      <c r="L715"/>
    </row>
    <row r="716" spans="1:12" x14ac:dyDescent="0.35">
      <c r="A716"/>
      <c r="C716"/>
      <c r="E716"/>
      <c r="F716"/>
      <c r="H716"/>
      <c r="J716"/>
      <c r="L716"/>
    </row>
    <row r="717" spans="1:12" x14ac:dyDescent="0.35">
      <c r="A717"/>
      <c r="C717"/>
      <c r="E717"/>
      <c r="F717"/>
      <c r="H717"/>
      <c r="J717"/>
      <c r="L717"/>
    </row>
    <row r="718" spans="1:12" x14ac:dyDescent="0.35">
      <c r="A718"/>
      <c r="C718"/>
      <c r="E718"/>
      <c r="F718"/>
      <c r="H718"/>
      <c r="J718"/>
      <c r="L718"/>
    </row>
    <row r="719" spans="1:12" x14ac:dyDescent="0.35">
      <c r="A719"/>
      <c r="C719"/>
      <c r="E719"/>
      <c r="F719"/>
      <c r="H719"/>
      <c r="J719"/>
      <c r="L719"/>
    </row>
    <row r="720" spans="1:12" x14ac:dyDescent="0.35">
      <c r="A720"/>
      <c r="C720"/>
      <c r="E720"/>
      <c r="F720"/>
      <c r="H720"/>
      <c r="J720"/>
      <c r="L720"/>
    </row>
    <row r="721" spans="1:12" x14ac:dyDescent="0.35">
      <c r="A721"/>
      <c r="C721"/>
      <c r="E721"/>
      <c r="F721"/>
      <c r="H721"/>
      <c r="J721"/>
      <c r="L721"/>
    </row>
    <row r="722" spans="1:12" x14ac:dyDescent="0.35">
      <c r="A722"/>
      <c r="C722"/>
      <c r="E722"/>
      <c r="F722"/>
      <c r="H722"/>
      <c r="J722"/>
      <c r="L722"/>
    </row>
    <row r="723" spans="1:12" x14ac:dyDescent="0.35">
      <c r="A723"/>
      <c r="C723"/>
      <c r="E723"/>
      <c r="F723"/>
      <c r="H723"/>
      <c r="J723"/>
      <c r="L723"/>
    </row>
    <row r="724" spans="1:12" x14ac:dyDescent="0.35">
      <c r="A724"/>
      <c r="C724"/>
      <c r="E724"/>
      <c r="F724"/>
      <c r="H724"/>
      <c r="J724"/>
      <c r="L724"/>
    </row>
    <row r="725" spans="1:12" x14ac:dyDescent="0.35">
      <c r="A725"/>
      <c r="C725"/>
      <c r="E725"/>
      <c r="F725"/>
      <c r="H725"/>
      <c r="J725"/>
      <c r="L725"/>
    </row>
    <row r="726" spans="1:12" x14ac:dyDescent="0.35">
      <c r="A726"/>
      <c r="C726"/>
      <c r="E726"/>
      <c r="F726"/>
      <c r="H726"/>
      <c r="J726"/>
      <c r="L726"/>
    </row>
    <row r="727" spans="1:12" x14ac:dyDescent="0.35">
      <c r="A727"/>
      <c r="C727"/>
      <c r="E727"/>
      <c r="F727"/>
      <c r="H727"/>
      <c r="J727"/>
      <c r="L727"/>
    </row>
    <row r="728" spans="1:12" x14ac:dyDescent="0.35">
      <c r="A728"/>
      <c r="C728"/>
      <c r="E728"/>
      <c r="F728"/>
      <c r="H728"/>
      <c r="J728"/>
      <c r="L728"/>
    </row>
    <row r="729" spans="1:12" x14ac:dyDescent="0.35">
      <c r="A729"/>
      <c r="C729"/>
      <c r="E729"/>
      <c r="F729"/>
      <c r="H729"/>
      <c r="J729"/>
      <c r="L729"/>
    </row>
    <row r="730" spans="1:12" x14ac:dyDescent="0.35">
      <c r="A730"/>
      <c r="C730"/>
      <c r="E730"/>
      <c r="F730"/>
      <c r="H730"/>
      <c r="J730"/>
      <c r="L730"/>
    </row>
    <row r="731" spans="1:12" x14ac:dyDescent="0.35">
      <c r="A731"/>
      <c r="C731"/>
      <c r="E731"/>
      <c r="F731"/>
      <c r="H731"/>
      <c r="J731"/>
      <c r="L731"/>
    </row>
    <row r="732" spans="1:12" x14ac:dyDescent="0.35">
      <c r="A732"/>
      <c r="C732"/>
      <c r="E732"/>
      <c r="F732"/>
      <c r="H732"/>
      <c r="J732"/>
      <c r="L732"/>
    </row>
    <row r="733" spans="1:12" x14ac:dyDescent="0.35">
      <c r="A733"/>
      <c r="C733"/>
      <c r="E733"/>
      <c r="F733"/>
      <c r="H733"/>
      <c r="J733"/>
      <c r="L733"/>
    </row>
    <row r="734" spans="1:12" x14ac:dyDescent="0.35">
      <c r="A734"/>
      <c r="C734"/>
      <c r="E734"/>
      <c r="F734"/>
      <c r="H734"/>
      <c r="J734"/>
      <c r="L734"/>
    </row>
    <row r="735" spans="1:12" x14ac:dyDescent="0.35">
      <c r="A735"/>
      <c r="C735"/>
      <c r="E735"/>
      <c r="F735"/>
      <c r="H735"/>
      <c r="J735"/>
      <c r="L735"/>
    </row>
    <row r="736" spans="1:12" x14ac:dyDescent="0.35">
      <c r="A736"/>
      <c r="C736"/>
      <c r="E736"/>
      <c r="F736"/>
      <c r="H736"/>
      <c r="J736"/>
      <c r="L736"/>
    </row>
    <row r="737" spans="1:12" x14ac:dyDescent="0.35">
      <c r="A737"/>
      <c r="C737"/>
      <c r="E737"/>
      <c r="F737"/>
      <c r="H737"/>
      <c r="J737"/>
      <c r="L737"/>
    </row>
    <row r="738" spans="1:12" x14ac:dyDescent="0.35">
      <c r="A738"/>
      <c r="C738"/>
      <c r="E738"/>
      <c r="F738"/>
      <c r="H738"/>
      <c r="J738"/>
      <c r="L738"/>
    </row>
    <row r="739" spans="1:12" x14ac:dyDescent="0.35">
      <c r="A739"/>
      <c r="C739"/>
      <c r="E739"/>
      <c r="F739"/>
      <c r="H739"/>
      <c r="J739"/>
      <c r="L739"/>
    </row>
    <row r="740" spans="1:12" x14ac:dyDescent="0.35">
      <c r="A740"/>
      <c r="C740"/>
      <c r="E740"/>
      <c r="F740"/>
      <c r="H740"/>
      <c r="J740"/>
      <c r="L740"/>
    </row>
    <row r="741" spans="1:12" x14ac:dyDescent="0.35">
      <c r="A741"/>
      <c r="C741"/>
      <c r="E741"/>
      <c r="F741"/>
      <c r="H741"/>
      <c r="J741"/>
      <c r="L741"/>
    </row>
    <row r="742" spans="1:12" x14ac:dyDescent="0.35">
      <c r="A742"/>
      <c r="C742"/>
      <c r="E742"/>
      <c r="F742"/>
      <c r="H742"/>
      <c r="J742"/>
      <c r="L742"/>
    </row>
    <row r="743" spans="1:12" x14ac:dyDescent="0.35">
      <c r="A743"/>
      <c r="C743"/>
      <c r="E743"/>
      <c r="F743"/>
      <c r="H743"/>
      <c r="J743"/>
      <c r="L743"/>
    </row>
    <row r="744" spans="1:12" x14ac:dyDescent="0.35">
      <c r="A744"/>
      <c r="C744"/>
      <c r="E744"/>
      <c r="F744"/>
      <c r="H744"/>
      <c r="J744"/>
      <c r="L744"/>
    </row>
    <row r="745" spans="1:12" x14ac:dyDescent="0.35">
      <c r="A745"/>
      <c r="C745"/>
      <c r="E745"/>
      <c r="F745"/>
      <c r="H745"/>
      <c r="J745"/>
      <c r="L745"/>
    </row>
    <row r="746" spans="1:12" x14ac:dyDescent="0.35">
      <c r="A746"/>
      <c r="C746"/>
      <c r="E746"/>
      <c r="F746"/>
      <c r="H746"/>
      <c r="J746"/>
      <c r="L746"/>
    </row>
    <row r="747" spans="1:12" x14ac:dyDescent="0.35">
      <c r="A747"/>
      <c r="C747"/>
      <c r="E747"/>
      <c r="F747"/>
      <c r="H747"/>
      <c r="J747"/>
      <c r="L747"/>
    </row>
    <row r="748" spans="1:12" x14ac:dyDescent="0.35">
      <c r="A748"/>
      <c r="C748"/>
      <c r="E748"/>
      <c r="F748"/>
      <c r="H748"/>
      <c r="J748"/>
      <c r="L748"/>
    </row>
    <row r="749" spans="1:12" x14ac:dyDescent="0.35">
      <c r="A749"/>
      <c r="C749"/>
      <c r="E749"/>
      <c r="F749"/>
      <c r="H749"/>
      <c r="J749"/>
      <c r="L749"/>
    </row>
    <row r="750" spans="1:12" x14ac:dyDescent="0.35">
      <c r="A750"/>
      <c r="C750"/>
      <c r="E750"/>
      <c r="F750"/>
      <c r="H750"/>
      <c r="J750"/>
      <c r="L750"/>
    </row>
    <row r="751" spans="1:12" x14ac:dyDescent="0.35">
      <c r="A751"/>
      <c r="C751"/>
      <c r="E751"/>
      <c r="F751"/>
      <c r="H751"/>
      <c r="J751"/>
      <c r="L751"/>
    </row>
    <row r="752" spans="1:12" x14ac:dyDescent="0.35">
      <c r="A752"/>
      <c r="C752"/>
      <c r="E752"/>
      <c r="F752"/>
      <c r="H752"/>
      <c r="J752"/>
      <c r="L752"/>
    </row>
    <row r="753" spans="1:12" x14ac:dyDescent="0.35">
      <c r="A753"/>
      <c r="C753"/>
      <c r="E753"/>
      <c r="F753"/>
      <c r="H753"/>
      <c r="J753"/>
      <c r="L753"/>
    </row>
    <row r="754" spans="1:12" x14ac:dyDescent="0.35">
      <c r="A754"/>
      <c r="C754"/>
      <c r="E754"/>
      <c r="F754"/>
      <c r="H754"/>
      <c r="J754"/>
      <c r="L754"/>
    </row>
    <row r="755" spans="1:12" x14ac:dyDescent="0.35">
      <c r="A755"/>
      <c r="C755"/>
      <c r="E755"/>
      <c r="F755"/>
      <c r="H755"/>
      <c r="J755"/>
      <c r="L755"/>
    </row>
    <row r="756" spans="1:12" x14ac:dyDescent="0.35">
      <c r="A756"/>
      <c r="C756"/>
      <c r="E756"/>
      <c r="F756"/>
      <c r="H756"/>
      <c r="J756"/>
      <c r="L756"/>
    </row>
    <row r="757" spans="1:12" x14ac:dyDescent="0.35">
      <c r="A757"/>
      <c r="C757"/>
      <c r="E757"/>
      <c r="F757"/>
      <c r="H757"/>
      <c r="J757"/>
      <c r="L757"/>
    </row>
    <row r="758" spans="1:12" x14ac:dyDescent="0.35">
      <c r="A758"/>
      <c r="C758"/>
      <c r="E758"/>
      <c r="F758"/>
      <c r="H758"/>
      <c r="J758"/>
      <c r="L758"/>
    </row>
    <row r="759" spans="1:12" x14ac:dyDescent="0.35">
      <c r="A759"/>
      <c r="C759"/>
      <c r="E759"/>
      <c r="F759"/>
      <c r="H759"/>
      <c r="J759"/>
      <c r="L759"/>
    </row>
    <row r="760" spans="1:12" x14ac:dyDescent="0.35">
      <c r="A760"/>
      <c r="C760"/>
      <c r="E760"/>
      <c r="F760"/>
      <c r="H760"/>
      <c r="J760"/>
      <c r="L760"/>
    </row>
    <row r="761" spans="1:12" x14ac:dyDescent="0.35">
      <c r="A761"/>
      <c r="C761"/>
      <c r="E761"/>
      <c r="F761"/>
      <c r="H761"/>
      <c r="J761"/>
      <c r="L761"/>
    </row>
    <row r="762" spans="1:12" x14ac:dyDescent="0.35">
      <c r="A762"/>
      <c r="C762"/>
      <c r="E762"/>
      <c r="F762"/>
      <c r="H762"/>
      <c r="J762"/>
      <c r="L762"/>
    </row>
    <row r="763" spans="1:12" x14ac:dyDescent="0.35">
      <c r="A763"/>
      <c r="C763"/>
      <c r="E763"/>
      <c r="F763"/>
      <c r="H763"/>
      <c r="J763"/>
      <c r="L763"/>
    </row>
    <row r="764" spans="1:12" x14ac:dyDescent="0.35">
      <c r="A764"/>
      <c r="C764"/>
      <c r="E764"/>
      <c r="F764"/>
      <c r="H764"/>
      <c r="J764"/>
      <c r="L764"/>
    </row>
    <row r="765" spans="1:12" x14ac:dyDescent="0.35">
      <c r="A765"/>
      <c r="C765"/>
      <c r="E765"/>
      <c r="F765"/>
      <c r="H765"/>
      <c r="J765"/>
      <c r="L765"/>
    </row>
    <row r="766" spans="1:12" x14ac:dyDescent="0.35">
      <c r="A766"/>
      <c r="C766"/>
      <c r="E766"/>
      <c r="F766"/>
      <c r="H766"/>
      <c r="J766"/>
      <c r="L766"/>
    </row>
    <row r="767" spans="1:12" x14ac:dyDescent="0.35">
      <c r="A767"/>
      <c r="C767"/>
      <c r="E767"/>
      <c r="F767"/>
      <c r="H767"/>
      <c r="J767"/>
      <c r="L767"/>
    </row>
    <row r="768" spans="1:12" x14ac:dyDescent="0.35">
      <c r="A768"/>
      <c r="C768"/>
      <c r="E768"/>
      <c r="F768"/>
      <c r="H768"/>
      <c r="J768"/>
      <c r="L768"/>
    </row>
    <row r="769" spans="1:12" x14ac:dyDescent="0.35">
      <c r="A769"/>
      <c r="C769"/>
      <c r="E769"/>
      <c r="F769"/>
      <c r="H769"/>
      <c r="J769"/>
      <c r="L769"/>
    </row>
    <row r="770" spans="1:12" x14ac:dyDescent="0.35">
      <c r="A770"/>
      <c r="C770"/>
      <c r="E770"/>
      <c r="F770"/>
      <c r="H770"/>
      <c r="J770"/>
      <c r="L770"/>
    </row>
    <row r="771" spans="1:12" x14ac:dyDescent="0.35">
      <c r="A771"/>
      <c r="C771"/>
      <c r="E771"/>
      <c r="F771"/>
      <c r="H771"/>
      <c r="J771"/>
      <c r="L771"/>
    </row>
    <row r="772" spans="1:12" x14ac:dyDescent="0.35">
      <c r="A772"/>
      <c r="C772"/>
      <c r="E772"/>
      <c r="F772"/>
      <c r="H772"/>
      <c r="J772"/>
      <c r="L772"/>
    </row>
    <row r="773" spans="1:12" x14ac:dyDescent="0.35">
      <c r="A773"/>
      <c r="C773"/>
      <c r="E773"/>
      <c r="F773"/>
      <c r="H773"/>
      <c r="J773"/>
      <c r="L773"/>
    </row>
    <row r="774" spans="1:12" x14ac:dyDescent="0.35">
      <c r="A774"/>
      <c r="C774"/>
      <c r="E774"/>
      <c r="F774"/>
      <c r="H774"/>
      <c r="J774"/>
      <c r="L774"/>
    </row>
    <row r="775" spans="1:12" x14ac:dyDescent="0.35">
      <c r="A775"/>
      <c r="C775"/>
      <c r="E775"/>
      <c r="F775"/>
      <c r="H775"/>
      <c r="J775"/>
      <c r="L775"/>
    </row>
    <row r="776" spans="1:12" x14ac:dyDescent="0.35">
      <c r="A776"/>
      <c r="C776"/>
      <c r="E776"/>
      <c r="F776"/>
      <c r="H776"/>
      <c r="J776"/>
      <c r="L776"/>
    </row>
    <row r="777" spans="1:12" x14ac:dyDescent="0.35">
      <c r="A777"/>
      <c r="C777"/>
      <c r="E777"/>
      <c r="F777"/>
      <c r="H777"/>
      <c r="J777"/>
      <c r="L777"/>
    </row>
    <row r="778" spans="1:12" x14ac:dyDescent="0.35">
      <c r="A778"/>
      <c r="C778"/>
      <c r="E778"/>
      <c r="F778"/>
      <c r="H778"/>
      <c r="J778"/>
      <c r="L778"/>
    </row>
    <row r="779" spans="1:12" x14ac:dyDescent="0.35">
      <c r="A779"/>
      <c r="C779"/>
      <c r="E779"/>
      <c r="F779"/>
      <c r="H779"/>
      <c r="J779"/>
      <c r="L779"/>
    </row>
    <row r="780" spans="1:12" x14ac:dyDescent="0.35">
      <c r="A780"/>
      <c r="C780"/>
      <c r="E780"/>
      <c r="F780"/>
      <c r="H780"/>
      <c r="J780"/>
      <c r="L780"/>
    </row>
    <row r="781" spans="1:12" x14ac:dyDescent="0.35">
      <c r="A781"/>
      <c r="C781"/>
      <c r="E781"/>
      <c r="F781"/>
      <c r="H781"/>
      <c r="J781"/>
      <c r="L781"/>
    </row>
    <row r="782" spans="1:12" x14ac:dyDescent="0.35">
      <c r="A782"/>
      <c r="C782"/>
      <c r="E782"/>
      <c r="F782"/>
      <c r="H782"/>
      <c r="J782"/>
      <c r="L782"/>
    </row>
    <row r="783" spans="1:12" x14ac:dyDescent="0.35">
      <c r="A783"/>
      <c r="C783"/>
      <c r="E783"/>
      <c r="F783"/>
      <c r="H783"/>
      <c r="J783"/>
      <c r="L783"/>
    </row>
    <row r="784" spans="1:12" x14ac:dyDescent="0.35">
      <c r="A784"/>
      <c r="C784"/>
      <c r="E784"/>
      <c r="F784"/>
      <c r="H784"/>
      <c r="J784"/>
      <c r="L784"/>
    </row>
    <row r="785" spans="1:12" x14ac:dyDescent="0.35">
      <c r="A785"/>
      <c r="C785"/>
      <c r="E785"/>
      <c r="F785"/>
      <c r="H785"/>
      <c r="J785"/>
      <c r="L785"/>
    </row>
    <row r="786" spans="1:12" x14ac:dyDescent="0.35">
      <c r="A786"/>
      <c r="C786"/>
      <c r="E786"/>
      <c r="F786"/>
      <c r="H786"/>
      <c r="J786"/>
      <c r="L786"/>
    </row>
    <row r="787" spans="1:12" x14ac:dyDescent="0.35">
      <c r="A787"/>
      <c r="C787"/>
      <c r="E787"/>
      <c r="F787"/>
      <c r="H787"/>
      <c r="J787"/>
      <c r="L787"/>
    </row>
    <row r="788" spans="1:12" x14ac:dyDescent="0.35">
      <c r="A788"/>
      <c r="C788"/>
      <c r="E788"/>
      <c r="F788"/>
      <c r="H788"/>
      <c r="J788"/>
      <c r="L788"/>
    </row>
    <row r="789" spans="1:12" x14ac:dyDescent="0.35">
      <c r="A789"/>
      <c r="C789"/>
      <c r="E789"/>
      <c r="F789"/>
      <c r="H789"/>
      <c r="J789"/>
      <c r="L789"/>
    </row>
    <row r="790" spans="1:12" x14ac:dyDescent="0.35">
      <c r="A790"/>
      <c r="C790"/>
      <c r="E790"/>
      <c r="F790"/>
      <c r="H790"/>
      <c r="J790"/>
      <c r="L790"/>
    </row>
    <row r="791" spans="1:12" x14ac:dyDescent="0.35">
      <c r="A791"/>
      <c r="C791"/>
      <c r="E791"/>
      <c r="F791"/>
      <c r="H791"/>
      <c r="J791"/>
      <c r="L791"/>
    </row>
    <row r="792" spans="1:12" x14ac:dyDescent="0.35">
      <c r="A792"/>
      <c r="C792"/>
      <c r="E792"/>
      <c r="F792"/>
      <c r="H792"/>
      <c r="J792"/>
      <c r="L792"/>
    </row>
    <row r="793" spans="1:12" x14ac:dyDescent="0.35">
      <c r="A793"/>
      <c r="C793"/>
      <c r="E793"/>
      <c r="F793"/>
      <c r="H793"/>
      <c r="J793"/>
      <c r="L793"/>
    </row>
    <row r="794" spans="1:12" x14ac:dyDescent="0.35">
      <c r="A794"/>
      <c r="C794"/>
      <c r="E794"/>
      <c r="F794"/>
      <c r="H794"/>
      <c r="J794"/>
      <c r="L794"/>
    </row>
    <row r="795" spans="1:12" x14ac:dyDescent="0.35">
      <c r="A795"/>
      <c r="C795"/>
      <c r="E795"/>
      <c r="F795"/>
      <c r="H795"/>
      <c r="J795"/>
      <c r="L795"/>
    </row>
    <row r="796" spans="1:12" x14ac:dyDescent="0.35">
      <c r="A796"/>
      <c r="C796"/>
      <c r="E796"/>
      <c r="F796"/>
      <c r="H796"/>
      <c r="J796"/>
      <c r="L796"/>
    </row>
    <row r="797" spans="1:12" x14ac:dyDescent="0.35">
      <c r="A797"/>
      <c r="C797"/>
      <c r="E797"/>
      <c r="F797"/>
      <c r="H797"/>
      <c r="J797"/>
      <c r="L797"/>
    </row>
    <row r="798" spans="1:12" x14ac:dyDescent="0.35">
      <c r="A798"/>
      <c r="C798"/>
      <c r="E798"/>
      <c r="F798"/>
      <c r="H798"/>
      <c r="J798"/>
      <c r="L798"/>
    </row>
    <row r="799" spans="1:12" x14ac:dyDescent="0.35">
      <c r="A799"/>
      <c r="C799"/>
      <c r="E799"/>
      <c r="F799"/>
      <c r="H799"/>
      <c r="J799"/>
      <c r="L799"/>
    </row>
    <row r="800" spans="1:12" x14ac:dyDescent="0.35">
      <c r="A800"/>
      <c r="C800"/>
      <c r="E800"/>
      <c r="F800"/>
      <c r="H800"/>
      <c r="J800"/>
      <c r="L800"/>
    </row>
    <row r="801" spans="1:12" x14ac:dyDescent="0.35">
      <c r="A801"/>
      <c r="C801"/>
      <c r="E801"/>
      <c r="F801"/>
      <c r="H801"/>
      <c r="J801"/>
      <c r="L801"/>
    </row>
    <row r="802" spans="1:12" x14ac:dyDescent="0.35">
      <c r="A802"/>
      <c r="C802"/>
      <c r="E802"/>
      <c r="F802"/>
      <c r="H802"/>
      <c r="J802"/>
      <c r="L802"/>
    </row>
    <row r="803" spans="1:12" x14ac:dyDescent="0.35">
      <c r="A803"/>
      <c r="C803"/>
      <c r="E803"/>
      <c r="F803"/>
      <c r="H803"/>
      <c r="J803"/>
      <c r="L803"/>
    </row>
    <row r="804" spans="1:12" x14ac:dyDescent="0.35">
      <c r="A804"/>
      <c r="C804"/>
      <c r="E804"/>
      <c r="F804"/>
      <c r="H804"/>
      <c r="J804"/>
      <c r="L804"/>
    </row>
    <row r="805" spans="1:12" x14ac:dyDescent="0.35">
      <c r="A805"/>
      <c r="C805"/>
      <c r="E805"/>
      <c r="F805"/>
      <c r="H805"/>
      <c r="J805"/>
      <c r="L805"/>
    </row>
    <row r="806" spans="1:12" x14ac:dyDescent="0.35">
      <c r="A806"/>
      <c r="C806"/>
      <c r="E806"/>
      <c r="F806"/>
      <c r="H806"/>
      <c r="J806"/>
      <c r="L806"/>
    </row>
    <row r="807" spans="1:12" x14ac:dyDescent="0.35">
      <c r="A807"/>
      <c r="C807"/>
      <c r="E807"/>
      <c r="F807"/>
      <c r="H807"/>
      <c r="J807"/>
      <c r="L807"/>
    </row>
    <row r="808" spans="1:12" x14ac:dyDescent="0.35">
      <c r="A808"/>
      <c r="C808"/>
      <c r="E808"/>
      <c r="F808"/>
      <c r="H808"/>
      <c r="J808"/>
      <c r="L808"/>
    </row>
    <row r="809" spans="1:12" x14ac:dyDescent="0.35">
      <c r="A809"/>
      <c r="C809"/>
      <c r="E809"/>
      <c r="F809"/>
      <c r="H809"/>
      <c r="J809"/>
      <c r="L809"/>
    </row>
    <row r="810" spans="1:12" x14ac:dyDescent="0.35">
      <c r="A810"/>
      <c r="C810"/>
      <c r="E810"/>
      <c r="F810"/>
      <c r="H810"/>
      <c r="J810"/>
      <c r="L810"/>
    </row>
    <row r="811" spans="1:12" x14ac:dyDescent="0.35">
      <c r="A811"/>
      <c r="C811"/>
      <c r="E811"/>
      <c r="F811"/>
      <c r="H811"/>
      <c r="J811"/>
      <c r="L811"/>
    </row>
    <row r="812" spans="1:12" x14ac:dyDescent="0.35">
      <c r="A812"/>
      <c r="C812"/>
      <c r="E812"/>
      <c r="F812"/>
      <c r="H812"/>
      <c r="J812"/>
      <c r="L812"/>
    </row>
    <row r="813" spans="1:12" x14ac:dyDescent="0.35">
      <c r="A813"/>
      <c r="C813"/>
      <c r="E813"/>
      <c r="F813"/>
      <c r="H813"/>
      <c r="J813"/>
      <c r="L813"/>
    </row>
    <row r="814" spans="1:12" x14ac:dyDescent="0.35">
      <c r="A814"/>
      <c r="C814"/>
      <c r="E814"/>
      <c r="F814"/>
      <c r="H814"/>
      <c r="J814"/>
      <c r="L814"/>
    </row>
    <row r="815" spans="1:12" x14ac:dyDescent="0.35">
      <c r="A815"/>
      <c r="C815"/>
      <c r="E815"/>
      <c r="F815"/>
      <c r="H815"/>
      <c r="J815"/>
      <c r="L815"/>
    </row>
    <row r="816" spans="1:12" x14ac:dyDescent="0.35">
      <c r="A816"/>
      <c r="C816"/>
      <c r="E816"/>
      <c r="F816"/>
      <c r="H816"/>
      <c r="J816"/>
      <c r="L816"/>
    </row>
    <row r="817" spans="1:12" x14ac:dyDescent="0.35">
      <c r="A817"/>
      <c r="C817"/>
      <c r="E817"/>
      <c r="F817"/>
      <c r="H817"/>
      <c r="J817"/>
      <c r="L817"/>
    </row>
    <row r="818" spans="1:12" x14ac:dyDescent="0.35">
      <c r="A818"/>
      <c r="C818"/>
      <c r="E818"/>
      <c r="F818"/>
      <c r="H818"/>
      <c r="J818"/>
      <c r="L818"/>
    </row>
    <row r="819" spans="1:12" x14ac:dyDescent="0.35">
      <c r="A819"/>
      <c r="C819"/>
      <c r="E819"/>
      <c r="F819"/>
      <c r="H819"/>
      <c r="J819"/>
      <c r="L819"/>
    </row>
    <row r="820" spans="1:12" x14ac:dyDescent="0.35">
      <c r="A820"/>
      <c r="C820"/>
      <c r="E820"/>
      <c r="F820"/>
      <c r="H820"/>
      <c r="J820"/>
      <c r="L820"/>
    </row>
    <row r="821" spans="1:12" x14ac:dyDescent="0.35">
      <c r="A821"/>
      <c r="C821"/>
      <c r="E821"/>
      <c r="F821"/>
      <c r="H821"/>
      <c r="J821"/>
      <c r="L821"/>
    </row>
    <row r="822" spans="1:12" x14ac:dyDescent="0.35">
      <c r="A822"/>
      <c r="C822"/>
      <c r="E822"/>
      <c r="F822"/>
      <c r="H822"/>
      <c r="J822"/>
      <c r="L822"/>
    </row>
    <row r="823" spans="1:12" x14ac:dyDescent="0.35">
      <c r="A823"/>
      <c r="C823"/>
      <c r="E823"/>
      <c r="F823"/>
      <c r="H823"/>
      <c r="J823"/>
      <c r="L823"/>
    </row>
    <row r="824" spans="1:12" x14ac:dyDescent="0.35">
      <c r="A824"/>
      <c r="C824"/>
      <c r="E824"/>
      <c r="F824"/>
      <c r="H824"/>
      <c r="J824"/>
      <c r="L824"/>
    </row>
    <row r="825" spans="1:12" x14ac:dyDescent="0.35">
      <c r="A825"/>
      <c r="C825"/>
      <c r="E825"/>
      <c r="F825"/>
      <c r="H825"/>
      <c r="J825"/>
      <c r="L825"/>
    </row>
    <row r="826" spans="1:12" x14ac:dyDescent="0.35">
      <c r="A826"/>
      <c r="C826"/>
      <c r="E826"/>
      <c r="F826"/>
      <c r="H826"/>
      <c r="J826"/>
      <c r="L826"/>
    </row>
    <row r="827" spans="1:12" x14ac:dyDescent="0.35">
      <c r="A827"/>
      <c r="C827"/>
      <c r="E827"/>
      <c r="F827"/>
      <c r="H827"/>
      <c r="J827"/>
      <c r="L827"/>
    </row>
    <row r="828" spans="1:12" x14ac:dyDescent="0.35">
      <c r="A828"/>
      <c r="C828"/>
      <c r="E828"/>
      <c r="F828"/>
      <c r="H828"/>
      <c r="J828"/>
      <c r="L828"/>
    </row>
    <row r="829" spans="1:12" x14ac:dyDescent="0.35">
      <c r="A829"/>
      <c r="C829"/>
      <c r="E829"/>
      <c r="F829"/>
      <c r="H829"/>
      <c r="J829"/>
      <c r="L829"/>
    </row>
    <row r="830" spans="1:12" x14ac:dyDescent="0.35">
      <c r="A830"/>
      <c r="C830"/>
      <c r="E830"/>
      <c r="F830"/>
      <c r="H830"/>
      <c r="J830"/>
      <c r="L830"/>
    </row>
    <row r="831" spans="1:12" x14ac:dyDescent="0.35">
      <c r="A831"/>
      <c r="C831"/>
      <c r="E831"/>
      <c r="F831"/>
      <c r="H831"/>
      <c r="J831"/>
      <c r="L831"/>
    </row>
    <row r="832" spans="1:12" x14ac:dyDescent="0.35">
      <c r="A832"/>
      <c r="C832"/>
      <c r="E832"/>
      <c r="F832"/>
      <c r="H832"/>
      <c r="J832"/>
      <c r="L832"/>
    </row>
    <row r="833" spans="1:12" x14ac:dyDescent="0.35">
      <c r="A833"/>
      <c r="C833"/>
      <c r="E833"/>
      <c r="F833"/>
      <c r="H833"/>
      <c r="J833"/>
      <c r="L833"/>
    </row>
    <row r="834" spans="1:12" x14ac:dyDescent="0.35">
      <c r="A834"/>
      <c r="C834"/>
      <c r="E834"/>
      <c r="F834"/>
      <c r="H834"/>
      <c r="J834"/>
      <c r="L834"/>
    </row>
    <row r="835" spans="1:12" x14ac:dyDescent="0.35">
      <c r="A835"/>
      <c r="C835"/>
      <c r="E835"/>
      <c r="F835"/>
      <c r="H835"/>
      <c r="J835"/>
      <c r="L835"/>
    </row>
    <row r="836" spans="1:12" x14ac:dyDescent="0.35">
      <c r="A836"/>
      <c r="C836"/>
      <c r="E836"/>
      <c r="F836"/>
      <c r="H836"/>
      <c r="J836"/>
      <c r="L836"/>
    </row>
    <row r="837" spans="1:12" x14ac:dyDescent="0.35">
      <c r="A837"/>
      <c r="C837"/>
      <c r="E837"/>
      <c r="F837"/>
      <c r="H837"/>
      <c r="J837"/>
      <c r="L837"/>
    </row>
    <row r="838" spans="1:12" x14ac:dyDescent="0.35">
      <c r="A838"/>
      <c r="C838"/>
      <c r="E838"/>
      <c r="F838"/>
      <c r="H838"/>
      <c r="J838"/>
      <c r="L838"/>
    </row>
    <row r="839" spans="1:12" x14ac:dyDescent="0.35">
      <c r="A839"/>
      <c r="C839"/>
      <c r="E839"/>
      <c r="F839"/>
      <c r="H839"/>
      <c r="J839"/>
      <c r="L839"/>
    </row>
    <row r="840" spans="1:12" x14ac:dyDescent="0.35">
      <c r="A840"/>
      <c r="C840"/>
      <c r="E840"/>
      <c r="F840"/>
      <c r="H840"/>
      <c r="J840"/>
      <c r="L840"/>
    </row>
    <row r="841" spans="1:12" x14ac:dyDescent="0.35">
      <c r="A841"/>
      <c r="C841"/>
      <c r="E841"/>
      <c r="F841"/>
      <c r="H841"/>
      <c r="J841"/>
      <c r="L841"/>
    </row>
    <row r="842" spans="1:12" x14ac:dyDescent="0.35">
      <c r="A842"/>
      <c r="C842"/>
      <c r="E842"/>
      <c r="F842"/>
      <c r="H842"/>
      <c r="J842"/>
      <c r="L842"/>
    </row>
    <row r="843" spans="1:12" x14ac:dyDescent="0.35">
      <c r="A843"/>
      <c r="C843"/>
      <c r="E843"/>
      <c r="F843"/>
      <c r="H843"/>
      <c r="J843"/>
      <c r="L843"/>
    </row>
    <row r="844" spans="1:12" x14ac:dyDescent="0.35">
      <c r="A844"/>
      <c r="C844"/>
      <c r="E844"/>
      <c r="F844"/>
      <c r="H844"/>
      <c r="J844"/>
      <c r="L844"/>
    </row>
    <row r="845" spans="1:12" x14ac:dyDescent="0.35">
      <c r="A845"/>
      <c r="C845"/>
      <c r="E845"/>
      <c r="F845"/>
      <c r="H845"/>
      <c r="J845"/>
      <c r="L845"/>
    </row>
    <row r="846" spans="1:12" x14ac:dyDescent="0.35">
      <c r="A846"/>
      <c r="C846"/>
      <c r="E846"/>
      <c r="F846"/>
      <c r="H846"/>
      <c r="J846"/>
      <c r="L846"/>
    </row>
    <row r="847" spans="1:12" x14ac:dyDescent="0.35">
      <c r="A847"/>
      <c r="C847"/>
      <c r="E847"/>
      <c r="F847"/>
      <c r="H847"/>
      <c r="J847"/>
      <c r="L847"/>
    </row>
    <row r="848" spans="1:12" x14ac:dyDescent="0.35">
      <c r="A848"/>
      <c r="C848"/>
      <c r="E848"/>
      <c r="F848"/>
      <c r="H848"/>
      <c r="J848"/>
      <c r="L848"/>
    </row>
    <row r="849" spans="1:12" x14ac:dyDescent="0.35">
      <c r="A849"/>
      <c r="C849"/>
      <c r="E849"/>
      <c r="F849"/>
      <c r="H849"/>
      <c r="J849"/>
      <c r="L849"/>
    </row>
    <row r="850" spans="1:12" x14ac:dyDescent="0.35">
      <c r="A850"/>
      <c r="C850"/>
      <c r="E850"/>
      <c r="F850"/>
      <c r="H850"/>
      <c r="J850"/>
      <c r="L850"/>
    </row>
    <row r="851" spans="1:12" x14ac:dyDescent="0.35">
      <c r="A851"/>
      <c r="C851"/>
      <c r="E851"/>
      <c r="F851"/>
      <c r="H851"/>
      <c r="J851"/>
      <c r="L851"/>
    </row>
    <row r="852" spans="1:12" x14ac:dyDescent="0.35">
      <c r="A852"/>
      <c r="C852"/>
      <c r="E852"/>
      <c r="F852"/>
      <c r="H852"/>
      <c r="J852"/>
      <c r="L852"/>
    </row>
    <row r="853" spans="1:12" x14ac:dyDescent="0.35">
      <c r="A853"/>
      <c r="C853"/>
      <c r="E853"/>
      <c r="F853"/>
      <c r="H853"/>
      <c r="J853"/>
      <c r="L853"/>
    </row>
    <row r="854" spans="1:12" x14ac:dyDescent="0.35">
      <c r="A854"/>
      <c r="C854"/>
      <c r="E854"/>
      <c r="F854"/>
      <c r="H854"/>
      <c r="J854"/>
      <c r="L854"/>
    </row>
    <row r="855" spans="1:12" x14ac:dyDescent="0.35">
      <c r="A855"/>
      <c r="C855"/>
      <c r="E855"/>
      <c r="F855"/>
      <c r="H855"/>
      <c r="J855"/>
      <c r="L855"/>
    </row>
    <row r="856" spans="1:12" x14ac:dyDescent="0.35">
      <c r="A856"/>
      <c r="C856"/>
      <c r="E856"/>
      <c r="F856"/>
      <c r="H856"/>
      <c r="J856"/>
      <c r="L856"/>
    </row>
    <row r="857" spans="1:12" x14ac:dyDescent="0.35">
      <c r="A857"/>
      <c r="C857"/>
      <c r="E857"/>
      <c r="F857"/>
      <c r="H857"/>
      <c r="J857"/>
      <c r="L857"/>
    </row>
    <row r="858" spans="1:12" x14ac:dyDescent="0.35">
      <c r="A858"/>
      <c r="C858"/>
      <c r="E858"/>
      <c r="F858"/>
      <c r="H858"/>
      <c r="J858"/>
      <c r="L858"/>
    </row>
    <row r="859" spans="1:12" x14ac:dyDescent="0.35">
      <c r="A859"/>
      <c r="C859"/>
      <c r="E859"/>
      <c r="F859"/>
      <c r="H859"/>
      <c r="J859"/>
      <c r="L859"/>
    </row>
    <row r="860" spans="1:12" x14ac:dyDescent="0.35">
      <c r="A860"/>
      <c r="C860"/>
      <c r="E860"/>
      <c r="F860"/>
      <c r="H860"/>
      <c r="J860"/>
      <c r="L860"/>
    </row>
    <row r="861" spans="1:12" x14ac:dyDescent="0.35">
      <c r="A861"/>
      <c r="C861"/>
      <c r="E861"/>
      <c r="F861"/>
      <c r="H861"/>
      <c r="J861"/>
      <c r="L861"/>
    </row>
    <row r="862" spans="1:12" x14ac:dyDescent="0.35">
      <c r="A862"/>
      <c r="C862"/>
      <c r="E862"/>
      <c r="F862"/>
      <c r="H862"/>
      <c r="J862"/>
      <c r="L862"/>
    </row>
    <row r="863" spans="1:12" x14ac:dyDescent="0.35">
      <c r="A863"/>
      <c r="C863"/>
      <c r="E863"/>
      <c r="F863"/>
      <c r="H863"/>
      <c r="J863"/>
      <c r="L863"/>
    </row>
    <row r="864" spans="1:12" x14ac:dyDescent="0.35">
      <c r="A864"/>
      <c r="C864"/>
      <c r="E864"/>
      <c r="F864"/>
      <c r="H864"/>
      <c r="J864"/>
      <c r="L864"/>
    </row>
    <row r="865" spans="1:12" x14ac:dyDescent="0.35">
      <c r="A865"/>
      <c r="C865"/>
      <c r="E865"/>
      <c r="F865"/>
      <c r="H865"/>
      <c r="J865"/>
      <c r="L865"/>
    </row>
    <row r="866" spans="1:12" x14ac:dyDescent="0.35">
      <c r="A866"/>
      <c r="C866"/>
      <c r="E866"/>
      <c r="F866"/>
      <c r="H866"/>
      <c r="J866"/>
      <c r="L866"/>
    </row>
    <row r="867" spans="1:12" x14ac:dyDescent="0.35">
      <c r="A867"/>
      <c r="C867"/>
      <c r="E867"/>
      <c r="F867"/>
      <c r="H867"/>
      <c r="J867"/>
      <c r="L867"/>
    </row>
    <row r="868" spans="1:12" x14ac:dyDescent="0.35">
      <c r="A868"/>
      <c r="C868"/>
      <c r="E868"/>
      <c r="F868"/>
      <c r="H868"/>
      <c r="J868"/>
      <c r="L868"/>
    </row>
    <row r="869" spans="1:12" x14ac:dyDescent="0.35">
      <c r="A869"/>
      <c r="C869"/>
      <c r="E869"/>
      <c r="F869"/>
      <c r="H869"/>
      <c r="J869"/>
      <c r="L869"/>
    </row>
    <row r="870" spans="1:12" x14ac:dyDescent="0.35">
      <c r="A870"/>
      <c r="C870"/>
      <c r="E870"/>
      <c r="F870"/>
      <c r="H870"/>
      <c r="J870"/>
      <c r="L870"/>
    </row>
    <row r="871" spans="1:12" x14ac:dyDescent="0.35">
      <c r="A871"/>
      <c r="C871"/>
      <c r="E871"/>
      <c r="F871"/>
      <c r="H871"/>
      <c r="J871"/>
      <c r="L871"/>
    </row>
    <row r="872" spans="1:12" x14ac:dyDescent="0.35">
      <c r="A872"/>
      <c r="C872"/>
      <c r="E872"/>
      <c r="F872"/>
      <c r="H872"/>
      <c r="J872"/>
      <c r="L872"/>
    </row>
    <row r="873" spans="1:12" x14ac:dyDescent="0.35">
      <c r="A873"/>
      <c r="C873"/>
      <c r="E873"/>
      <c r="F873"/>
      <c r="H873"/>
      <c r="J873"/>
      <c r="L873"/>
    </row>
    <row r="874" spans="1:12" x14ac:dyDescent="0.35">
      <c r="A874"/>
      <c r="C874"/>
      <c r="E874"/>
      <c r="F874"/>
      <c r="H874"/>
      <c r="J874"/>
      <c r="L874"/>
    </row>
    <row r="875" spans="1:12" x14ac:dyDescent="0.35">
      <c r="A875"/>
      <c r="C875"/>
      <c r="E875"/>
      <c r="F875"/>
      <c r="H875"/>
      <c r="J875"/>
      <c r="L875"/>
    </row>
    <row r="876" spans="1:12" x14ac:dyDescent="0.35">
      <c r="A876"/>
      <c r="C876"/>
      <c r="E876"/>
      <c r="F876"/>
      <c r="H876"/>
      <c r="J876"/>
      <c r="L876"/>
    </row>
    <row r="877" spans="1:12" x14ac:dyDescent="0.35">
      <c r="A877"/>
      <c r="C877"/>
      <c r="E877"/>
      <c r="F877"/>
      <c r="H877"/>
      <c r="J877"/>
      <c r="L877"/>
    </row>
    <row r="878" spans="1:12" x14ac:dyDescent="0.35">
      <c r="A878"/>
      <c r="C878"/>
      <c r="E878"/>
      <c r="F878"/>
      <c r="H878"/>
      <c r="J878"/>
      <c r="L878"/>
    </row>
    <row r="879" spans="1:12" x14ac:dyDescent="0.35">
      <c r="A879"/>
      <c r="C879"/>
      <c r="E879"/>
      <c r="F879"/>
      <c r="H879"/>
      <c r="J879"/>
      <c r="L879"/>
    </row>
    <row r="880" spans="1:12" x14ac:dyDescent="0.35">
      <c r="A880"/>
      <c r="C880"/>
      <c r="E880"/>
      <c r="F880"/>
      <c r="H880"/>
      <c r="J880"/>
      <c r="L880"/>
    </row>
    <row r="881" spans="1:12" x14ac:dyDescent="0.35">
      <c r="A881"/>
      <c r="C881"/>
      <c r="E881"/>
      <c r="F881"/>
      <c r="H881"/>
      <c r="J881"/>
      <c r="L881"/>
    </row>
    <row r="882" spans="1:12" x14ac:dyDescent="0.35">
      <c r="A882"/>
      <c r="C882"/>
      <c r="E882"/>
      <c r="F882"/>
      <c r="H882"/>
      <c r="J882"/>
      <c r="L882"/>
    </row>
    <row r="883" spans="1:12" x14ac:dyDescent="0.35">
      <c r="A883"/>
      <c r="C883"/>
      <c r="E883"/>
      <c r="F883"/>
      <c r="H883"/>
      <c r="J883"/>
      <c r="L883"/>
    </row>
    <row r="884" spans="1:12" x14ac:dyDescent="0.35">
      <c r="A884"/>
      <c r="C884"/>
      <c r="E884"/>
      <c r="F884"/>
      <c r="H884"/>
      <c r="J884"/>
      <c r="L884"/>
    </row>
    <row r="885" spans="1:12" x14ac:dyDescent="0.35">
      <c r="A885"/>
      <c r="C885"/>
      <c r="E885"/>
      <c r="F885"/>
      <c r="H885"/>
      <c r="J885"/>
      <c r="L885"/>
    </row>
    <row r="886" spans="1:12" x14ac:dyDescent="0.35">
      <c r="A886"/>
      <c r="C886"/>
      <c r="E886"/>
      <c r="F886"/>
      <c r="H886"/>
      <c r="J886"/>
      <c r="L886"/>
    </row>
    <row r="887" spans="1:12" x14ac:dyDescent="0.35">
      <c r="A887"/>
      <c r="C887"/>
      <c r="E887"/>
      <c r="F887"/>
      <c r="H887"/>
      <c r="J887"/>
      <c r="L887"/>
    </row>
    <row r="888" spans="1:12" x14ac:dyDescent="0.35">
      <c r="A888"/>
      <c r="C888"/>
      <c r="E888"/>
      <c r="F888"/>
      <c r="H888"/>
      <c r="J888"/>
      <c r="L888"/>
    </row>
    <row r="889" spans="1:12" x14ac:dyDescent="0.35">
      <c r="A889"/>
      <c r="C889"/>
      <c r="E889"/>
      <c r="F889"/>
      <c r="H889"/>
      <c r="J889"/>
      <c r="L889"/>
    </row>
    <row r="890" spans="1:12" x14ac:dyDescent="0.35">
      <c r="A890"/>
      <c r="C890"/>
      <c r="E890"/>
      <c r="F890"/>
      <c r="H890"/>
      <c r="J890"/>
      <c r="L890"/>
    </row>
    <row r="891" spans="1:12" x14ac:dyDescent="0.35">
      <c r="A891"/>
      <c r="C891"/>
      <c r="E891"/>
      <c r="F891"/>
      <c r="H891"/>
      <c r="J891"/>
      <c r="L891"/>
    </row>
    <row r="892" spans="1:12" x14ac:dyDescent="0.35">
      <c r="A892"/>
      <c r="C892"/>
      <c r="E892"/>
      <c r="F892"/>
      <c r="H892"/>
      <c r="J892"/>
      <c r="L892"/>
    </row>
    <row r="893" spans="1:12" x14ac:dyDescent="0.35">
      <c r="A893"/>
      <c r="C893"/>
      <c r="E893"/>
      <c r="F893"/>
      <c r="H893"/>
      <c r="J893"/>
      <c r="L893"/>
    </row>
    <row r="894" spans="1:12" x14ac:dyDescent="0.35">
      <c r="A894"/>
      <c r="C894"/>
      <c r="E894"/>
      <c r="F894"/>
      <c r="H894"/>
      <c r="J894"/>
      <c r="L894"/>
    </row>
    <row r="895" spans="1:12" x14ac:dyDescent="0.35">
      <c r="A895"/>
      <c r="C895"/>
      <c r="E895"/>
      <c r="F895"/>
      <c r="H895"/>
      <c r="J895"/>
      <c r="L895"/>
    </row>
    <row r="896" spans="1:12" x14ac:dyDescent="0.35">
      <c r="A896"/>
      <c r="C896"/>
      <c r="E896"/>
      <c r="F896"/>
      <c r="H896"/>
      <c r="J896"/>
      <c r="L896"/>
    </row>
    <row r="897" spans="1:12" x14ac:dyDescent="0.35">
      <c r="A897"/>
      <c r="C897"/>
      <c r="E897"/>
      <c r="F897"/>
      <c r="H897"/>
      <c r="J897"/>
      <c r="L897"/>
    </row>
    <row r="898" spans="1:12" x14ac:dyDescent="0.35">
      <c r="A898"/>
      <c r="C898"/>
      <c r="F898"/>
      <c r="H898"/>
      <c r="J898"/>
      <c r="L898"/>
    </row>
    <row r="899" spans="1:12" x14ac:dyDescent="0.35">
      <c r="A899"/>
      <c r="C899"/>
      <c r="F899"/>
      <c r="H899"/>
      <c r="J899"/>
      <c r="L899"/>
    </row>
    <row r="900" spans="1:12" x14ac:dyDescent="0.35">
      <c r="A900"/>
      <c r="C900"/>
      <c r="F900"/>
      <c r="H900"/>
      <c r="J900"/>
      <c r="L900"/>
    </row>
    <row r="901" spans="1:12" x14ac:dyDescent="0.35">
      <c r="A901"/>
      <c r="C901"/>
      <c r="F901"/>
      <c r="H901"/>
      <c r="J901"/>
      <c r="L901"/>
    </row>
    <row r="902" spans="1:12" x14ac:dyDescent="0.35">
      <c r="A902"/>
      <c r="C902"/>
      <c r="F902"/>
      <c r="H902"/>
      <c r="J902"/>
      <c r="L902"/>
    </row>
    <row r="903" spans="1:12" x14ac:dyDescent="0.35">
      <c r="A903"/>
      <c r="C903"/>
      <c r="F903"/>
      <c r="H903"/>
      <c r="J903"/>
      <c r="L903"/>
    </row>
    <row r="904" spans="1:12" x14ac:dyDescent="0.35">
      <c r="A904"/>
      <c r="C904"/>
      <c r="F904"/>
      <c r="H904"/>
      <c r="J904"/>
      <c r="L904"/>
    </row>
    <row r="905" spans="1:12" x14ac:dyDescent="0.35">
      <c r="A905"/>
      <c r="C905"/>
      <c r="F905"/>
      <c r="H905"/>
      <c r="J905"/>
      <c r="L905"/>
    </row>
    <row r="906" spans="1:12" x14ac:dyDescent="0.35">
      <c r="A906"/>
      <c r="C906"/>
      <c r="F906"/>
      <c r="H906"/>
      <c r="J906"/>
      <c r="L906"/>
    </row>
    <row r="907" spans="1:12" x14ac:dyDescent="0.35">
      <c r="A907"/>
      <c r="C907"/>
      <c r="F907"/>
      <c r="H907"/>
      <c r="J907"/>
      <c r="L907"/>
    </row>
    <row r="908" spans="1:12" x14ac:dyDescent="0.35">
      <c r="A908"/>
      <c r="C908"/>
      <c r="F908"/>
      <c r="H908"/>
      <c r="J908"/>
      <c r="L908"/>
    </row>
    <row r="909" spans="1:12" x14ac:dyDescent="0.35">
      <c r="A909"/>
      <c r="C909"/>
      <c r="F909"/>
      <c r="H909"/>
      <c r="J909"/>
      <c r="L909"/>
    </row>
    <row r="910" spans="1:12" x14ac:dyDescent="0.35">
      <c r="A910"/>
      <c r="C910"/>
      <c r="F910"/>
      <c r="H910"/>
      <c r="J910"/>
      <c r="L910"/>
    </row>
    <row r="911" spans="1:12" x14ac:dyDescent="0.35">
      <c r="A911"/>
      <c r="C911"/>
      <c r="F911"/>
      <c r="H911"/>
      <c r="J911"/>
      <c r="L911"/>
    </row>
    <row r="912" spans="1:12" x14ac:dyDescent="0.35">
      <c r="A912"/>
      <c r="C912"/>
      <c r="F912"/>
      <c r="H912"/>
      <c r="J912"/>
      <c r="L912"/>
    </row>
    <row r="913" spans="1:12" x14ac:dyDescent="0.35">
      <c r="A913"/>
      <c r="C913"/>
      <c r="F913"/>
      <c r="H913"/>
      <c r="J913"/>
      <c r="L913"/>
    </row>
    <row r="914" spans="1:12" x14ac:dyDescent="0.35">
      <c r="A914"/>
      <c r="C914"/>
      <c r="F914"/>
      <c r="H914"/>
      <c r="J914"/>
      <c r="L914"/>
    </row>
    <row r="915" spans="1:12" x14ac:dyDescent="0.35">
      <c r="A915"/>
      <c r="C915"/>
      <c r="F915"/>
      <c r="H915"/>
      <c r="J915"/>
      <c r="L915"/>
    </row>
    <row r="916" spans="1:12" x14ac:dyDescent="0.35">
      <c r="A916"/>
      <c r="C916"/>
      <c r="F916"/>
      <c r="H916"/>
      <c r="J916"/>
      <c r="L916"/>
    </row>
    <row r="917" spans="1:12" x14ac:dyDescent="0.35">
      <c r="A917"/>
      <c r="C917"/>
      <c r="F917"/>
      <c r="H917"/>
      <c r="J917"/>
      <c r="L917"/>
    </row>
    <row r="918" spans="1:12" x14ac:dyDescent="0.35">
      <c r="A918"/>
      <c r="C918"/>
      <c r="F918"/>
      <c r="H918"/>
      <c r="J918"/>
      <c r="L918"/>
    </row>
    <row r="919" spans="1:12" x14ac:dyDescent="0.35">
      <c r="A919"/>
      <c r="C919"/>
      <c r="F919"/>
      <c r="H919"/>
      <c r="J919"/>
      <c r="L919"/>
    </row>
    <row r="920" spans="1:12" x14ac:dyDescent="0.35">
      <c r="A920"/>
      <c r="C920"/>
      <c r="F920"/>
      <c r="H920"/>
      <c r="J920"/>
      <c r="L920"/>
    </row>
    <row r="921" spans="1:12" x14ac:dyDescent="0.35">
      <c r="A921"/>
      <c r="C921"/>
      <c r="F921"/>
      <c r="H921"/>
      <c r="J921"/>
      <c r="L921"/>
    </row>
    <row r="922" spans="1:12" x14ac:dyDescent="0.35">
      <c r="A922"/>
      <c r="C922"/>
      <c r="F922"/>
      <c r="H922"/>
      <c r="J922"/>
      <c r="L922"/>
    </row>
    <row r="923" spans="1:12" x14ac:dyDescent="0.35">
      <c r="A923"/>
      <c r="C923"/>
      <c r="F923"/>
      <c r="H923"/>
      <c r="J923"/>
      <c r="L923"/>
    </row>
    <row r="924" spans="1:12" x14ac:dyDescent="0.35">
      <c r="A924"/>
      <c r="C924"/>
      <c r="F924"/>
      <c r="H924"/>
      <c r="J924"/>
      <c r="L924"/>
    </row>
    <row r="925" spans="1:12" x14ac:dyDescent="0.35">
      <c r="A925"/>
      <c r="C925"/>
      <c r="F925"/>
      <c r="H925"/>
      <c r="J925"/>
      <c r="L925"/>
    </row>
    <row r="926" spans="1:12" x14ac:dyDescent="0.35">
      <c r="A926"/>
      <c r="C926"/>
      <c r="F926"/>
      <c r="H926"/>
      <c r="J926"/>
      <c r="L926"/>
    </row>
    <row r="927" spans="1:12" x14ac:dyDescent="0.35">
      <c r="A927"/>
      <c r="C927"/>
      <c r="F927"/>
      <c r="H927"/>
      <c r="J927"/>
      <c r="L927"/>
    </row>
    <row r="928" spans="1:12" x14ac:dyDescent="0.35">
      <c r="A928"/>
      <c r="C928"/>
      <c r="F928"/>
      <c r="H928"/>
      <c r="J928"/>
      <c r="L928"/>
    </row>
    <row r="929" spans="1:12" x14ac:dyDescent="0.35">
      <c r="A929"/>
      <c r="C929"/>
      <c r="F929"/>
      <c r="H929"/>
      <c r="J929"/>
      <c r="L929"/>
    </row>
    <row r="930" spans="1:12" x14ac:dyDescent="0.35">
      <c r="A930"/>
      <c r="C930"/>
      <c r="F930"/>
      <c r="H930"/>
      <c r="J930"/>
      <c r="L930"/>
    </row>
    <row r="931" spans="1:12" x14ac:dyDescent="0.35">
      <c r="A931"/>
      <c r="C931"/>
      <c r="F931"/>
      <c r="H931"/>
      <c r="J931"/>
      <c r="L931"/>
    </row>
    <row r="932" spans="1:12" x14ac:dyDescent="0.35">
      <c r="A932"/>
      <c r="C932"/>
      <c r="F932"/>
      <c r="H932"/>
      <c r="J932"/>
      <c r="L932"/>
    </row>
    <row r="933" spans="1:12" x14ac:dyDescent="0.35">
      <c r="A933"/>
      <c r="C933"/>
      <c r="F933"/>
      <c r="H933"/>
      <c r="J933"/>
      <c r="L933"/>
    </row>
    <row r="934" spans="1:12" x14ac:dyDescent="0.35">
      <c r="A934"/>
      <c r="C934"/>
      <c r="F934"/>
      <c r="H934"/>
      <c r="J934"/>
      <c r="L934"/>
    </row>
    <row r="935" spans="1:12" x14ac:dyDescent="0.35">
      <c r="A935"/>
      <c r="C935"/>
      <c r="F935"/>
      <c r="H935"/>
      <c r="J935"/>
      <c r="L935"/>
    </row>
    <row r="936" spans="1:12" x14ac:dyDescent="0.35">
      <c r="A936"/>
      <c r="C936"/>
      <c r="F936"/>
      <c r="H936"/>
      <c r="J936"/>
      <c r="L936"/>
    </row>
    <row r="937" spans="1:12" x14ac:dyDescent="0.35">
      <c r="A937"/>
      <c r="C937"/>
      <c r="F937"/>
      <c r="H937"/>
      <c r="J937"/>
      <c r="L937"/>
    </row>
    <row r="938" spans="1:12" x14ac:dyDescent="0.35">
      <c r="A938"/>
      <c r="C938"/>
      <c r="F938"/>
      <c r="H938"/>
      <c r="J938"/>
      <c r="L938"/>
    </row>
    <row r="939" spans="1:12" x14ac:dyDescent="0.35">
      <c r="A939"/>
      <c r="C939"/>
      <c r="F939"/>
      <c r="H939"/>
      <c r="J939"/>
      <c r="L939"/>
    </row>
    <row r="940" spans="1:12" x14ac:dyDescent="0.35">
      <c r="A940"/>
      <c r="C940"/>
      <c r="F940"/>
      <c r="H940"/>
      <c r="J940"/>
      <c r="L940"/>
    </row>
    <row r="941" spans="1:12" x14ac:dyDescent="0.35">
      <c r="A941"/>
      <c r="C941"/>
      <c r="F941"/>
      <c r="H941"/>
      <c r="J941"/>
      <c r="L941"/>
    </row>
    <row r="942" spans="1:12" x14ac:dyDescent="0.35">
      <c r="A942"/>
      <c r="C942"/>
      <c r="F942"/>
      <c r="H942"/>
      <c r="J942"/>
      <c r="L942"/>
    </row>
    <row r="943" spans="1:12" x14ac:dyDescent="0.35">
      <c r="A943"/>
      <c r="C943"/>
      <c r="F943"/>
      <c r="H943"/>
      <c r="J943"/>
      <c r="L943"/>
    </row>
    <row r="944" spans="1:12" x14ac:dyDescent="0.35">
      <c r="A944"/>
      <c r="C944"/>
      <c r="F944"/>
      <c r="H944"/>
      <c r="J944"/>
      <c r="L944"/>
    </row>
    <row r="945" spans="1:12" x14ac:dyDescent="0.35">
      <c r="A945"/>
      <c r="C945"/>
      <c r="F945"/>
      <c r="H945"/>
      <c r="J945"/>
      <c r="L945"/>
    </row>
    <row r="946" spans="1:12" x14ac:dyDescent="0.35">
      <c r="A946"/>
      <c r="C946"/>
      <c r="F946"/>
      <c r="H946"/>
      <c r="J946"/>
      <c r="L946"/>
    </row>
    <row r="947" spans="1:12" x14ac:dyDescent="0.35">
      <c r="A947"/>
      <c r="C947"/>
      <c r="F947"/>
      <c r="H947"/>
      <c r="J947"/>
      <c r="L947"/>
    </row>
    <row r="948" spans="1:12" x14ac:dyDescent="0.35">
      <c r="A948"/>
      <c r="C948"/>
      <c r="F948"/>
      <c r="H948"/>
      <c r="J948"/>
      <c r="L948"/>
    </row>
    <row r="949" spans="1:12" x14ac:dyDescent="0.35">
      <c r="A949"/>
      <c r="C949"/>
      <c r="F949"/>
      <c r="H949"/>
      <c r="J949"/>
      <c r="L949"/>
    </row>
    <row r="950" spans="1:12" x14ac:dyDescent="0.35">
      <c r="A950"/>
      <c r="C950"/>
      <c r="F950"/>
      <c r="H950"/>
      <c r="J950"/>
      <c r="L950"/>
    </row>
    <row r="951" spans="1:12" x14ac:dyDescent="0.35">
      <c r="A951"/>
      <c r="C951"/>
      <c r="F951"/>
      <c r="H951"/>
      <c r="J951"/>
      <c r="L951"/>
    </row>
    <row r="952" spans="1:12" x14ac:dyDescent="0.35">
      <c r="A952"/>
      <c r="C952"/>
      <c r="F952"/>
      <c r="H952"/>
      <c r="J952"/>
      <c r="L952"/>
    </row>
    <row r="953" spans="1:12" x14ac:dyDescent="0.35">
      <c r="A953"/>
      <c r="C953"/>
      <c r="F953"/>
      <c r="H953"/>
      <c r="J953"/>
      <c r="L953"/>
    </row>
    <row r="954" spans="1:12" x14ac:dyDescent="0.35">
      <c r="A954"/>
      <c r="C954"/>
      <c r="F954"/>
      <c r="H954"/>
      <c r="J954"/>
      <c r="L954"/>
    </row>
    <row r="955" spans="1:12" x14ac:dyDescent="0.35">
      <c r="A955"/>
      <c r="C955"/>
      <c r="F955"/>
      <c r="H955"/>
      <c r="J955"/>
      <c r="L955"/>
    </row>
    <row r="956" spans="1:12" x14ac:dyDescent="0.35">
      <c r="A956"/>
      <c r="C956"/>
      <c r="F956"/>
      <c r="H956"/>
      <c r="J956"/>
      <c r="L956"/>
    </row>
    <row r="957" spans="1:12" x14ac:dyDescent="0.35">
      <c r="A957"/>
      <c r="C957"/>
      <c r="F957"/>
      <c r="H957"/>
      <c r="J957"/>
      <c r="L957"/>
    </row>
    <row r="958" spans="1:12" x14ac:dyDescent="0.35">
      <c r="A958"/>
      <c r="C958"/>
      <c r="F958"/>
      <c r="H958"/>
      <c r="J958"/>
      <c r="L958"/>
    </row>
    <row r="959" spans="1:12" x14ac:dyDescent="0.35">
      <c r="A959"/>
      <c r="C959"/>
      <c r="F959"/>
      <c r="H959"/>
      <c r="J959"/>
      <c r="L959"/>
    </row>
    <row r="960" spans="1:12" x14ac:dyDescent="0.35">
      <c r="A960"/>
      <c r="C960"/>
      <c r="F960"/>
      <c r="H960"/>
      <c r="J960"/>
      <c r="L960"/>
    </row>
    <row r="961" spans="1:12" x14ac:dyDescent="0.35">
      <c r="A961"/>
      <c r="C961"/>
      <c r="F961"/>
      <c r="H961"/>
      <c r="J961"/>
      <c r="L961"/>
    </row>
    <row r="962" spans="1:12" x14ac:dyDescent="0.35">
      <c r="A962"/>
      <c r="C962"/>
      <c r="F962"/>
      <c r="H962"/>
      <c r="J962"/>
      <c r="L962"/>
    </row>
    <row r="963" spans="1:12" x14ac:dyDescent="0.35">
      <c r="A963"/>
      <c r="C963"/>
      <c r="F963"/>
      <c r="H963"/>
      <c r="J963"/>
      <c r="L963"/>
    </row>
    <row r="964" spans="1:12" x14ac:dyDescent="0.35">
      <c r="A964"/>
      <c r="C964"/>
      <c r="F964"/>
      <c r="H964"/>
      <c r="J964"/>
      <c r="L964"/>
    </row>
    <row r="965" spans="1:12" x14ac:dyDescent="0.35">
      <c r="A965"/>
      <c r="C965"/>
      <c r="F965"/>
      <c r="H965"/>
      <c r="J965"/>
      <c r="L965"/>
    </row>
    <row r="966" spans="1:12" x14ac:dyDescent="0.35">
      <c r="A966"/>
      <c r="C966"/>
      <c r="F966"/>
      <c r="H966"/>
      <c r="J966"/>
      <c r="L966"/>
    </row>
    <row r="967" spans="1:12" x14ac:dyDescent="0.35">
      <c r="A967"/>
      <c r="C967"/>
      <c r="F967"/>
      <c r="H967"/>
      <c r="J967"/>
      <c r="L967"/>
    </row>
    <row r="968" spans="1:12" x14ac:dyDescent="0.35">
      <c r="A968"/>
      <c r="C968"/>
      <c r="F968"/>
      <c r="H968"/>
      <c r="J968"/>
      <c r="L968"/>
    </row>
    <row r="969" spans="1:12" x14ac:dyDescent="0.35">
      <c r="A969"/>
      <c r="C969"/>
      <c r="F969"/>
      <c r="H969"/>
      <c r="J969"/>
      <c r="L969"/>
    </row>
    <row r="970" spans="1:12" x14ac:dyDescent="0.35">
      <c r="A970"/>
      <c r="C970"/>
      <c r="F970"/>
      <c r="H970"/>
      <c r="J970"/>
      <c r="L970"/>
    </row>
    <row r="971" spans="1:12" x14ac:dyDescent="0.35">
      <c r="A971"/>
      <c r="C971"/>
      <c r="F971"/>
      <c r="H971"/>
      <c r="J971"/>
      <c r="L971"/>
    </row>
    <row r="972" spans="1:12" x14ac:dyDescent="0.35">
      <c r="A972"/>
      <c r="C972"/>
      <c r="F972"/>
      <c r="H972"/>
      <c r="J972"/>
      <c r="L972"/>
    </row>
    <row r="973" spans="1:12" x14ac:dyDescent="0.35">
      <c r="A973"/>
      <c r="C973"/>
      <c r="F973"/>
      <c r="H973"/>
      <c r="J973"/>
      <c r="L973"/>
    </row>
    <row r="974" spans="1:12" x14ac:dyDescent="0.35">
      <c r="A974"/>
      <c r="C974"/>
      <c r="F974"/>
      <c r="H974"/>
      <c r="J974"/>
      <c r="L974"/>
    </row>
    <row r="975" spans="1:12" x14ac:dyDescent="0.35">
      <c r="A975"/>
      <c r="C975"/>
      <c r="F975"/>
      <c r="H975"/>
      <c r="J975"/>
      <c r="L975"/>
    </row>
    <row r="976" spans="1:12" x14ac:dyDescent="0.35">
      <c r="A976"/>
      <c r="C976"/>
      <c r="F976"/>
      <c r="H976"/>
      <c r="J976"/>
      <c r="L976"/>
    </row>
    <row r="977" spans="1:12" x14ac:dyDescent="0.35">
      <c r="A977"/>
      <c r="C977"/>
      <c r="F977"/>
      <c r="H977"/>
      <c r="J977"/>
      <c r="L977"/>
    </row>
    <row r="978" spans="1:12" x14ac:dyDescent="0.35">
      <c r="A978"/>
      <c r="C978"/>
      <c r="F978"/>
      <c r="H978"/>
      <c r="J978"/>
      <c r="L978"/>
    </row>
    <row r="979" spans="1:12" x14ac:dyDescent="0.35">
      <c r="A979"/>
      <c r="C979"/>
      <c r="F979"/>
      <c r="H979"/>
      <c r="J979"/>
      <c r="L979"/>
    </row>
    <row r="980" spans="1:12" x14ac:dyDescent="0.35">
      <c r="A980"/>
      <c r="C980"/>
      <c r="F980"/>
      <c r="H980"/>
      <c r="J980"/>
      <c r="L980"/>
    </row>
    <row r="981" spans="1:12" x14ac:dyDescent="0.35">
      <c r="A981"/>
      <c r="C981"/>
      <c r="F981"/>
      <c r="H981"/>
      <c r="J981"/>
      <c r="L981"/>
    </row>
    <row r="982" spans="1:12" x14ac:dyDescent="0.35">
      <c r="A982"/>
      <c r="C982"/>
      <c r="F982"/>
      <c r="H982"/>
      <c r="J982"/>
      <c r="L982"/>
    </row>
    <row r="983" spans="1:12" x14ac:dyDescent="0.35">
      <c r="A983"/>
      <c r="C983"/>
      <c r="F983"/>
      <c r="H983"/>
      <c r="J983"/>
      <c r="L983"/>
    </row>
    <row r="984" spans="1:12" x14ac:dyDescent="0.35">
      <c r="A984"/>
      <c r="C984"/>
      <c r="F984"/>
      <c r="H984"/>
      <c r="J984"/>
      <c r="L984"/>
    </row>
    <row r="985" spans="1:12" x14ac:dyDescent="0.35">
      <c r="A985"/>
      <c r="C985"/>
      <c r="F985"/>
      <c r="H985"/>
      <c r="J985"/>
      <c r="L985"/>
    </row>
    <row r="986" spans="1:12" x14ac:dyDescent="0.35">
      <c r="A986"/>
      <c r="C986"/>
      <c r="F986"/>
      <c r="H986"/>
      <c r="J986"/>
      <c r="L986"/>
    </row>
    <row r="987" spans="1:12" x14ac:dyDescent="0.35">
      <c r="A987"/>
      <c r="C987"/>
      <c r="F987"/>
      <c r="H987"/>
      <c r="J987"/>
      <c r="L987"/>
    </row>
    <row r="988" spans="1:12" x14ac:dyDescent="0.35">
      <c r="A988"/>
      <c r="C988"/>
      <c r="F988"/>
      <c r="H988"/>
      <c r="J988"/>
      <c r="L988"/>
    </row>
    <row r="989" spans="1:12" x14ac:dyDescent="0.35">
      <c r="A989"/>
      <c r="C989"/>
      <c r="F989"/>
      <c r="H989"/>
      <c r="J989"/>
      <c r="L989"/>
    </row>
    <row r="990" spans="1:12" x14ac:dyDescent="0.35">
      <c r="A990"/>
      <c r="C990"/>
      <c r="F990"/>
      <c r="H990"/>
      <c r="J990"/>
      <c r="L990"/>
    </row>
    <row r="991" spans="1:12" x14ac:dyDescent="0.35">
      <c r="A991"/>
      <c r="C991"/>
      <c r="F991"/>
      <c r="H991"/>
      <c r="J991"/>
      <c r="L991"/>
    </row>
    <row r="992" spans="1:12" x14ac:dyDescent="0.35">
      <c r="A992"/>
      <c r="C992"/>
      <c r="F992"/>
      <c r="H992"/>
      <c r="J992"/>
      <c r="L992"/>
    </row>
    <row r="993" spans="1:12" x14ac:dyDescent="0.35">
      <c r="A993"/>
      <c r="C993"/>
      <c r="F993"/>
      <c r="H993"/>
      <c r="J993"/>
      <c r="L993"/>
    </row>
    <row r="994" spans="1:12" x14ac:dyDescent="0.35">
      <c r="A994"/>
      <c r="C994"/>
      <c r="F994"/>
      <c r="H994"/>
      <c r="J994"/>
      <c r="L994"/>
    </row>
    <row r="995" spans="1:12" x14ac:dyDescent="0.35">
      <c r="A995"/>
      <c r="C995"/>
      <c r="F995"/>
      <c r="H995"/>
      <c r="J995"/>
      <c r="L995"/>
    </row>
    <row r="996" spans="1:12" x14ac:dyDescent="0.35">
      <c r="A996"/>
      <c r="C996"/>
      <c r="F996"/>
      <c r="H996"/>
      <c r="J996"/>
      <c r="L996"/>
    </row>
    <row r="997" spans="1:12" x14ac:dyDescent="0.35">
      <c r="A997"/>
      <c r="C997"/>
      <c r="F997"/>
      <c r="H997"/>
      <c r="J997"/>
      <c r="L997"/>
    </row>
    <row r="998" spans="1:12" x14ac:dyDescent="0.35">
      <c r="A998"/>
      <c r="C998"/>
      <c r="F998"/>
      <c r="H998"/>
      <c r="J998"/>
      <c r="L998"/>
    </row>
    <row r="999" spans="1:12" x14ac:dyDescent="0.35">
      <c r="A999"/>
      <c r="C999"/>
      <c r="F999"/>
      <c r="H999"/>
      <c r="J999"/>
      <c r="L999"/>
    </row>
    <row r="1000" spans="1:12" x14ac:dyDescent="0.35">
      <c r="A1000"/>
      <c r="C1000"/>
      <c r="F1000"/>
      <c r="H1000"/>
      <c r="J1000"/>
      <c r="L1000"/>
    </row>
    <row r="1001" spans="1:12" x14ac:dyDescent="0.35">
      <c r="A1001"/>
      <c r="C1001"/>
      <c r="F1001"/>
      <c r="H1001"/>
      <c r="J1001"/>
      <c r="L1001"/>
    </row>
    <row r="1002" spans="1:12" x14ac:dyDescent="0.35">
      <c r="A1002"/>
      <c r="C1002"/>
      <c r="F1002"/>
      <c r="H1002"/>
      <c r="J1002"/>
      <c r="L1002"/>
    </row>
    <row r="1003" spans="1:12" x14ac:dyDescent="0.35">
      <c r="A1003"/>
      <c r="C1003"/>
      <c r="F1003"/>
      <c r="H1003"/>
      <c r="J1003"/>
      <c r="L1003"/>
    </row>
    <row r="1004" spans="1:12" x14ac:dyDescent="0.35">
      <c r="A1004"/>
      <c r="C1004"/>
      <c r="F1004"/>
      <c r="H1004"/>
      <c r="J1004"/>
      <c r="L1004"/>
    </row>
    <row r="1005" spans="1:12" x14ac:dyDescent="0.35">
      <c r="A1005"/>
      <c r="C1005"/>
      <c r="F1005"/>
      <c r="H1005"/>
      <c r="J1005"/>
      <c r="L1005"/>
    </row>
    <row r="1006" spans="1:12" x14ac:dyDescent="0.35">
      <c r="A1006"/>
      <c r="C1006"/>
      <c r="F1006"/>
      <c r="H1006"/>
      <c r="J1006"/>
      <c r="L1006"/>
    </row>
    <row r="1007" spans="1:12" x14ac:dyDescent="0.35">
      <c r="A1007"/>
      <c r="C1007"/>
      <c r="F1007"/>
      <c r="H1007"/>
      <c r="J1007"/>
      <c r="L1007"/>
    </row>
    <row r="1008" spans="1:12" x14ac:dyDescent="0.35">
      <c r="A1008"/>
      <c r="C1008"/>
      <c r="F1008"/>
      <c r="H1008"/>
      <c r="J1008"/>
      <c r="L1008"/>
    </row>
    <row r="1009" spans="1:12" x14ac:dyDescent="0.35">
      <c r="A1009"/>
      <c r="C1009"/>
      <c r="F1009"/>
      <c r="H1009"/>
      <c r="J1009"/>
      <c r="L1009"/>
    </row>
    <row r="1010" spans="1:12" x14ac:dyDescent="0.35">
      <c r="A1010"/>
      <c r="C1010"/>
      <c r="F1010"/>
      <c r="H1010"/>
      <c r="J1010"/>
      <c r="L1010"/>
    </row>
    <row r="1011" spans="1:12" x14ac:dyDescent="0.35">
      <c r="A1011"/>
      <c r="C1011"/>
      <c r="F1011"/>
      <c r="H1011"/>
      <c r="J1011"/>
      <c r="L1011"/>
    </row>
    <row r="1012" spans="1:12" x14ac:dyDescent="0.35">
      <c r="A1012"/>
      <c r="C1012"/>
      <c r="F1012"/>
      <c r="H1012"/>
      <c r="J1012"/>
      <c r="L1012"/>
    </row>
    <row r="1013" spans="1:12" x14ac:dyDescent="0.35">
      <c r="A1013"/>
      <c r="C1013"/>
      <c r="F1013"/>
      <c r="H1013"/>
      <c r="J1013"/>
      <c r="L1013"/>
    </row>
    <row r="1014" spans="1:12" x14ac:dyDescent="0.35">
      <c r="A1014"/>
      <c r="C1014"/>
      <c r="F1014"/>
      <c r="H1014"/>
      <c r="J1014"/>
      <c r="L1014"/>
    </row>
    <row r="1015" spans="1:12" x14ac:dyDescent="0.35">
      <c r="A1015"/>
      <c r="C1015"/>
      <c r="F1015"/>
      <c r="H1015"/>
      <c r="J1015"/>
      <c r="L1015"/>
    </row>
    <row r="1016" spans="1:12" x14ac:dyDescent="0.35">
      <c r="A1016"/>
      <c r="C1016"/>
      <c r="F1016"/>
      <c r="H1016"/>
      <c r="J1016"/>
      <c r="L1016"/>
    </row>
    <row r="1017" spans="1:12" x14ac:dyDescent="0.35">
      <c r="A1017"/>
      <c r="C1017"/>
      <c r="F1017"/>
      <c r="H1017"/>
      <c r="J1017"/>
      <c r="L1017"/>
    </row>
    <row r="1018" spans="1:12" x14ac:dyDescent="0.35">
      <c r="A1018"/>
      <c r="C1018"/>
      <c r="F1018"/>
      <c r="H1018"/>
      <c r="J1018"/>
      <c r="L1018"/>
    </row>
    <row r="1019" spans="1:12" x14ac:dyDescent="0.35">
      <c r="A1019"/>
      <c r="C1019"/>
      <c r="F1019"/>
      <c r="H1019"/>
      <c r="J1019"/>
      <c r="L1019"/>
    </row>
    <row r="1020" spans="1:12" x14ac:dyDescent="0.35">
      <c r="A1020"/>
      <c r="C1020"/>
      <c r="F1020"/>
      <c r="H1020"/>
      <c r="J1020"/>
      <c r="L1020"/>
    </row>
    <row r="1021" spans="1:12" x14ac:dyDescent="0.35">
      <c r="A1021"/>
      <c r="C1021"/>
      <c r="F1021"/>
      <c r="H1021"/>
      <c r="J1021"/>
      <c r="L1021"/>
    </row>
    <row r="1022" spans="1:12" x14ac:dyDescent="0.35">
      <c r="A1022"/>
      <c r="C1022"/>
      <c r="F1022"/>
      <c r="H1022"/>
      <c r="J1022"/>
      <c r="L1022"/>
    </row>
    <row r="1023" spans="1:12" x14ac:dyDescent="0.35">
      <c r="A1023"/>
      <c r="C1023"/>
      <c r="F1023"/>
      <c r="H1023"/>
      <c r="J1023"/>
      <c r="L1023"/>
    </row>
    <row r="1024" spans="1:12" x14ac:dyDescent="0.35">
      <c r="A1024"/>
      <c r="C1024"/>
      <c r="F1024"/>
      <c r="H1024"/>
      <c r="J1024"/>
      <c r="L1024"/>
    </row>
    <row r="1025" spans="1:12" x14ac:dyDescent="0.35">
      <c r="A1025"/>
      <c r="C1025"/>
      <c r="F1025"/>
      <c r="H1025"/>
      <c r="J1025"/>
      <c r="L1025"/>
    </row>
    <row r="1026" spans="1:12" x14ac:dyDescent="0.35">
      <c r="A1026"/>
      <c r="C1026"/>
      <c r="F1026"/>
      <c r="H1026"/>
      <c r="J1026"/>
      <c r="L1026"/>
    </row>
    <row r="1027" spans="1:12" x14ac:dyDescent="0.35">
      <c r="A1027"/>
      <c r="C1027"/>
      <c r="F1027"/>
      <c r="H1027"/>
      <c r="J1027"/>
      <c r="L1027"/>
    </row>
    <row r="1028" spans="1:12" x14ac:dyDescent="0.35">
      <c r="A1028"/>
      <c r="C1028"/>
      <c r="F1028"/>
      <c r="H1028"/>
      <c r="J1028"/>
      <c r="L1028"/>
    </row>
    <row r="1029" spans="1:12" x14ac:dyDescent="0.35">
      <c r="A1029"/>
      <c r="C1029"/>
      <c r="F1029"/>
      <c r="H1029"/>
      <c r="J1029"/>
      <c r="L1029"/>
    </row>
    <row r="1030" spans="1:12" x14ac:dyDescent="0.35">
      <c r="A1030"/>
      <c r="C1030"/>
      <c r="F1030"/>
      <c r="H1030"/>
      <c r="J1030"/>
      <c r="L1030"/>
    </row>
    <row r="1031" spans="1:12" x14ac:dyDescent="0.35">
      <c r="A1031"/>
      <c r="C1031"/>
      <c r="F1031"/>
      <c r="H1031"/>
      <c r="J1031"/>
      <c r="L1031"/>
    </row>
    <row r="1032" spans="1:12" x14ac:dyDescent="0.35">
      <c r="A1032"/>
      <c r="C1032"/>
      <c r="F1032"/>
      <c r="H1032"/>
      <c r="J1032"/>
      <c r="L1032"/>
    </row>
    <row r="1033" spans="1:12" x14ac:dyDescent="0.35">
      <c r="A1033"/>
      <c r="C1033"/>
      <c r="F1033"/>
      <c r="H1033"/>
      <c r="J1033"/>
      <c r="L1033"/>
    </row>
    <row r="1034" spans="1:12" x14ac:dyDescent="0.35">
      <c r="A1034"/>
      <c r="C1034"/>
      <c r="F1034"/>
      <c r="H1034"/>
      <c r="J1034"/>
      <c r="L1034"/>
    </row>
    <row r="1035" spans="1:12" x14ac:dyDescent="0.35">
      <c r="A1035"/>
      <c r="C1035"/>
      <c r="F1035"/>
      <c r="H1035"/>
      <c r="J1035"/>
      <c r="L1035"/>
    </row>
    <row r="1036" spans="1:12" x14ac:dyDescent="0.35">
      <c r="A1036"/>
      <c r="C1036"/>
      <c r="F1036"/>
      <c r="H1036"/>
      <c r="J1036"/>
      <c r="L1036"/>
    </row>
    <row r="1037" spans="1:12" x14ac:dyDescent="0.35">
      <c r="A1037"/>
      <c r="C1037"/>
      <c r="F1037"/>
      <c r="H1037"/>
      <c r="J1037"/>
      <c r="L1037"/>
    </row>
    <row r="1038" spans="1:12" x14ac:dyDescent="0.35">
      <c r="A1038"/>
      <c r="C1038"/>
      <c r="F1038"/>
      <c r="H1038"/>
      <c r="J1038"/>
      <c r="L1038"/>
    </row>
    <row r="1039" spans="1:12" x14ac:dyDescent="0.35">
      <c r="A1039"/>
      <c r="C1039"/>
      <c r="F1039"/>
    </row>
    <row r="1040" spans="1:12" x14ac:dyDescent="0.35">
      <c r="A1040"/>
      <c r="C1040"/>
      <c r="F1040"/>
    </row>
    <row r="1041" spans="1:6" x14ac:dyDescent="0.35">
      <c r="A1041"/>
      <c r="C1041"/>
      <c r="F1041"/>
    </row>
    <row r="1042" spans="1:6" x14ac:dyDescent="0.35">
      <c r="A1042"/>
      <c r="C1042"/>
      <c r="F1042"/>
    </row>
    <row r="1043" spans="1:6" x14ac:dyDescent="0.35">
      <c r="A1043"/>
      <c r="C1043"/>
      <c r="F1043"/>
    </row>
    <row r="1044" spans="1:6" x14ac:dyDescent="0.35">
      <c r="A1044"/>
      <c r="C1044"/>
      <c r="F1044"/>
    </row>
    <row r="1045" spans="1:6" x14ac:dyDescent="0.35">
      <c r="A1045"/>
      <c r="C1045"/>
      <c r="F1045"/>
    </row>
    <row r="1046" spans="1:6" x14ac:dyDescent="0.35">
      <c r="A1046"/>
      <c r="C1046"/>
      <c r="F1046"/>
    </row>
    <row r="1047" spans="1:6" x14ac:dyDescent="0.35">
      <c r="A1047"/>
      <c r="C1047"/>
      <c r="F1047"/>
    </row>
    <row r="1048" spans="1:6" x14ac:dyDescent="0.35">
      <c r="A1048"/>
      <c r="C1048"/>
      <c r="F1048"/>
    </row>
    <row r="1049" spans="1:6" x14ac:dyDescent="0.35">
      <c r="A1049"/>
      <c r="C1049"/>
      <c r="F1049"/>
    </row>
    <row r="1050" spans="1:6" x14ac:dyDescent="0.35">
      <c r="A1050"/>
      <c r="C1050"/>
      <c r="F1050"/>
    </row>
    <row r="1051" spans="1:6" x14ac:dyDescent="0.35">
      <c r="A1051"/>
      <c r="C1051"/>
      <c r="F1051"/>
    </row>
    <row r="1052" spans="1:6" x14ac:dyDescent="0.35">
      <c r="A1052"/>
      <c r="C1052"/>
      <c r="F1052"/>
    </row>
    <row r="1053" spans="1:6" x14ac:dyDescent="0.35">
      <c r="A1053"/>
      <c r="C1053"/>
      <c r="F1053"/>
    </row>
    <row r="1054" spans="1:6" x14ac:dyDescent="0.35">
      <c r="A1054"/>
      <c r="C1054"/>
      <c r="F1054"/>
    </row>
    <row r="1055" spans="1:6" x14ac:dyDescent="0.35">
      <c r="A1055"/>
      <c r="C1055"/>
      <c r="F1055"/>
    </row>
    <row r="1056" spans="1:6" x14ac:dyDescent="0.35">
      <c r="A1056"/>
      <c r="C1056"/>
      <c r="F1056"/>
    </row>
    <row r="1057" spans="1:6" x14ac:dyDescent="0.35">
      <c r="A1057"/>
      <c r="C1057"/>
      <c r="F1057"/>
    </row>
    <row r="1058" spans="1:6" x14ac:dyDescent="0.35">
      <c r="A1058"/>
      <c r="C1058"/>
      <c r="F1058"/>
    </row>
    <row r="1059" spans="1:6" x14ac:dyDescent="0.35">
      <c r="A1059"/>
      <c r="C1059"/>
      <c r="F1059"/>
    </row>
    <row r="1060" spans="1:6" x14ac:dyDescent="0.35">
      <c r="A1060"/>
      <c r="C1060"/>
      <c r="F1060"/>
    </row>
    <row r="1061" spans="1:6" x14ac:dyDescent="0.35">
      <c r="A1061"/>
      <c r="C1061"/>
      <c r="F1061"/>
    </row>
    <row r="1062" spans="1:6" x14ac:dyDescent="0.35">
      <c r="A1062"/>
      <c r="C1062"/>
      <c r="F1062"/>
    </row>
    <row r="1063" spans="1:6" x14ac:dyDescent="0.35">
      <c r="A1063"/>
      <c r="C1063"/>
      <c r="F1063"/>
    </row>
    <row r="1064" spans="1:6" x14ac:dyDescent="0.35">
      <c r="A1064"/>
      <c r="C1064"/>
      <c r="F1064"/>
    </row>
    <row r="1065" spans="1:6" x14ac:dyDescent="0.35">
      <c r="A1065"/>
      <c r="C1065"/>
      <c r="F1065"/>
    </row>
    <row r="1066" spans="1:6" x14ac:dyDescent="0.35">
      <c r="A1066"/>
      <c r="C1066"/>
      <c r="F1066"/>
    </row>
    <row r="1067" spans="1:6" x14ac:dyDescent="0.35">
      <c r="A1067"/>
      <c r="C1067"/>
      <c r="F1067"/>
    </row>
    <row r="1068" spans="1:6" x14ac:dyDescent="0.35">
      <c r="A1068"/>
      <c r="C1068"/>
      <c r="F1068"/>
    </row>
    <row r="1069" spans="1:6" x14ac:dyDescent="0.35">
      <c r="A1069"/>
      <c r="C1069"/>
      <c r="F1069"/>
    </row>
    <row r="1070" spans="1:6" x14ac:dyDescent="0.35">
      <c r="A1070"/>
      <c r="C1070"/>
      <c r="F1070"/>
    </row>
    <row r="1071" spans="1:6" x14ac:dyDescent="0.35">
      <c r="A1071"/>
      <c r="C1071"/>
      <c r="F1071"/>
    </row>
    <row r="1072" spans="1:6" x14ac:dyDescent="0.35">
      <c r="A1072"/>
      <c r="C1072"/>
      <c r="F1072"/>
    </row>
    <row r="1073" spans="1:6" x14ac:dyDescent="0.35">
      <c r="A1073"/>
      <c r="C1073"/>
      <c r="F1073"/>
    </row>
    <row r="1074" spans="1:6" x14ac:dyDescent="0.35">
      <c r="A1074"/>
      <c r="C1074"/>
      <c r="F1074"/>
    </row>
    <row r="1075" spans="1:6" x14ac:dyDescent="0.35">
      <c r="A1075"/>
      <c r="C1075"/>
      <c r="F1075"/>
    </row>
    <row r="1076" spans="1:6" x14ac:dyDescent="0.35">
      <c r="A1076"/>
      <c r="C1076"/>
      <c r="F1076"/>
    </row>
    <row r="1077" spans="1:6" x14ac:dyDescent="0.35">
      <c r="A1077"/>
      <c r="C1077"/>
      <c r="F1077"/>
    </row>
    <row r="1078" spans="1:6" x14ac:dyDescent="0.35">
      <c r="A1078"/>
      <c r="C1078"/>
      <c r="F1078"/>
    </row>
    <row r="1079" spans="1:6" x14ac:dyDescent="0.35">
      <c r="A1079"/>
      <c r="C1079"/>
      <c r="F1079"/>
    </row>
    <row r="1080" spans="1:6" x14ac:dyDescent="0.35">
      <c r="A1080"/>
      <c r="C1080"/>
      <c r="F1080"/>
    </row>
    <row r="1081" spans="1:6" x14ac:dyDescent="0.35">
      <c r="A1081"/>
      <c r="C1081"/>
      <c r="F1081"/>
    </row>
    <row r="1082" spans="1:6" x14ac:dyDescent="0.35">
      <c r="A1082"/>
      <c r="C1082"/>
      <c r="F1082"/>
    </row>
    <row r="1083" spans="1:6" x14ac:dyDescent="0.35">
      <c r="A1083"/>
      <c r="C1083"/>
      <c r="F1083"/>
    </row>
    <row r="1084" spans="1:6" x14ac:dyDescent="0.35">
      <c r="A1084"/>
      <c r="C1084"/>
      <c r="F1084"/>
    </row>
    <row r="1085" spans="1:6" x14ac:dyDescent="0.35">
      <c r="A1085"/>
      <c r="C1085"/>
      <c r="F1085"/>
    </row>
    <row r="1086" spans="1:6" x14ac:dyDescent="0.35">
      <c r="A1086"/>
      <c r="C1086"/>
      <c r="F1086"/>
    </row>
    <row r="1087" spans="1:6" x14ac:dyDescent="0.35">
      <c r="A1087"/>
      <c r="C1087"/>
      <c r="F1087"/>
    </row>
    <row r="1088" spans="1:6" x14ac:dyDescent="0.35">
      <c r="A1088"/>
      <c r="C1088"/>
      <c r="F1088"/>
    </row>
    <row r="1089" spans="1:6" x14ac:dyDescent="0.35">
      <c r="A1089"/>
      <c r="C1089"/>
      <c r="F1089"/>
    </row>
    <row r="1090" spans="1:6" x14ac:dyDescent="0.35">
      <c r="A1090"/>
      <c r="C1090"/>
      <c r="F1090"/>
    </row>
    <row r="1091" spans="1:6" x14ac:dyDescent="0.35">
      <c r="A1091"/>
      <c r="C1091"/>
      <c r="F1091"/>
    </row>
    <row r="1092" spans="1:6" x14ac:dyDescent="0.35">
      <c r="A1092"/>
      <c r="C1092"/>
      <c r="F1092"/>
    </row>
    <row r="1093" spans="1:6" x14ac:dyDescent="0.35">
      <c r="A1093"/>
      <c r="C1093"/>
      <c r="F1093"/>
    </row>
    <row r="1094" spans="1:6" x14ac:dyDescent="0.35">
      <c r="A1094"/>
      <c r="C1094"/>
      <c r="F1094"/>
    </row>
    <row r="1095" spans="1:6" x14ac:dyDescent="0.35">
      <c r="A1095"/>
      <c r="C1095"/>
      <c r="F1095"/>
    </row>
    <row r="1096" spans="1:6" x14ac:dyDescent="0.35">
      <c r="A1096"/>
      <c r="C1096"/>
      <c r="F1096"/>
    </row>
    <row r="1097" spans="1:6" x14ac:dyDescent="0.35">
      <c r="A1097"/>
      <c r="C1097"/>
      <c r="F1097"/>
    </row>
    <row r="1098" spans="1:6" x14ac:dyDescent="0.35">
      <c r="A1098"/>
      <c r="C1098"/>
      <c r="F1098"/>
    </row>
    <row r="1099" spans="1:6" x14ac:dyDescent="0.35">
      <c r="A1099"/>
      <c r="C1099"/>
      <c r="F1099"/>
    </row>
    <row r="1100" spans="1:6" x14ac:dyDescent="0.35">
      <c r="A1100"/>
      <c r="C1100"/>
      <c r="F1100"/>
    </row>
    <row r="1101" spans="1:6" x14ac:dyDescent="0.35">
      <c r="A1101"/>
      <c r="C1101"/>
      <c r="F1101"/>
    </row>
    <row r="1102" spans="1:6" x14ac:dyDescent="0.35">
      <c r="A1102"/>
      <c r="C1102"/>
      <c r="F1102"/>
    </row>
    <row r="1103" spans="1:6" x14ac:dyDescent="0.35">
      <c r="A1103"/>
      <c r="C1103"/>
      <c r="F1103"/>
    </row>
    <row r="1104" spans="1:6" x14ac:dyDescent="0.35">
      <c r="A1104"/>
      <c r="C1104"/>
      <c r="F1104"/>
    </row>
    <row r="1105" spans="1:6" x14ac:dyDescent="0.35">
      <c r="A1105"/>
      <c r="C1105"/>
      <c r="F1105"/>
    </row>
    <row r="1106" spans="1:6" x14ac:dyDescent="0.35">
      <c r="A1106"/>
      <c r="C1106"/>
      <c r="F1106"/>
    </row>
    <row r="1107" spans="1:6" x14ac:dyDescent="0.35">
      <c r="A1107"/>
      <c r="C1107"/>
      <c r="F1107"/>
    </row>
    <row r="1108" spans="1:6" x14ac:dyDescent="0.35">
      <c r="A1108"/>
      <c r="C1108"/>
      <c r="F1108"/>
    </row>
    <row r="1109" spans="1:6" x14ac:dyDescent="0.35">
      <c r="A1109"/>
      <c r="C1109"/>
      <c r="F1109"/>
    </row>
    <row r="1110" spans="1:6" x14ac:dyDescent="0.35">
      <c r="A1110"/>
      <c r="C1110"/>
      <c r="F1110"/>
    </row>
    <row r="1111" spans="1:6" x14ac:dyDescent="0.35">
      <c r="A1111"/>
      <c r="C1111"/>
      <c r="F1111"/>
    </row>
    <row r="1112" spans="1:6" x14ac:dyDescent="0.35">
      <c r="A1112"/>
      <c r="C1112"/>
      <c r="F1112"/>
    </row>
    <row r="1113" spans="1:6" x14ac:dyDescent="0.35">
      <c r="A1113"/>
      <c r="C1113"/>
      <c r="F1113"/>
    </row>
    <row r="1114" spans="1:6" x14ac:dyDescent="0.35">
      <c r="A1114"/>
      <c r="C1114"/>
      <c r="F1114"/>
    </row>
    <row r="1115" spans="1:6" x14ac:dyDescent="0.35">
      <c r="A1115"/>
      <c r="C1115"/>
      <c r="F1115"/>
    </row>
    <row r="1116" spans="1:6" x14ac:dyDescent="0.35">
      <c r="A1116"/>
      <c r="C1116"/>
      <c r="F1116"/>
    </row>
    <row r="1117" spans="1:6" x14ac:dyDescent="0.35">
      <c r="A1117"/>
      <c r="C1117"/>
      <c r="F1117"/>
    </row>
    <row r="1118" spans="1:6" x14ac:dyDescent="0.35">
      <c r="A1118"/>
      <c r="C1118"/>
      <c r="F1118"/>
    </row>
    <row r="1119" spans="1:6" x14ac:dyDescent="0.35">
      <c r="A1119"/>
      <c r="C1119"/>
      <c r="F1119"/>
    </row>
    <row r="1120" spans="1:6" x14ac:dyDescent="0.35">
      <c r="A1120"/>
      <c r="C1120"/>
      <c r="F1120"/>
    </row>
    <row r="1121" spans="1:6" x14ac:dyDescent="0.35">
      <c r="A1121"/>
      <c r="C1121"/>
      <c r="F1121"/>
    </row>
    <row r="1122" spans="1:6" x14ac:dyDescent="0.35">
      <c r="A1122"/>
      <c r="C1122"/>
      <c r="F1122"/>
    </row>
    <row r="1123" spans="1:6" x14ac:dyDescent="0.35">
      <c r="A1123"/>
      <c r="C1123"/>
      <c r="F1123"/>
    </row>
    <row r="1124" spans="1:6" x14ac:dyDescent="0.35">
      <c r="A1124"/>
      <c r="C1124"/>
      <c r="F1124"/>
    </row>
    <row r="1125" spans="1:6" x14ac:dyDescent="0.35">
      <c r="A1125"/>
      <c r="C1125"/>
      <c r="F1125"/>
    </row>
    <row r="1126" spans="1:6" x14ac:dyDescent="0.35">
      <c r="A1126"/>
      <c r="C1126"/>
      <c r="F1126"/>
    </row>
    <row r="1127" spans="1:6" x14ac:dyDescent="0.35">
      <c r="A1127"/>
      <c r="C1127"/>
      <c r="F1127"/>
    </row>
    <row r="1128" spans="1:6" x14ac:dyDescent="0.35">
      <c r="A1128"/>
      <c r="C1128"/>
      <c r="F1128"/>
    </row>
    <row r="1129" spans="1:6" x14ac:dyDescent="0.35">
      <c r="A1129"/>
      <c r="C1129"/>
      <c r="F1129"/>
    </row>
    <row r="1130" spans="1:6" x14ac:dyDescent="0.35">
      <c r="A1130"/>
      <c r="C1130"/>
      <c r="F1130"/>
    </row>
    <row r="1131" spans="1:6" x14ac:dyDescent="0.35">
      <c r="A1131"/>
      <c r="C1131"/>
      <c r="F1131"/>
    </row>
    <row r="1132" spans="1:6" x14ac:dyDescent="0.35">
      <c r="A1132"/>
      <c r="C1132"/>
      <c r="F1132"/>
    </row>
    <row r="1133" spans="1:6" x14ac:dyDescent="0.35">
      <c r="A1133"/>
      <c r="C1133"/>
      <c r="F1133"/>
    </row>
    <row r="1134" spans="1:6" x14ac:dyDescent="0.35">
      <c r="A1134"/>
      <c r="C1134"/>
      <c r="F1134"/>
    </row>
    <row r="1135" spans="1:6" x14ac:dyDescent="0.35">
      <c r="A1135"/>
      <c r="C1135"/>
      <c r="F1135"/>
    </row>
    <row r="1136" spans="1:6" x14ac:dyDescent="0.35">
      <c r="A1136"/>
      <c r="C1136"/>
      <c r="F1136"/>
    </row>
    <row r="1137" spans="1:6" x14ac:dyDescent="0.35">
      <c r="A1137"/>
      <c r="C1137"/>
      <c r="F1137"/>
    </row>
    <row r="1138" spans="1:6" x14ac:dyDescent="0.35">
      <c r="A1138"/>
      <c r="C1138"/>
      <c r="F1138"/>
    </row>
    <row r="1139" spans="1:6" x14ac:dyDescent="0.35">
      <c r="A1139"/>
      <c r="C1139"/>
      <c r="F1139"/>
    </row>
    <row r="1140" spans="1:6" x14ac:dyDescent="0.35">
      <c r="A1140"/>
      <c r="C1140"/>
      <c r="F1140"/>
    </row>
    <row r="1141" spans="1:6" x14ac:dyDescent="0.35">
      <c r="A1141"/>
      <c r="C1141"/>
      <c r="F1141"/>
    </row>
    <row r="1142" spans="1:6" x14ac:dyDescent="0.35">
      <c r="A1142"/>
      <c r="C1142"/>
      <c r="F1142"/>
    </row>
    <row r="1143" spans="1:6" x14ac:dyDescent="0.35">
      <c r="A1143"/>
      <c r="C1143"/>
      <c r="F1143"/>
    </row>
    <row r="1144" spans="1:6" x14ac:dyDescent="0.35">
      <c r="A1144"/>
      <c r="C1144"/>
      <c r="F1144"/>
    </row>
    <row r="1145" spans="1:6" x14ac:dyDescent="0.35">
      <c r="A1145"/>
      <c r="C1145"/>
      <c r="F1145"/>
    </row>
    <row r="1146" spans="1:6" x14ac:dyDescent="0.35">
      <c r="A1146"/>
      <c r="C1146"/>
      <c r="F1146"/>
    </row>
    <row r="1147" spans="1:6" x14ac:dyDescent="0.35">
      <c r="A1147"/>
      <c r="C1147"/>
      <c r="F1147"/>
    </row>
    <row r="1148" spans="1:6" x14ac:dyDescent="0.35">
      <c r="A1148"/>
      <c r="C1148"/>
      <c r="F1148"/>
    </row>
    <row r="1149" spans="1:6" x14ac:dyDescent="0.35">
      <c r="A1149"/>
      <c r="C1149"/>
      <c r="F1149"/>
    </row>
    <row r="1150" spans="1:6" x14ac:dyDescent="0.35">
      <c r="A1150"/>
      <c r="C1150"/>
      <c r="F1150"/>
    </row>
    <row r="1151" spans="1:6" x14ac:dyDescent="0.35">
      <c r="A1151"/>
      <c r="C1151"/>
      <c r="F1151"/>
    </row>
    <row r="1152" spans="1:6" x14ac:dyDescent="0.35">
      <c r="A1152"/>
      <c r="C1152"/>
      <c r="F1152"/>
    </row>
    <row r="1153" spans="1:6" x14ac:dyDescent="0.35">
      <c r="A1153"/>
      <c r="C1153"/>
      <c r="F1153"/>
    </row>
    <row r="1154" spans="1:6" x14ac:dyDescent="0.35">
      <c r="A1154"/>
      <c r="C1154"/>
      <c r="F1154"/>
    </row>
    <row r="1155" spans="1:6" x14ac:dyDescent="0.35">
      <c r="A1155"/>
      <c r="C1155"/>
      <c r="F1155"/>
    </row>
    <row r="1156" spans="1:6" x14ac:dyDescent="0.35">
      <c r="A1156"/>
      <c r="C1156"/>
      <c r="F1156"/>
    </row>
    <row r="1157" spans="1:6" x14ac:dyDescent="0.35">
      <c r="A1157"/>
      <c r="C1157"/>
      <c r="F1157"/>
    </row>
    <row r="1158" spans="1:6" x14ac:dyDescent="0.35">
      <c r="A1158"/>
      <c r="C1158"/>
      <c r="F1158"/>
    </row>
    <row r="1159" spans="1:6" x14ac:dyDescent="0.35">
      <c r="A1159"/>
      <c r="C1159"/>
      <c r="F1159"/>
    </row>
    <row r="1160" spans="1:6" x14ac:dyDescent="0.35">
      <c r="A1160"/>
      <c r="C1160"/>
      <c r="F1160"/>
    </row>
    <row r="1161" spans="1:6" x14ac:dyDescent="0.35">
      <c r="A1161"/>
      <c r="C1161"/>
      <c r="F1161"/>
    </row>
    <row r="1162" spans="1:6" x14ac:dyDescent="0.35">
      <c r="A1162"/>
      <c r="C1162"/>
      <c r="F1162"/>
    </row>
    <row r="1163" spans="1:6" x14ac:dyDescent="0.35">
      <c r="A1163"/>
      <c r="C1163"/>
      <c r="F1163"/>
    </row>
    <row r="1164" spans="1:6" x14ac:dyDescent="0.35">
      <c r="A1164"/>
      <c r="C1164"/>
      <c r="F1164"/>
    </row>
    <row r="1165" spans="1:6" x14ac:dyDescent="0.35">
      <c r="A1165"/>
      <c r="C1165"/>
      <c r="F1165"/>
    </row>
    <row r="1166" spans="1:6" x14ac:dyDescent="0.35">
      <c r="A1166"/>
      <c r="C1166"/>
      <c r="F1166"/>
    </row>
    <row r="1167" spans="1:6" x14ac:dyDescent="0.35">
      <c r="A1167"/>
      <c r="C1167"/>
      <c r="F1167"/>
    </row>
    <row r="1168" spans="1:6" x14ac:dyDescent="0.35">
      <c r="A1168"/>
      <c r="C1168"/>
      <c r="F1168"/>
    </row>
    <row r="1169" spans="1:6" x14ac:dyDescent="0.35">
      <c r="A1169"/>
      <c r="C1169"/>
      <c r="F1169"/>
    </row>
    <row r="1170" spans="1:6" x14ac:dyDescent="0.35">
      <c r="A1170"/>
      <c r="C1170"/>
      <c r="F1170"/>
    </row>
    <row r="1171" spans="1:6" x14ac:dyDescent="0.35">
      <c r="A1171"/>
      <c r="C1171"/>
      <c r="F1171"/>
    </row>
    <row r="1172" spans="1:6" x14ac:dyDescent="0.35">
      <c r="A1172"/>
      <c r="C1172"/>
      <c r="F1172"/>
    </row>
    <row r="1173" spans="1:6" x14ac:dyDescent="0.35">
      <c r="A1173"/>
      <c r="C1173"/>
      <c r="F1173"/>
    </row>
    <row r="1174" spans="1:6" x14ac:dyDescent="0.35">
      <c r="A1174"/>
      <c r="C1174"/>
      <c r="F1174"/>
    </row>
    <row r="1175" spans="1:6" x14ac:dyDescent="0.35">
      <c r="A1175"/>
      <c r="C1175"/>
      <c r="F1175"/>
    </row>
    <row r="1176" spans="1:6" x14ac:dyDescent="0.35">
      <c r="A1176"/>
      <c r="C1176"/>
      <c r="F1176"/>
    </row>
    <row r="1177" spans="1:6" x14ac:dyDescent="0.35">
      <c r="A1177"/>
      <c r="C1177"/>
      <c r="F1177"/>
    </row>
    <row r="1178" spans="1:6" x14ac:dyDescent="0.35">
      <c r="A1178"/>
      <c r="C1178"/>
      <c r="F1178"/>
    </row>
    <row r="1179" spans="1:6" x14ac:dyDescent="0.35">
      <c r="A1179"/>
      <c r="C1179"/>
      <c r="F1179"/>
    </row>
    <row r="1180" spans="1:6" x14ac:dyDescent="0.35">
      <c r="A1180"/>
      <c r="C1180"/>
      <c r="F1180"/>
    </row>
    <row r="1181" spans="1:6" x14ac:dyDescent="0.35">
      <c r="A1181"/>
      <c r="C1181"/>
      <c r="F1181"/>
    </row>
    <row r="1182" spans="1:6" x14ac:dyDescent="0.35">
      <c r="A1182"/>
      <c r="C1182"/>
      <c r="F1182"/>
    </row>
    <row r="1183" spans="1:6" x14ac:dyDescent="0.35">
      <c r="A1183"/>
      <c r="C1183"/>
      <c r="F1183"/>
    </row>
    <row r="1184" spans="1:6" x14ac:dyDescent="0.35">
      <c r="A1184"/>
      <c r="C1184"/>
      <c r="F1184"/>
    </row>
    <row r="1185" spans="1:6" x14ac:dyDescent="0.35">
      <c r="A1185"/>
      <c r="C1185"/>
      <c r="F1185"/>
    </row>
    <row r="1186" spans="1:6" x14ac:dyDescent="0.35">
      <c r="A1186"/>
      <c r="C1186"/>
      <c r="F1186"/>
    </row>
    <row r="1187" spans="1:6" x14ac:dyDescent="0.35">
      <c r="A1187"/>
      <c r="C1187"/>
      <c r="F1187"/>
    </row>
    <row r="1188" spans="1:6" x14ac:dyDescent="0.35">
      <c r="A1188"/>
      <c r="C1188"/>
      <c r="F1188"/>
    </row>
    <row r="1189" spans="1:6" x14ac:dyDescent="0.35">
      <c r="A1189"/>
      <c r="C1189"/>
      <c r="F1189"/>
    </row>
    <row r="1190" spans="1:6" x14ac:dyDescent="0.35">
      <c r="A1190"/>
      <c r="C1190"/>
      <c r="F1190"/>
    </row>
    <row r="1191" spans="1:6" x14ac:dyDescent="0.35">
      <c r="A1191"/>
      <c r="C1191"/>
      <c r="F1191"/>
    </row>
    <row r="1192" spans="1:6" x14ac:dyDescent="0.35">
      <c r="A1192"/>
      <c r="C1192"/>
      <c r="F1192"/>
    </row>
    <row r="1193" spans="1:6" x14ac:dyDescent="0.35">
      <c r="A1193"/>
      <c r="C1193"/>
      <c r="F1193"/>
    </row>
    <row r="1194" spans="1:6" x14ac:dyDescent="0.35">
      <c r="A1194"/>
      <c r="C1194"/>
      <c r="F1194"/>
    </row>
    <row r="1195" spans="1:6" x14ac:dyDescent="0.35">
      <c r="A1195"/>
      <c r="C1195"/>
      <c r="F1195"/>
    </row>
    <row r="1196" spans="1:6" x14ac:dyDescent="0.35">
      <c r="A1196"/>
      <c r="C1196"/>
      <c r="F1196"/>
    </row>
    <row r="1197" spans="1:6" x14ac:dyDescent="0.35">
      <c r="A1197"/>
      <c r="C1197"/>
      <c r="F1197"/>
    </row>
    <row r="1198" spans="1:6" x14ac:dyDescent="0.35">
      <c r="A1198"/>
      <c r="C1198"/>
      <c r="F1198"/>
    </row>
    <row r="1199" spans="1:6" x14ac:dyDescent="0.35">
      <c r="A1199"/>
      <c r="C1199"/>
      <c r="F1199"/>
    </row>
    <row r="1200" spans="1:6" x14ac:dyDescent="0.35">
      <c r="A1200"/>
      <c r="C1200"/>
      <c r="F1200"/>
    </row>
    <row r="1201" spans="1:6" x14ac:dyDescent="0.35">
      <c r="A1201"/>
      <c r="C1201"/>
      <c r="F1201"/>
    </row>
    <row r="1202" spans="1:6" x14ac:dyDescent="0.35">
      <c r="A1202"/>
      <c r="C1202"/>
      <c r="F1202"/>
    </row>
    <row r="1203" spans="1:6" x14ac:dyDescent="0.35">
      <c r="A1203"/>
      <c r="C1203"/>
      <c r="F1203"/>
    </row>
    <row r="1204" spans="1:6" x14ac:dyDescent="0.35">
      <c r="A1204"/>
      <c r="C1204"/>
      <c r="F1204"/>
    </row>
    <row r="1205" spans="1:6" x14ac:dyDescent="0.35">
      <c r="A1205"/>
      <c r="C1205"/>
      <c r="F1205"/>
    </row>
    <row r="1206" spans="1:6" x14ac:dyDescent="0.35">
      <c r="A1206"/>
      <c r="C1206"/>
      <c r="F1206"/>
    </row>
    <row r="1207" spans="1:6" x14ac:dyDescent="0.35">
      <c r="A1207"/>
      <c r="C1207"/>
      <c r="F1207"/>
    </row>
    <row r="1208" spans="1:6" x14ac:dyDescent="0.35">
      <c r="A1208"/>
      <c r="C1208"/>
      <c r="F1208"/>
    </row>
    <row r="1209" spans="1:6" x14ac:dyDescent="0.35">
      <c r="A1209"/>
      <c r="C1209"/>
      <c r="F1209"/>
    </row>
    <row r="1210" spans="1:6" x14ac:dyDescent="0.35">
      <c r="A1210"/>
      <c r="C1210"/>
      <c r="F1210"/>
    </row>
    <row r="1211" spans="1:6" x14ac:dyDescent="0.35">
      <c r="A1211"/>
      <c r="C1211"/>
      <c r="F1211"/>
    </row>
    <row r="1212" spans="1:6" x14ac:dyDescent="0.35">
      <c r="A1212"/>
      <c r="C1212"/>
      <c r="F1212"/>
    </row>
    <row r="1213" spans="1:6" x14ac:dyDescent="0.35">
      <c r="A1213"/>
      <c r="C1213"/>
      <c r="F1213"/>
    </row>
    <row r="1214" spans="1:6" x14ac:dyDescent="0.35">
      <c r="A1214"/>
      <c r="C1214"/>
      <c r="F1214"/>
    </row>
    <row r="1215" spans="1:6" x14ac:dyDescent="0.35">
      <c r="A1215"/>
      <c r="C1215"/>
      <c r="F1215"/>
    </row>
    <row r="1216" spans="1:6" x14ac:dyDescent="0.35">
      <c r="A1216"/>
      <c r="C1216"/>
      <c r="F1216"/>
    </row>
    <row r="1217" spans="1:6" x14ac:dyDescent="0.35">
      <c r="A1217"/>
      <c r="C1217"/>
      <c r="F1217"/>
    </row>
    <row r="1218" spans="1:6" x14ac:dyDescent="0.35">
      <c r="A1218"/>
      <c r="C1218"/>
      <c r="F1218"/>
    </row>
    <row r="1219" spans="1:6" x14ac:dyDescent="0.35">
      <c r="A1219"/>
      <c r="C1219"/>
      <c r="F1219"/>
    </row>
    <row r="1220" spans="1:6" x14ac:dyDescent="0.35">
      <c r="A1220"/>
      <c r="C1220"/>
      <c r="F1220"/>
    </row>
    <row r="1221" spans="1:6" x14ac:dyDescent="0.35">
      <c r="A1221"/>
      <c r="C1221"/>
      <c r="F1221"/>
    </row>
    <row r="1222" spans="1:6" x14ac:dyDescent="0.35">
      <c r="A1222"/>
      <c r="C1222"/>
      <c r="F1222"/>
    </row>
    <row r="1223" spans="1:6" x14ac:dyDescent="0.35">
      <c r="A1223"/>
      <c r="C1223"/>
      <c r="F1223"/>
    </row>
    <row r="1224" spans="1:6" x14ac:dyDescent="0.35">
      <c r="A1224"/>
      <c r="C1224"/>
      <c r="F1224"/>
    </row>
    <row r="1225" spans="1:6" x14ac:dyDescent="0.35">
      <c r="A1225"/>
      <c r="C1225"/>
      <c r="F1225"/>
    </row>
    <row r="1226" spans="1:6" x14ac:dyDescent="0.35">
      <c r="A1226"/>
      <c r="C1226"/>
      <c r="F1226"/>
    </row>
    <row r="1227" spans="1:6" x14ac:dyDescent="0.35">
      <c r="A1227"/>
      <c r="C1227"/>
      <c r="F1227"/>
    </row>
    <row r="1228" spans="1:6" x14ac:dyDescent="0.35">
      <c r="A1228"/>
      <c r="C1228"/>
      <c r="F1228"/>
    </row>
    <row r="1229" spans="1:6" x14ac:dyDescent="0.35">
      <c r="A1229"/>
      <c r="C1229"/>
      <c r="F1229"/>
    </row>
    <row r="1230" spans="1:6" x14ac:dyDescent="0.35">
      <c r="A1230"/>
      <c r="C1230"/>
      <c r="F1230"/>
    </row>
    <row r="1231" spans="1:6" x14ac:dyDescent="0.35">
      <c r="A1231"/>
      <c r="C1231"/>
      <c r="F1231"/>
    </row>
    <row r="1232" spans="1:6" x14ac:dyDescent="0.35">
      <c r="A1232"/>
      <c r="C1232"/>
      <c r="F1232"/>
    </row>
    <row r="1233" spans="1:6" x14ac:dyDescent="0.35">
      <c r="A1233"/>
      <c r="C1233"/>
      <c r="F1233"/>
    </row>
    <row r="1234" spans="1:6" x14ac:dyDescent="0.35">
      <c r="A1234"/>
      <c r="C1234"/>
      <c r="F1234"/>
    </row>
    <row r="1235" spans="1:6" x14ac:dyDescent="0.35">
      <c r="A1235"/>
      <c r="C1235"/>
      <c r="F1235"/>
    </row>
    <row r="1236" spans="1:6" x14ac:dyDescent="0.35">
      <c r="A1236"/>
      <c r="C1236"/>
      <c r="F1236"/>
    </row>
    <row r="1237" spans="1:6" x14ac:dyDescent="0.35">
      <c r="A1237"/>
      <c r="C1237"/>
      <c r="F1237"/>
    </row>
    <row r="1238" spans="1:6" x14ac:dyDescent="0.35">
      <c r="A1238"/>
      <c r="C1238"/>
      <c r="F1238"/>
    </row>
    <row r="1239" spans="1:6" x14ac:dyDescent="0.35">
      <c r="A1239"/>
      <c r="C1239"/>
      <c r="F1239"/>
    </row>
    <row r="1240" spans="1:6" x14ac:dyDescent="0.35">
      <c r="A1240"/>
      <c r="C1240"/>
      <c r="F1240"/>
    </row>
    <row r="1241" spans="1:6" x14ac:dyDescent="0.35">
      <c r="A1241"/>
      <c r="C1241"/>
      <c r="F1241"/>
    </row>
    <row r="1242" spans="1:6" x14ac:dyDescent="0.35">
      <c r="A1242"/>
      <c r="C1242"/>
      <c r="F1242"/>
    </row>
    <row r="1243" spans="1:6" x14ac:dyDescent="0.35">
      <c r="A1243"/>
      <c r="C1243"/>
      <c r="F1243"/>
    </row>
    <row r="1244" spans="1:6" x14ac:dyDescent="0.35">
      <c r="A1244"/>
      <c r="C1244"/>
      <c r="F1244"/>
    </row>
    <row r="1245" spans="1:6" x14ac:dyDescent="0.35">
      <c r="A1245"/>
      <c r="C1245"/>
      <c r="F1245"/>
    </row>
    <row r="1246" spans="1:6" x14ac:dyDescent="0.35">
      <c r="A1246"/>
      <c r="C1246"/>
      <c r="F1246"/>
    </row>
    <row r="1247" spans="1:6" x14ac:dyDescent="0.35">
      <c r="A1247"/>
      <c r="C1247"/>
      <c r="F1247"/>
    </row>
    <row r="1248" spans="1:6" x14ac:dyDescent="0.35">
      <c r="A1248"/>
      <c r="C1248"/>
      <c r="F1248"/>
    </row>
    <row r="1249" spans="1:6" x14ac:dyDescent="0.35">
      <c r="A1249"/>
      <c r="C1249"/>
      <c r="F1249"/>
    </row>
    <row r="1250" spans="1:6" x14ac:dyDescent="0.35">
      <c r="A1250"/>
      <c r="C1250"/>
      <c r="F1250"/>
    </row>
    <row r="1251" spans="1:6" x14ac:dyDescent="0.35">
      <c r="A1251"/>
      <c r="C1251"/>
      <c r="F1251"/>
    </row>
    <row r="1252" spans="1:6" x14ac:dyDescent="0.35">
      <c r="A1252"/>
      <c r="C1252"/>
      <c r="F1252"/>
    </row>
    <row r="1253" spans="1:6" x14ac:dyDescent="0.35">
      <c r="A1253"/>
      <c r="C1253"/>
      <c r="F1253"/>
    </row>
    <row r="1254" spans="1:6" x14ac:dyDescent="0.35">
      <c r="A1254"/>
      <c r="C1254"/>
      <c r="F1254"/>
    </row>
    <row r="1255" spans="1:6" x14ac:dyDescent="0.35">
      <c r="A1255"/>
      <c r="C1255"/>
      <c r="F1255"/>
    </row>
    <row r="1256" spans="1:6" x14ac:dyDescent="0.35">
      <c r="A1256"/>
      <c r="C1256"/>
      <c r="F1256"/>
    </row>
    <row r="1257" spans="1:6" x14ac:dyDescent="0.35">
      <c r="A1257"/>
      <c r="C1257"/>
      <c r="F1257"/>
    </row>
    <row r="1258" spans="1:6" x14ac:dyDescent="0.35">
      <c r="A1258"/>
      <c r="C1258"/>
      <c r="F1258"/>
    </row>
    <row r="1259" spans="1:6" x14ac:dyDescent="0.35">
      <c r="A1259"/>
      <c r="C1259"/>
      <c r="F1259"/>
    </row>
    <row r="1260" spans="1:6" x14ac:dyDescent="0.35">
      <c r="A1260"/>
      <c r="C1260"/>
      <c r="F1260"/>
    </row>
    <row r="1261" spans="1:6" x14ac:dyDescent="0.35">
      <c r="A1261"/>
      <c r="C1261"/>
      <c r="F1261"/>
    </row>
    <row r="1262" spans="1:6" x14ac:dyDescent="0.35">
      <c r="A1262"/>
      <c r="C1262"/>
      <c r="F1262"/>
    </row>
    <row r="1263" spans="1:6" x14ac:dyDescent="0.35">
      <c r="A1263"/>
      <c r="C1263"/>
      <c r="F1263"/>
    </row>
    <row r="1264" spans="1:6" x14ac:dyDescent="0.35">
      <c r="A1264"/>
      <c r="C1264"/>
      <c r="F1264"/>
    </row>
    <row r="1265" spans="1:6" x14ac:dyDescent="0.35">
      <c r="A1265"/>
      <c r="C1265"/>
      <c r="F1265"/>
    </row>
    <row r="1266" spans="1:6" x14ac:dyDescent="0.35">
      <c r="A1266"/>
      <c r="C1266"/>
      <c r="F1266"/>
    </row>
    <row r="1267" spans="1:6" x14ac:dyDescent="0.35">
      <c r="A1267"/>
      <c r="C1267"/>
      <c r="F1267"/>
    </row>
    <row r="1268" spans="1:6" x14ac:dyDescent="0.35">
      <c r="A1268"/>
      <c r="C1268"/>
      <c r="F1268"/>
    </row>
    <row r="1269" spans="1:6" x14ac:dyDescent="0.35">
      <c r="A1269"/>
      <c r="C1269"/>
      <c r="F1269"/>
    </row>
    <row r="1270" spans="1:6" x14ac:dyDescent="0.35">
      <c r="A1270"/>
      <c r="C1270"/>
      <c r="F1270"/>
    </row>
    <row r="1271" spans="1:6" x14ac:dyDescent="0.35">
      <c r="A1271"/>
      <c r="C1271"/>
      <c r="F1271"/>
    </row>
    <row r="1272" spans="1:6" x14ac:dyDescent="0.35">
      <c r="A1272"/>
      <c r="C1272"/>
      <c r="F1272"/>
    </row>
    <row r="1273" spans="1:6" x14ac:dyDescent="0.35">
      <c r="A1273"/>
      <c r="C1273"/>
      <c r="F1273"/>
    </row>
    <row r="1274" spans="1:6" x14ac:dyDescent="0.35">
      <c r="A1274"/>
      <c r="C1274"/>
      <c r="F1274"/>
    </row>
    <row r="1275" spans="1:6" x14ac:dyDescent="0.35">
      <c r="A1275"/>
      <c r="C1275"/>
      <c r="F1275"/>
    </row>
    <row r="1276" spans="1:6" x14ac:dyDescent="0.35">
      <c r="A1276"/>
      <c r="C1276"/>
      <c r="F1276"/>
    </row>
    <row r="1277" spans="1:6" x14ac:dyDescent="0.35">
      <c r="A1277"/>
      <c r="C1277"/>
      <c r="F1277"/>
    </row>
    <row r="1278" spans="1:6" x14ac:dyDescent="0.35">
      <c r="A1278"/>
      <c r="C1278"/>
      <c r="F1278"/>
    </row>
    <row r="1279" spans="1:6" x14ac:dyDescent="0.35">
      <c r="A1279"/>
      <c r="C1279"/>
      <c r="F1279"/>
    </row>
    <row r="1280" spans="1:6" x14ac:dyDescent="0.35">
      <c r="A1280"/>
      <c r="C1280"/>
      <c r="F1280"/>
    </row>
    <row r="1281" spans="1:6" x14ac:dyDescent="0.35">
      <c r="A1281"/>
      <c r="C1281"/>
      <c r="F1281"/>
    </row>
    <row r="1282" spans="1:6" x14ac:dyDescent="0.35">
      <c r="A1282"/>
      <c r="C1282"/>
      <c r="F1282"/>
    </row>
    <row r="1283" spans="1:6" x14ac:dyDescent="0.35">
      <c r="A1283"/>
      <c r="C1283"/>
      <c r="F1283"/>
    </row>
    <row r="1284" spans="1:6" x14ac:dyDescent="0.35">
      <c r="A1284"/>
      <c r="C1284"/>
      <c r="F1284"/>
    </row>
    <row r="1285" spans="1:6" x14ac:dyDescent="0.35">
      <c r="A1285"/>
      <c r="C1285"/>
      <c r="F1285"/>
    </row>
    <row r="1286" spans="1:6" x14ac:dyDescent="0.35">
      <c r="A1286"/>
      <c r="C1286"/>
      <c r="F1286"/>
    </row>
    <row r="1287" spans="1:6" x14ac:dyDescent="0.35">
      <c r="A1287"/>
      <c r="C1287"/>
      <c r="F1287"/>
    </row>
    <row r="1288" spans="1:6" x14ac:dyDescent="0.35">
      <c r="A1288"/>
      <c r="C1288"/>
      <c r="F1288"/>
    </row>
    <row r="1289" spans="1:6" x14ac:dyDescent="0.35">
      <c r="A1289"/>
      <c r="C1289"/>
      <c r="F1289"/>
    </row>
    <row r="1290" spans="1:6" x14ac:dyDescent="0.35">
      <c r="A1290"/>
      <c r="C1290"/>
      <c r="F1290"/>
    </row>
    <row r="1291" spans="1:6" x14ac:dyDescent="0.35">
      <c r="A1291"/>
      <c r="C1291"/>
      <c r="F1291"/>
    </row>
    <row r="1292" spans="1:6" x14ac:dyDescent="0.35">
      <c r="A1292"/>
      <c r="C1292"/>
      <c r="F1292"/>
    </row>
    <row r="1293" spans="1:6" x14ac:dyDescent="0.35">
      <c r="A1293"/>
      <c r="C1293"/>
      <c r="F1293"/>
    </row>
    <row r="1294" spans="1:6" x14ac:dyDescent="0.35">
      <c r="A1294"/>
      <c r="C1294"/>
      <c r="F1294"/>
    </row>
    <row r="1295" spans="1:6" x14ac:dyDescent="0.35">
      <c r="A1295"/>
      <c r="C1295"/>
      <c r="F1295"/>
    </row>
    <row r="1296" spans="1:6" x14ac:dyDescent="0.35">
      <c r="A1296"/>
      <c r="C1296"/>
      <c r="F1296"/>
    </row>
    <row r="1297" spans="1:6" x14ac:dyDescent="0.35">
      <c r="A1297"/>
      <c r="C1297"/>
      <c r="F1297"/>
    </row>
    <row r="1298" spans="1:6" x14ac:dyDescent="0.35">
      <c r="A1298"/>
      <c r="C1298"/>
      <c r="F1298"/>
    </row>
    <row r="1299" spans="1:6" x14ac:dyDescent="0.35">
      <c r="A1299"/>
      <c r="C1299"/>
      <c r="F1299"/>
    </row>
    <row r="1300" spans="1:6" x14ac:dyDescent="0.35">
      <c r="A1300"/>
      <c r="C1300"/>
      <c r="F1300"/>
    </row>
    <row r="1301" spans="1:6" x14ac:dyDescent="0.35">
      <c r="A1301"/>
      <c r="C1301"/>
      <c r="F1301"/>
    </row>
    <row r="1302" spans="1:6" x14ac:dyDescent="0.35">
      <c r="A1302"/>
      <c r="C1302"/>
      <c r="F1302"/>
    </row>
    <row r="1303" spans="1:6" x14ac:dyDescent="0.35">
      <c r="A1303"/>
      <c r="C1303"/>
      <c r="F1303"/>
    </row>
    <row r="1304" spans="1:6" x14ac:dyDescent="0.35">
      <c r="A1304"/>
      <c r="C1304"/>
      <c r="F1304"/>
    </row>
    <row r="1305" spans="1:6" x14ac:dyDescent="0.35">
      <c r="A1305"/>
      <c r="C1305"/>
      <c r="F1305"/>
    </row>
    <row r="1306" spans="1:6" x14ac:dyDescent="0.35">
      <c r="A1306"/>
      <c r="C1306"/>
      <c r="F1306"/>
    </row>
    <row r="1307" spans="1:6" x14ac:dyDescent="0.35">
      <c r="A1307"/>
      <c r="C1307"/>
      <c r="F1307"/>
    </row>
    <row r="1308" spans="1:6" x14ac:dyDescent="0.35">
      <c r="A1308"/>
      <c r="C1308"/>
      <c r="F1308"/>
    </row>
    <row r="1309" spans="1:6" x14ac:dyDescent="0.35">
      <c r="A1309"/>
      <c r="C1309"/>
      <c r="F1309"/>
    </row>
    <row r="1310" spans="1:6" x14ac:dyDescent="0.35">
      <c r="A1310"/>
      <c r="C1310"/>
      <c r="F1310"/>
    </row>
    <row r="1311" spans="1:6" x14ac:dyDescent="0.35">
      <c r="A1311"/>
      <c r="C1311"/>
      <c r="F1311"/>
    </row>
    <row r="1312" spans="1:6" x14ac:dyDescent="0.35">
      <c r="A1312"/>
      <c r="C1312"/>
      <c r="F1312"/>
    </row>
    <row r="1313" spans="1:6" x14ac:dyDescent="0.35">
      <c r="A1313"/>
      <c r="C1313"/>
      <c r="F1313"/>
    </row>
    <row r="1314" spans="1:6" x14ac:dyDescent="0.35">
      <c r="A1314"/>
      <c r="C1314"/>
      <c r="F1314"/>
    </row>
    <row r="1315" spans="1:6" x14ac:dyDescent="0.35">
      <c r="A1315"/>
      <c r="C1315"/>
      <c r="F1315"/>
    </row>
    <row r="1316" spans="1:6" x14ac:dyDescent="0.35">
      <c r="A1316"/>
      <c r="C1316"/>
      <c r="F1316"/>
    </row>
    <row r="1317" spans="1:6" x14ac:dyDescent="0.35">
      <c r="A1317"/>
      <c r="C1317"/>
      <c r="F1317"/>
    </row>
    <row r="1318" spans="1:6" x14ac:dyDescent="0.35">
      <c r="A1318"/>
      <c r="C1318"/>
      <c r="F1318"/>
    </row>
    <row r="1319" spans="1:6" x14ac:dyDescent="0.35">
      <c r="A1319"/>
      <c r="C1319"/>
      <c r="F1319"/>
    </row>
    <row r="1320" spans="1:6" x14ac:dyDescent="0.35">
      <c r="A1320"/>
      <c r="C1320"/>
      <c r="F1320"/>
    </row>
    <row r="1321" spans="1:6" x14ac:dyDescent="0.35">
      <c r="A1321"/>
      <c r="C1321"/>
      <c r="F1321"/>
    </row>
    <row r="1322" spans="1:6" x14ac:dyDescent="0.35">
      <c r="A1322"/>
      <c r="C1322"/>
      <c r="F1322"/>
    </row>
    <row r="1323" spans="1:6" x14ac:dyDescent="0.35">
      <c r="A1323"/>
      <c r="C1323"/>
      <c r="F1323"/>
    </row>
    <row r="1324" spans="1:6" x14ac:dyDescent="0.35">
      <c r="A1324"/>
      <c r="C1324"/>
      <c r="F1324"/>
    </row>
    <row r="1325" spans="1:6" x14ac:dyDescent="0.35">
      <c r="A1325"/>
      <c r="C1325"/>
      <c r="F1325"/>
    </row>
    <row r="1326" spans="1:6" x14ac:dyDescent="0.35">
      <c r="A1326"/>
      <c r="C1326"/>
      <c r="F1326"/>
    </row>
    <row r="1327" spans="1:6" x14ac:dyDescent="0.35">
      <c r="A1327"/>
      <c r="C1327"/>
      <c r="F1327"/>
    </row>
    <row r="1328" spans="1:6" x14ac:dyDescent="0.35">
      <c r="A1328"/>
      <c r="C1328"/>
      <c r="F1328"/>
    </row>
    <row r="1329" spans="1:6" x14ac:dyDescent="0.35">
      <c r="A1329"/>
      <c r="C1329"/>
      <c r="F1329"/>
    </row>
    <row r="1330" spans="1:6" x14ac:dyDescent="0.35">
      <c r="A1330"/>
      <c r="C1330"/>
      <c r="F1330"/>
    </row>
    <row r="1331" spans="1:6" x14ac:dyDescent="0.35">
      <c r="A1331"/>
      <c r="C1331"/>
      <c r="F1331"/>
    </row>
    <row r="1332" spans="1:6" x14ac:dyDescent="0.35">
      <c r="A1332"/>
      <c r="C1332"/>
      <c r="F1332"/>
    </row>
    <row r="1333" spans="1:6" x14ac:dyDescent="0.35">
      <c r="A1333"/>
      <c r="C1333"/>
      <c r="F1333"/>
    </row>
    <row r="1334" spans="1:6" x14ac:dyDescent="0.35">
      <c r="A1334"/>
      <c r="C1334"/>
      <c r="F1334"/>
    </row>
    <row r="1335" spans="1:6" x14ac:dyDescent="0.35">
      <c r="A1335"/>
      <c r="C1335"/>
      <c r="F1335"/>
    </row>
    <row r="1336" spans="1:6" x14ac:dyDescent="0.35">
      <c r="A1336"/>
      <c r="C1336"/>
      <c r="F1336"/>
    </row>
    <row r="1337" spans="1:6" x14ac:dyDescent="0.35">
      <c r="A1337"/>
      <c r="C1337"/>
      <c r="F1337"/>
    </row>
    <row r="1338" spans="1:6" x14ac:dyDescent="0.35">
      <c r="A1338"/>
      <c r="C1338"/>
      <c r="F1338"/>
    </row>
    <row r="1339" spans="1:6" x14ac:dyDescent="0.35">
      <c r="A1339"/>
      <c r="C1339"/>
      <c r="F1339"/>
    </row>
    <row r="1340" spans="1:6" x14ac:dyDescent="0.35">
      <c r="A1340"/>
      <c r="C1340"/>
      <c r="F1340"/>
    </row>
    <row r="1341" spans="1:6" x14ac:dyDescent="0.35">
      <c r="A1341"/>
      <c r="C1341"/>
      <c r="F1341"/>
    </row>
    <row r="1342" spans="1:6" x14ac:dyDescent="0.35">
      <c r="A1342"/>
      <c r="C1342"/>
      <c r="F1342"/>
    </row>
    <row r="1343" spans="1:6" x14ac:dyDescent="0.35">
      <c r="A1343"/>
      <c r="C1343"/>
      <c r="F1343"/>
    </row>
    <row r="1344" spans="1:6" x14ac:dyDescent="0.35">
      <c r="A1344"/>
      <c r="C1344"/>
      <c r="F1344"/>
    </row>
    <row r="1345" spans="1:6" x14ac:dyDescent="0.35">
      <c r="A1345"/>
      <c r="C1345"/>
      <c r="F1345"/>
    </row>
    <row r="1346" spans="1:6" x14ac:dyDescent="0.35">
      <c r="A1346"/>
      <c r="C1346"/>
      <c r="F1346"/>
    </row>
    <row r="1347" spans="1:6" x14ac:dyDescent="0.35">
      <c r="A1347"/>
      <c r="C1347"/>
      <c r="F1347"/>
    </row>
    <row r="1348" spans="1:6" x14ac:dyDescent="0.35">
      <c r="A1348"/>
      <c r="C1348"/>
      <c r="F1348"/>
    </row>
    <row r="1349" spans="1:6" x14ac:dyDescent="0.35">
      <c r="A1349"/>
      <c r="C1349"/>
      <c r="F1349"/>
    </row>
    <row r="1350" spans="1:6" x14ac:dyDescent="0.35">
      <c r="A1350"/>
      <c r="C1350"/>
      <c r="F1350"/>
    </row>
    <row r="1351" spans="1:6" x14ac:dyDescent="0.35">
      <c r="A1351"/>
      <c r="C1351"/>
      <c r="F1351"/>
    </row>
    <row r="1352" spans="1:6" x14ac:dyDescent="0.35">
      <c r="A1352"/>
      <c r="C1352"/>
      <c r="F1352"/>
    </row>
    <row r="1353" spans="1:6" x14ac:dyDescent="0.35">
      <c r="A1353"/>
      <c r="C1353"/>
      <c r="F1353"/>
    </row>
    <row r="1354" spans="1:6" x14ac:dyDescent="0.35">
      <c r="A1354"/>
      <c r="C1354"/>
      <c r="F1354"/>
    </row>
    <row r="1355" spans="1:6" x14ac:dyDescent="0.35">
      <c r="A1355"/>
      <c r="C1355"/>
      <c r="F1355"/>
    </row>
    <row r="1356" spans="1:6" x14ac:dyDescent="0.35">
      <c r="A1356"/>
      <c r="C1356"/>
      <c r="F1356"/>
    </row>
    <row r="1357" spans="1:6" x14ac:dyDescent="0.35">
      <c r="A1357"/>
      <c r="C1357"/>
      <c r="F1357"/>
    </row>
    <row r="1358" spans="1:6" x14ac:dyDescent="0.35">
      <c r="A1358"/>
      <c r="C1358"/>
      <c r="F1358"/>
    </row>
    <row r="1359" spans="1:6" x14ac:dyDescent="0.35">
      <c r="A1359"/>
      <c r="C1359"/>
      <c r="F1359"/>
    </row>
    <row r="1360" spans="1:6" x14ac:dyDescent="0.35">
      <c r="A1360"/>
      <c r="C1360"/>
      <c r="F1360"/>
    </row>
    <row r="1361" spans="1:6" x14ac:dyDescent="0.35">
      <c r="A1361"/>
      <c r="C1361"/>
      <c r="F1361"/>
    </row>
    <row r="1362" spans="1:6" x14ac:dyDescent="0.35">
      <c r="A1362"/>
      <c r="C1362"/>
      <c r="F1362"/>
    </row>
    <row r="1363" spans="1:6" x14ac:dyDescent="0.35">
      <c r="A1363"/>
      <c r="C1363"/>
      <c r="F1363"/>
    </row>
    <row r="1364" spans="1:6" x14ac:dyDescent="0.35">
      <c r="A1364"/>
      <c r="C1364"/>
      <c r="F1364"/>
    </row>
    <row r="1365" spans="1:6" x14ac:dyDescent="0.35">
      <c r="A1365"/>
      <c r="C1365"/>
      <c r="F1365"/>
    </row>
    <row r="1366" spans="1:6" x14ac:dyDescent="0.35">
      <c r="A1366"/>
      <c r="C1366"/>
      <c r="F1366"/>
    </row>
    <row r="1367" spans="1:6" x14ac:dyDescent="0.35">
      <c r="A1367"/>
      <c r="C1367"/>
      <c r="F1367"/>
    </row>
    <row r="1368" spans="1:6" x14ac:dyDescent="0.35">
      <c r="A1368"/>
      <c r="C1368"/>
      <c r="F1368"/>
    </row>
    <row r="1369" spans="1:6" x14ac:dyDescent="0.35">
      <c r="A1369"/>
      <c r="C1369"/>
      <c r="F1369"/>
    </row>
    <row r="1370" spans="1:6" x14ac:dyDescent="0.35">
      <c r="A1370"/>
      <c r="C1370"/>
      <c r="F1370"/>
    </row>
    <row r="1371" spans="1:6" x14ac:dyDescent="0.35">
      <c r="A1371"/>
      <c r="C1371"/>
      <c r="F1371"/>
    </row>
    <row r="1372" spans="1:6" x14ac:dyDescent="0.35">
      <c r="A1372"/>
      <c r="C1372"/>
      <c r="F1372"/>
    </row>
    <row r="1373" spans="1:6" x14ac:dyDescent="0.35">
      <c r="A1373"/>
      <c r="C1373"/>
      <c r="F1373"/>
    </row>
    <row r="1374" spans="1:6" x14ac:dyDescent="0.35">
      <c r="A1374"/>
      <c r="C1374"/>
      <c r="F1374"/>
    </row>
    <row r="1375" spans="1:6" x14ac:dyDescent="0.35">
      <c r="A1375"/>
      <c r="C1375"/>
      <c r="F1375"/>
    </row>
    <row r="1376" spans="1:6" x14ac:dyDescent="0.35">
      <c r="A1376"/>
      <c r="C1376"/>
      <c r="F1376"/>
    </row>
    <row r="1377" spans="1:6" x14ac:dyDescent="0.35">
      <c r="A1377"/>
      <c r="C1377"/>
      <c r="F1377"/>
    </row>
    <row r="1378" spans="1:6" x14ac:dyDescent="0.35">
      <c r="A1378"/>
      <c r="C1378"/>
      <c r="F1378"/>
    </row>
    <row r="1379" spans="1:6" x14ac:dyDescent="0.35">
      <c r="A1379"/>
      <c r="C1379"/>
      <c r="F1379"/>
    </row>
    <row r="1380" spans="1:6" x14ac:dyDescent="0.35">
      <c r="A1380"/>
      <c r="C1380"/>
      <c r="F1380"/>
    </row>
    <row r="1381" spans="1:6" x14ac:dyDescent="0.35">
      <c r="A1381"/>
      <c r="C1381"/>
      <c r="F1381"/>
    </row>
    <row r="1382" spans="1:6" x14ac:dyDescent="0.35">
      <c r="A1382"/>
      <c r="C1382"/>
      <c r="F1382"/>
    </row>
    <row r="1383" spans="1:6" x14ac:dyDescent="0.35">
      <c r="A1383"/>
      <c r="C1383"/>
      <c r="F1383"/>
    </row>
    <row r="1384" spans="1:6" x14ac:dyDescent="0.35">
      <c r="A1384"/>
      <c r="C1384"/>
      <c r="F1384"/>
    </row>
    <row r="1385" spans="1:6" x14ac:dyDescent="0.35">
      <c r="A1385"/>
      <c r="C1385"/>
      <c r="F1385"/>
    </row>
    <row r="1386" spans="1:6" x14ac:dyDescent="0.35">
      <c r="A1386"/>
      <c r="C1386"/>
      <c r="F1386"/>
    </row>
    <row r="1387" spans="1:6" x14ac:dyDescent="0.35">
      <c r="A1387"/>
      <c r="C1387"/>
      <c r="F1387"/>
    </row>
    <row r="1388" spans="1:6" x14ac:dyDescent="0.35">
      <c r="A1388"/>
      <c r="C1388"/>
      <c r="F1388"/>
    </row>
    <row r="1389" spans="1:6" x14ac:dyDescent="0.35">
      <c r="A1389"/>
      <c r="C1389"/>
      <c r="F1389"/>
    </row>
    <row r="1390" spans="1:6" x14ac:dyDescent="0.35">
      <c r="A1390"/>
      <c r="C1390"/>
      <c r="F1390"/>
    </row>
    <row r="1391" spans="1:6" x14ac:dyDescent="0.35">
      <c r="A1391"/>
      <c r="C1391"/>
      <c r="F1391"/>
    </row>
    <row r="1392" spans="1:6" x14ac:dyDescent="0.35">
      <c r="A1392"/>
      <c r="C1392"/>
      <c r="F1392"/>
    </row>
    <row r="1393" spans="1:6" x14ac:dyDescent="0.35">
      <c r="A1393"/>
      <c r="C1393"/>
      <c r="F1393"/>
    </row>
    <row r="1394" spans="1:6" x14ac:dyDescent="0.35">
      <c r="A1394"/>
      <c r="C1394"/>
      <c r="F1394"/>
    </row>
    <row r="1395" spans="1:6" x14ac:dyDescent="0.35">
      <c r="A1395"/>
      <c r="C1395"/>
      <c r="F1395"/>
    </row>
    <row r="1396" spans="1:6" x14ac:dyDescent="0.35">
      <c r="A1396"/>
      <c r="C1396"/>
      <c r="F1396"/>
    </row>
    <row r="1397" spans="1:6" x14ac:dyDescent="0.35">
      <c r="A1397"/>
      <c r="C1397"/>
      <c r="F1397"/>
    </row>
    <row r="1398" spans="1:6" x14ac:dyDescent="0.35">
      <c r="A1398"/>
      <c r="C1398"/>
      <c r="F1398"/>
    </row>
    <row r="1399" spans="1:6" x14ac:dyDescent="0.35">
      <c r="A1399"/>
      <c r="C1399"/>
      <c r="F1399"/>
    </row>
    <row r="1400" spans="1:6" x14ac:dyDescent="0.35">
      <c r="A1400"/>
      <c r="C1400"/>
      <c r="F1400"/>
    </row>
    <row r="1401" spans="1:6" x14ac:dyDescent="0.35">
      <c r="A1401"/>
      <c r="C1401"/>
      <c r="F1401"/>
    </row>
    <row r="1402" spans="1:6" x14ac:dyDescent="0.35">
      <c r="A1402"/>
      <c r="C1402"/>
      <c r="F1402"/>
    </row>
    <row r="1403" spans="1:6" x14ac:dyDescent="0.35">
      <c r="A1403"/>
      <c r="C1403"/>
      <c r="F1403"/>
    </row>
    <row r="1404" spans="1:6" x14ac:dyDescent="0.35">
      <c r="A1404"/>
      <c r="C1404"/>
      <c r="F1404"/>
    </row>
    <row r="1405" spans="1:6" x14ac:dyDescent="0.35">
      <c r="A1405"/>
      <c r="C1405"/>
      <c r="F1405"/>
    </row>
    <row r="1406" spans="1:6" x14ac:dyDescent="0.35">
      <c r="A1406"/>
      <c r="C1406"/>
      <c r="F1406"/>
    </row>
    <row r="1407" spans="1:6" x14ac:dyDescent="0.35">
      <c r="A1407"/>
      <c r="C1407"/>
      <c r="F1407"/>
    </row>
    <row r="1408" spans="1:6" x14ac:dyDescent="0.35">
      <c r="A1408"/>
      <c r="C1408"/>
      <c r="F1408"/>
    </row>
    <row r="1409" spans="1:6" x14ac:dyDescent="0.35">
      <c r="A1409"/>
      <c r="C1409"/>
      <c r="F1409"/>
    </row>
    <row r="1410" spans="1:6" x14ac:dyDescent="0.35">
      <c r="A1410"/>
      <c r="C1410"/>
      <c r="F1410"/>
    </row>
    <row r="1411" spans="1:6" x14ac:dyDescent="0.35">
      <c r="A1411"/>
      <c r="C1411"/>
      <c r="F1411"/>
    </row>
    <row r="1412" spans="1:6" x14ac:dyDescent="0.35">
      <c r="A1412"/>
      <c r="C1412"/>
      <c r="F1412"/>
    </row>
    <row r="1413" spans="1:6" x14ac:dyDescent="0.35">
      <c r="A1413"/>
      <c r="C1413"/>
      <c r="F1413"/>
    </row>
    <row r="1414" spans="1:6" x14ac:dyDescent="0.35">
      <c r="A1414"/>
      <c r="C1414"/>
      <c r="F1414"/>
    </row>
    <row r="1415" spans="1:6" x14ac:dyDescent="0.35">
      <c r="A1415"/>
      <c r="C1415"/>
      <c r="F1415"/>
    </row>
    <row r="1416" spans="1:6" x14ac:dyDescent="0.35">
      <c r="A1416"/>
      <c r="C1416"/>
      <c r="F1416"/>
    </row>
    <row r="1417" spans="1:6" x14ac:dyDescent="0.35">
      <c r="A1417"/>
      <c r="C1417"/>
      <c r="F1417"/>
    </row>
    <row r="1418" spans="1:6" x14ac:dyDescent="0.35">
      <c r="A1418"/>
      <c r="C1418"/>
      <c r="F1418"/>
    </row>
    <row r="1419" spans="1:6" x14ac:dyDescent="0.35">
      <c r="A1419"/>
      <c r="C1419"/>
      <c r="F1419"/>
    </row>
    <row r="1420" spans="1:6" x14ac:dyDescent="0.35">
      <c r="A1420"/>
      <c r="C1420"/>
      <c r="F1420"/>
    </row>
    <row r="1421" spans="1:6" x14ac:dyDescent="0.35">
      <c r="A1421"/>
      <c r="C1421"/>
      <c r="F1421"/>
    </row>
    <row r="1422" spans="1:6" x14ac:dyDescent="0.35">
      <c r="A1422"/>
      <c r="C1422"/>
      <c r="F1422"/>
    </row>
    <row r="1423" spans="1:6" x14ac:dyDescent="0.35">
      <c r="A1423"/>
      <c r="C1423"/>
      <c r="F1423"/>
    </row>
    <row r="1424" spans="1:6" x14ac:dyDescent="0.35">
      <c r="A1424"/>
      <c r="C1424"/>
      <c r="F1424"/>
    </row>
    <row r="1425" spans="1:6" x14ac:dyDescent="0.35">
      <c r="A1425"/>
      <c r="C1425"/>
      <c r="F1425"/>
    </row>
    <row r="1426" spans="1:6" x14ac:dyDescent="0.35">
      <c r="A1426"/>
      <c r="C1426"/>
      <c r="F1426"/>
    </row>
    <row r="1427" spans="1:6" x14ac:dyDescent="0.35">
      <c r="A1427"/>
      <c r="C1427"/>
      <c r="F1427"/>
    </row>
    <row r="1428" spans="1:6" x14ac:dyDescent="0.35">
      <c r="A1428"/>
      <c r="C1428"/>
      <c r="F1428"/>
    </row>
    <row r="1429" spans="1:6" x14ac:dyDescent="0.35">
      <c r="A1429"/>
      <c r="C1429"/>
      <c r="F1429"/>
    </row>
    <row r="1430" spans="1:6" x14ac:dyDescent="0.35">
      <c r="A1430"/>
      <c r="C1430"/>
      <c r="F1430"/>
    </row>
    <row r="1431" spans="1:6" x14ac:dyDescent="0.35">
      <c r="A1431"/>
      <c r="C1431"/>
      <c r="F1431"/>
    </row>
    <row r="1432" spans="1:6" x14ac:dyDescent="0.35">
      <c r="A1432"/>
      <c r="C1432"/>
      <c r="F1432"/>
    </row>
    <row r="1433" spans="1:6" x14ac:dyDescent="0.35">
      <c r="A1433"/>
      <c r="C1433"/>
      <c r="F1433"/>
    </row>
    <row r="1434" spans="1:6" x14ac:dyDescent="0.35">
      <c r="A1434"/>
      <c r="C1434"/>
      <c r="F1434"/>
    </row>
    <row r="1435" spans="1:6" x14ac:dyDescent="0.35">
      <c r="A1435"/>
      <c r="C1435"/>
      <c r="F1435"/>
    </row>
    <row r="1436" spans="1:6" x14ac:dyDescent="0.35">
      <c r="A1436"/>
      <c r="C1436"/>
      <c r="F1436"/>
    </row>
    <row r="1437" spans="1:6" x14ac:dyDescent="0.35">
      <c r="A1437"/>
      <c r="C1437"/>
      <c r="F1437"/>
    </row>
    <row r="1438" spans="1:6" x14ac:dyDescent="0.35">
      <c r="A1438"/>
      <c r="C1438"/>
      <c r="F1438"/>
    </row>
    <row r="1439" spans="1:6" x14ac:dyDescent="0.35">
      <c r="A1439"/>
      <c r="C1439"/>
      <c r="F1439"/>
    </row>
    <row r="1440" spans="1:6" x14ac:dyDescent="0.35">
      <c r="A1440"/>
      <c r="C1440"/>
      <c r="F1440"/>
    </row>
    <row r="1441" spans="1:6" x14ac:dyDescent="0.35">
      <c r="A1441"/>
      <c r="C1441"/>
      <c r="F1441"/>
    </row>
    <row r="1442" spans="1:6" x14ac:dyDescent="0.35">
      <c r="A1442"/>
      <c r="C1442"/>
      <c r="F1442"/>
    </row>
    <row r="1443" spans="1:6" x14ac:dyDescent="0.35">
      <c r="A1443"/>
      <c r="C1443"/>
      <c r="F1443"/>
    </row>
    <row r="1444" spans="1:6" x14ac:dyDescent="0.35">
      <c r="A1444"/>
      <c r="C1444"/>
      <c r="F1444"/>
    </row>
    <row r="1445" spans="1:6" x14ac:dyDescent="0.35">
      <c r="A1445"/>
      <c r="C1445"/>
      <c r="F1445"/>
    </row>
    <row r="1446" spans="1:6" x14ac:dyDescent="0.35">
      <c r="A1446"/>
      <c r="C1446"/>
      <c r="F1446"/>
    </row>
    <row r="1447" spans="1:6" x14ac:dyDescent="0.35">
      <c r="A1447"/>
      <c r="C1447"/>
      <c r="F1447"/>
    </row>
    <row r="1448" spans="1:6" x14ac:dyDescent="0.35">
      <c r="A1448"/>
      <c r="C1448"/>
      <c r="F1448"/>
    </row>
    <row r="1449" spans="1:6" x14ac:dyDescent="0.35">
      <c r="A1449"/>
      <c r="C1449"/>
      <c r="F1449"/>
    </row>
    <row r="1450" spans="1:6" x14ac:dyDescent="0.35">
      <c r="A1450"/>
      <c r="C1450"/>
      <c r="F1450"/>
    </row>
    <row r="1451" spans="1:6" x14ac:dyDescent="0.35">
      <c r="A1451"/>
      <c r="C1451"/>
      <c r="F1451"/>
    </row>
    <row r="1452" spans="1:6" x14ac:dyDescent="0.35">
      <c r="A1452"/>
      <c r="C1452"/>
      <c r="F1452"/>
    </row>
    <row r="1453" spans="1:6" x14ac:dyDescent="0.35">
      <c r="A1453"/>
      <c r="C1453"/>
      <c r="F1453"/>
    </row>
    <row r="1454" spans="1:6" x14ac:dyDescent="0.35">
      <c r="A1454"/>
      <c r="C1454"/>
      <c r="F1454"/>
    </row>
    <row r="1455" spans="1:6" x14ac:dyDescent="0.35">
      <c r="A1455"/>
      <c r="C1455"/>
      <c r="F1455"/>
    </row>
    <row r="1456" spans="1:6" x14ac:dyDescent="0.35">
      <c r="A1456"/>
      <c r="C1456"/>
      <c r="F1456"/>
    </row>
    <row r="1457" spans="1:6" x14ac:dyDescent="0.35">
      <c r="A1457"/>
      <c r="C1457"/>
      <c r="F1457"/>
    </row>
    <row r="1458" spans="1:6" x14ac:dyDescent="0.35">
      <c r="A1458"/>
      <c r="C1458"/>
      <c r="F1458"/>
    </row>
    <row r="1459" spans="1:6" x14ac:dyDescent="0.35">
      <c r="A1459"/>
      <c r="C1459"/>
      <c r="F1459"/>
    </row>
    <row r="1460" spans="1:6" x14ac:dyDescent="0.35">
      <c r="A1460"/>
      <c r="C1460"/>
      <c r="F1460"/>
    </row>
    <row r="1461" spans="1:6" x14ac:dyDescent="0.35">
      <c r="A1461"/>
      <c r="C1461"/>
      <c r="F1461"/>
    </row>
    <row r="1462" spans="1:6" x14ac:dyDescent="0.35">
      <c r="A1462"/>
      <c r="C1462"/>
      <c r="F1462"/>
    </row>
    <row r="1463" spans="1:6" x14ac:dyDescent="0.35">
      <c r="A1463"/>
      <c r="C1463"/>
      <c r="F1463"/>
    </row>
    <row r="1464" spans="1:6" x14ac:dyDescent="0.35">
      <c r="A1464"/>
      <c r="C1464"/>
      <c r="F1464"/>
    </row>
    <row r="1465" spans="1:6" x14ac:dyDescent="0.35">
      <c r="A1465"/>
      <c r="C1465"/>
      <c r="F1465"/>
    </row>
    <row r="1466" spans="1:6" x14ac:dyDescent="0.35">
      <c r="A1466"/>
      <c r="C1466"/>
      <c r="F1466"/>
    </row>
    <row r="1467" spans="1:6" x14ac:dyDescent="0.35">
      <c r="A1467"/>
      <c r="C1467"/>
      <c r="F1467"/>
    </row>
    <row r="1468" spans="1:6" x14ac:dyDescent="0.35">
      <c r="A1468"/>
      <c r="C1468"/>
      <c r="F1468"/>
    </row>
    <row r="1469" spans="1:6" x14ac:dyDescent="0.35">
      <c r="A1469"/>
      <c r="C1469"/>
      <c r="F1469"/>
    </row>
    <row r="1470" spans="1:6" x14ac:dyDescent="0.35">
      <c r="A1470"/>
      <c r="C1470"/>
      <c r="F1470"/>
    </row>
    <row r="1471" spans="1:6" x14ac:dyDescent="0.35">
      <c r="A1471"/>
      <c r="C1471"/>
      <c r="F1471"/>
    </row>
    <row r="1472" spans="1:6" x14ac:dyDescent="0.35">
      <c r="A1472"/>
      <c r="C1472"/>
      <c r="F1472"/>
    </row>
    <row r="1473" spans="1:6" x14ac:dyDescent="0.35">
      <c r="A1473"/>
      <c r="C1473"/>
      <c r="F1473"/>
    </row>
    <row r="1474" spans="1:6" x14ac:dyDescent="0.35">
      <c r="A1474"/>
      <c r="C1474"/>
      <c r="F1474"/>
    </row>
    <row r="1475" spans="1:6" x14ac:dyDescent="0.35">
      <c r="A1475"/>
      <c r="C1475"/>
      <c r="F1475"/>
    </row>
    <row r="1476" spans="1:6" x14ac:dyDescent="0.35">
      <c r="A1476"/>
      <c r="C1476"/>
      <c r="F1476"/>
    </row>
    <row r="1477" spans="1:6" x14ac:dyDescent="0.35">
      <c r="A1477"/>
      <c r="C1477"/>
      <c r="F1477"/>
    </row>
    <row r="1478" spans="1:6" x14ac:dyDescent="0.35">
      <c r="A1478"/>
      <c r="C1478"/>
      <c r="F1478"/>
    </row>
    <row r="1479" spans="1:6" x14ac:dyDescent="0.35">
      <c r="A1479"/>
      <c r="C1479"/>
      <c r="F1479"/>
    </row>
    <row r="1480" spans="1:6" x14ac:dyDescent="0.35">
      <c r="A1480"/>
      <c r="C1480"/>
      <c r="F1480"/>
    </row>
    <row r="1481" spans="1:6" x14ac:dyDescent="0.35">
      <c r="A1481"/>
      <c r="C1481"/>
      <c r="F1481"/>
    </row>
    <row r="1482" spans="1:6" x14ac:dyDescent="0.35">
      <c r="A1482"/>
      <c r="C1482"/>
      <c r="F1482"/>
    </row>
    <row r="1483" spans="1:6" x14ac:dyDescent="0.35">
      <c r="A1483"/>
      <c r="C1483"/>
      <c r="F1483"/>
    </row>
    <row r="1484" spans="1:6" x14ac:dyDescent="0.35">
      <c r="A1484"/>
      <c r="C1484"/>
      <c r="F1484"/>
    </row>
    <row r="1485" spans="1:6" x14ac:dyDescent="0.35">
      <c r="A1485"/>
      <c r="C1485"/>
      <c r="F1485"/>
    </row>
    <row r="1486" spans="1:6" x14ac:dyDescent="0.35">
      <c r="A1486"/>
      <c r="C1486"/>
      <c r="F1486"/>
    </row>
    <row r="1487" spans="1:6" x14ac:dyDescent="0.35">
      <c r="A1487"/>
      <c r="C1487"/>
      <c r="F1487"/>
    </row>
    <row r="1488" spans="1:6" x14ac:dyDescent="0.35">
      <c r="A1488"/>
      <c r="C1488"/>
      <c r="F1488"/>
    </row>
    <row r="1489" spans="1:6" x14ac:dyDescent="0.35">
      <c r="A1489"/>
      <c r="C1489"/>
      <c r="F1489"/>
    </row>
    <row r="1490" spans="1:6" x14ac:dyDescent="0.35">
      <c r="A1490"/>
      <c r="C1490"/>
      <c r="F1490"/>
    </row>
    <row r="1491" spans="1:6" x14ac:dyDescent="0.35">
      <c r="A1491"/>
      <c r="C1491"/>
      <c r="F1491"/>
    </row>
    <row r="1492" spans="1:6" x14ac:dyDescent="0.35">
      <c r="A1492"/>
      <c r="C1492"/>
      <c r="F1492"/>
    </row>
    <row r="1493" spans="1:6" x14ac:dyDescent="0.35">
      <c r="A1493"/>
      <c r="C1493"/>
      <c r="F1493"/>
    </row>
    <row r="1494" spans="1:6" x14ac:dyDescent="0.35">
      <c r="A1494"/>
      <c r="C1494"/>
      <c r="F1494"/>
    </row>
    <row r="1495" spans="1:6" x14ac:dyDescent="0.35">
      <c r="A1495"/>
      <c r="C1495"/>
      <c r="F1495"/>
    </row>
    <row r="1496" spans="1:6" x14ac:dyDescent="0.35">
      <c r="A1496"/>
      <c r="C1496"/>
      <c r="F1496"/>
    </row>
    <row r="1497" spans="1:6" x14ac:dyDescent="0.35">
      <c r="A1497"/>
      <c r="C1497"/>
      <c r="F1497"/>
    </row>
    <row r="1498" spans="1:6" x14ac:dyDescent="0.35">
      <c r="A1498"/>
      <c r="C1498"/>
      <c r="F1498"/>
    </row>
    <row r="1499" spans="1:6" x14ac:dyDescent="0.35">
      <c r="A1499"/>
      <c r="C1499"/>
      <c r="F1499"/>
    </row>
    <row r="1500" spans="1:6" x14ac:dyDescent="0.35">
      <c r="A1500"/>
      <c r="C1500"/>
      <c r="F1500"/>
    </row>
    <row r="1501" spans="1:6" x14ac:dyDescent="0.35">
      <c r="A1501"/>
      <c r="C1501"/>
      <c r="F1501"/>
    </row>
    <row r="1502" spans="1:6" x14ac:dyDescent="0.35">
      <c r="A1502"/>
      <c r="C1502"/>
      <c r="F1502"/>
    </row>
    <row r="1503" spans="1:6" x14ac:dyDescent="0.35">
      <c r="A1503"/>
      <c r="C1503"/>
      <c r="F1503"/>
    </row>
    <row r="1504" spans="1:6" x14ac:dyDescent="0.35">
      <c r="A1504"/>
      <c r="C1504"/>
      <c r="F1504"/>
    </row>
    <row r="1505" spans="1:6" x14ac:dyDescent="0.35">
      <c r="A1505"/>
      <c r="C1505"/>
      <c r="F1505"/>
    </row>
    <row r="1506" spans="1:6" x14ac:dyDescent="0.35">
      <c r="A1506"/>
      <c r="C1506"/>
      <c r="F1506"/>
    </row>
    <row r="1507" spans="1:6" x14ac:dyDescent="0.35">
      <c r="A1507"/>
      <c r="C1507"/>
      <c r="F1507"/>
    </row>
    <row r="1508" spans="1:6" x14ac:dyDescent="0.35">
      <c r="A1508"/>
      <c r="C1508"/>
      <c r="F1508"/>
    </row>
    <row r="1509" spans="1:6" x14ac:dyDescent="0.35">
      <c r="A1509"/>
      <c r="C1509"/>
      <c r="F1509"/>
    </row>
    <row r="1510" spans="1:6" x14ac:dyDescent="0.35">
      <c r="A1510"/>
      <c r="C1510"/>
      <c r="F1510"/>
    </row>
    <row r="1511" spans="1:6" x14ac:dyDescent="0.35">
      <c r="A1511"/>
      <c r="C1511"/>
      <c r="F1511"/>
    </row>
    <row r="1512" spans="1:6" x14ac:dyDescent="0.35">
      <c r="A1512"/>
      <c r="C1512"/>
      <c r="F1512"/>
    </row>
    <row r="1513" spans="1:6" x14ac:dyDescent="0.35">
      <c r="A1513"/>
      <c r="C1513"/>
      <c r="F1513"/>
    </row>
    <row r="1514" spans="1:6" x14ac:dyDescent="0.35">
      <c r="A1514"/>
      <c r="C1514"/>
      <c r="F1514"/>
    </row>
    <row r="1515" spans="1:6" x14ac:dyDescent="0.35">
      <c r="A1515"/>
      <c r="C1515"/>
      <c r="F1515"/>
    </row>
    <row r="1516" spans="1:6" x14ac:dyDescent="0.35">
      <c r="A1516"/>
      <c r="C1516"/>
      <c r="F1516"/>
    </row>
    <row r="1517" spans="1:6" x14ac:dyDescent="0.35">
      <c r="A1517"/>
      <c r="C1517"/>
      <c r="F1517"/>
    </row>
    <row r="1518" spans="1:6" x14ac:dyDescent="0.35">
      <c r="A1518"/>
      <c r="C1518"/>
      <c r="F1518"/>
    </row>
    <row r="1519" spans="1:6" x14ac:dyDescent="0.35">
      <c r="A1519"/>
      <c r="C1519"/>
      <c r="F1519"/>
    </row>
    <row r="1520" spans="1:6" x14ac:dyDescent="0.35">
      <c r="A1520"/>
      <c r="C1520"/>
      <c r="F1520"/>
    </row>
    <row r="1521" spans="1:6" x14ac:dyDescent="0.35">
      <c r="A1521"/>
      <c r="C1521"/>
      <c r="F1521"/>
    </row>
    <row r="1522" spans="1:6" x14ac:dyDescent="0.35">
      <c r="A1522"/>
      <c r="C1522"/>
      <c r="F1522"/>
    </row>
    <row r="1523" spans="1:6" x14ac:dyDescent="0.35">
      <c r="A1523"/>
      <c r="C1523"/>
      <c r="F1523"/>
    </row>
    <row r="1524" spans="1:6" x14ac:dyDescent="0.35">
      <c r="A1524"/>
      <c r="C1524"/>
      <c r="F1524"/>
    </row>
    <row r="1525" spans="1:6" x14ac:dyDescent="0.35">
      <c r="A1525"/>
      <c r="C1525"/>
      <c r="F1525"/>
    </row>
    <row r="1526" spans="1:6" x14ac:dyDescent="0.35">
      <c r="A1526"/>
      <c r="C1526"/>
      <c r="F1526"/>
    </row>
    <row r="1527" spans="1:6" x14ac:dyDescent="0.35">
      <c r="A1527"/>
      <c r="C1527"/>
      <c r="F1527"/>
    </row>
    <row r="1528" spans="1:6" x14ac:dyDescent="0.35">
      <c r="A1528"/>
      <c r="C1528"/>
      <c r="F1528"/>
    </row>
    <row r="1529" spans="1:6" x14ac:dyDescent="0.35">
      <c r="A1529"/>
      <c r="C1529"/>
      <c r="F1529"/>
    </row>
    <row r="1530" spans="1:6" x14ac:dyDescent="0.35">
      <c r="A1530"/>
      <c r="C1530"/>
      <c r="F1530"/>
    </row>
    <row r="1531" spans="1:6" x14ac:dyDescent="0.35">
      <c r="A1531"/>
      <c r="C1531"/>
      <c r="F1531"/>
    </row>
    <row r="1532" spans="1:6" x14ac:dyDescent="0.35">
      <c r="A1532"/>
      <c r="C1532"/>
      <c r="F1532"/>
    </row>
    <row r="1533" spans="1:6" x14ac:dyDescent="0.35">
      <c r="A1533"/>
      <c r="C1533"/>
      <c r="F1533"/>
    </row>
    <row r="1534" spans="1:6" x14ac:dyDescent="0.35">
      <c r="A1534"/>
      <c r="C1534"/>
      <c r="F1534"/>
    </row>
    <row r="1535" spans="1:6" x14ac:dyDescent="0.35">
      <c r="A1535"/>
      <c r="C1535"/>
      <c r="F1535"/>
    </row>
    <row r="1536" spans="1:6" x14ac:dyDescent="0.35">
      <c r="A1536"/>
      <c r="C1536"/>
      <c r="F1536"/>
    </row>
    <row r="1537" spans="1:6" x14ac:dyDescent="0.35">
      <c r="A1537"/>
      <c r="C1537"/>
      <c r="F1537"/>
    </row>
    <row r="1538" spans="1:6" x14ac:dyDescent="0.35">
      <c r="A1538"/>
      <c r="C1538"/>
      <c r="F1538"/>
    </row>
    <row r="1539" spans="1:6" x14ac:dyDescent="0.35">
      <c r="A1539"/>
      <c r="C1539"/>
      <c r="F1539"/>
    </row>
    <row r="1540" spans="1:6" x14ac:dyDescent="0.35">
      <c r="A1540"/>
      <c r="C1540"/>
      <c r="F1540"/>
    </row>
    <row r="1541" spans="1:6" x14ac:dyDescent="0.35">
      <c r="A1541"/>
      <c r="C1541"/>
      <c r="F1541"/>
    </row>
    <row r="1542" spans="1:6" x14ac:dyDescent="0.35">
      <c r="A1542"/>
      <c r="C1542"/>
      <c r="F1542"/>
    </row>
    <row r="1543" spans="1:6" x14ac:dyDescent="0.35">
      <c r="A1543"/>
      <c r="C1543"/>
      <c r="F1543"/>
    </row>
    <row r="1544" spans="1:6" x14ac:dyDescent="0.35">
      <c r="A1544"/>
      <c r="C1544"/>
      <c r="F1544"/>
    </row>
    <row r="1545" spans="1:6" x14ac:dyDescent="0.35">
      <c r="A1545"/>
      <c r="C1545"/>
      <c r="F1545"/>
    </row>
    <row r="1546" spans="1:6" x14ac:dyDescent="0.35">
      <c r="A1546"/>
      <c r="C1546"/>
      <c r="F1546"/>
    </row>
    <row r="1547" spans="1:6" x14ac:dyDescent="0.35">
      <c r="A1547"/>
      <c r="C1547"/>
      <c r="F1547"/>
    </row>
    <row r="1548" spans="1:6" x14ac:dyDescent="0.35">
      <c r="A1548"/>
      <c r="C1548"/>
      <c r="F1548"/>
    </row>
    <row r="1549" spans="1:6" x14ac:dyDescent="0.35">
      <c r="A1549"/>
      <c r="C1549"/>
      <c r="F1549"/>
    </row>
    <row r="1550" spans="1:6" x14ac:dyDescent="0.35">
      <c r="A1550"/>
      <c r="C1550"/>
      <c r="F1550"/>
    </row>
    <row r="1551" spans="1:6" x14ac:dyDescent="0.35">
      <c r="A1551"/>
      <c r="C1551"/>
      <c r="F1551"/>
    </row>
    <row r="1552" spans="1:6" x14ac:dyDescent="0.35">
      <c r="A1552"/>
      <c r="C1552"/>
      <c r="F1552"/>
    </row>
    <row r="1553" spans="1:6" x14ac:dyDescent="0.35">
      <c r="A1553"/>
      <c r="C1553"/>
      <c r="F1553"/>
    </row>
    <row r="1554" spans="1:6" x14ac:dyDescent="0.35">
      <c r="A1554"/>
      <c r="C1554"/>
      <c r="F1554"/>
    </row>
    <row r="1555" spans="1:6" x14ac:dyDescent="0.35">
      <c r="A1555"/>
      <c r="C1555"/>
      <c r="F1555"/>
    </row>
    <row r="1556" spans="1:6" x14ac:dyDescent="0.35">
      <c r="A1556"/>
      <c r="C1556"/>
      <c r="F1556"/>
    </row>
    <row r="1557" spans="1:6" x14ac:dyDescent="0.35">
      <c r="A1557"/>
      <c r="C1557"/>
      <c r="F1557"/>
    </row>
    <row r="1558" spans="1:6" x14ac:dyDescent="0.35">
      <c r="A1558"/>
      <c r="C1558"/>
      <c r="F1558"/>
    </row>
    <row r="1559" spans="1:6" x14ac:dyDescent="0.35">
      <c r="A1559"/>
      <c r="C1559"/>
      <c r="F1559"/>
    </row>
    <row r="1560" spans="1:6" x14ac:dyDescent="0.35">
      <c r="A1560"/>
      <c r="C1560"/>
      <c r="F1560"/>
    </row>
    <row r="1561" spans="1:6" x14ac:dyDescent="0.35">
      <c r="A1561"/>
      <c r="C1561"/>
      <c r="F1561"/>
    </row>
    <row r="1562" spans="1:6" x14ac:dyDescent="0.35">
      <c r="A1562"/>
      <c r="C1562"/>
      <c r="F1562"/>
    </row>
    <row r="1563" spans="1:6" x14ac:dyDescent="0.35">
      <c r="A1563"/>
      <c r="C1563"/>
      <c r="F1563"/>
    </row>
    <row r="1564" spans="1:6" x14ac:dyDescent="0.35">
      <c r="A1564"/>
      <c r="C1564"/>
      <c r="F1564"/>
    </row>
    <row r="1565" spans="1:6" x14ac:dyDescent="0.35">
      <c r="A1565"/>
      <c r="C1565"/>
      <c r="F1565"/>
    </row>
    <row r="1566" spans="1:6" x14ac:dyDescent="0.35">
      <c r="A1566"/>
      <c r="C1566"/>
      <c r="F1566"/>
    </row>
    <row r="1567" spans="1:6" x14ac:dyDescent="0.35">
      <c r="A1567"/>
      <c r="C1567"/>
      <c r="F1567"/>
    </row>
    <row r="1568" spans="1:6" x14ac:dyDescent="0.35">
      <c r="A1568"/>
      <c r="C1568"/>
      <c r="F1568"/>
    </row>
    <row r="1569" spans="1:6" x14ac:dyDescent="0.35">
      <c r="A1569"/>
      <c r="C1569"/>
      <c r="F1569"/>
    </row>
    <row r="1570" spans="1:6" x14ac:dyDescent="0.35">
      <c r="A1570"/>
      <c r="C1570"/>
      <c r="F1570"/>
    </row>
    <row r="1571" spans="1:6" x14ac:dyDescent="0.35">
      <c r="A1571"/>
      <c r="C1571"/>
      <c r="F1571"/>
    </row>
    <row r="1572" spans="1:6" x14ac:dyDescent="0.35">
      <c r="A1572"/>
      <c r="C1572"/>
      <c r="F1572"/>
    </row>
    <row r="1573" spans="1:6" x14ac:dyDescent="0.35">
      <c r="A1573"/>
      <c r="C1573"/>
      <c r="F1573"/>
    </row>
    <row r="1574" spans="1:6" x14ac:dyDescent="0.35">
      <c r="A1574"/>
      <c r="C1574"/>
      <c r="F1574"/>
    </row>
    <row r="1575" spans="1:6" x14ac:dyDescent="0.35">
      <c r="A1575"/>
      <c r="C1575"/>
      <c r="F1575"/>
    </row>
    <row r="1576" spans="1:6" x14ac:dyDescent="0.35">
      <c r="A1576"/>
      <c r="C1576"/>
      <c r="F1576"/>
    </row>
    <row r="1577" spans="1:6" x14ac:dyDescent="0.35">
      <c r="A1577"/>
      <c r="C1577"/>
      <c r="F1577"/>
    </row>
    <row r="1578" spans="1:6" x14ac:dyDescent="0.35">
      <c r="A1578"/>
      <c r="C1578"/>
      <c r="F1578"/>
    </row>
    <row r="1579" spans="1:6" x14ac:dyDescent="0.35">
      <c r="A1579"/>
      <c r="C1579"/>
      <c r="F1579"/>
    </row>
    <row r="1580" spans="1:6" x14ac:dyDescent="0.35">
      <c r="A1580"/>
      <c r="C1580"/>
      <c r="F1580"/>
    </row>
    <row r="1581" spans="1:6" x14ac:dyDescent="0.35">
      <c r="A1581"/>
      <c r="C1581"/>
      <c r="F1581"/>
    </row>
    <row r="1582" spans="1:6" x14ac:dyDescent="0.35">
      <c r="A1582"/>
      <c r="C1582"/>
      <c r="F1582"/>
    </row>
    <row r="1583" spans="1:6" x14ac:dyDescent="0.35">
      <c r="A1583"/>
      <c r="C1583"/>
      <c r="F1583"/>
    </row>
    <row r="1584" spans="1:6" x14ac:dyDescent="0.35">
      <c r="A1584"/>
      <c r="C1584"/>
      <c r="F1584"/>
    </row>
    <row r="1585" spans="1:6" x14ac:dyDescent="0.35">
      <c r="A1585"/>
      <c r="C1585"/>
      <c r="F1585"/>
    </row>
    <row r="1586" spans="1:6" x14ac:dyDescent="0.35">
      <c r="A1586"/>
      <c r="C1586"/>
      <c r="F1586"/>
    </row>
    <row r="1587" spans="1:6" x14ac:dyDescent="0.35">
      <c r="A1587"/>
      <c r="C1587"/>
      <c r="F1587"/>
    </row>
    <row r="1588" spans="1:6" x14ac:dyDescent="0.35">
      <c r="A1588"/>
      <c r="C1588"/>
      <c r="F1588"/>
    </row>
    <row r="1589" spans="1:6" x14ac:dyDescent="0.35">
      <c r="A1589"/>
      <c r="C1589"/>
      <c r="F1589"/>
    </row>
    <row r="1590" spans="1:6" x14ac:dyDescent="0.35">
      <c r="A1590"/>
      <c r="C1590"/>
      <c r="F1590"/>
    </row>
    <row r="1591" spans="1:6" x14ac:dyDescent="0.35">
      <c r="A1591"/>
      <c r="C1591"/>
      <c r="F1591"/>
    </row>
    <row r="1592" spans="1:6" x14ac:dyDescent="0.35">
      <c r="A1592"/>
      <c r="C1592"/>
      <c r="F1592"/>
    </row>
    <row r="1593" spans="1:6" x14ac:dyDescent="0.35">
      <c r="A1593"/>
      <c r="C1593"/>
      <c r="F1593"/>
    </row>
    <row r="1594" spans="1:6" x14ac:dyDescent="0.35">
      <c r="A1594"/>
      <c r="C1594"/>
      <c r="F1594"/>
    </row>
    <row r="1595" spans="1:6" x14ac:dyDescent="0.35">
      <c r="A1595"/>
      <c r="C1595"/>
      <c r="F1595"/>
    </row>
    <row r="1596" spans="1:6" x14ac:dyDescent="0.35">
      <c r="A1596"/>
      <c r="C1596"/>
      <c r="F1596"/>
    </row>
    <row r="1597" spans="1:6" x14ac:dyDescent="0.35">
      <c r="A1597"/>
      <c r="C1597"/>
      <c r="F1597"/>
    </row>
    <row r="1598" spans="1:6" x14ac:dyDescent="0.35">
      <c r="A1598"/>
      <c r="C1598"/>
      <c r="F1598"/>
    </row>
    <row r="1599" spans="1:6" x14ac:dyDescent="0.35">
      <c r="A1599"/>
      <c r="C1599"/>
      <c r="F1599"/>
    </row>
    <row r="1600" spans="1:6" x14ac:dyDescent="0.35">
      <c r="A1600"/>
      <c r="C1600"/>
      <c r="F1600"/>
    </row>
    <row r="1601" spans="1:6" x14ac:dyDescent="0.35">
      <c r="A1601"/>
      <c r="C1601"/>
      <c r="F1601"/>
    </row>
    <row r="1602" spans="1:6" x14ac:dyDescent="0.35">
      <c r="A1602"/>
      <c r="C1602"/>
      <c r="F1602"/>
    </row>
    <row r="1603" spans="1:6" x14ac:dyDescent="0.35">
      <c r="A1603"/>
      <c r="C1603"/>
      <c r="F1603"/>
    </row>
    <row r="1604" spans="1:6" x14ac:dyDescent="0.35">
      <c r="A1604"/>
      <c r="C1604"/>
      <c r="F1604"/>
    </row>
    <row r="1605" spans="1:6" x14ac:dyDescent="0.35">
      <c r="A1605"/>
      <c r="C1605"/>
      <c r="F1605"/>
    </row>
    <row r="1606" spans="1:6" x14ac:dyDescent="0.35">
      <c r="A1606"/>
      <c r="C1606"/>
      <c r="F1606"/>
    </row>
    <row r="1607" spans="1:6" x14ac:dyDescent="0.35">
      <c r="A1607"/>
      <c r="C1607"/>
      <c r="F1607"/>
    </row>
    <row r="1608" spans="1:6" x14ac:dyDescent="0.35">
      <c r="A1608"/>
      <c r="C1608"/>
      <c r="F1608"/>
    </row>
    <row r="1609" spans="1:6" x14ac:dyDescent="0.35">
      <c r="A1609"/>
      <c r="C1609"/>
      <c r="F1609" s="88"/>
    </row>
    <row r="1610" spans="1:6" x14ac:dyDescent="0.35">
      <c r="A1610"/>
      <c r="C1610"/>
      <c r="F1610" s="88"/>
    </row>
    <row r="1611" spans="1:6" x14ac:dyDescent="0.35">
      <c r="A1611"/>
      <c r="C1611"/>
      <c r="F1611" s="88"/>
    </row>
    <row r="1612" spans="1:6" x14ac:dyDescent="0.35">
      <c r="A1612"/>
      <c r="C1612"/>
      <c r="F1612" s="88"/>
    </row>
    <row r="1613" spans="1:6" x14ac:dyDescent="0.35">
      <c r="A1613"/>
      <c r="C1613"/>
      <c r="F1613" s="88"/>
    </row>
    <row r="1614" spans="1:6" x14ac:dyDescent="0.35">
      <c r="A1614"/>
      <c r="C1614"/>
      <c r="F1614" s="88"/>
    </row>
    <row r="1615" spans="1:6" x14ac:dyDescent="0.35">
      <c r="A1615"/>
      <c r="C1615"/>
      <c r="F1615" s="88"/>
    </row>
    <row r="1616" spans="1:6" x14ac:dyDescent="0.35">
      <c r="A1616"/>
      <c r="C1616"/>
      <c r="F1616" s="88"/>
    </row>
    <row r="1617" spans="1:6" x14ac:dyDescent="0.35">
      <c r="A1617"/>
      <c r="C1617"/>
      <c r="F1617" s="88"/>
    </row>
    <row r="1618" spans="1:6" x14ac:dyDescent="0.35">
      <c r="A1618"/>
      <c r="C1618"/>
      <c r="F1618" s="88"/>
    </row>
    <row r="1619" spans="1:6" x14ac:dyDescent="0.35">
      <c r="A1619"/>
      <c r="C1619"/>
      <c r="F1619" s="88"/>
    </row>
    <row r="1620" spans="1:6" x14ac:dyDescent="0.35">
      <c r="A1620"/>
      <c r="C1620"/>
      <c r="F1620" s="88"/>
    </row>
    <row r="1621" spans="1:6" x14ac:dyDescent="0.35">
      <c r="A1621"/>
      <c r="C1621"/>
      <c r="F1621" s="88"/>
    </row>
    <row r="1622" spans="1:6" x14ac:dyDescent="0.35">
      <c r="A1622"/>
      <c r="C1622"/>
      <c r="F1622" s="88"/>
    </row>
    <row r="1623" spans="1:6" x14ac:dyDescent="0.35">
      <c r="A1623"/>
      <c r="C1623"/>
      <c r="F1623" s="88"/>
    </row>
    <row r="1624" spans="1:6" x14ac:dyDescent="0.35">
      <c r="A1624"/>
      <c r="C1624"/>
      <c r="F1624" s="88"/>
    </row>
    <row r="1625" spans="1:6" x14ac:dyDescent="0.35">
      <c r="A1625"/>
      <c r="C1625"/>
      <c r="F1625" s="88"/>
    </row>
    <row r="1626" spans="1:6" x14ac:dyDescent="0.35">
      <c r="A1626"/>
      <c r="C1626"/>
      <c r="F1626" s="88"/>
    </row>
    <row r="1627" spans="1:6" x14ac:dyDescent="0.35">
      <c r="A1627"/>
      <c r="C1627"/>
      <c r="F1627" s="88"/>
    </row>
    <row r="1628" spans="1:6" x14ac:dyDescent="0.35">
      <c r="A1628"/>
      <c r="C1628"/>
      <c r="F1628" s="88"/>
    </row>
    <row r="1629" spans="1:6" x14ac:dyDescent="0.35">
      <c r="A1629"/>
      <c r="C1629"/>
      <c r="F1629" s="88"/>
    </row>
    <row r="1630" spans="1:6" x14ac:dyDescent="0.35">
      <c r="A1630"/>
      <c r="C1630"/>
      <c r="F1630" s="88"/>
    </row>
    <row r="1631" spans="1:6" x14ac:dyDescent="0.35">
      <c r="A1631"/>
      <c r="C1631"/>
      <c r="F1631" s="88"/>
    </row>
    <row r="1632" spans="1:6" x14ac:dyDescent="0.35">
      <c r="A1632"/>
      <c r="C1632"/>
      <c r="F1632" s="88"/>
    </row>
    <row r="1633" spans="1:6" x14ac:dyDescent="0.35">
      <c r="A1633"/>
      <c r="C1633"/>
      <c r="F1633" s="88"/>
    </row>
    <row r="1634" spans="1:6" x14ac:dyDescent="0.35">
      <c r="A1634"/>
      <c r="C1634"/>
      <c r="F1634" s="88"/>
    </row>
    <row r="1635" spans="1:6" x14ac:dyDescent="0.35">
      <c r="A1635"/>
      <c r="C1635"/>
      <c r="F1635" s="88"/>
    </row>
    <row r="1636" spans="1:6" x14ac:dyDescent="0.35">
      <c r="A1636"/>
      <c r="C1636"/>
      <c r="F1636" s="88"/>
    </row>
    <row r="1637" spans="1:6" x14ac:dyDescent="0.35">
      <c r="A1637"/>
      <c r="C1637"/>
      <c r="F1637" s="88"/>
    </row>
    <row r="1638" spans="1:6" x14ac:dyDescent="0.35">
      <c r="A1638"/>
      <c r="C1638"/>
      <c r="F1638" s="88"/>
    </row>
    <row r="1639" spans="1:6" x14ac:dyDescent="0.35">
      <c r="A1639"/>
      <c r="C1639"/>
      <c r="F1639" s="88"/>
    </row>
    <row r="1640" spans="1:6" x14ac:dyDescent="0.35">
      <c r="A1640"/>
      <c r="C1640"/>
      <c r="F1640" s="88"/>
    </row>
    <row r="1641" spans="1:6" x14ac:dyDescent="0.35">
      <c r="A1641"/>
      <c r="C1641"/>
      <c r="F1641" s="88"/>
    </row>
    <row r="1642" spans="1:6" x14ac:dyDescent="0.35">
      <c r="A1642"/>
      <c r="C1642"/>
      <c r="F1642" s="88"/>
    </row>
    <row r="1643" spans="1:6" x14ac:dyDescent="0.35">
      <c r="A1643"/>
      <c r="C1643"/>
      <c r="F1643" s="88"/>
    </row>
    <row r="1644" spans="1:6" x14ac:dyDescent="0.35">
      <c r="A1644"/>
      <c r="C1644"/>
      <c r="F1644" s="88"/>
    </row>
    <row r="1645" spans="1:6" x14ac:dyDescent="0.35">
      <c r="A1645"/>
      <c r="C1645"/>
      <c r="F1645" s="88"/>
    </row>
    <row r="1646" spans="1:6" x14ac:dyDescent="0.35">
      <c r="A1646"/>
      <c r="C1646"/>
      <c r="F1646" s="88"/>
    </row>
    <row r="1647" spans="1:6" x14ac:dyDescent="0.35">
      <c r="A1647"/>
      <c r="C1647"/>
      <c r="F1647" s="88"/>
    </row>
    <row r="1648" spans="1:6" x14ac:dyDescent="0.35">
      <c r="A1648"/>
      <c r="C1648"/>
      <c r="F1648" s="88"/>
    </row>
    <row r="1649" spans="1:6" x14ac:dyDescent="0.35">
      <c r="A1649"/>
      <c r="C1649"/>
      <c r="F1649" s="88"/>
    </row>
    <row r="1650" spans="1:6" x14ac:dyDescent="0.35">
      <c r="A1650"/>
      <c r="C1650"/>
      <c r="F1650" s="88"/>
    </row>
    <row r="1651" spans="1:6" x14ac:dyDescent="0.35">
      <c r="A1651"/>
      <c r="C1651"/>
      <c r="F1651" s="88"/>
    </row>
    <row r="1652" spans="1:6" x14ac:dyDescent="0.35">
      <c r="A1652"/>
      <c r="C1652"/>
      <c r="F1652" s="88"/>
    </row>
    <row r="1653" spans="1:6" x14ac:dyDescent="0.35">
      <c r="A1653"/>
      <c r="C1653"/>
      <c r="F1653" s="88"/>
    </row>
    <row r="1654" spans="1:6" x14ac:dyDescent="0.35">
      <c r="A1654"/>
      <c r="C1654"/>
      <c r="F1654" s="88"/>
    </row>
    <row r="1655" spans="1:6" x14ac:dyDescent="0.35">
      <c r="A1655"/>
      <c r="C1655"/>
      <c r="F1655" s="88"/>
    </row>
    <row r="1656" spans="1:6" x14ac:dyDescent="0.35">
      <c r="A1656"/>
      <c r="C1656"/>
      <c r="F1656" s="88"/>
    </row>
    <row r="1657" spans="1:6" x14ac:dyDescent="0.35">
      <c r="A1657"/>
      <c r="C1657"/>
      <c r="F1657" s="88"/>
    </row>
    <row r="1658" spans="1:6" x14ac:dyDescent="0.35">
      <c r="A1658"/>
      <c r="C1658"/>
      <c r="F1658" s="88"/>
    </row>
    <row r="1659" spans="1:6" x14ac:dyDescent="0.35">
      <c r="A1659"/>
      <c r="C1659"/>
      <c r="F1659" s="88"/>
    </row>
    <row r="1660" spans="1:6" x14ac:dyDescent="0.35">
      <c r="A1660"/>
      <c r="C1660"/>
      <c r="F1660" s="88"/>
    </row>
    <row r="1661" spans="1:6" x14ac:dyDescent="0.35">
      <c r="A1661"/>
      <c r="C1661"/>
      <c r="F1661" s="88"/>
    </row>
    <row r="1662" spans="1:6" x14ac:dyDescent="0.35">
      <c r="A1662"/>
      <c r="C1662"/>
      <c r="F1662" s="88"/>
    </row>
    <row r="1663" spans="1:6" x14ac:dyDescent="0.35">
      <c r="A1663"/>
      <c r="C1663"/>
      <c r="F1663" s="88"/>
    </row>
    <row r="1664" spans="1:6" x14ac:dyDescent="0.35">
      <c r="A1664"/>
      <c r="C1664"/>
      <c r="F1664" s="88"/>
    </row>
    <row r="1665" spans="1:6" x14ac:dyDescent="0.35">
      <c r="A1665"/>
      <c r="C1665"/>
      <c r="F1665" s="88"/>
    </row>
    <row r="1666" spans="1:6" x14ac:dyDescent="0.35">
      <c r="A1666"/>
      <c r="C1666"/>
      <c r="F1666" s="88"/>
    </row>
    <row r="1667" spans="1:6" x14ac:dyDescent="0.35">
      <c r="A1667"/>
      <c r="C1667"/>
      <c r="F1667" s="88"/>
    </row>
    <row r="1668" spans="1:6" x14ac:dyDescent="0.35">
      <c r="A1668"/>
      <c r="C1668"/>
      <c r="F1668" s="88"/>
    </row>
    <row r="1669" spans="1:6" x14ac:dyDescent="0.35">
      <c r="A1669"/>
      <c r="C1669"/>
      <c r="F1669" s="88"/>
    </row>
    <row r="1670" spans="1:6" x14ac:dyDescent="0.35">
      <c r="A1670"/>
      <c r="C1670"/>
      <c r="F1670" s="88"/>
    </row>
    <row r="1671" spans="1:6" x14ac:dyDescent="0.35">
      <c r="A1671"/>
      <c r="C1671"/>
      <c r="F1671" s="88"/>
    </row>
    <row r="1672" spans="1:6" x14ac:dyDescent="0.35">
      <c r="A1672"/>
      <c r="C1672"/>
      <c r="F1672" s="88"/>
    </row>
    <row r="1673" spans="1:6" x14ac:dyDescent="0.35">
      <c r="A1673"/>
      <c r="C1673"/>
      <c r="F1673" s="88"/>
    </row>
    <row r="1674" spans="1:6" x14ac:dyDescent="0.35">
      <c r="A1674"/>
      <c r="C1674"/>
      <c r="F1674" s="88"/>
    </row>
    <row r="1675" spans="1:6" x14ac:dyDescent="0.35">
      <c r="A1675"/>
      <c r="C1675"/>
      <c r="F1675" s="88"/>
    </row>
    <row r="1676" spans="1:6" x14ac:dyDescent="0.35">
      <c r="A1676"/>
      <c r="C1676"/>
      <c r="F1676" s="88"/>
    </row>
    <row r="1677" spans="1:6" x14ac:dyDescent="0.35">
      <c r="A1677"/>
      <c r="C1677"/>
      <c r="F1677" s="88"/>
    </row>
    <row r="1678" spans="1:6" x14ac:dyDescent="0.35">
      <c r="A1678"/>
      <c r="C1678"/>
      <c r="F1678" s="88"/>
    </row>
    <row r="1679" spans="1:6" x14ac:dyDescent="0.35">
      <c r="A1679"/>
      <c r="C1679"/>
      <c r="F1679" s="88"/>
    </row>
    <row r="1680" spans="1:6" x14ac:dyDescent="0.35">
      <c r="A1680"/>
      <c r="C1680"/>
      <c r="F1680" s="88"/>
    </row>
    <row r="1681" spans="1:6" x14ac:dyDescent="0.35">
      <c r="A1681"/>
      <c r="C1681"/>
      <c r="F1681" s="88"/>
    </row>
    <row r="1682" spans="1:6" x14ac:dyDescent="0.35">
      <c r="A1682"/>
      <c r="C1682"/>
      <c r="F1682" s="88"/>
    </row>
    <row r="1683" spans="1:6" x14ac:dyDescent="0.35">
      <c r="A1683"/>
      <c r="C1683"/>
      <c r="F1683" s="88"/>
    </row>
    <row r="1684" spans="1:6" x14ac:dyDescent="0.35">
      <c r="A1684"/>
      <c r="C1684"/>
      <c r="F1684" s="88"/>
    </row>
    <row r="1685" spans="1:6" x14ac:dyDescent="0.35">
      <c r="A1685"/>
      <c r="C1685"/>
      <c r="F1685" s="88"/>
    </row>
    <row r="1686" spans="1:6" x14ac:dyDescent="0.35">
      <c r="A1686"/>
      <c r="C1686"/>
      <c r="F1686" s="88"/>
    </row>
    <row r="1687" spans="1:6" x14ac:dyDescent="0.35">
      <c r="A1687"/>
      <c r="C1687"/>
      <c r="F1687" s="88"/>
    </row>
    <row r="1688" spans="1:6" x14ac:dyDescent="0.35">
      <c r="A1688"/>
      <c r="C1688"/>
      <c r="F1688" s="88"/>
    </row>
    <row r="1689" spans="1:6" x14ac:dyDescent="0.35">
      <c r="A1689"/>
      <c r="C1689"/>
      <c r="F1689" s="88"/>
    </row>
    <row r="1690" spans="1:6" x14ac:dyDescent="0.35">
      <c r="A1690"/>
      <c r="C1690"/>
      <c r="F1690" s="88"/>
    </row>
    <row r="1691" spans="1:6" x14ac:dyDescent="0.35">
      <c r="A1691"/>
      <c r="C1691"/>
      <c r="F1691" s="88"/>
    </row>
    <row r="1692" spans="1:6" x14ac:dyDescent="0.35">
      <c r="A1692"/>
      <c r="C1692"/>
      <c r="F1692" s="88"/>
    </row>
    <row r="1693" spans="1:6" x14ac:dyDescent="0.35">
      <c r="A1693"/>
      <c r="C1693"/>
      <c r="F1693" s="88"/>
    </row>
    <row r="1694" spans="1:6" x14ac:dyDescent="0.35">
      <c r="A1694"/>
      <c r="C1694"/>
      <c r="F1694" s="88"/>
    </row>
    <row r="1695" spans="1:6" x14ac:dyDescent="0.35">
      <c r="A1695"/>
      <c r="C1695"/>
      <c r="F1695" s="88"/>
    </row>
    <row r="1696" spans="1:6" x14ac:dyDescent="0.35">
      <c r="A1696"/>
      <c r="C1696"/>
      <c r="F1696" s="88"/>
    </row>
    <row r="1697" spans="1:6" x14ac:dyDescent="0.35">
      <c r="A1697"/>
      <c r="C1697"/>
      <c r="F1697" s="88"/>
    </row>
    <row r="1698" spans="1:6" x14ac:dyDescent="0.35">
      <c r="A1698"/>
      <c r="C1698"/>
      <c r="F1698" s="88"/>
    </row>
    <row r="1699" spans="1:6" x14ac:dyDescent="0.35">
      <c r="A1699"/>
      <c r="C1699"/>
      <c r="F1699" s="88"/>
    </row>
    <row r="1700" spans="1:6" x14ac:dyDescent="0.35">
      <c r="A1700"/>
      <c r="C1700"/>
      <c r="F1700" s="88"/>
    </row>
    <row r="1701" spans="1:6" x14ac:dyDescent="0.35">
      <c r="A1701"/>
      <c r="C1701"/>
      <c r="F1701" s="88"/>
    </row>
    <row r="1702" spans="1:6" x14ac:dyDescent="0.35">
      <c r="A1702"/>
      <c r="C1702"/>
      <c r="F1702" s="88"/>
    </row>
    <row r="1703" spans="1:6" x14ac:dyDescent="0.35">
      <c r="A1703"/>
      <c r="C1703"/>
      <c r="F1703" s="88"/>
    </row>
    <row r="1704" spans="1:6" x14ac:dyDescent="0.35">
      <c r="A1704"/>
      <c r="C1704"/>
      <c r="F1704" s="88"/>
    </row>
    <row r="1705" spans="1:6" x14ac:dyDescent="0.35">
      <c r="A1705"/>
      <c r="C1705"/>
      <c r="F1705" s="88"/>
    </row>
    <row r="1706" spans="1:6" x14ac:dyDescent="0.35">
      <c r="A1706"/>
      <c r="C1706"/>
      <c r="F1706" s="88"/>
    </row>
    <row r="1707" spans="1:6" x14ac:dyDescent="0.35">
      <c r="A1707"/>
      <c r="C1707"/>
      <c r="F1707" s="88"/>
    </row>
    <row r="1708" spans="1:6" x14ac:dyDescent="0.35">
      <c r="A1708"/>
      <c r="C1708"/>
      <c r="F1708" s="88"/>
    </row>
    <row r="1709" spans="1:6" x14ac:dyDescent="0.35">
      <c r="A1709"/>
      <c r="C1709"/>
      <c r="F1709" s="88"/>
    </row>
    <row r="1710" spans="1:6" x14ac:dyDescent="0.35">
      <c r="A1710"/>
      <c r="C1710"/>
      <c r="F1710" s="88"/>
    </row>
    <row r="1711" spans="1:6" x14ac:dyDescent="0.35">
      <c r="A1711"/>
      <c r="C1711"/>
      <c r="F1711" s="88"/>
    </row>
    <row r="1712" spans="1:6" x14ac:dyDescent="0.35">
      <c r="A1712"/>
      <c r="C1712"/>
      <c r="F1712" s="88"/>
    </row>
    <row r="1713" spans="1:6" x14ac:dyDescent="0.35">
      <c r="A1713"/>
      <c r="C1713"/>
      <c r="F1713" s="88"/>
    </row>
    <row r="1714" spans="1:6" x14ac:dyDescent="0.35">
      <c r="A1714"/>
      <c r="C1714"/>
      <c r="F1714" s="88"/>
    </row>
    <row r="1715" spans="1:6" x14ac:dyDescent="0.35">
      <c r="A1715"/>
      <c r="C1715"/>
      <c r="F1715" s="88"/>
    </row>
    <row r="1716" spans="1:6" x14ac:dyDescent="0.35">
      <c r="A1716"/>
      <c r="C1716"/>
      <c r="F1716" s="88"/>
    </row>
    <row r="1717" spans="1:6" x14ac:dyDescent="0.35">
      <c r="A1717"/>
      <c r="C1717"/>
      <c r="F1717" s="88"/>
    </row>
    <row r="1718" spans="1:6" x14ac:dyDescent="0.35">
      <c r="A1718"/>
      <c r="C1718"/>
      <c r="F1718" s="88"/>
    </row>
    <row r="1719" spans="1:6" x14ac:dyDescent="0.35">
      <c r="A1719"/>
      <c r="C1719"/>
      <c r="F1719" s="88"/>
    </row>
    <row r="1720" spans="1:6" x14ac:dyDescent="0.35">
      <c r="A1720"/>
      <c r="C1720"/>
      <c r="F1720" s="88"/>
    </row>
    <row r="1721" spans="1:6" x14ac:dyDescent="0.35">
      <c r="A1721"/>
      <c r="C1721"/>
      <c r="F1721" s="88"/>
    </row>
    <row r="1722" spans="1:6" x14ac:dyDescent="0.35">
      <c r="A1722"/>
      <c r="C1722"/>
      <c r="F1722" s="88"/>
    </row>
    <row r="1723" spans="1:6" x14ac:dyDescent="0.35">
      <c r="A1723"/>
      <c r="C1723"/>
      <c r="F1723" s="88"/>
    </row>
    <row r="1724" spans="1:6" x14ac:dyDescent="0.35">
      <c r="A1724"/>
      <c r="C1724"/>
      <c r="F1724" s="88"/>
    </row>
    <row r="1725" spans="1:6" x14ac:dyDescent="0.35">
      <c r="A1725"/>
      <c r="C1725"/>
      <c r="F1725" s="88"/>
    </row>
    <row r="1726" spans="1:6" x14ac:dyDescent="0.35">
      <c r="A1726"/>
      <c r="C1726"/>
      <c r="F1726" s="88"/>
    </row>
    <row r="1727" spans="1:6" x14ac:dyDescent="0.35">
      <c r="A1727"/>
      <c r="C1727"/>
      <c r="F1727" s="88"/>
    </row>
    <row r="1728" spans="1:6" x14ac:dyDescent="0.35">
      <c r="A1728"/>
      <c r="C1728"/>
      <c r="F1728" s="88"/>
    </row>
    <row r="1729" spans="1:6" x14ac:dyDescent="0.35">
      <c r="A1729"/>
      <c r="C1729"/>
      <c r="F1729" s="88"/>
    </row>
    <row r="1730" spans="1:6" x14ac:dyDescent="0.35">
      <c r="A1730"/>
      <c r="C1730"/>
      <c r="F1730" s="88"/>
    </row>
    <row r="1731" spans="1:6" x14ac:dyDescent="0.35">
      <c r="A1731"/>
      <c r="C1731"/>
      <c r="F1731" s="88"/>
    </row>
    <row r="1732" spans="1:6" x14ac:dyDescent="0.35">
      <c r="A1732"/>
      <c r="C1732"/>
      <c r="F1732" s="88"/>
    </row>
    <row r="1733" spans="1:6" x14ac:dyDescent="0.35">
      <c r="A1733"/>
      <c r="C1733"/>
      <c r="F1733" s="88"/>
    </row>
    <row r="1734" spans="1:6" x14ac:dyDescent="0.35">
      <c r="A1734"/>
      <c r="C1734"/>
      <c r="F1734" s="88"/>
    </row>
    <row r="1735" spans="1:6" x14ac:dyDescent="0.35">
      <c r="A1735"/>
      <c r="C1735"/>
      <c r="F1735" s="88"/>
    </row>
    <row r="1736" spans="1:6" x14ac:dyDescent="0.35">
      <c r="A1736"/>
      <c r="C1736"/>
      <c r="F1736" s="88"/>
    </row>
    <row r="1737" spans="1:6" x14ac:dyDescent="0.35">
      <c r="A1737"/>
      <c r="C1737"/>
      <c r="F1737" s="88"/>
    </row>
    <row r="1738" spans="1:6" x14ac:dyDescent="0.35">
      <c r="A1738"/>
      <c r="C1738"/>
      <c r="F1738" s="88"/>
    </row>
    <row r="1739" spans="1:6" x14ac:dyDescent="0.35">
      <c r="A1739"/>
      <c r="C1739"/>
      <c r="F1739" s="88"/>
    </row>
    <row r="1740" spans="1:6" x14ac:dyDescent="0.35">
      <c r="A1740"/>
      <c r="C1740"/>
      <c r="F1740" s="88"/>
    </row>
    <row r="1741" spans="1:6" x14ac:dyDescent="0.35">
      <c r="A1741"/>
      <c r="C1741"/>
      <c r="F1741" s="88"/>
    </row>
    <row r="1742" spans="1:6" x14ac:dyDescent="0.35">
      <c r="A1742"/>
      <c r="C1742"/>
      <c r="F1742" s="88"/>
    </row>
    <row r="1743" spans="1:6" x14ac:dyDescent="0.35">
      <c r="A1743"/>
      <c r="C1743"/>
      <c r="F1743" s="88"/>
    </row>
    <row r="1744" spans="1:6" x14ac:dyDescent="0.35">
      <c r="A1744"/>
      <c r="C1744"/>
      <c r="F1744" s="88"/>
    </row>
    <row r="1745" spans="1:6" x14ac:dyDescent="0.35">
      <c r="A1745"/>
      <c r="C1745"/>
      <c r="F1745" s="88"/>
    </row>
    <row r="1746" spans="1:6" x14ac:dyDescent="0.35">
      <c r="A1746"/>
      <c r="C1746"/>
      <c r="F1746" s="88"/>
    </row>
    <row r="1747" spans="1:6" x14ac:dyDescent="0.35">
      <c r="A1747"/>
      <c r="C1747"/>
      <c r="F1747" s="88"/>
    </row>
    <row r="1748" spans="1:6" x14ac:dyDescent="0.35">
      <c r="A1748"/>
      <c r="C1748"/>
      <c r="F1748" s="88"/>
    </row>
    <row r="1749" spans="1:6" x14ac:dyDescent="0.35">
      <c r="A1749"/>
      <c r="C1749"/>
      <c r="F1749" s="88"/>
    </row>
    <row r="1750" spans="1:6" x14ac:dyDescent="0.35">
      <c r="A1750"/>
      <c r="C1750"/>
      <c r="F1750" s="88"/>
    </row>
    <row r="1751" spans="1:6" x14ac:dyDescent="0.35">
      <c r="A1751"/>
      <c r="C1751"/>
      <c r="F1751" s="88"/>
    </row>
    <row r="1752" spans="1:6" x14ac:dyDescent="0.35">
      <c r="A1752"/>
      <c r="C1752"/>
      <c r="F1752" s="88"/>
    </row>
    <row r="1753" spans="1:6" x14ac:dyDescent="0.35">
      <c r="A1753"/>
      <c r="C1753"/>
      <c r="F1753" s="88"/>
    </row>
    <row r="1754" spans="1:6" x14ac:dyDescent="0.35">
      <c r="A1754"/>
      <c r="C1754"/>
      <c r="F1754" s="88"/>
    </row>
    <row r="1755" spans="1:6" x14ac:dyDescent="0.35">
      <c r="A1755"/>
      <c r="C1755"/>
      <c r="F1755" s="88"/>
    </row>
    <row r="1756" spans="1:6" x14ac:dyDescent="0.35">
      <c r="A1756"/>
      <c r="C1756"/>
      <c r="F1756" s="88"/>
    </row>
    <row r="1757" spans="1:6" x14ac:dyDescent="0.35">
      <c r="A1757"/>
      <c r="C1757"/>
      <c r="F1757" s="88"/>
    </row>
    <row r="1758" spans="1:6" x14ac:dyDescent="0.35">
      <c r="A1758"/>
      <c r="C1758"/>
      <c r="F1758" s="88"/>
    </row>
    <row r="1759" spans="1:6" x14ac:dyDescent="0.35">
      <c r="A1759"/>
      <c r="C1759"/>
      <c r="F1759" s="88"/>
    </row>
    <row r="1760" spans="1:6" x14ac:dyDescent="0.35">
      <c r="A1760"/>
      <c r="C1760"/>
      <c r="F1760" s="88"/>
    </row>
    <row r="1761" spans="1:6" x14ac:dyDescent="0.35">
      <c r="A1761"/>
      <c r="C1761"/>
      <c r="F1761" s="88"/>
    </row>
    <row r="1762" spans="1:6" x14ac:dyDescent="0.35">
      <c r="A1762"/>
      <c r="C1762"/>
      <c r="F1762" s="88"/>
    </row>
    <row r="1763" spans="1:6" x14ac:dyDescent="0.35">
      <c r="A1763"/>
      <c r="C1763"/>
      <c r="F1763" s="88"/>
    </row>
    <row r="1764" spans="1:6" x14ac:dyDescent="0.35">
      <c r="A1764"/>
      <c r="C1764"/>
      <c r="F1764" s="88"/>
    </row>
    <row r="1765" spans="1:6" x14ac:dyDescent="0.35">
      <c r="A1765"/>
      <c r="C1765"/>
      <c r="F1765" s="88"/>
    </row>
    <row r="1766" spans="1:6" x14ac:dyDescent="0.35">
      <c r="A1766"/>
      <c r="C1766"/>
      <c r="F1766" s="88"/>
    </row>
    <row r="1767" spans="1:6" x14ac:dyDescent="0.35">
      <c r="A1767"/>
      <c r="C1767"/>
      <c r="F1767" s="88"/>
    </row>
    <row r="1768" spans="1:6" x14ac:dyDescent="0.35">
      <c r="A1768"/>
      <c r="C1768"/>
      <c r="F1768" s="88"/>
    </row>
    <row r="1769" spans="1:6" x14ac:dyDescent="0.35">
      <c r="A1769"/>
      <c r="C1769"/>
      <c r="F1769" s="88"/>
    </row>
    <row r="1770" spans="1:6" x14ac:dyDescent="0.35">
      <c r="A1770"/>
      <c r="C1770"/>
      <c r="F1770" s="88"/>
    </row>
    <row r="1771" spans="1:6" x14ac:dyDescent="0.35">
      <c r="A1771"/>
      <c r="C1771"/>
      <c r="F1771" s="88"/>
    </row>
    <row r="1772" spans="1:6" x14ac:dyDescent="0.35">
      <c r="A1772"/>
      <c r="C1772"/>
      <c r="F1772" s="88"/>
    </row>
    <row r="1773" spans="1:6" x14ac:dyDescent="0.35">
      <c r="A1773"/>
      <c r="C1773"/>
      <c r="F1773" s="88"/>
    </row>
    <row r="1774" spans="1:6" x14ac:dyDescent="0.35">
      <c r="A1774"/>
      <c r="C1774"/>
      <c r="F1774" s="88"/>
    </row>
    <row r="1775" spans="1:6" x14ac:dyDescent="0.35">
      <c r="A1775"/>
      <c r="C1775"/>
      <c r="F1775" s="88"/>
    </row>
    <row r="1776" spans="1:6" x14ac:dyDescent="0.35">
      <c r="A1776"/>
      <c r="C1776"/>
      <c r="F1776" s="88"/>
    </row>
    <row r="1777" spans="1:6" x14ac:dyDescent="0.35">
      <c r="A1777"/>
      <c r="C1777"/>
      <c r="F1777" s="88"/>
    </row>
    <row r="1778" spans="1:6" x14ac:dyDescent="0.35">
      <c r="A1778"/>
      <c r="C1778"/>
      <c r="F1778" s="88"/>
    </row>
    <row r="1779" spans="1:6" x14ac:dyDescent="0.35">
      <c r="A1779"/>
      <c r="C1779"/>
      <c r="F1779" s="88"/>
    </row>
    <row r="1780" spans="1:6" x14ac:dyDescent="0.35">
      <c r="A1780"/>
      <c r="C1780"/>
      <c r="F1780" s="88"/>
    </row>
    <row r="1781" spans="1:6" x14ac:dyDescent="0.35">
      <c r="A1781"/>
      <c r="C1781"/>
      <c r="F1781" s="88"/>
    </row>
    <row r="1782" spans="1:6" x14ac:dyDescent="0.35">
      <c r="A1782"/>
      <c r="C1782"/>
      <c r="F1782" s="88"/>
    </row>
    <row r="1783" spans="1:6" x14ac:dyDescent="0.35">
      <c r="A1783"/>
      <c r="C1783"/>
      <c r="F1783" s="88"/>
    </row>
    <row r="1784" spans="1:6" x14ac:dyDescent="0.35">
      <c r="A1784"/>
      <c r="C1784"/>
      <c r="F1784" s="88"/>
    </row>
    <row r="1785" spans="1:6" x14ac:dyDescent="0.35">
      <c r="A1785"/>
      <c r="C1785"/>
      <c r="F1785" s="88"/>
    </row>
    <row r="1786" spans="1:6" x14ac:dyDescent="0.35">
      <c r="A1786"/>
      <c r="C1786"/>
      <c r="F1786" s="88"/>
    </row>
    <row r="1787" spans="1:6" x14ac:dyDescent="0.35">
      <c r="A1787"/>
      <c r="C1787"/>
      <c r="F1787" s="88"/>
    </row>
    <row r="1788" spans="1:6" x14ac:dyDescent="0.35">
      <c r="A1788"/>
      <c r="C1788"/>
      <c r="F1788" s="88"/>
    </row>
    <row r="1789" spans="1:6" x14ac:dyDescent="0.35">
      <c r="A1789"/>
      <c r="C1789"/>
      <c r="F1789" s="88"/>
    </row>
    <row r="1790" spans="1:6" x14ac:dyDescent="0.35">
      <c r="A1790"/>
      <c r="C1790"/>
      <c r="F1790" s="88"/>
    </row>
    <row r="1791" spans="1:6" x14ac:dyDescent="0.35">
      <c r="A1791"/>
      <c r="C1791"/>
      <c r="F1791" s="88"/>
    </row>
    <row r="1792" spans="1:6" x14ac:dyDescent="0.35">
      <c r="A1792"/>
      <c r="C1792"/>
      <c r="F1792" s="88"/>
    </row>
    <row r="1793" spans="1:6" x14ac:dyDescent="0.35">
      <c r="A1793"/>
      <c r="C1793"/>
      <c r="F1793" s="88"/>
    </row>
    <row r="1794" spans="1:6" x14ac:dyDescent="0.35">
      <c r="A1794"/>
      <c r="C1794"/>
      <c r="F1794" s="88"/>
    </row>
    <row r="1795" spans="1:6" x14ac:dyDescent="0.35">
      <c r="A1795"/>
      <c r="C1795"/>
      <c r="F1795" s="88"/>
    </row>
    <row r="1796" spans="1:6" x14ac:dyDescent="0.35">
      <c r="A1796"/>
      <c r="C1796"/>
      <c r="F1796" s="88"/>
    </row>
    <row r="1797" spans="1:6" x14ac:dyDescent="0.35">
      <c r="A1797"/>
      <c r="C1797"/>
      <c r="F1797" s="88"/>
    </row>
    <row r="1798" spans="1:6" x14ac:dyDescent="0.35">
      <c r="A1798"/>
      <c r="C1798"/>
      <c r="F1798" s="88"/>
    </row>
    <row r="1799" spans="1:6" x14ac:dyDescent="0.35">
      <c r="A1799"/>
      <c r="C1799"/>
      <c r="F1799" s="88"/>
    </row>
    <row r="1800" spans="1:6" x14ac:dyDescent="0.35">
      <c r="A1800"/>
      <c r="C1800"/>
      <c r="F1800" s="88"/>
    </row>
    <row r="1801" spans="1:6" x14ac:dyDescent="0.35">
      <c r="A1801"/>
      <c r="C1801"/>
      <c r="F1801" s="88"/>
    </row>
    <row r="1802" spans="1:6" x14ac:dyDescent="0.35">
      <c r="A1802"/>
      <c r="C1802"/>
      <c r="F1802" s="88"/>
    </row>
    <row r="1803" spans="1:6" x14ac:dyDescent="0.35">
      <c r="A1803"/>
      <c r="C1803"/>
      <c r="F1803" s="88"/>
    </row>
    <row r="1804" spans="1:6" x14ac:dyDescent="0.35">
      <c r="A1804"/>
      <c r="C1804"/>
      <c r="F1804" s="88"/>
    </row>
    <row r="1805" spans="1:6" x14ac:dyDescent="0.35">
      <c r="A1805"/>
      <c r="C1805"/>
      <c r="F1805" s="88"/>
    </row>
    <row r="1806" spans="1:6" x14ac:dyDescent="0.35">
      <c r="A1806"/>
      <c r="C1806"/>
      <c r="F1806" s="88"/>
    </row>
    <row r="1807" spans="1:6" x14ac:dyDescent="0.35">
      <c r="A1807"/>
      <c r="C1807"/>
      <c r="F1807" s="88"/>
    </row>
    <row r="1808" spans="1:6" x14ac:dyDescent="0.35">
      <c r="A1808"/>
      <c r="C1808"/>
      <c r="F1808" s="88"/>
    </row>
    <row r="1809" spans="1:6" x14ac:dyDescent="0.35">
      <c r="A1809"/>
      <c r="C1809"/>
      <c r="F1809" s="88"/>
    </row>
    <row r="1810" spans="1:6" x14ac:dyDescent="0.35">
      <c r="A1810"/>
      <c r="C1810"/>
      <c r="F1810" s="88"/>
    </row>
    <row r="1811" spans="1:6" x14ac:dyDescent="0.35">
      <c r="A1811"/>
      <c r="C1811"/>
      <c r="F1811" s="88"/>
    </row>
    <row r="1812" spans="1:6" x14ac:dyDescent="0.35">
      <c r="A1812"/>
      <c r="C1812"/>
      <c r="F1812" s="88"/>
    </row>
    <row r="1813" spans="1:6" x14ac:dyDescent="0.35">
      <c r="A1813"/>
      <c r="C1813"/>
      <c r="F1813" s="88"/>
    </row>
    <row r="1814" spans="1:6" x14ac:dyDescent="0.35">
      <c r="A1814"/>
      <c r="C1814"/>
      <c r="F1814" s="88"/>
    </row>
    <row r="1815" spans="1:6" x14ac:dyDescent="0.35">
      <c r="A1815"/>
      <c r="C1815"/>
      <c r="F1815" s="88"/>
    </row>
    <row r="1816" spans="1:6" x14ac:dyDescent="0.35">
      <c r="A1816"/>
      <c r="C1816"/>
      <c r="F1816" s="88"/>
    </row>
    <row r="1817" spans="1:6" x14ac:dyDescent="0.35">
      <c r="A1817"/>
      <c r="C1817"/>
      <c r="F1817" s="88"/>
    </row>
    <row r="1818" spans="1:6" x14ac:dyDescent="0.35">
      <c r="A1818"/>
      <c r="C1818"/>
      <c r="F1818" s="88"/>
    </row>
    <row r="1819" spans="1:6" x14ac:dyDescent="0.35">
      <c r="A1819"/>
      <c r="C1819"/>
      <c r="F1819" s="88"/>
    </row>
    <row r="1820" spans="1:6" x14ac:dyDescent="0.35">
      <c r="A1820"/>
      <c r="C1820"/>
      <c r="F1820" s="88"/>
    </row>
    <row r="1821" spans="1:6" x14ac:dyDescent="0.35">
      <c r="A1821"/>
      <c r="C1821"/>
      <c r="F1821" s="88"/>
    </row>
    <row r="1822" spans="1:6" x14ac:dyDescent="0.35">
      <c r="A1822"/>
      <c r="C1822"/>
      <c r="F1822" s="88"/>
    </row>
    <row r="1823" spans="1:6" x14ac:dyDescent="0.35">
      <c r="A1823"/>
      <c r="C1823"/>
      <c r="F1823" s="88"/>
    </row>
    <row r="1824" spans="1:6" x14ac:dyDescent="0.35">
      <c r="A1824"/>
      <c r="C1824"/>
      <c r="F1824" s="88"/>
    </row>
    <row r="1825" spans="1:6" x14ac:dyDescent="0.35">
      <c r="A1825"/>
      <c r="C1825"/>
      <c r="F1825" s="88"/>
    </row>
    <row r="1826" spans="1:6" x14ac:dyDescent="0.35">
      <c r="A1826"/>
      <c r="C1826"/>
      <c r="F1826" s="88"/>
    </row>
    <row r="1827" spans="1:6" x14ac:dyDescent="0.35">
      <c r="A1827"/>
      <c r="C1827"/>
      <c r="F1827" s="88"/>
    </row>
    <row r="1828" spans="1:6" x14ac:dyDescent="0.35">
      <c r="A1828"/>
      <c r="C1828"/>
      <c r="F1828" s="88"/>
    </row>
    <row r="1829" spans="1:6" x14ac:dyDescent="0.35">
      <c r="A1829"/>
      <c r="C1829"/>
      <c r="F1829" s="88"/>
    </row>
    <row r="1830" spans="1:6" x14ac:dyDescent="0.35">
      <c r="A1830"/>
      <c r="C1830"/>
      <c r="F1830" s="88"/>
    </row>
    <row r="1831" spans="1:6" x14ac:dyDescent="0.35">
      <c r="A1831"/>
      <c r="C1831"/>
      <c r="F1831" s="88"/>
    </row>
    <row r="1832" spans="1:6" x14ac:dyDescent="0.35">
      <c r="A1832"/>
      <c r="C1832"/>
      <c r="F1832" s="88"/>
    </row>
    <row r="1833" spans="1:6" x14ac:dyDescent="0.35">
      <c r="A1833"/>
      <c r="C1833"/>
      <c r="F1833" s="88"/>
    </row>
    <row r="1834" spans="1:6" x14ac:dyDescent="0.35">
      <c r="A1834"/>
      <c r="C1834"/>
      <c r="F1834" s="88"/>
    </row>
    <row r="1835" spans="1:6" x14ac:dyDescent="0.35">
      <c r="A1835"/>
      <c r="C1835"/>
      <c r="F1835" s="88"/>
    </row>
    <row r="1836" spans="1:6" x14ac:dyDescent="0.35">
      <c r="A1836"/>
      <c r="C1836"/>
      <c r="F1836" s="88"/>
    </row>
    <row r="1837" spans="1:6" x14ac:dyDescent="0.35">
      <c r="A1837"/>
      <c r="C1837"/>
      <c r="F1837" s="88"/>
    </row>
    <row r="1838" spans="1:6" x14ac:dyDescent="0.35">
      <c r="A1838"/>
      <c r="C1838"/>
      <c r="F1838" s="88"/>
    </row>
    <row r="1839" spans="1:6" x14ac:dyDescent="0.35">
      <c r="A1839"/>
      <c r="C1839"/>
      <c r="F1839" s="88"/>
    </row>
    <row r="1840" spans="1:6" x14ac:dyDescent="0.35">
      <c r="A1840"/>
      <c r="C1840"/>
      <c r="F1840" s="88"/>
    </row>
    <row r="1841" spans="1:6" x14ac:dyDescent="0.35">
      <c r="A1841"/>
      <c r="C1841"/>
      <c r="F1841" s="88"/>
    </row>
    <row r="1842" spans="1:6" x14ac:dyDescent="0.35">
      <c r="A1842"/>
      <c r="C1842"/>
      <c r="F1842" s="88"/>
    </row>
    <row r="1843" spans="1:6" x14ac:dyDescent="0.35">
      <c r="A1843"/>
      <c r="C1843"/>
      <c r="F1843" s="88"/>
    </row>
    <row r="1844" spans="1:6" x14ac:dyDescent="0.35">
      <c r="A1844"/>
      <c r="C1844"/>
      <c r="F1844" s="88"/>
    </row>
    <row r="1845" spans="1:6" x14ac:dyDescent="0.35">
      <c r="A1845"/>
      <c r="C1845"/>
      <c r="F1845" s="88"/>
    </row>
    <row r="1846" spans="1:6" x14ac:dyDescent="0.35">
      <c r="A1846"/>
      <c r="C1846"/>
      <c r="F1846" s="88"/>
    </row>
    <row r="1847" spans="1:6" x14ac:dyDescent="0.35">
      <c r="A1847"/>
      <c r="C1847"/>
      <c r="F1847" s="88"/>
    </row>
    <row r="1848" spans="1:6" x14ac:dyDescent="0.35">
      <c r="A1848"/>
      <c r="C1848"/>
      <c r="F1848" s="88"/>
    </row>
    <row r="1849" spans="1:6" x14ac:dyDescent="0.35">
      <c r="A1849"/>
      <c r="C1849"/>
      <c r="F1849" s="88"/>
    </row>
    <row r="1850" spans="1:6" x14ac:dyDescent="0.35">
      <c r="A1850"/>
      <c r="C1850"/>
      <c r="F1850" s="88"/>
    </row>
    <row r="1851" spans="1:6" x14ac:dyDescent="0.35">
      <c r="A1851"/>
      <c r="C1851"/>
      <c r="F1851" s="88"/>
    </row>
    <row r="1852" spans="1:6" x14ac:dyDescent="0.35">
      <c r="A1852"/>
      <c r="C1852"/>
      <c r="F1852" s="88"/>
    </row>
    <row r="1853" spans="1:6" x14ac:dyDescent="0.35">
      <c r="A1853"/>
      <c r="C1853"/>
      <c r="F1853" s="88"/>
    </row>
    <row r="1854" spans="1:6" x14ac:dyDescent="0.35">
      <c r="A1854"/>
      <c r="C1854"/>
      <c r="F1854" s="88"/>
    </row>
    <row r="1855" spans="1:6" x14ac:dyDescent="0.35">
      <c r="A1855"/>
      <c r="C1855"/>
      <c r="F1855" s="88"/>
    </row>
    <row r="1856" spans="1:6" x14ac:dyDescent="0.35">
      <c r="A1856"/>
      <c r="C1856"/>
      <c r="F1856" s="88"/>
    </row>
    <row r="1857" spans="1:6" x14ac:dyDescent="0.35">
      <c r="A1857"/>
      <c r="C1857"/>
      <c r="F1857" s="88"/>
    </row>
    <row r="1858" spans="1:6" x14ac:dyDescent="0.35">
      <c r="A1858"/>
      <c r="C1858"/>
      <c r="F1858" s="88"/>
    </row>
    <row r="1859" spans="1:6" x14ac:dyDescent="0.35">
      <c r="A1859"/>
      <c r="C1859"/>
      <c r="F1859" s="88"/>
    </row>
    <row r="1860" spans="1:6" x14ac:dyDescent="0.35">
      <c r="A1860"/>
      <c r="C1860"/>
      <c r="F1860" s="88"/>
    </row>
    <row r="1861" spans="1:6" x14ac:dyDescent="0.35">
      <c r="A1861"/>
      <c r="C1861"/>
      <c r="F1861" s="88"/>
    </row>
    <row r="1862" spans="1:6" x14ac:dyDescent="0.35">
      <c r="A1862"/>
      <c r="C1862"/>
      <c r="F1862" s="88"/>
    </row>
    <row r="1863" spans="1:6" x14ac:dyDescent="0.35">
      <c r="A1863"/>
      <c r="C1863"/>
      <c r="F1863" s="88"/>
    </row>
    <row r="1864" spans="1:6" x14ac:dyDescent="0.35">
      <c r="A1864"/>
      <c r="C1864"/>
      <c r="F1864" s="88"/>
    </row>
    <row r="1865" spans="1:6" x14ac:dyDescent="0.35">
      <c r="A1865"/>
      <c r="C1865"/>
      <c r="F1865" s="88"/>
    </row>
    <row r="1866" spans="1:6" x14ac:dyDescent="0.35">
      <c r="A1866"/>
      <c r="C1866"/>
      <c r="F1866" s="88"/>
    </row>
    <row r="1867" spans="1:6" x14ac:dyDescent="0.35">
      <c r="A1867"/>
      <c r="C1867"/>
      <c r="F1867" s="88"/>
    </row>
    <row r="1868" spans="1:6" x14ac:dyDescent="0.35">
      <c r="A1868"/>
      <c r="C1868"/>
      <c r="F1868" s="88"/>
    </row>
    <row r="1869" spans="1:6" x14ac:dyDescent="0.35">
      <c r="A1869"/>
      <c r="C1869"/>
      <c r="F1869" s="88"/>
    </row>
    <row r="1870" spans="1:6" x14ac:dyDescent="0.35">
      <c r="A1870"/>
      <c r="C1870"/>
      <c r="F1870" s="88"/>
    </row>
    <row r="1871" spans="1:6" x14ac:dyDescent="0.35">
      <c r="A1871"/>
      <c r="C1871"/>
      <c r="F1871" s="88"/>
    </row>
    <row r="1872" spans="1:6" x14ac:dyDescent="0.35">
      <c r="A1872"/>
      <c r="C1872"/>
      <c r="F1872" s="88"/>
    </row>
    <row r="1873" spans="1:6" x14ac:dyDescent="0.35">
      <c r="A1873"/>
      <c r="C1873"/>
      <c r="F1873" s="88"/>
    </row>
    <row r="1874" spans="1:6" x14ac:dyDescent="0.35">
      <c r="A1874"/>
      <c r="C1874"/>
      <c r="F1874" s="88"/>
    </row>
    <row r="1875" spans="1:6" x14ac:dyDescent="0.35">
      <c r="A1875"/>
      <c r="C1875"/>
      <c r="F1875" s="88"/>
    </row>
    <row r="1876" spans="1:6" x14ac:dyDescent="0.35">
      <c r="A1876"/>
      <c r="C1876"/>
      <c r="F1876" s="88"/>
    </row>
    <row r="1877" spans="1:6" x14ac:dyDescent="0.35">
      <c r="A1877"/>
      <c r="C1877"/>
      <c r="F1877" s="88"/>
    </row>
    <row r="1878" spans="1:6" x14ac:dyDescent="0.35">
      <c r="A1878"/>
      <c r="C1878"/>
      <c r="F1878" s="88"/>
    </row>
    <row r="1879" spans="1:6" x14ac:dyDescent="0.35">
      <c r="A1879"/>
      <c r="C1879"/>
      <c r="F1879" s="88"/>
    </row>
    <row r="1880" spans="1:6" x14ac:dyDescent="0.35">
      <c r="A1880"/>
      <c r="C1880"/>
      <c r="F1880" s="88"/>
    </row>
    <row r="1881" spans="1:6" x14ac:dyDescent="0.35">
      <c r="A1881"/>
      <c r="C1881"/>
      <c r="F1881" s="88"/>
    </row>
    <row r="1882" spans="1:6" x14ac:dyDescent="0.35">
      <c r="A1882"/>
      <c r="C1882"/>
      <c r="F1882" s="88"/>
    </row>
    <row r="1883" spans="1:6" x14ac:dyDescent="0.35">
      <c r="A1883"/>
      <c r="C1883"/>
      <c r="F1883" s="88"/>
    </row>
    <row r="1884" spans="1:6" x14ac:dyDescent="0.35">
      <c r="A1884"/>
      <c r="C1884"/>
      <c r="F1884" s="88"/>
    </row>
    <row r="1885" spans="1:6" x14ac:dyDescent="0.35">
      <c r="A1885"/>
      <c r="C1885"/>
      <c r="F1885" s="88"/>
    </row>
    <row r="1886" spans="1:6" x14ac:dyDescent="0.35">
      <c r="A1886"/>
      <c r="C1886"/>
      <c r="F1886" s="88"/>
    </row>
    <row r="1887" spans="1:6" x14ac:dyDescent="0.35">
      <c r="A1887"/>
      <c r="C1887"/>
      <c r="F1887" s="88"/>
    </row>
    <row r="1888" spans="1:6" x14ac:dyDescent="0.35">
      <c r="A1888"/>
      <c r="C1888"/>
      <c r="F1888" s="88"/>
    </row>
    <row r="1889" spans="1:6" x14ac:dyDescent="0.35">
      <c r="A1889"/>
      <c r="C1889"/>
      <c r="F1889" s="88"/>
    </row>
    <row r="1890" spans="1:6" x14ac:dyDescent="0.35">
      <c r="A1890"/>
      <c r="C1890"/>
      <c r="F1890" s="88"/>
    </row>
    <row r="1891" spans="1:6" x14ac:dyDescent="0.35">
      <c r="A1891"/>
      <c r="C1891"/>
      <c r="F1891" s="88"/>
    </row>
    <row r="1892" spans="1:6" x14ac:dyDescent="0.35">
      <c r="A1892"/>
      <c r="C1892"/>
      <c r="F1892" s="88"/>
    </row>
    <row r="1893" spans="1:6" x14ac:dyDescent="0.35">
      <c r="A1893"/>
      <c r="C1893"/>
      <c r="F1893" s="88"/>
    </row>
    <row r="1894" spans="1:6" x14ac:dyDescent="0.35">
      <c r="A1894"/>
      <c r="C1894"/>
      <c r="F1894" s="88"/>
    </row>
    <row r="1895" spans="1:6" x14ac:dyDescent="0.35">
      <c r="A1895"/>
      <c r="C1895"/>
      <c r="F1895" s="88"/>
    </row>
    <row r="1896" spans="1:6" x14ac:dyDescent="0.35">
      <c r="A1896"/>
      <c r="C1896"/>
      <c r="F1896" s="88"/>
    </row>
    <row r="1897" spans="1:6" x14ac:dyDescent="0.35">
      <c r="A1897"/>
      <c r="C1897"/>
      <c r="F1897" s="88"/>
    </row>
    <row r="1898" spans="1:6" x14ac:dyDescent="0.35">
      <c r="A1898"/>
      <c r="C1898"/>
      <c r="F1898" s="88"/>
    </row>
    <row r="1899" spans="1:6" x14ac:dyDescent="0.35">
      <c r="A1899"/>
      <c r="C1899"/>
      <c r="F1899" s="88"/>
    </row>
    <row r="1900" spans="1:6" x14ac:dyDescent="0.35">
      <c r="A1900"/>
      <c r="C1900"/>
      <c r="F1900" s="88"/>
    </row>
    <row r="1901" spans="1:6" x14ac:dyDescent="0.35">
      <c r="A1901"/>
      <c r="C1901"/>
      <c r="F1901" s="88"/>
    </row>
    <row r="1902" spans="1:6" x14ac:dyDescent="0.35">
      <c r="A1902"/>
      <c r="C1902"/>
      <c r="F1902" s="88"/>
    </row>
    <row r="1903" spans="1:6" x14ac:dyDescent="0.35">
      <c r="A1903"/>
      <c r="C1903"/>
      <c r="F1903" s="88"/>
    </row>
    <row r="1904" spans="1:6" x14ac:dyDescent="0.35">
      <c r="A1904"/>
      <c r="C1904"/>
      <c r="F1904" s="88"/>
    </row>
    <row r="1905" spans="1:6" x14ac:dyDescent="0.35">
      <c r="A1905"/>
      <c r="C1905"/>
      <c r="F1905" s="88"/>
    </row>
    <row r="1906" spans="1:6" x14ac:dyDescent="0.35">
      <c r="A1906"/>
      <c r="C1906"/>
      <c r="F1906" s="88"/>
    </row>
    <row r="1907" spans="1:6" x14ac:dyDescent="0.35">
      <c r="A1907"/>
      <c r="C1907"/>
      <c r="F1907" s="88"/>
    </row>
    <row r="1908" spans="1:6" x14ac:dyDescent="0.35">
      <c r="A1908"/>
      <c r="C1908"/>
      <c r="F1908" s="88"/>
    </row>
    <row r="1909" spans="1:6" x14ac:dyDescent="0.35">
      <c r="A1909"/>
      <c r="C1909"/>
      <c r="F1909" s="88"/>
    </row>
    <row r="1910" spans="1:6" x14ac:dyDescent="0.35">
      <c r="A1910"/>
      <c r="C1910"/>
      <c r="F1910" s="88"/>
    </row>
    <row r="1911" spans="1:6" x14ac:dyDescent="0.35">
      <c r="A1911"/>
      <c r="C1911"/>
      <c r="F1911" s="88"/>
    </row>
    <row r="1912" spans="1:6" x14ac:dyDescent="0.35">
      <c r="A1912"/>
      <c r="C1912"/>
      <c r="F1912" s="88"/>
    </row>
    <row r="1913" spans="1:6" x14ac:dyDescent="0.35">
      <c r="A1913"/>
      <c r="C1913"/>
      <c r="F1913" s="88"/>
    </row>
    <row r="1914" spans="1:6" x14ac:dyDescent="0.35">
      <c r="A1914"/>
      <c r="C1914"/>
      <c r="F1914" s="88"/>
    </row>
    <row r="1915" spans="1:6" x14ac:dyDescent="0.35">
      <c r="A1915"/>
      <c r="C1915"/>
      <c r="F1915" s="88"/>
    </row>
    <row r="1916" spans="1:6" x14ac:dyDescent="0.35">
      <c r="A1916"/>
      <c r="C1916"/>
      <c r="F1916" s="88"/>
    </row>
    <row r="1917" spans="1:6" x14ac:dyDescent="0.35">
      <c r="A1917"/>
      <c r="C1917"/>
      <c r="F1917" s="88"/>
    </row>
    <row r="1918" spans="1:6" x14ac:dyDescent="0.35">
      <c r="A1918"/>
      <c r="C1918"/>
      <c r="F1918" s="88"/>
    </row>
    <row r="1919" spans="1:6" x14ac:dyDescent="0.35">
      <c r="A1919"/>
      <c r="C1919"/>
      <c r="F1919" s="88"/>
    </row>
    <row r="1920" spans="1:6" x14ac:dyDescent="0.35">
      <c r="A1920"/>
      <c r="C1920"/>
      <c r="F1920" s="88"/>
    </row>
    <row r="1921" spans="1:6" x14ac:dyDescent="0.35">
      <c r="A1921"/>
      <c r="C1921"/>
      <c r="F1921" s="88"/>
    </row>
    <row r="1922" spans="1:6" x14ac:dyDescent="0.35">
      <c r="A1922"/>
      <c r="C1922"/>
      <c r="F1922" s="88"/>
    </row>
    <row r="1923" spans="1:6" x14ac:dyDescent="0.35">
      <c r="A1923"/>
      <c r="C1923"/>
      <c r="F1923" s="88"/>
    </row>
    <row r="1924" spans="1:6" x14ac:dyDescent="0.35">
      <c r="A1924"/>
      <c r="C1924"/>
      <c r="F1924" s="88"/>
    </row>
    <row r="1925" spans="1:6" x14ac:dyDescent="0.35">
      <c r="A1925"/>
      <c r="C1925"/>
      <c r="F1925" s="88"/>
    </row>
    <row r="1926" spans="1:6" x14ac:dyDescent="0.35">
      <c r="A1926"/>
      <c r="C1926"/>
      <c r="F1926" s="88"/>
    </row>
    <row r="1927" spans="1:6" x14ac:dyDescent="0.35">
      <c r="A1927"/>
      <c r="C1927"/>
      <c r="F1927" s="88"/>
    </row>
    <row r="1928" spans="1:6" x14ac:dyDescent="0.35">
      <c r="A1928"/>
      <c r="C1928"/>
      <c r="F1928" s="88"/>
    </row>
    <row r="1929" spans="1:6" x14ac:dyDescent="0.35">
      <c r="A1929"/>
      <c r="C1929"/>
      <c r="F1929" s="88"/>
    </row>
    <row r="1930" spans="1:6" x14ac:dyDescent="0.35">
      <c r="A1930"/>
      <c r="C1930"/>
      <c r="F1930" s="88"/>
    </row>
    <row r="1931" spans="1:6" x14ac:dyDescent="0.35">
      <c r="A1931"/>
      <c r="C1931"/>
      <c r="F1931" s="88"/>
    </row>
    <row r="1932" spans="1:6" x14ac:dyDescent="0.35">
      <c r="A1932"/>
      <c r="C1932"/>
      <c r="F1932" s="88"/>
    </row>
    <row r="1933" spans="1:6" x14ac:dyDescent="0.35">
      <c r="A1933"/>
      <c r="C1933"/>
      <c r="F1933" s="88"/>
    </row>
    <row r="1934" spans="1:6" x14ac:dyDescent="0.35">
      <c r="A1934"/>
      <c r="C1934"/>
      <c r="F1934" s="88"/>
    </row>
    <row r="1935" spans="1:6" x14ac:dyDescent="0.35">
      <c r="A1935"/>
      <c r="C1935"/>
      <c r="F1935" s="88"/>
    </row>
    <row r="1936" spans="1:6" x14ac:dyDescent="0.35">
      <c r="A1936"/>
      <c r="C1936"/>
      <c r="F1936" s="88"/>
    </row>
    <row r="1937" spans="1:6" x14ac:dyDescent="0.35">
      <c r="A1937"/>
      <c r="C1937"/>
      <c r="F1937" s="88"/>
    </row>
    <row r="1938" spans="1:6" x14ac:dyDescent="0.35">
      <c r="A1938"/>
      <c r="C1938"/>
      <c r="F1938" s="88"/>
    </row>
    <row r="1939" spans="1:6" x14ac:dyDescent="0.35">
      <c r="A1939"/>
      <c r="C1939"/>
      <c r="F1939" s="88"/>
    </row>
    <row r="1940" spans="1:6" x14ac:dyDescent="0.35">
      <c r="A1940"/>
      <c r="C1940"/>
      <c r="F1940" s="88"/>
    </row>
    <row r="1941" spans="1:6" x14ac:dyDescent="0.35">
      <c r="A1941"/>
      <c r="C1941"/>
      <c r="F1941" s="88"/>
    </row>
    <row r="1942" spans="1:6" x14ac:dyDescent="0.35">
      <c r="A1942"/>
      <c r="C1942"/>
      <c r="F1942" s="88"/>
    </row>
    <row r="1943" spans="1:6" x14ac:dyDescent="0.35">
      <c r="A1943"/>
      <c r="C1943"/>
      <c r="F1943" s="88"/>
    </row>
    <row r="1944" spans="1:6" x14ac:dyDescent="0.35">
      <c r="A1944"/>
      <c r="C1944"/>
      <c r="F1944" s="88"/>
    </row>
    <row r="1945" spans="1:6" x14ac:dyDescent="0.35">
      <c r="A1945"/>
      <c r="C1945"/>
      <c r="F1945" s="88"/>
    </row>
    <row r="1946" spans="1:6" x14ac:dyDescent="0.35">
      <c r="A1946"/>
      <c r="C1946"/>
      <c r="F1946" s="88"/>
    </row>
    <row r="1947" spans="1:6" x14ac:dyDescent="0.35">
      <c r="A1947"/>
      <c r="C1947"/>
      <c r="F1947" s="88"/>
    </row>
    <row r="1948" spans="1:6" x14ac:dyDescent="0.35">
      <c r="A1948"/>
      <c r="C1948"/>
      <c r="F1948" s="88"/>
    </row>
    <row r="1949" spans="1:6" x14ac:dyDescent="0.35">
      <c r="A1949"/>
      <c r="C1949"/>
      <c r="F1949" s="88"/>
    </row>
    <row r="1950" spans="1:6" x14ac:dyDescent="0.35">
      <c r="A1950"/>
      <c r="C1950"/>
      <c r="F1950" s="88"/>
    </row>
    <row r="1951" spans="1:6" x14ac:dyDescent="0.35">
      <c r="A1951"/>
      <c r="C1951"/>
      <c r="F1951" s="88"/>
    </row>
    <row r="1952" spans="1:6" x14ac:dyDescent="0.35">
      <c r="A1952"/>
      <c r="C1952"/>
      <c r="F1952" s="88"/>
    </row>
    <row r="1953" spans="1:6" x14ac:dyDescent="0.35">
      <c r="A1953"/>
      <c r="C1953"/>
      <c r="F1953" s="88"/>
    </row>
    <row r="1954" spans="1:6" x14ac:dyDescent="0.35">
      <c r="A1954"/>
      <c r="C1954"/>
      <c r="F1954" s="88"/>
    </row>
    <row r="1955" spans="1:6" x14ac:dyDescent="0.35">
      <c r="A1955"/>
      <c r="C1955"/>
      <c r="F1955" s="88"/>
    </row>
    <row r="1956" spans="1:6" x14ac:dyDescent="0.35">
      <c r="A1956"/>
      <c r="C1956"/>
      <c r="F1956" s="88"/>
    </row>
    <row r="1957" spans="1:6" x14ac:dyDescent="0.35">
      <c r="A1957"/>
      <c r="C1957"/>
      <c r="F1957" s="88"/>
    </row>
    <row r="1958" spans="1:6" x14ac:dyDescent="0.35">
      <c r="A1958"/>
      <c r="C1958"/>
      <c r="F1958" s="88"/>
    </row>
    <row r="1959" spans="1:6" x14ac:dyDescent="0.35">
      <c r="A1959"/>
      <c r="C1959"/>
      <c r="F1959" s="88"/>
    </row>
    <row r="1960" spans="1:6" x14ac:dyDescent="0.35">
      <c r="A1960"/>
      <c r="C1960"/>
      <c r="F1960" s="88"/>
    </row>
    <row r="1961" spans="1:6" x14ac:dyDescent="0.35">
      <c r="A1961"/>
      <c r="C1961"/>
      <c r="F1961" s="88"/>
    </row>
    <row r="1962" spans="1:6" x14ac:dyDescent="0.35">
      <c r="A1962"/>
      <c r="C1962"/>
      <c r="F1962" s="88"/>
    </row>
    <row r="1963" spans="1:6" x14ac:dyDescent="0.35">
      <c r="A1963"/>
      <c r="C1963"/>
      <c r="F1963" s="88"/>
    </row>
    <row r="1964" spans="1:6" x14ac:dyDescent="0.35">
      <c r="A1964"/>
      <c r="C1964"/>
      <c r="F1964" s="88"/>
    </row>
    <row r="1965" spans="1:6" x14ac:dyDescent="0.35">
      <c r="A1965"/>
      <c r="C1965"/>
      <c r="F1965" s="88"/>
    </row>
    <row r="1966" spans="1:6" x14ac:dyDescent="0.35">
      <c r="A1966"/>
      <c r="C1966"/>
      <c r="F1966" s="88"/>
    </row>
    <row r="1967" spans="1:6" x14ac:dyDescent="0.35">
      <c r="A1967"/>
      <c r="C1967"/>
      <c r="F1967" s="88"/>
    </row>
    <row r="1968" spans="1:6" x14ac:dyDescent="0.35">
      <c r="A1968"/>
      <c r="C1968"/>
      <c r="F1968" s="88"/>
    </row>
    <row r="1969" spans="1:6" x14ac:dyDescent="0.35">
      <c r="A1969"/>
      <c r="C1969"/>
      <c r="F1969" s="88"/>
    </row>
    <row r="1970" spans="1:6" x14ac:dyDescent="0.35">
      <c r="A1970"/>
      <c r="C1970"/>
      <c r="F1970" s="88"/>
    </row>
    <row r="1971" spans="1:6" x14ac:dyDescent="0.35">
      <c r="A1971"/>
      <c r="C1971"/>
      <c r="F1971" s="88"/>
    </row>
    <row r="1972" spans="1:6" x14ac:dyDescent="0.35">
      <c r="A1972"/>
      <c r="C1972"/>
      <c r="F1972" s="88"/>
    </row>
    <row r="1973" spans="1:6" x14ac:dyDescent="0.35">
      <c r="A1973"/>
      <c r="C1973"/>
      <c r="F1973" s="88"/>
    </row>
    <row r="1974" spans="1:6" x14ac:dyDescent="0.35">
      <c r="A1974"/>
      <c r="C1974"/>
      <c r="F1974" s="88"/>
    </row>
    <row r="1975" spans="1:6" x14ac:dyDescent="0.35">
      <c r="A1975"/>
      <c r="C1975"/>
      <c r="F1975" s="88"/>
    </row>
    <row r="1976" spans="1:6" x14ac:dyDescent="0.35">
      <c r="A1976"/>
      <c r="C1976"/>
      <c r="F1976" s="88"/>
    </row>
    <row r="1977" spans="1:6" x14ac:dyDescent="0.35">
      <c r="A1977"/>
      <c r="C1977"/>
      <c r="F1977" s="88"/>
    </row>
    <row r="1978" spans="1:6" x14ac:dyDescent="0.35">
      <c r="A1978"/>
      <c r="C1978"/>
      <c r="F1978" s="88"/>
    </row>
    <row r="1979" spans="1:6" x14ac:dyDescent="0.35">
      <c r="A1979"/>
      <c r="C1979"/>
      <c r="F1979" s="88"/>
    </row>
    <row r="1980" spans="1:6" x14ac:dyDescent="0.35">
      <c r="A1980"/>
      <c r="C1980"/>
      <c r="F1980" s="88"/>
    </row>
    <row r="1981" spans="1:6" x14ac:dyDescent="0.35">
      <c r="A1981"/>
      <c r="C1981"/>
      <c r="F1981" s="88"/>
    </row>
    <row r="1982" spans="1:6" x14ac:dyDescent="0.35">
      <c r="A1982"/>
      <c r="C1982"/>
      <c r="F1982" s="88"/>
    </row>
    <row r="1983" spans="1:6" x14ac:dyDescent="0.35">
      <c r="A1983"/>
      <c r="C1983"/>
      <c r="F1983" s="88"/>
    </row>
    <row r="1984" spans="1:6" x14ac:dyDescent="0.35">
      <c r="A1984"/>
      <c r="C1984"/>
      <c r="F1984" s="88"/>
    </row>
    <row r="1985" spans="1:6" x14ac:dyDescent="0.35">
      <c r="A1985"/>
      <c r="C1985"/>
      <c r="F1985" s="88"/>
    </row>
    <row r="1986" spans="1:6" x14ac:dyDescent="0.35">
      <c r="A1986"/>
      <c r="C1986"/>
      <c r="F1986" s="88"/>
    </row>
    <row r="1987" spans="1:6" x14ac:dyDescent="0.35">
      <c r="A1987"/>
      <c r="C1987"/>
      <c r="F1987" s="88"/>
    </row>
    <row r="1988" spans="1:6" x14ac:dyDescent="0.35">
      <c r="A1988"/>
      <c r="C1988"/>
      <c r="F1988" s="88"/>
    </row>
    <row r="1989" spans="1:6" x14ac:dyDescent="0.35">
      <c r="A1989"/>
      <c r="C1989"/>
      <c r="F1989" s="88"/>
    </row>
    <row r="1990" spans="1:6" x14ac:dyDescent="0.35">
      <c r="A1990"/>
      <c r="C1990"/>
      <c r="F1990" s="88"/>
    </row>
    <row r="1991" spans="1:6" x14ac:dyDescent="0.35">
      <c r="A1991"/>
      <c r="C1991"/>
      <c r="F1991" s="88"/>
    </row>
    <row r="1992" spans="1:6" x14ac:dyDescent="0.35">
      <c r="A1992"/>
      <c r="C1992"/>
      <c r="F1992" s="88"/>
    </row>
    <row r="1993" spans="1:6" x14ac:dyDescent="0.35">
      <c r="A1993"/>
      <c r="C1993"/>
      <c r="F1993" s="88"/>
    </row>
    <row r="1994" spans="1:6" x14ac:dyDescent="0.35">
      <c r="A1994"/>
      <c r="C1994"/>
      <c r="F1994" s="88"/>
    </row>
    <row r="1995" spans="1:6" x14ac:dyDescent="0.35">
      <c r="A1995"/>
      <c r="C1995"/>
      <c r="F1995" s="88"/>
    </row>
    <row r="1996" spans="1:6" x14ac:dyDescent="0.35">
      <c r="A1996"/>
      <c r="C1996"/>
      <c r="F1996" s="88"/>
    </row>
    <row r="1997" spans="1:6" x14ac:dyDescent="0.35">
      <c r="A1997"/>
      <c r="C1997"/>
      <c r="F1997" s="88"/>
    </row>
    <row r="1998" spans="1:6" x14ac:dyDescent="0.35">
      <c r="A1998"/>
      <c r="C1998"/>
      <c r="F1998" s="88"/>
    </row>
    <row r="1999" spans="1:6" x14ac:dyDescent="0.35">
      <c r="A1999"/>
      <c r="C1999"/>
      <c r="F1999" s="88"/>
    </row>
    <row r="2000" spans="1:6" x14ac:dyDescent="0.35">
      <c r="A2000"/>
      <c r="C2000"/>
      <c r="F2000" s="88"/>
    </row>
    <row r="2001" spans="1:6" x14ac:dyDescent="0.35">
      <c r="A2001"/>
      <c r="C2001"/>
      <c r="F2001" s="88"/>
    </row>
    <row r="2002" spans="1:6" x14ac:dyDescent="0.35">
      <c r="A2002"/>
      <c r="C2002"/>
      <c r="F2002" s="88"/>
    </row>
    <row r="2003" spans="1:6" x14ac:dyDescent="0.35">
      <c r="A2003"/>
      <c r="C2003"/>
      <c r="F2003" s="88"/>
    </row>
    <row r="2004" spans="1:6" x14ac:dyDescent="0.35">
      <c r="A2004"/>
      <c r="C2004"/>
      <c r="F2004" s="88"/>
    </row>
    <row r="2005" spans="1:6" x14ac:dyDescent="0.35">
      <c r="A2005"/>
      <c r="C2005"/>
      <c r="F2005" s="88"/>
    </row>
    <row r="2006" spans="1:6" x14ac:dyDescent="0.35">
      <c r="A2006"/>
      <c r="C2006"/>
      <c r="F2006" s="88"/>
    </row>
    <row r="2007" spans="1:6" x14ac:dyDescent="0.35">
      <c r="A2007"/>
      <c r="C2007"/>
      <c r="F2007" s="88"/>
    </row>
    <row r="2008" spans="1:6" x14ac:dyDescent="0.35">
      <c r="A2008"/>
      <c r="C2008"/>
      <c r="F2008" s="88"/>
    </row>
    <row r="2009" spans="1:6" x14ac:dyDescent="0.35">
      <c r="A2009"/>
      <c r="C2009"/>
      <c r="F2009" s="88"/>
    </row>
    <row r="2010" spans="1:6" x14ac:dyDescent="0.35">
      <c r="A2010"/>
      <c r="C2010"/>
      <c r="F2010" s="88"/>
    </row>
    <row r="2011" spans="1:6" x14ac:dyDescent="0.35">
      <c r="A2011"/>
      <c r="C2011"/>
      <c r="F2011" s="88"/>
    </row>
    <row r="2012" spans="1:6" x14ac:dyDescent="0.35">
      <c r="A2012"/>
      <c r="C2012"/>
      <c r="F2012" s="88"/>
    </row>
    <row r="2013" spans="1:6" x14ac:dyDescent="0.35">
      <c r="A2013"/>
      <c r="C2013"/>
      <c r="F2013" s="88"/>
    </row>
    <row r="2014" spans="1:6" x14ac:dyDescent="0.35">
      <c r="A2014"/>
      <c r="C2014"/>
      <c r="F2014" s="88"/>
    </row>
    <row r="2015" spans="1:6" x14ac:dyDescent="0.35">
      <c r="A2015"/>
      <c r="C2015"/>
      <c r="F2015" s="88"/>
    </row>
    <row r="2016" spans="1:6" x14ac:dyDescent="0.35">
      <c r="A2016"/>
      <c r="C2016"/>
      <c r="F2016" s="88"/>
    </row>
    <row r="2017" spans="1:6" x14ac:dyDescent="0.35">
      <c r="A2017"/>
      <c r="C2017"/>
      <c r="F2017" s="88"/>
    </row>
    <row r="2018" spans="1:6" x14ac:dyDescent="0.35">
      <c r="A2018"/>
      <c r="C2018"/>
      <c r="F2018" s="88"/>
    </row>
    <row r="2019" spans="1:6" x14ac:dyDescent="0.35">
      <c r="A2019"/>
      <c r="C2019"/>
      <c r="F2019" s="88"/>
    </row>
    <row r="2020" spans="1:6" x14ac:dyDescent="0.35">
      <c r="A2020"/>
      <c r="C2020"/>
      <c r="F2020" s="88"/>
    </row>
    <row r="2021" spans="1:6" x14ac:dyDescent="0.35">
      <c r="A2021"/>
      <c r="C2021"/>
      <c r="F2021" s="88"/>
    </row>
    <row r="2022" spans="1:6" x14ac:dyDescent="0.35">
      <c r="A2022"/>
      <c r="C2022"/>
      <c r="F2022" s="88"/>
    </row>
    <row r="2023" spans="1:6" x14ac:dyDescent="0.35">
      <c r="A2023"/>
      <c r="C2023"/>
      <c r="F2023" s="88"/>
    </row>
    <row r="2024" spans="1:6" x14ac:dyDescent="0.35">
      <c r="A2024"/>
      <c r="C2024"/>
      <c r="F2024" s="88"/>
    </row>
    <row r="2025" spans="1:6" x14ac:dyDescent="0.35">
      <c r="A2025"/>
      <c r="C2025"/>
      <c r="F2025" s="88"/>
    </row>
    <row r="2026" spans="1:6" x14ac:dyDescent="0.35">
      <c r="A2026"/>
      <c r="C2026"/>
      <c r="F2026" s="88"/>
    </row>
    <row r="2027" spans="1:6" x14ac:dyDescent="0.35">
      <c r="A2027"/>
      <c r="C2027"/>
      <c r="F2027" s="88"/>
    </row>
    <row r="2028" spans="1:6" x14ac:dyDescent="0.35">
      <c r="A2028"/>
      <c r="C2028"/>
      <c r="F2028" s="88"/>
    </row>
    <row r="2029" spans="1:6" x14ac:dyDescent="0.35">
      <c r="A2029"/>
      <c r="C2029"/>
      <c r="F2029" s="88"/>
    </row>
    <row r="2030" spans="1:6" x14ac:dyDescent="0.35">
      <c r="A2030"/>
      <c r="C2030"/>
      <c r="F2030" s="88"/>
    </row>
    <row r="2031" spans="1:6" x14ac:dyDescent="0.35">
      <c r="A2031"/>
      <c r="C2031"/>
      <c r="F2031" s="88"/>
    </row>
    <row r="2032" spans="1:6" x14ac:dyDescent="0.35">
      <c r="A2032"/>
      <c r="C2032"/>
      <c r="F2032" s="88"/>
    </row>
    <row r="2033" spans="1:6" x14ac:dyDescent="0.35">
      <c r="A2033"/>
      <c r="C2033"/>
      <c r="F2033" s="88"/>
    </row>
    <row r="2034" spans="1:6" x14ac:dyDescent="0.35">
      <c r="A2034"/>
      <c r="C2034"/>
      <c r="F2034" s="88"/>
    </row>
    <row r="2035" spans="1:6" x14ac:dyDescent="0.35">
      <c r="A2035"/>
      <c r="C2035"/>
      <c r="F2035" s="88"/>
    </row>
    <row r="2036" spans="1:6" x14ac:dyDescent="0.35">
      <c r="A2036"/>
      <c r="C2036"/>
      <c r="F2036" s="88"/>
    </row>
    <row r="2037" spans="1:6" x14ac:dyDescent="0.35">
      <c r="A2037"/>
      <c r="C2037"/>
      <c r="F2037" s="88"/>
    </row>
    <row r="2038" spans="1:6" x14ac:dyDescent="0.35">
      <c r="A2038"/>
      <c r="C2038"/>
      <c r="F2038" s="88"/>
    </row>
    <row r="2039" spans="1:6" x14ac:dyDescent="0.35">
      <c r="A2039"/>
      <c r="C2039"/>
      <c r="F2039" s="88"/>
    </row>
    <row r="2040" spans="1:6" x14ac:dyDescent="0.35">
      <c r="A2040"/>
      <c r="C2040"/>
      <c r="F2040" s="88"/>
    </row>
    <row r="2041" spans="1:6" x14ac:dyDescent="0.35">
      <c r="A2041"/>
      <c r="C2041"/>
      <c r="F2041" s="88"/>
    </row>
    <row r="2042" spans="1:6" x14ac:dyDescent="0.35">
      <c r="A2042"/>
      <c r="C2042"/>
      <c r="F2042" s="88"/>
    </row>
    <row r="2043" spans="1:6" x14ac:dyDescent="0.35">
      <c r="A2043"/>
      <c r="C2043"/>
      <c r="F2043" s="88"/>
    </row>
    <row r="2044" spans="1:6" x14ac:dyDescent="0.35">
      <c r="A2044"/>
      <c r="C2044"/>
      <c r="F2044" s="88"/>
    </row>
    <row r="2045" spans="1:6" x14ac:dyDescent="0.35">
      <c r="A2045"/>
      <c r="C2045"/>
      <c r="F2045" s="88"/>
    </row>
    <row r="2046" spans="1:6" x14ac:dyDescent="0.35">
      <c r="A2046"/>
      <c r="C2046"/>
      <c r="F2046" s="88"/>
    </row>
    <row r="2047" spans="1:6" x14ac:dyDescent="0.35">
      <c r="A2047"/>
      <c r="C2047"/>
      <c r="F2047" s="88"/>
    </row>
    <row r="2048" spans="1:6" x14ac:dyDescent="0.35">
      <c r="A2048"/>
      <c r="C2048"/>
      <c r="F2048" s="88"/>
    </row>
    <row r="2049" spans="1:6" x14ac:dyDescent="0.35">
      <c r="A2049"/>
      <c r="C2049"/>
      <c r="F2049" s="88"/>
    </row>
    <row r="2050" spans="1:6" x14ac:dyDescent="0.35">
      <c r="A2050"/>
      <c r="C2050"/>
      <c r="F2050" s="88"/>
    </row>
    <row r="2051" spans="1:6" x14ac:dyDescent="0.35">
      <c r="A2051"/>
      <c r="C2051"/>
      <c r="F2051" s="88"/>
    </row>
    <row r="2052" spans="1:6" x14ac:dyDescent="0.35">
      <c r="A2052"/>
      <c r="C2052"/>
      <c r="F2052" s="88"/>
    </row>
    <row r="2053" spans="1:6" x14ac:dyDescent="0.35">
      <c r="A2053"/>
      <c r="C2053"/>
      <c r="F2053" s="88"/>
    </row>
    <row r="2054" spans="1:6" x14ac:dyDescent="0.35">
      <c r="A2054"/>
      <c r="C2054"/>
      <c r="F2054" s="88"/>
    </row>
    <row r="2055" spans="1:6" x14ac:dyDescent="0.35">
      <c r="A2055"/>
      <c r="C2055"/>
      <c r="F2055" s="88"/>
    </row>
    <row r="2056" spans="1:6" x14ac:dyDescent="0.35">
      <c r="A2056"/>
      <c r="C2056"/>
      <c r="F2056" s="88"/>
    </row>
    <row r="2057" spans="1:6" x14ac:dyDescent="0.35">
      <c r="A2057"/>
      <c r="C2057"/>
      <c r="F2057" s="88"/>
    </row>
    <row r="2058" spans="1:6" x14ac:dyDescent="0.35">
      <c r="A2058"/>
      <c r="C2058"/>
      <c r="F2058" s="88"/>
    </row>
    <row r="2059" spans="1:6" x14ac:dyDescent="0.35">
      <c r="A2059"/>
      <c r="C2059"/>
      <c r="F2059" s="88"/>
    </row>
    <row r="2060" spans="1:6" x14ac:dyDescent="0.35">
      <c r="A2060"/>
      <c r="C2060"/>
      <c r="F2060" s="88"/>
    </row>
    <row r="2061" spans="1:6" x14ac:dyDescent="0.35">
      <c r="A2061"/>
      <c r="C2061"/>
      <c r="F2061" s="88"/>
    </row>
    <row r="2062" spans="1:6" x14ac:dyDescent="0.35">
      <c r="A2062"/>
      <c r="C2062"/>
      <c r="F2062" s="88"/>
    </row>
    <row r="2063" spans="1:6" x14ac:dyDescent="0.35">
      <c r="A2063"/>
      <c r="C2063"/>
      <c r="F2063" s="88"/>
    </row>
    <row r="2064" spans="1:6" x14ac:dyDescent="0.35">
      <c r="A2064"/>
      <c r="C2064"/>
      <c r="F2064" s="88"/>
    </row>
    <row r="2065" spans="1:6" x14ac:dyDescent="0.35">
      <c r="A2065"/>
      <c r="C2065"/>
      <c r="F2065" s="88"/>
    </row>
    <row r="2066" spans="1:6" x14ac:dyDescent="0.35">
      <c r="A2066"/>
      <c r="C2066"/>
      <c r="F2066" s="88"/>
    </row>
    <row r="2067" spans="1:6" x14ac:dyDescent="0.35">
      <c r="A2067"/>
      <c r="C2067"/>
      <c r="F2067" s="88"/>
    </row>
    <row r="2068" spans="1:6" x14ac:dyDescent="0.35">
      <c r="A2068"/>
      <c r="C2068"/>
      <c r="F2068" s="88"/>
    </row>
    <row r="2069" spans="1:6" x14ac:dyDescent="0.35">
      <c r="A2069"/>
      <c r="C2069"/>
      <c r="F2069" s="88"/>
    </row>
    <row r="2070" spans="1:6" x14ac:dyDescent="0.35">
      <c r="A2070"/>
      <c r="C2070"/>
      <c r="F2070" s="88"/>
    </row>
    <row r="2071" spans="1:6" x14ac:dyDescent="0.35">
      <c r="A2071"/>
      <c r="C2071"/>
      <c r="F2071" s="88"/>
    </row>
    <row r="2072" spans="1:6" x14ac:dyDescent="0.35">
      <c r="A2072"/>
      <c r="C2072"/>
      <c r="F2072" s="88"/>
    </row>
    <row r="2073" spans="1:6" x14ac:dyDescent="0.35">
      <c r="A2073"/>
      <c r="C2073"/>
      <c r="F2073" s="88"/>
    </row>
    <row r="2074" spans="1:6" x14ac:dyDescent="0.35">
      <c r="A2074"/>
      <c r="C2074"/>
      <c r="F2074" s="88"/>
    </row>
    <row r="2075" spans="1:6" x14ac:dyDescent="0.35">
      <c r="A2075"/>
      <c r="C2075"/>
      <c r="F2075" s="88"/>
    </row>
    <row r="2076" spans="1:6" x14ac:dyDescent="0.35">
      <c r="A2076"/>
      <c r="C2076"/>
      <c r="F2076" s="88"/>
    </row>
    <row r="2077" spans="1:6" x14ac:dyDescent="0.35">
      <c r="A2077"/>
      <c r="C2077"/>
      <c r="F2077" s="88"/>
    </row>
    <row r="2078" spans="1:6" x14ac:dyDescent="0.35">
      <c r="A2078"/>
      <c r="C2078"/>
      <c r="F2078" s="88"/>
    </row>
    <row r="2079" spans="1:6" x14ac:dyDescent="0.35">
      <c r="A2079"/>
      <c r="C2079"/>
      <c r="F2079" s="88"/>
    </row>
    <row r="2080" spans="1:6" x14ac:dyDescent="0.35">
      <c r="A2080"/>
      <c r="C2080"/>
      <c r="F2080" s="88"/>
    </row>
    <row r="2081" spans="1:6" x14ac:dyDescent="0.35">
      <c r="A2081"/>
      <c r="C2081"/>
      <c r="F2081" s="88"/>
    </row>
    <row r="2082" spans="1:6" x14ac:dyDescent="0.35">
      <c r="A2082"/>
      <c r="C2082"/>
      <c r="F2082" s="88"/>
    </row>
    <row r="2083" spans="1:6" x14ac:dyDescent="0.35">
      <c r="A2083"/>
      <c r="C2083"/>
      <c r="F2083" s="88"/>
    </row>
    <row r="2084" spans="1:6" x14ac:dyDescent="0.35">
      <c r="A2084"/>
      <c r="C2084"/>
      <c r="F2084" s="88"/>
    </row>
    <row r="2085" spans="1:6" x14ac:dyDescent="0.35">
      <c r="A2085"/>
      <c r="C2085"/>
      <c r="F2085" s="88"/>
    </row>
    <row r="2086" spans="1:6" x14ac:dyDescent="0.35">
      <c r="A2086"/>
      <c r="C2086"/>
      <c r="F2086" s="88"/>
    </row>
    <row r="2087" spans="1:6" x14ac:dyDescent="0.35">
      <c r="A2087"/>
      <c r="C2087"/>
      <c r="F2087" s="88"/>
    </row>
    <row r="2088" spans="1:6" x14ac:dyDescent="0.35">
      <c r="A2088"/>
      <c r="C2088"/>
      <c r="F2088" s="88"/>
    </row>
    <row r="2089" spans="1:6" x14ac:dyDescent="0.35">
      <c r="A2089"/>
      <c r="C2089"/>
      <c r="F2089" s="88"/>
    </row>
    <row r="2090" spans="1:6" x14ac:dyDescent="0.35">
      <c r="A2090"/>
      <c r="C2090"/>
      <c r="F2090" s="88"/>
    </row>
    <row r="2091" spans="1:6" x14ac:dyDescent="0.35">
      <c r="A2091"/>
      <c r="C2091"/>
      <c r="F2091" s="88"/>
    </row>
    <row r="2092" spans="1:6" x14ac:dyDescent="0.35">
      <c r="A2092"/>
      <c r="C2092"/>
      <c r="F2092" s="88"/>
    </row>
    <row r="2093" spans="1:6" x14ac:dyDescent="0.35">
      <c r="A2093"/>
      <c r="C2093"/>
      <c r="F2093" s="88"/>
    </row>
    <row r="2094" spans="1:6" x14ac:dyDescent="0.35">
      <c r="A2094"/>
      <c r="C2094"/>
      <c r="F2094" s="88"/>
    </row>
    <row r="2095" spans="1:6" x14ac:dyDescent="0.35">
      <c r="A2095"/>
      <c r="C2095"/>
      <c r="F2095" s="88"/>
    </row>
    <row r="2096" spans="1:6" x14ac:dyDescent="0.35">
      <c r="A2096"/>
      <c r="C2096"/>
      <c r="F2096" s="88"/>
    </row>
    <row r="2097" spans="1:6" x14ac:dyDescent="0.35">
      <c r="A2097"/>
      <c r="C2097"/>
      <c r="F2097" s="88"/>
    </row>
    <row r="2098" spans="1:6" x14ac:dyDescent="0.35">
      <c r="A2098"/>
      <c r="C2098"/>
      <c r="F2098" s="88"/>
    </row>
    <row r="2099" spans="1:6" x14ac:dyDescent="0.35">
      <c r="A2099"/>
      <c r="C2099"/>
      <c r="F2099" s="88"/>
    </row>
    <row r="2100" spans="1:6" x14ac:dyDescent="0.35">
      <c r="A2100"/>
      <c r="C2100"/>
      <c r="F2100" s="88"/>
    </row>
    <row r="2101" spans="1:6" x14ac:dyDescent="0.35">
      <c r="A2101"/>
      <c r="C2101"/>
      <c r="F2101" s="88"/>
    </row>
    <row r="2102" spans="1:6" x14ac:dyDescent="0.35">
      <c r="A2102"/>
      <c r="C2102"/>
      <c r="F2102" s="88"/>
    </row>
    <row r="2103" spans="1:6" x14ac:dyDescent="0.35">
      <c r="A2103"/>
      <c r="C2103"/>
      <c r="F2103" s="88"/>
    </row>
    <row r="2104" spans="1:6" x14ac:dyDescent="0.35">
      <c r="A2104"/>
      <c r="C2104"/>
      <c r="F2104" s="88"/>
    </row>
    <row r="2105" spans="1:6" x14ac:dyDescent="0.35">
      <c r="A2105"/>
      <c r="C2105"/>
      <c r="F2105" s="88"/>
    </row>
    <row r="2106" spans="1:6" x14ac:dyDescent="0.35">
      <c r="A2106"/>
      <c r="C2106"/>
      <c r="F2106" s="88"/>
    </row>
    <row r="2107" spans="1:6" x14ac:dyDescent="0.35">
      <c r="A2107"/>
      <c r="C2107"/>
      <c r="F2107" s="88"/>
    </row>
    <row r="2108" spans="1:6" x14ac:dyDescent="0.35">
      <c r="A2108"/>
      <c r="C2108"/>
      <c r="F2108" s="88"/>
    </row>
    <row r="2109" spans="1:6" x14ac:dyDescent="0.35">
      <c r="A2109"/>
      <c r="C2109"/>
      <c r="F2109" s="88"/>
    </row>
    <row r="2110" spans="1:6" x14ac:dyDescent="0.35">
      <c r="A2110"/>
      <c r="C2110"/>
      <c r="F2110" s="88"/>
    </row>
    <row r="2111" spans="1:6" x14ac:dyDescent="0.35">
      <c r="A2111"/>
      <c r="C2111"/>
      <c r="F2111" s="88"/>
    </row>
    <row r="2112" spans="1:6" x14ac:dyDescent="0.35">
      <c r="A2112"/>
      <c r="C2112"/>
      <c r="F2112" s="88"/>
    </row>
    <row r="2113" spans="1:6" x14ac:dyDescent="0.35">
      <c r="A2113"/>
      <c r="C2113"/>
      <c r="F2113" s="88"/>
    </row>
    <row r="2114" spans="1:6" x14ac:dyDescent="0.35">
      <c r="A2114"/>
      <c r="C2114"/>
      <c r="F2114" s="88"/>
    </row>
    <row r="2115" spans="1:6" x14ac:dyDescent="0.35">
      <c r="A2115"/>
      <c r="C2115"/>
      <c r="F2115" s="88"/>
    </row>
    <row r="2116" spans="1:6" x14ac:dyDescent="0.35">
      <c r="A2116"/>
      <c r="C2116"/>
      <c r="F2116" s="88"/>
    </row>
    <row r="2117" spans="1:6" x14ac:dyDescent="0.35">
      <c r="A2117"/>
      <c r="C2117"/>
      <c r="F2117" s="88"/>
    </row>
    <row r="2118" spans="1:6" x14ac:dyDescent="0.35">
      <c r="A2118"/>
      <c r="C2118"/>
      <c r="F2118" s="88"/>
    </row>
    <row r="2119" spans="1:6" x14ac:dyDescent="0.35">
      <c r="A2119"/>
      <c r="C2119"/>
      <c r="F2119" s="88"/>
    </row>
    <row r="2120" spans="1:6" x14ac:dyDescent="0.35">
      <c r="A2120"/>
      <c r="C2120"/>
      <c r="F2120" s="88"/>
    </row>
    <row r="2121" spans="1:6" x14ac:dyDescent="0.35">
      <c r="A2121"/>
      <c r="C2121"/>
      <c r="F2121" s="88"/>
    </row>
    <row r="2122" spans="1:6" x14ac:dyDescent="0.35">
      <c r="A2122"/>
      <c r="C2122"/>
      <c r="F2122" s="88"/>
    </row>
    <row r="2123" spans="1:6" x14ac:dyDescent="0.35">
      <c r="A2123"/>
      <c r="C2123"/>
      <c r="F2123" s="88"/>
    </row>
    <row r="2124" spans="1:6" x14ac:dyDescent="0.35">
      <c r="A2124"/>
      <c r="C2124"/>
      <c r="F2124" s="88"/>
    </row>
    <row r="2125" spans="1:6" x14ac:dyDescent="0.35">
      <c r="A2125"/>
      <c r="C2125"/>
      <c r="F2125" s="88"/>
    </row>
    <row r="2126" spans="1:6" x14ac:dyDescent="0.35">
      <c r="A2126"/>
      <c r="C2126"/>
      <c r="F2126" s="88"/>
    </row>
    <row r="2127" spans="1:6" x14ac:dyDescent="0.35">
      <c r="A2127"/>
      <c r="C2127"/>
      <c r="F2127" s="88"/>
    </row>
    <row r="2128" spans="1:6" x14ac:dyDescent="0.35">
      <c r="A2128"/>
      <c r="C2128"/>
      <c r="F2128" s="88"/>
    </row>
    <row r="2129" spans="1:6" x14ac:dyDescent="0.35">
      <c r="A2129"/>
      <c r="C2129"/>
      <c r="F2129" s="88"/>
    </row>
    <row r="2130" spans="1:6" x14ac:dyDescent="0.35">
      <c r="A2130"/>
      <c r="C2130"/>
      <c r="F2130" s="88"/>
    </row>
    <row r="2131" spans="1:6" x14ac:dyDescent="0.35">
      <c r="A2131"/>
      <c r="C2131"/>
      <c r="F2131" s="88"/>
    </row>
    <row r="2132" spans="1:6" x14ac:dyDescent="0.35">
      <c r="A2132"/>
      <c r="C2132"/>
      <c r="F2132" s="88"/>
    </row>
    <row r="2133" spans="1:6" x14ac:dyDescent="0.35">
      <c r="A2133"/>
      <c r="C2133"/>
      <c r="F2133" s="88"/>
    </row>
    <row r="2134" spans="1:6" x14ac:dyDescent="0.35">
      <c r="A2134"/>
      <c r="C2134"/>
      <c r="F2134" s="88"/>
    </row>
    <row r="2135" spans="1:6" x14ac:dyDescent="0.35">
      <c r="A2135"/>
      <c r="C2135"/>
      <c r="F2135" s="88"/>
    </row>
    <row r="2136" spans="1:6" x14ac:dyDescent="0.35">
      <c r="A2136"/>
      <c r="C2136"/>
      <c r="F2136" s="88"/>
    </row>
    <row r="2137" spans="1:6" x14ac:dyDescent="0.35">
      <c r="A2137"/>
      <c r="C2137"/>
      <c r="F2137" s="88"/>
    </row>
    <row r="2138" spans="1:6" x14ac:dyDescent="0.35">
      <c r="A2138"/>
      <c r="C2138"/>
      <c r="F2138" s="88"/>
    </row>
    <row r="2139" spans="1:6" x14ac:dyDescent="0.35">
      <c r="A2139"/>
      <c r="C2139"/>
      <c r="F2139" s="88"/>
    </row>
    <row r="2140" spans="1:6" x14ac:dyDescent="0.35">
      <c r="A2140"/>
      <c r="C2140"/>
      <c r="F2140" s="88"/>
    </row>
    <row r="2141" spans="1:6" x14ac:dyDescent="0.35">
      <c r="A2141"/>
      <c r="C2141"/>
      <c r="F2141" s="88"/>
    </row>
    <row r="2142" spans="1:6" x14ac:dyDescent="0.35">
      <c r="A2142"/>
      <c r="C2142"/>
      <c r="F2142" s="88"/>
    </row>
    <row r="2143" spans="1:6" x14ac:dyDescent="0.35">
      <c r="A2143"/>
      <c r="C2143"/>
      <c r="F2143" s="88"/>
    </row>
    <row r="2144" spans="1:6" x14ac:dyDescent="0.35">
      <c r="A2144"/>
      <c r="C2144"/>
      <c r="F2144" s="88"/>
    </row>
    <row r="2145" spans="1:6" x14ac:dyDescent="0.35">
      <c r="A2145"/>
      <c r="C2145"/>
      <c r="F2145" s="88"/>
    </row>
    <row r="2146" spans="1:6" x14ac:dyDescent="0.35">
      <c r="A2146"/>
      <c r="C2146"/>
      <c r="F2146" s="88"/>
    </row>
    <row r="2147" spans="1:6" x14ac:dyDescent="0.35">
      <c r="A2147"/>
      <c r="C2147"/>
      <c r="F2147" s="88"/>
    </row>
    <row r="2148" spans="1:6" x14ac:dyDescent="0.35">
      <c r="A2148"/>
      <c r="C2148"/>
      <c r="F2148" s="88"/>
    </row>
    <row r="2149" spans="1:6" x14ac:dyDescent="0.35">
      <c r="A2149"/>
      <c r="C2149"/>
      <c r="F2149" s="88"/>
    </row>
    <row r="2150" spans="1:6" x14ac:dyDescent="0.35">
      <c r="A2150"/>
      <c r="C2150"/>
      <c r="F2150" s="88"/>
    </row>
    <row r="2151" spans="1:6" x14ac:dyDescent="0.35">
      <c r="A2151"/>
      <c r="C2151"/>
      <c r="F2151" s="88"/>
    </row>
    <row r="2152" spans="1:6" x14ac:dyDescent="0.35">
      <c r="A2152"/>
      <c r="C2152"/>
      <c r="F2152" s="88"/>
    </row>
    <row r="2153" spans="1:6" x14ac:dyDescent="0.35">
      <c r="A2153"/>
      <c r="C2153"/>
      <c r="F2153" s="88"/>
    </row>
    <row r="2154" spans="1:6" x14ac:dyDescent="0.35">
      <c r="A2154"/>
      <c r="C2154"/>
      <c r="F2154" s="88"/>
    </row>
    <row r="2155" spans="1:6" x14ac:dyDescent="0.35">
      <c r="A2155"/>
      <c r="C2155"/>
      <c r="F2155" s="88"/>
    </row>
    <row r="2156" spans="1:6" x14ac:dyDescent="0.35">
      <c r="A2156"/>
      <c r="C2156"/>
      <c r="F2156" s="88"/>
    </row>
    <row r="2157" spans="1:6" x14ac:dyDescent="0.35">
      <c r="A2157"/>
      <c r="C2157"/>
      <c r="F2157" s="88"/>
    </row>
    <row r="2158" spans="1:6" x14ac:dyDescent="0.35">
      <c r="A2158"/>
      <c r="C2158"/>
      <c r="F2158" s="88"/>
    </row>
    <row r="2159" spans="1:6" x14ac:dyDescent="0.35">
      <c r="A2159"/>
      <c r="C2159"/>
      <c r="F2159" s="88"/>
    </row>
    <row r="2160" spans="1:6" x14ac:dyDescent="0.35">
      <c r="A2160"/>
      <c r="C2160"/>
      <c r="F2160" s="88"/>
    </row>
    <row r="2161" spans="1:6" x14ac:dyDescent="0.35">
      <c r="A2161"/>
      <c r="C2161"/>
      <c r="F2161" s="88"/>
    </row>
    <row r="2162" spans="1:6" x14ac:dyDescent="0.35">
      <c r="A2162"/>
      <c r="C2162"/>
      <c r="F2162" s="88"/>
    </row>
    <row r="2163" spans="1:6" x14ac:dyDescent="0.35">
      <c r="A2163"/>
      <c r="C2163"/>
      <c r="F2163" s="88"/>
    </row>
    <row r="2164" spans="1:6" x14ac:dyDescent="0.35">
      <c r="A2164"/>
      <c r="C2164"/>
      <c r="F2164" s="88"/>
    </row>
    <row r="2165" spans="1:6" x14ac:dyDescent="0.35">
      <c r="A2165"/>
      <c r="C2165"/>
      <c r="F2165" s="88"/>
    </row>
    <row r="2166" spans="1:6" x14ac:dyDescent="0.35">
      <c r="A2166"/>
      <c r="C2166"/>
      <c r="F2166" s="88"/>
    </row>
    <row r="2167" spans="1:6" x14ac:dyDescent="0.35">
      <c r="A2167"/>
      <c r="C2167"/>
      <c r="F2167" s="88"/>
    </row>
    <row r="2168" spans="1:6" x14ac:dyDescent="0.35">
      <c r="A2168"/>
      <c r="C2168"/>
      <c r="F2168" s="88"/>
    </row>
    <row r="2169" spans="1:6" x14ac:dyDescent="0.35">
      <c r="A2169"/>
      <c r="C2169"/>
      <c r="F2169" s="88"/>
    </row>
    <row r="2170" spans="1:6" x14ac:dyDescent="0.35">
      <c r="A2170"/>
      <c r="C2170"/>
      <c r="F2170" s="88"/>
    </row>
    <row r="2171" spans="1:6" x14ac:dyDescent="0.35">
      <c r="A2171"/>
      <c r="C2171"/>
      <c r="F2171" s="88"/>
    </row>
    <row r="2172" spans="1:6" x14ac:dyDescent="0.35">
      <c r="A2172"/>
      <c r="C2172"/>
      <c r="F2172" s="88"/>
    </row>
    <row r="2173" spans="1:6" x14ac:dyDescent="0.35">
      <c r="A2173"/>
      <c r="C2173"/>
      <c r="F2173" s="88"/>
    </row>
    <row r="2174" spans="1:6" x14ac:dyDescent="0.35">
      <c r="A2174"/>
      <c r="C2174"/>
      <c r="F2174" s="88"/>
    </row>
    <row r="2175" spans="1:6" x14ac:dyDescent="0.35">
      <c r="A2175"/>
      <c r="C2175"/>
      <c r="F2175" s="88"/>
    </row>
    <row r="2176" spans="1:6" x14ac:dyDescent="0.35">
      <c r="A2176"/>
      <c r="C2176"/>
      <c r="F2176" s="88"/>
    </row>
    <row r="2177" spans="1:6" x14ac:dyDescent="0.35">
      <c r="A2177"/>
      <c r="C2177"/>
      <c r="F2177" s="88"/>
    </row>
    <row r="2178" spans="1:6" x14ac:dyDescent="0.35">
      <c r="A2178"/>
      <c r="C2178"/>
      <c r="F2178" s="88"/>
    </row>
    <row r="2179" spans="1:6" x14ac:dyDescent="0.35">
      <c r="A2179"/>
      <c r="C2179"/>
      <c r="F2179" s="88"/>
    </row>
    <row r="2180" spans="1:6" x14ac:dyDescent="0.35">
      <c r="A2180"/>
      <c r="C2180"/>
      <c r="F2180" s="88"/>
    </row>
    <row r="2181" spans="1:6" x14ac:dyDescent="0.35">
      <c r="A2181"/>
      <c r="C2181"/>
      <c r="F2181" s="88"/>
    </row>
    <row r="2182" spans="1:6" x14ac:dyDescent="0.35">
      <c r="A2182"/>
      <c r="C2182"/>
      <c r="F2182" s="88"/>
    </row>
    <row r="2183" spans="1:6" x14ac:dyDescent="0.35">
      <c r="A2183"/>
      <c r="C2183"/>
      <c r="F2183" s="88"/>
    </row>
    <row r="2184" spans="1:6" x14ac:dyDescent="0.35">
      <c r="A2184"/>
      <c r="C2184"/>
      <c r="F2184" s="88"/>
    </row>
    <row r="2185" spans="1:6" x14ac:dyDescent="0.35">
      <c r="A2185"/>
      <c r="C2185"/>
      <c r="F2185" s="88"/>
    </row>
    <row r="2186" spans="1:6" x14ac:dyDescent="0.35">
      <c r="A2186"/>
      <c r="C2186"/>
      <c r="F2186" s="88"/>
    </row>
    <row r="2187" spans="1:6" x14ac:dyDescent="0.35">
      <c r="A2187"/>
      <c r="C2187"/>
      <c r="F2187" s="88"/>
    </row>
    <row r="2188" spans="1:6" x14ac:dyDescent="0.35">
      <c r="A2188"/>
      <c r="C2188"/>
      <c r="F2188" s="88"/>
    </row>
    <row r="2189" spans="1:6" x14ac:dyDescent="0.35">
      <c r="A2189"/>
      <c r="C2189"/>
      <c r="F2189" s="88"/>
    </row>
    <row r="2190" spans="1:6" x14ac:dyDescent="0.35">
      <c r="A2190"/>
      <c r="C2190"/>
      <c r="F2190" s="88"/>
    </row>
    <row r="2191" spans="1:6" x14ac:dyDescent="0.35">
      <c r="A2191"/>
      <c r="C2191"/>
      <c r="F2191" s="88"/>
    </row>
    <row r="2192" spans="1:6" x14ac:dyDescent="0.35">
      <c r="A2192"/>
      <c r="C2192"/>
      <c r="F2192" s="88"/>
    </row>
    <row r="2193" spans="1:6" x14ac:dyDescent="0.35">
      <c r="A2193"/>
      <c r="C2193"/>
      <c r="F2193" s="88"/>
    </row>
    <row r="2194" spans="1:6" x14ac:dyDescent="0.35">
      <c r="A2194"/>
      <c r="C2194"/>
      <c r="F2194" s="88"/>
    </row>
    <row r="2195" spans="1:6" x14ac:dyDescent="0.35">
      <c r="A2195"/>
      <c r="C2195"/>
      <c r="F2195" s="88"/>
    </row>
    <row r="2196" spans="1:6" x14ac:dyDescent="0.35">
      <c r="A2196"/>
      <c r="C2196"/>
      <c r="F2196" s="88"/>
    </row>
    <row r="2197" spans="1:6" x14ac:dyDescent="0.35">
      <c r="A2197"/>
      <c r="C2197"/>
      <c r="F2197" s="88"/>
    </row>
    <row r="2198" spans="1:6" x14ac:dyDescent="0.35">
      <c r="A2198"/>
      <c r="C2198"/>
      <c r="F2198" s="88"/>
    </row>
    <row r="2199" spans="1:6" x14ac:dyDescent="0.35">
      <c r="A2199"/>
      <c r="C2199"/>
      <c r="F2199" s="88"/>
    </row>
    <row r="2200" spans="1:6" x14ac:dyDescent="0.35">
      <c r="A2200"/>
      <c r="C2200"/>
      <c r="F2200" s="88"/>
    </row>
    <row r="2201" spans="1:6" x14ac:dyDescent="0.35">
      <c r="A2201"/>
      <c r="C2201"/>
      <c r="F2201" s="88"/>
    </row>
    <row r="2202" spans="1:6" x14ac:dyDescent="0.35">
      <c r="A2202"/>
      <c r="C2202"/>
      <c r="F2202" s="88"/>
    </row>
    <row r="2203" spans="1:6" x14ac:dyDescent="0.35">
      <c r="A2203"/>
      <c r="C2203"/>
      <c r="F2203" s="88"/>
    </row>
    <row r="2204" spans="1:6" x14ac:dyDescent="0.35">
      <c r="A2204"/>
      <c r="C2204"/>
      <c r="F2204" s="88"/>
    </row>
    <row r="2205" spans="1:6" x14ac:dyDescent="0.35">
      <c r="A2205"/>
      <c r="C2205"/>
      <c r="F2205" s="88"/>
    </row>
    <row r="2206" spans="1:6" x14ac:dyDescent="0.35">
      <c r="A2206"/>
      <c r="C2206"/>
      <c r="F2206" s="88"/>
    </row>
    <row r="2207" spans="1:6" x14ac:dyDescent="0.35">
      <c r="A2207"/>
      <c r="C2207"/>
      <c r="F2207" s="88"/>
    </row>
    <row r="2208" spans="1:6" x14ac:dyDescent="0.35">
      <c r="A2208"/>
      <c r="C2208"/>
      <c r="F2208" s="88"/>
    </row>
    <row r="2209" spans="1:6" x14ac:dyDescent="0.35">
      <c r="A2209"/>
      <c r="C2209"/>
      <c r="F2209" s="88"/>
    </row>
    <row r="2210" spans="1:6" x14ac:dyDescent="0.35">
      <c r="A2210"/>
      <c r="C2210"/>
      <c r="F2210" s="88"/>
    </row>
    <row r="2211" spans="1:6" x14ac:dyDescent="0.35">
      <c r="A2211"/>
      <c r="C2211"/>
      <c r="F2211" s="88"/>
    </row>
    <row r="2212" spans="1:6" x14ac:dyDescent="0.35">
      <c r="A2212"/>
      <c r="C2212"/>
      <c r="F2212" s="88"/>
    </row>
    <row r="2213" spans="1:6" x14ac:dyDescent="0.35">
      <c r="A2213"/>
      <c r="C2213"/>
      <c r="F2213" s="88"/>
    </row>
    <row r="2214" spans="1:6" x14ac:dyDescent="0.35">
      <c r="A2214"/>
      <c r="C2214"/>
      <c r="F2214" s="88"/>
    </row>
    <row r="2215" spans="1:6" x14ac:dyDescent="0.35">
      <c r="A2215"/>
      <c r="C2215"/>
      <c r="F2215" s="88"/>
    </row>
    <row r="2216" spans="1:6" x14ac:dyDescent="0.35">
      <c r="A2216"/>
      <c r="C2216"/>
      <c r="F2216" s="88"/>
    </row>
    <row r="2217" spans="1:6" x14ac:dyDescent="0.35">
      <c r="A2217"/>
      <c r="C2217"/>
      <c r="F2217" s="88"/>
    </row>
    <row r="2218" spans="1:6" x14ac:dyDescent="0.35">
      <c r="A2218"/>
      <c r="C2218"/>
      <c r="F2218" s="88"/>
    </row>
    <row r="2219" spans="1:6" x14ac:dyDescent="0.35">
      <c r="A2219"/>
      <c r="C2219"/>
      <c r="F2219" s="88"/>
    </row>
    <row r="2220" spans="1:6" x14ac:dyDescent="0.35">
      <c r="A2220"/>
      <c r="C2220"/>
      <c r="F2220" s="88"/>
    </row>
    <row r="2221" spans="1:6" x14ac:dyDescent="0.35">
      <c r="A2221"/>
      <c r="C2221"/>
      <c r="F2221" s="88"/>
    </row>
    <row r="2222" spans="1:6" x14ac:dyDescent="0.35">
      <c r="A2222"/>
      <c r="C2222"/>
      <c r="F2222" s="88"/>
    </row>
    <row r="2223" spans="1:6" x14ac:dyDescent="0.35">
      <c r="A2223"/>
      <c r="C2223"/>
      <c r="F2223" s="88"/>
    </row>
    <row r="2224" spans="1:6" x14ac:dyDescent="0.35">
      <c r="A2224"/>
      <c r="C2224"/>
      <c r="F2224" s="88"/>
    </row>
    <row r="2225" spans="1:6" x14ac:dyDescent="0.35">
      <c r="A2225"/>
      <c r="C2225"/>
      <c r="F2225" s="88"/>
    </row>
    <row r="2226" spans="1:6" x14ac:dyDescent="0.35">
      <c r="A2226"/>
      <c r="C2226"/>
      <c r="F2226" s="88"/>
    </row>
    <row r="2227" spans="1:6" x14ac:dyDescent="0.35">
      <c r="A2227"/>
      <c r="C2227"/>
      <c r="F2227" s="88"/>
    </row>
    <row r="2228" spans="1:6" x14ac:dyDescent="0.35">
      <c r="A2228"/>
      <c r="C2228"/>
      <c r="F2228" s="88"/>
    </row>
    <row r="2229" spans="1:6" x14ac:dyDescent="0.35">
      <c r="A2229"/>
      <c r="C2229"/>
      <c r="F2229" s="88"/>
    </row>
    <row r="2230" spans="1:6" x14ac:dyDescent="0.35">
      <c r="A2230"/>
      <c r="C2230"/>
      <c r="F2230" s="88"/>
    </row>
    <row r="2231" spans="1:6" x14ac:dyDescent="0.35">
      <c r="A2231"/>
      <c r="C2231"/>
      <c r="F2231" s="88"/>
    </row>
    <row r="2232" spans="1:6" x14ac:dyDescent="0.35">
      <c r="A2232"/>
      <c r="C2232"/>
      <c r="F2232" s="88"/>
    </row>
    <row r="2233" spans="1:6" x14ac:dyDescent="0.35">
      <c r="A2233"/>
      <c r="C2233"/>
      <c r="F2233" s="88"/>
    </row>
    <row r="2234" spans="1:6" x14ac:dyDescent="0.35">
      <c r="A2234"/>
      <c r="C2234"/>
      <c r="F2234" s="88"/>
    </row>
    <row r="2235" spans="1:6" x14ac:dyDescent="0.35">
      <c r="A2235"/>
      <c r="C2235"/>
      <c r="F2235" s="88"/>
    </row>
    <row r="2236" spans="1:6" x14ac:dyDescent="0.35">
      <c r="A2236"/>
      <c r="C2236"/>
      <c r="F2236" s="88"/>
    </row>
    <row r="2237" spans="1:6" x14ac:dyDescent="0.35">
      <c r="A2237"/>
      <c r="C2237"/>
      <c r="F2237" s="88"/>
    </row>
    <row r="2238" spans="1:6" x14ac:dyDescent="0.35">
      <c r="A2238"/>
      <c r="C2238"/>
      <c r="F2238" s="88"/>
    </row>
    <row r="2239" spans="1:6" x14ac:dyDescent="0.35">
      <c r="A2239"/>
      <c r="C2239"/>
      <c r="F2239" s="88"/>
    </row>
    <row r="2240" spans="1:6" x14ac:dyDescent="0.35">
      <c r="A2240"/>
      <c r="C2240"/>
      <c r="F2240" s="88"/>
    </row>
    <row r="2241" spans="1:6" x14ac:dyDescent="0.35">
      <c r="A2241"/>
      <c r="C2241"/>
      <c r="F2241" s="88"/>
    </row>
    <row r="2242" spans="1:6" x14ac:dyDescent="0.35">
      <c r="A2242"/>
      <c r="C2242"/>
      <c r="F2242" s="88"/>
    </row>
    <row r="2243" spans="1:6" x14ac:dyDescent="0.35">
      <c r="A2243"/>
      <c r="C2243"/>
      <c r="F2243" s="88"/>
    </row>
    <row r="2244" spans="1:6" x14ac:dyDescent="0.35">
      <c r="A2244"/>
      <c r="C2244"/>
      <c r="F2244" s="88"/>
    </row>
    <row r="2245" spans="1:6" x14ac:dyDescent="0.35">
      <c r="A2245"/>
      <c r="C2245"/>
      <c r="F2245" s="88"/>
    </row>
    <row r="2246" spans="1:6" x14ac:dyDescent="0.35">
      <c r="A2246"/>
      <c r="C2246"/>
      <c r="F2246" s="88"/>
    </row>
    <row r="2247" spans="1:6" x14ac:dyDescent="0.35">
      <c r="A2247"/>
      <c r="C2247"/>
      <c r="F2247" s="88"/>
    </row>
    <row r="2248" spans="1:6" x14ac:dyDescent="0.35">
      <c r="A2248"/>
      <c r="C2248"/>
      <c r="F2248" s="88"/>
    </row>
    <row r="2249" spans="1:6" x14ac:dyDescent="0.35">
      <c r="A2249"/>
      <c r="C2249"/>
      <c r="F2249" s="88"/>
    </row>
    <row r="2250" spans="1:6" x14ac:dyDescent="0.35">
      <c r="A2250"/>
      <c r="C2250"/>
      <c r="F2250" s="88"/>
    </row>
    <row r="2251" spans="1:6" x14ac:dyDescent="0.35">
      <c r="A2251"/>
      <c r="C2251"/>
      <c r="F2251" s="88"/>
    </row>
    <row r="2252" spans="1:6" x14ac:dyDescent="0.35">
      <c r="A2252"/>
      <c r="C2252"/>
      <c r="F2252" s="88"/>
    </row>
    <row r="2253" spans="1:6" x14ac:dyDescent="0.35">
      <c r="A2253"/>
      <c r="C2253"/>
      <c r="F2253" s="88"/>
    </row>
    <row r="2254" spans="1:6" x14ac:dyDescent="0.35">
      <c r="A2254"/>
      <c r="C2254"/>
      <c r="F2254" s="88"/>
    </row>
    <row r="2255" spans="1:6" x14ac:dyDescent="0.35">
      <c r="A2255"/>
      <c r="C2255"/>
      <c r="F2255" s="88"/>
    </row>
    <row r="2256" spans="1:6" x14ac:dyDescent="0.35">
      <c r="A2256"/>
      <c r="C2256"/>
      <c r="F2256" s="88"/>
    </row>
    <row r="2257" spans="1:6" x14ac:dyDescent="0.35">
      <c r="A2257"/>
      <c r="C2257"/>
      <c r="F2257" s="88"/>
    </row>
    <row r="2258" spans="1:6" x14ac:dyDescent="0.35">
      <c r="A2258"/>
      <c r="C2258"/>
      <c r="F2258" s="88"/>
    </row>
    <row r="2259" spans="1:6" x14ac:dyDescent="0.35">
      <c r="A2259"/>
      <c r="C2259"/>
      <c r="F2259" s="88"/>
    </row>
    <row r="2260" spans="1:6" x14ac:dyDescent="0.35">
      <c r="A2260"/>
      <c r="C2260"/>
      <c r="F2260" s="88"/>
    </row>
    <row r="2261" spans="1:6" x14ac:dyDescent="0.35">
      <c r="A2261"/>
      <c r="C2261"/>
      <c r="F2261" s="88"/>
    </row>
    <row r="2262" spans="1:6" x14ac:dyDescent="0.35">
      <c r="A2262"/>
      <c r="C2262"/>
      <c r="F2262" s="88"/>
    </row>
    <row r="2263" spans="1:6" x14ac:dyDescent="0.35">
      <c r="A2263"/>
      <c r="C2263"/>
      <c r="F2263" s="88"/>
    </row>
    <row r="2264" spans="1:6" x14ac:dyDescent="0.35">
      <c r="A2264"/>
      <c r="C2264"/>
      <c r="F2264" s="88"/>
    </row>
    <row r="2265" spans="1:6" x14ac:dyDescent="0.35">
      <c r="A2265"/>
      <c r="C2265"/>
      <c r="F2265" s="88"/>
    </row>
    <row r="2266" spans="1:6" x14ac:dyDescent="0.35">
      <c r="A2266"/>
      <c r="C2266"/>
      <c r="F2266" s="88"/>
    </row>
    <row r="2267" spans="1:6" x14ac:dyDescent="0.35">
      <c r="A2267"/>
      <c r="C2267"/>
      <c r="F2267" s="88"/>
    </row>
    <row r="2268" spans="1:6" x14ac:dyDescent="0.35">
      <c r="A2268"/>
      <c r="C2268"/>
      <c r="F2268" s="88"/>
    </row>
    <row r="2269" spans="1:6" x14ac:dyDescent="0.35">
      <c r="A2269"/>
      <c r="C2269"/>
      <c r="F2269" s="88"/>
    </row>
    <row r="2270" spans="1:6" x14ac:dyDescent="0.35">
      <c r="A2270"/>
      <c r="C2270"/>
      <c r="F2270" s="88"/>
    </row>
    <row r="2271" spans="1:6" x14ac:dyDescent="0.35">
      <c r="A2271"/>
      <c r="C2271"/>
      <c r="F2271" s="88"/>
    </row>
    <row r="2272" spans="1:6" x14ac:dyDescent="0.35">
      <c r="A2272"/>
      <c r="C2272"/>
      <c r="F2272" s="88"/>
    </row>
    <row r="2273" spans="1:6" x14ac:dyDescent="0.35">
      <c r="A2273"/>
      <c r="C2273"/>
      <c r="F2273" s="88"/>
    </row>
    <row r="2274" spans="1:6" x14ac:dyDescent="0.35">
      <c r="A2274"/>
      <c r="C2274"/>
      <c r="F2274" s="88"/>
    </row>
    <row r="2275" spans="1:6" x14ac:dyDescent="0.35">
      <c r="A2275"/>
      <c r="C2275"/>
      <c r="F2275" s="88"/>
    </row>
    <row r="2276" spans="1:6" x14ac:dyDescent="0.35">
      <c r="A2276"/>
      <c r="C2276"/>
      <c r="F2276" s="88"/>
    </row>
    <row r="2277" spans="1:6" x14ac:dyDescent="0.35">
      <c r="A2277"/>
      <c r="C2277"/>
      <c r="F2277" s="88"/>
    </row>
    <row r="2278" spans="1:6" x14ac:dyDescent="0.35">
      <c r="A2278"/>
      <c r="C2278"/>
      <c r="F2278" s="88"/>
    </row>
    <row r="2279" spans="1:6" x14ac:dyDescent="0.35">
      <c r="A2279"/>
      <c r="C2279"/>
      <c r="F2279" s="88"/>
    </row>
    <row r="2280" spans="1:6" x14ac:dyDescent="0.35">
      <c r="A2280"/>
      <c r="C2280"/>
      <c r="F2280" s="88"/>
    </row>
    <row r="2281" spans="1:6" x14ac:dyDescent="0.35">
      <c r="A2281"/>
      <c r="C2281"/>
      <c r="F2281" s="88"/>
    </row>
    <row r="2282" spans="1:6" x14ac:dyDescent="0.35">
      <c r="A2282"/>
      <c r="C2282"/>
      <c r="F2282" s="88"/>
    </row>
    <row r="2283" spans="1:6" x14ac:dyDescent="0.35">
      <c r="A2283"/>
      <c r="C2283"/>
      <c r="F2283" s="88"/>
    </row>
    <row r="2284" spans="1:6" x14ac:dyDescent="0.35">
      <c r="A2284"/>
      <c r="C2284"/>
      <c r="F2284" s="88"/>
    </row>
    <row r="2285" spans="1:6" x14ac:dyDescent="0.35">
      <c r="A2285"/>
      <c r="C2285"/>
      <c r="F2285" s="88"/>
    </row>
    <row r="2286" spans="1:6" x14ac:dyDescent="0.35">
      <c r="A2286"/>
      <c r="C2286"/>
      <c r="F2286" s="88"/>
    </row>
    <row r="2287" spans="1:6" x14ac:dyDescent="0.35">
      <c r="A2287"/>
      <c r="C2287"/>
      <c r="F2287" s="88"/>
    </row>
    <row r="2288" spans="1:6" x14ac:dyDescent="0.35">
      <c r="A2288"/>
      <c r="C2288"/>
      <c r="F2288" s="88"/>
    </row>
    <row r="2289" spans="1:6" x14ac:dyDescent="0.35">
      <c r="A2289"/>
      <c r="C2289"/>
      <c r="F2289" s="88"/>
    </row>
    <row r="2290" spans="1:6" x14ac:dyDescent="0.35">
      <c r="A2290"/>
      <c r="C2290"/>
      <c r="F2290" s="88"/>
    </row>
    <row r="2291" spans="1:6" x14ac:dyDescent="0.35">
      <c r="A2291"/>
      <c r="C2291"/>
      <c r="F2291" s="88"/>
    </row>
    <row r="2292" spans="1:6" x14ac:dyDescent="0.35">
      <c r="A2292"/>
      <c r="C2292"/>
      <c r="F2292" s="88"/>
    </row>
    <row r="2293" spans="1:6" x14ac:dyDescent="0.35">
      <c r="A2293"/>
      <c r="C2293"/>
      <c r="F2293" s="88"/>
    </row>
    <row r="2294" spans="1:6" x14ac:dyDescent="0.35">
      <c r="A2294"/>
      <c r="C2294"/>
      <c r="F2294" s="88"/>
    </row>
    <row r="2295" spans="1:6" x14ac:dyDescent="0.35">
      <c r="A2295"/>
      <c r="C2295"/>
      <c r="F2295" s="88"/>
    </row>
    <row r="2296" spans="1:6" x14ac:dyDescent="0.35">
      <c r="A2296"/>
      <c r="C2296"/>
      <c r="F2296" s="88"/>
    </row>
    <row r="2297" spans="1:6" x14ac:dyDescent="0.35">
      <c r="A2297"/>
      <c r="C2297"/>
      <c r="F2297" s="88"/>
    </row>
    <row r="2298" spans="1:6" x14ac:dyDescent="0.35">
      <c r="A2298"/>
      <c r="C2298"/>
      <c r="F2298" s="88"/>
    </row>
    <row r="2299" spans="1:6" x14ac:dyDescent="0.35">
      <c r="A2299"/>
      <c r="C2299"/>
      <c r="F2299" s="88"/>
    </row>
    <row r="2300" spans="1:6" x14ac:dyDescent="0.35">
      <c r="A2300"/>
      <c r="C2300"/>
      <c r="F2300" s="88"/>
    </row>
    <row r="2301" spans="1:6" x14ac:dyDescent="0.35">
      <c r="A2301"/>
      <c r="C2301"/>
      <c r="F2301" s="88"/>
    </row>
    <row r="2302" spans="1:6" x14ac:dyDescent="0.35">
      <c r="A2302"/>
      <c r="C2302"/>
      <c r="F2302" s="88"/>
    </row>
    <row r="2303" spans="1:6" x14ac:dyDescent="0.35">
      <c r="A2303"/>
      <c r="C2303"/>
      <c r="F2303" s="88"/>
    </row>
    <row r="2304" spans="1:6" x14ac:dyDescent="0.35">
      <c r="A2304"/>
      <c r="C2304"/>
      <c r="F2304" s="88"/>
    </row>
    <row r="2305" spans="1:6" x14ac:dyDescent="0.35">
      <c r="A2305"/>
      <c r="C2305"/>
      <c r="F2305" s="88"/>
    </row>
    <row r="2306" spans="1:6" x14ac:dyDescent="0.35">
      <c r="A2306"/>
      <c r="C2306"/>
      <c r="F2306" s="88"/>
    </row>
    <row r="2307" spans="1:6" x14ac:dyDescent="0.35">
      <c r="A2307"/>
      <c r="C2307"/>
      <c r="F2307" s="88"/>
    </row>
    <row r="2308" spans="1:6" x14ac:dyDescent="0.35">
      <c r="A2308"/>
      <c r="C2308"/>
      <c r="F2308" s="88"/>
    </row>
    <row r="2309" spans="1:6" x14ac:dyDescent="0.35">
      <c r="A2309"/>
      <c r="C2309"/>
      <c r="F2309" s="88"/>
    </row>
    <row r="2310" spans="1:6" x14ac:dyDescent="0.35">
      <c r="A2310"/>
      <c r="C2310"/>
      <c r="F2310" s="88"/>
    </row>
    <row r="2311" spans="1:6" x14ac:dyDescent="0.35">
      <c r="A2311"/>
      <c r="C2311"/>
      <c r="F2311" s="88"/>
    </row>
    <row r="2312" spans="1:6" x14ac:dyDescent="0.35">
      <c r="A2312"/>
      <c r="C2312"/>
      <c r="F2312" s="88"/>
    </row>
    <row r="2313" spans="1:6" x14ac:dyDescent="0.35">
      <c r="A2313"/>
      <c r="C2313"/>
      <c r="F2313" s="88"/>
    </row>
    <row r="2314" spans="1:6" x14ac:dyDescent="0.35">
      <c r="A2314"/>
      <c r="C2314"/>
      <c r="F2314" s="88"/>
    </row>
    <row r="2315" spans="1:6" x14ac:dyDescent="0.35">
      <c r="A2315"/>
      <c r="C2315"/>
      <c r="F2315" s="88"/>
    </row>
    <row r="2316" spans="1:6" x14ac:dyDescent="0.35">
      <c r="A2316"/>
      <c r="C2316"/>
      <c r="F2316" s="88"/>
    </row>
    <row r="2317" spans="1:6" x14ac:dyDescent="0.35">
      <c r="A2317"/>
      <c r="C2317"/>
      <c r="F2317" s="88"/>
    </row>
    <row r="2318" spans="1:6" x14ac:dyDescent="0.35">
      <c r="A2318"/>
      <c r="C2318"/>
      <c r="F2318" s="88"/>
    </row>
    <row r="2319" spans="1:6" x14ac:dyDescent="0.35">
      <c r="A2319"/>
      <c r="C2319"/>
      <c r="F2319" s="88"/>
    </row>
    <row r="2320" spans="1:6" x14ac:dyDescent="0.35">
      <c r="A2320"/>
      <c r="C2320"/>
      <c r="F2320" s="88"/>
    </row>
    <row r="2321" spans="1:6" x14ac:dyDescent="0.35">
      <c r="A2321"/>
      <c r="C2321"/>
      <c r="F2321" s="88"/>
    </row>
    <row r="2322" spans="1:6" x14ac:dyDescent="0.35">
      <c r="A2322"/>
      <c r="C2322"/>
      <c r="F2322" s="88"/>
    </row>
    <row r="2323" spans="1:6" x14ac:dyDescent="0.35">
      <c r="A2323"/>
      <c r="C2323"/>
      <c r="F2323" s="88"/>
    </row>
    <row r="2324" spans="1:6" x14ac:dyDescent="0.35">
      <c r="A2324"/>
      <c r="C2324"/>
      <c r="F2324" s="88"/>
    </row>
    <row r="2325" spans="1:6" x14ac:dyDescent="0.35">
      <c r="A2325"/>
      <c r="C2325"/>
      <c r="F2325" s="88"/>
    </row>
    <row r="2326" spans="1:6" x14ac:dyDescent="0.35">
      <c r="A2326"/>
      <c r="C2326"/>
      <c r="F2326" s="88"/>
    </row>
    <row r="2327" spans="1:6" x14ac:dyDescent="0.35">
      <c r="A2327"/>
      <c r="C2327"/>
      <c r="F2327" s="88"/>
    </row>
    <row r="2328" spans="1:6" x14ac:dyDescent="0.35">
      <c r="A2328"/>
      <c r="C2328"/>
      <c r="F2328" s="88"/>
    </row>
    <row r="2329" spans="1:6" x14ac:dyDescent="0.35">
      <c r="A2329"/>
      <c r="C2329"/>
      <c r="F2329" s="88"/>
    </row>
    <row r="2330" spans="1:6" x14ac:dyDescent="0.35">
      <c r="A2330"/>
      <c r="C2330"/>
      <c r="F2330" s="88"/>
    </row>
    <row r="2331" spans="1:6" x14ac:dyDescent="0.35">
      <c r="A2331"/>
      <c r="C2331"/>
      <c r="F2331" s="88"/>
    </row>
    <row r="2332" spans="1:6" x14ac:dyDescent="0.35">
      <c r="A2332"/>
      <c r="C2332"/>
      <c r="F2332" s="88"/>
    </row>
    <row r="2333" spans="1:6" x14ac:dyDescent="0.35">
      <c r="A2333"/>
      <c r="C2333"/>
      <c r="F2333" s="88"/>
    </row>
    <row r="2334" spans="1:6" x14ac:dyDescent="0.35">
      <c r="A2334"/>
      <c r="C2334"/>
      <c r="F2334" s="88"/>
    </row>
    <row r="2335" spans="1:6" x14ac:dyDescent="0.35">
      <c r="A2335"/>
      <c r="C2335"/>
      <c r="F2335" s="88"/>
    </row>
    <row r="2336" spans="1:6" x14ac:dyDescent="0.35">
      <c r="A2336"/>
      <c r="C2336"/>
      <c r="F2336" s="88"/>
    </row>
    <row r="2337" spans="1:6" x14ac:dyDescent="0.35">
      <c r="A2337"/>
      <c r="C2337"/>
      <c r="F2337" s="88"/>
    </row>
    <row r="2338" spans="1:6" x14ac:dyDescent="0.35">
      <c r="A2338"/>
      <c r="C2338"/>
      <c r="F2338" s="88"/>
    </row>
    <row r="2339" spans="1:6" x14ac:dyDescent="0.35">
      <c r="A2339"/>
      <c r="C2339"/>
      <c r="F2339" s="88"/>
    </row>
    <row r="2340" spans="1:6" x14ac:dyDescent="0.35">
      <c r="A2340"/>
      <c r="C2340"/>
      <c r="F2340" s="88"/>
    </row>
    <row r="2341" spans="1:6" x14ac:dyDescent="0.35">
      <c r="A2341"/>
      <c r="C2341"/>
      <c r="F2341" s="88"/>
    </row>
    <row r="2342" spans="1:6" x14ac:dyDescent="0.35">
      <c r="A2342"/>
      <c r="C2342"/>
      <c r="F2342" s="88"/>
    </row>
    <row r="2343" spans="1:6" x14ac:dyDescent="0.35">
      <c r="A2343"/>
      <c r="C2343"/>
      <c r="F2343" s="88"/>
    </row>
    <row r="2344" spans="1:6" x14ac:dyDescent="0.35">
      <c r="A2344"/>
      <c r="C2344"/>
      <c r="F2344" s="88"/>
    </row>
    <row r="2345" spans="1:6" x14ac:dyDescent="0.35">
      <c r="A2345"/>
      <c r="C2345"/>
      <c r="F2345" s="88"/>
    </row>
    <row r="2346" spans="1:6" x14ac:dyDescent="0.35">
      <c r="A2346"/>
      <c r="C2346"/>
      <c r="F2346" s="88"/>
    </row>
    <row r="2347" spans="1:6" x14ac:dyDescent="0.35">
      <c r="A2347"/>
      <c r="C2347"/>
      <c r="F2347" s="88"/>
    </row>
    <row r="2348" spans="1:6" x14ac:dyDescent="0.35">
      <c r="A2348"/>
      <c r="C2348"/>
      <c r="F2348" s="88"/>
    </row>
    <row r="2349" spans="1:6" x14ac:dyDescent="0.35">
      <c r="A2349"/>
      <c r="C2349"/>
      <c r="F2349" s="88"/>
    </row>
    <row r="2350" spans="1:6" x14ac:dyDescent="0.35">
      <c r="A2350"/>
      <c r="C2350"/>
      <c r="F2350" s="88"/>
    </row>
    <row r="2351" spans="1:6" x14ac:dyDescent="0.35">
      <c r="A2351"/>
      <c r="C2351"/>
      <c r="F2351" s="88"/>
    </row>
    <row r="2352" spans="1:6" x14ac:dyDescent="0.35">
      <c r="A2352"/>
      <c r="C2352"/>
      <c r="F2352" s="88"/>
    </row>
    <row r="2353" spans="1:6" x14ac:dyDescent="0.35">
      <c r="A2353"/>
      <c r="C2353"/>
      <c r="F2353" s="88"/>
    </row>
    <row r="2354" spans="1:6" x14ac:dyDescent="0.35">
      <c r="A2354"/>
      <c r="C2354"/>
      <c r="F2354" s="88"/>
    </row>
    <row r="2355" spans="1:6" x14ac:dyDescent="0.35">
      <c r="A2355"/>
      <c r="C2355"/>
      <c r="F2355" s="88"/>
    </row>
    <row r="2356" spans="1:6" x14ac:dyDescent="0.35">
      <c r="A2356"/>
      <c r="C2356"/>
      <c r="F2356" s="88"/>
    </row>
    <row r="2357" spans="1:6" x14ac:dyDescent="0.35">
      <c r="A2357"/>
      <c r="C2357"/>
      <c r="F2357" s="88"/>
    </row>
    <row r="2358" spans="1:6" x14ac:dyDescent="0.35">
      <c r="A2358"/>
      <c r="C2358"/>
      <c r="F2358" s="88"/>
    </row>
    <row r="2359" spans="1:6" x14ac:dyDescent="0.35">
      <c r="A2359"/>
      <c r="C2359"/>
      <c r="F2359" s="88"/>
    </row>
    <row r="2360" spans="1:6" x14ac:dyDescent="0.35">
      <c r="A2360"/>
      <c r="C2360"/>
      <c r="F2360" s="88"/>
    </row>
    <row r="2361" spans="1:6" x14ac:dyDescent="0.35">
      <c r="A2361"/>
      <c r="C2361"/>
      <c r="F2361" s="88"/>
    </row>
    <row r="2362" spans="1:6" x14ac:dyDescent="0.35">
      <c r="A2362"/>
      <c r="C2362"/>
      <c r="F2362" s="88"/>
    </row>
    <row r="2363" spans="1:6" x14ac:dyDescent="0.35">
      <c r="A2363"/>
      <c r="C2363"/>
      <c r="F2363" s="88"/>
    </row>
    <row r="2364" spans="1:6" x14ac:dyDescent="0.35">
      <c r="A2364"/>
      <c r="C2364"/>
      <c r="F2364" s="88"/>
    </row>
    <row r="2365" spans="1:6" x14ac:dyDescent="0.35">
      <c r="A2365"/>
      <c r="C2365"/>
      <c r="F2365" s="88"/>
    </row>
    <row r="2366" spans="1:6" x14ac:dyDescent="0.35">
      <c r="A2366"/>
      <c r="C2366"/>
      <c r="F2366" s="88"/>
    </row>
    <row r="2367" spans="1:6" x14ac:dyDescent="0.35">
      <c r="A2367"/>
      <c r="C2367"/>
      <c r="F2367" s="88"/>
    </row>
    <row r="2368" spans="1:6" x14ac:dyDescent="0.35">
      <c r="A2368"/>
      <c r="C2368"/>
      <c r="F2368" s="88"/>
    </row>
    <row r="2369" spans="1:6" x14ac:dyDescent="0.35">
      <c r="A2369"/>
      <c r="C2369"/>
      <c r="F2369" s="88"/>
    </row>
    <row r="2370" spans="1:6" x14ac:dyDescent="0.35">
      <c r="A2370"/>
      <c r="C2370"/>
      <c r="F2370" s="88"/>
    </row>
    <row r="2371" spans="1:6" x14ac:dyDescent="0.35">
      <c r="A2371"/>
      <c r="C2371"/>
      <c r="F2371" s="88"/>
    </row>
    <row r="2372" spans="1:6" x14ac:dyDescent="0.35">
      <c r="A2372"/>
      <c r="C2372"/>
      <c r="F2372" s="88"/>
    </row>
    <row r="2373" spans="1:6" x14ac:dyDescent="0.35">
      <c r="A2373"/>
      <c r="C2373"/>
      <c r="F2373" s="88"/>
    </row>
    <row r="2374" spans="1:6" x14ac:dyDescent="0.35">
      <c r="A2374"/>
      <c r="C2374"/>
      <c r="F2374" s="88"/>
    </row>
    <row r="2375" spans="1:6" x14ac:dyDescent="0.35">
      <c r="A2375"/>
      <c r="C2375"/>
      <c r="F2375" s="88"/>
    </row>
    <row r="2376" spans="1:6" x14ac:dyDescent="0.35">
      <c r="A2376"/>
      <c r="C2376"/>
      <c r="F2376" s="88"/>
    </row>
    <row r="2377" spans="1:6" x14ac:dyDescent="0.35">
      <c r="A2377"/>
      <c r="C2377"/>
      <c r="F2377" s="88"/>
    </row>
    <row r="2378" spans="1:6" x14ac:dyDescent="0.35">
      <c r="A2378"/>
      <c r="C2378"/>
      <c r="F2378" s="88"/>
    </row>
    <row r="2379" spans="1:6" x14ac:dyDescent="0.35">
      <c r="A2379"/>
      <c r="C2379"/>
      <c r="F2379" s="88"/>
    </row>
    <row r="2380" spans="1:6" x14ac:dyDescent="0.35">
      <c r="A2380"/>
      <c r="C2380"/>
      <c r="F2380" s="88"/>
    </row>
    <row r="2381" spans="1:6" x14ac:dyDescent="0.35">
      <c r="A2381"/>
      <c r="C2381"/>
      <c r="F2381" s="88"/>
    </row>
    <row r="2382" spans="1:6" x14ac:dyDescent="0.35">
      <c r="A2382"/>
      <c r="C2382"/>
      <c r="F2382" s="88"/>
    </row>
    <row r="2383" spans="1:6" x14ac:dyDescent="0.35">
      <c r="A2383"/>
      <c r="C2383"/>
      <c r="F2383" s="88"/>
    </row>
    <row r="2384" spans="1:6" x14ac:dyDescent="0.35">
      <c r="A2384"/>
      <c r="C2384"/>
      <c r="F2384" s="88"/>
    </row>
    <row r="2385" spans="1:6" x14ac:dyDescent="0.35">
      <c r="A2385"/>
      <c r="C2385"/>
      <c r="F2385" s="88"/>
    </row>
    <row r="2386" spans="1:6" x14ac:dyDescent="0.35">
      <c r="A2386"/>
      <c r="C2386"/>
      <c r="F2386" s="88"/>
    </row>
    <row r="2387" spans="1:6" x14ac:dyDescent="0.35">
      <c r="A2387"/>
      <c r="C2387"/>
      <c r="F2387" s="88"/>
    </row>
    <row r="2388" spans="1:6" x14ac:dyDescent="0.35">
      <c r="A2388"/>
      <c r="C2388"/>
      <c r="F2388" s="88"/>
    </row>
    <row r="2389" spans="1:6" x14ac:dyDescent="0.35">
      <c r="A2389"/>
      <c r="C2389"/>
      <c r="F2389" s="88"/>
    </row>
    <row r="2390" spans="1:6" x14ac:dyDescent="0.35">
      <c r="A2390"/>
      <c r="C2390"/>
      <c r="F2390" s="88"/>
    </row>
    <row r="2391" spans="1:6" x14ac:dyDescent="0.35">
      <c r="A2391"/>
      <c r="C2391"/>
      <c r="F2391" s="88"/>
    </row>
    <row r="2392" spans="1:6" x14ac:dyDescent="0.35">
      <c r="A2392"/>
      <c r="C2392"/>
      <c r="F2392" s="88"/>
    </row>
    <row r="2393" spans="1:6" x14ac:dyDescent="0.35">
      <c r="A2393"/>
      <c r="C2393"/>
      <c r="F2393" s="88"/>
    </row>
    <row r="2394" spans="1:6" x14ac:dyDescent="0.35">
      <c r="A2394"/>
      <c r="C2394"/>
      <c r="F2394" s="88"/>
    </row>
    <row r="2395" spans="1:6" x14ac:dyDescent="0.35">
      <c r="A2395"/>
      <c r="C2395"/>
      <c r="F2395" s="88"/>
    </row>
    <row r="2396" spans="1:6" x14ac:dyDescent="0.35">
      <c r="A2396"/>
      <c r="C2396"/>
      <c r="F2396" s="88"/>
    </row>
    <row r="2397" spans="1:6" x14ac:dyDescent="0.35">
      <c r="A2397"/>
      <c r="C2397"/>
      <c r="F2397" s="88"/>
    </row>
    <row r="2398" spans="1:6" x14ac:dyDescent="0.35">
      <c r="A2398"/>
      <c r="C2398"/>
      <c r="F2398" s="88"/>
    </row>
    <row r="2399" spans="1:6" x14ac:dyDescent="0.35">
      <c r="A2399"/>
      <c r="C2399"/>
      <c r="F2399" s="88"/>
    </row>
    <row r="2400" spans="1:6" x14ac:dyDescent="0.35">
      <c r="A2400"/>
      <c r="C2400"/>
      <c r="F2400" s="88"/>
    </row>
    <row r="2401" spans="1:6" x14ac:dyDescent="0.35">
      <c r="A2401"/>
      <c r="C2401"/>
      <c r="F2401" s="88"/>
    </row>
    <row r="2402" spans="1:6" x14ac:dyDescent="0.35">
      <c r="A2402"/>
      <c r="C2402"/>
      <c r="F2402" s="88"/>
    </row>
    <row r="2403" spans="1:6" x14ac:dyDescent="0.35">
      <c r="A2403"/>
      <c r="C2403"/>
      <c r="F2403" s="88"/>
    </row>
    <row r="2404" spans="1:6" x14ac:dyDescent="0.35">
      <c r="A2404"/>
      <c r="C2404"/>
      <c r="F2404" s="88"/>
    </row>
    <row r="2405" spans="1:6" x14ac:dyDescent="0.35">
      <c r="A2405"/>
      <c r="C2405"/>
      <c r="F2405" s="88"/>
    </row>
    <row r="2406" spans="1:6" x14ac:dyDescent="0.35">
      <c r="A2406"/>
      <c r="C2406"/>
      <c r="F2406" s="88"/>
    </row>
    <row r="2407" spans="1:6" x14ac:dyDescent="0.35">
      <c r="A2407"/>
      <c r="C2407"/>
      <c r="F2407" s="88"/>
    </row>
    <row r="2408" spans="1:6" x14ac:dyDescent="0.35">
      <c r="A2408"/>
      <c r="C2408"/>
      <c r="F2408" s="88"/>
    </row>
    <row r="2409" spans="1:6" x14ac:dyDescent="0.35">
      <c r="A2409"/>
      <c r="C2409"/>
      <c r="F2409" s="88"/>
    </row>
    <row r="2410" spans="1:6" x14ac:dyDescent="0.35">
      <c r="A2410"/>
      <c r="C2410"/>
      <c r="F2410" s="88"/>
    </row>
    <row r="2411" spans="1:6" x14ac:dyDescent="0.35">
      <c r="A2411"/>
      <c r="C2411"/>
      <c r="F2411" s="88"/>
    </row>
    <row r="2412" spans="1:6" x14ac:dyDescent="0.35">
      <c r="A2412"/>
      <c r="C2412"/>
      <c r="F2412" s="88"/>
    </row>
    <row r="2413" spans="1:6" x14ac:dyDescent="0.35">
      <c r="A2413"/>
      <c r="C2413"/>
      <c r="F2413" s="88"/>
    </row>
    <row r="2414" spans="1:6" x14ac:dyDescent="0.35">
      <c r="A2414"/>
      <c r="C2414"/>
      <c r="F2414" s="88"/>
    </row>
    <row r="2415" spans="1:6" x14ac:dyDescent="0.35">
      <c r="A2415"/>
      <c r="C2415"/>
      <c r="F2415" s="88"/>
    </row>
    <row r="2416" spans="1:6" x14ac:dyDescent="0.35">
      <c r="A2416"/>
      <c r="C2416"/>
      <c r="F2416" s="88"/>
    </row>
    <row r="2417" spans="1:6" x14ac:dyDescent="0.35">
      <c r="A2417"/>
      <c r="C2417"/>
      <c r="F2417" s="88"/>
    </row>
    <row r="2418" spans="1:6" x14ac:dyDescent="0.35">
      <c r="A2418"/>
      <c r="C2418"/>
      <c r="F2418" s="88"/>
    </row>
    <row r="2419" spans="1:6" x14ac:dyDescent="0.35">
      <c r="A2419"/>
      <c r="C2419"/>
      <c r="F2419" s="88"/>
    </row>
    <row r="2420" spans="1:6" x14ac:dyDescent="0.35">
      <c r="A2420"/>
      <c r="C2420"/>
      <c r="F2420" s="88"/>
    </row>
    <row r="2421" spans="1:6" x14ac:dyDescent="0.35">
      <c r="A2421"/>
      <c r="C2421"/>
      <c r="F2421" s="88"/>
    </row>
    <row r="2422" spans="1:6" x14ac:dyDescent="0.35">
      <c r="A2422"/>
      <c r="C2422"/>
      <c r="F2422" s="88"/>
    </row>
    <row r="2423" spans="1:6" x14ac:dyDescent="0.35">
      <c r="A2423"/>
      <c r="C2423"/>
      <c r="F2423" s="88"/>
    </row>
    <row r="2424" spans="1:6" x14ac:dyDescent="0.35">
      <c r="A2424"/>
      <c r="C2424"/>
      <c r="F2424" s="88"/>
    </row>
    <row r="2425" spans="1:6" x14ac:dyDescent="0.35">
      <c r="A2425"/>
      <c r="C2425"/>
      <c r="F2425" s="88"/>
    </row>
    <row r="2426" spans="1:6" x14ac:dyDescent="0.35">
      <c r="A2426"/>
      <c r="C2426"/>
      <c r="F2426" s="88"/>
    </row>
    <row r="2427" spans="1:6" x14ac:dyDescent="0.35">
      <c r="A2427"/>
      <c r="C2427"/>
      <c r="F2427" s="88"/>
    </row>
    <row r="2428" spans="1:6" x14ac:dyDescent="0.35">
      <c r="A2428"/>
      <c r="C2428"/>
      <c r="F2428" s="88"/>
    </row>
    <row r="2429" spans="1:6" x14ac:dyDescent="0.35">
      <c r="A2429"/>
      <c r="C2429"/>
      <c r="F2429" s="88"/>
    </row>
    <row r="2430" spans="1:6" x14ac:dyDescent="0.35">
      <c r="A2430"/>
      <c r="C2430"/>
      <c r="F2430" s="88"/>
    </row>
    <row r="2431" spans="1:6" x14ac:dyDescent="0.35">
      <c r="A2431"/>
      <c r="C2431"/>
      <c r="F2431" s="88"/>
    </row>
    <row r="2432" spans="1:6" x14ac:dyDescent="0.35">
      <c r="A2432"/>
      <c r="C2432"/>
      <c r="F2432" s="88"/>
    </row>
    <row r="2433" spans="1:6" x14ac:dyDescent="0.35">
      <c r="A2433"/>
      <c r="C2433"/>
      <c r="F2433" s="88"/>
    </row>
    <row r="2434" spans="1:6" x14ac:dyDescent="0.35">
      <c r="A2434"/>
      <c r="C2434"/>
      <c r="F2434" s="88"/>
    </row>
    <row r="2435" spans="1:6" x14ac:dyDescent="0.35">
      <c r="A2435"/>
      <c r="C2435"/>
      <c r="F2435" s="88"/>
    </row>
    <row r="2436" spans="1:6" x14ac:dyDescent="0.35">
      <c r="A2436"/>
      <c r="C2436"/>
      <c r="F2436" s="88"/>
    </row>
    <row r="2437" spans="1:6" x14ac:dyDescent="0.35">
      <c r="A2437"/>
      <c r="C2437"/>
      <c r="F2437" s="88"/>
    </row>
    <row r="2438" spans="1:6" x14ac:dyDescent="0.35">
      <c r="A2438"/>
      <c r="C2438"/>
      <c r="F2438" s="88"/>
    </row>
    <row r="2439" spans="1:6" x14ac:dyDescent="0.35">
      <c r="A2439"/>
      <c r="C2439"/>
      <c r="F2439" s="88"/>
    </row>
    <row r="2440" spans="1:6" x14ac:dyDescent="0.35">
      <c r="A2440"/>
      <c r="C2440"/>
      <c r="F2440" s="88"/>
    </row>
  </sheetData>
  <mergeCells count="3">
    <mergeCell ref="O2:Q2"/>
    <mergeCell ref="H2:M2"/>
    <mergeCell ref="A2:D2"/>
  </mergeCells>
  <pageMargins left="0.7" right="0.7" top="0.75" bottom="0.75" header="0.3" footer="0.3"/>
  <pageSetup scale="34"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E384"/>
  <sheetViews>
    <sheetView showGridLines="0" workbookViewId="0">
      <selection activeCell="C11" sqref="C11"/>
    </sheetView>
  </sheetViews>
  <sheetFormatPr baseColWidth="10" defaultRowHeight="14.5" x14ac:dyDescent="0.35"/>
  <cols>
    <col min="1" max="1" width="16.54296875" style="44" bestFit="1" customWidth="1"/>
    <col min="2" max="2" width="15.54296875" style="44" customWidth="1"/>
    <col min="3" max="3" width="14.08984375" style="44" customWidth="1"/>
    <col min="4" max="4" width="16.36328125" customWidth="1"/>
    <col min="5" max="5" width="12.08984375" bestFit="1" customWidth="1"/>
    <col min="6" max="6" width="11.81640625" bestFit="1" customWidth="1"/>
  </cols>
  <sheetData>
    <row r="3" spans="1:5" x14ac:dyDescent="0.35">
      <c r="A3" s="42" t="s">
        <v>182</v>
      </c>
      <c r="B3" s="42" t="s">
        <v>256</v>
      </c>
      <c r="C3" s="42" t="s">
        <v>332</v>
      </c>
      <c r="D3" s="42" t="s">
        <v>4</v>
      </c>
      <c r="E3" s="42" t="s">
        <v>9</v>
      </c>
    </row>
    <row r="4" spans="1:5" x14ac:dyDescent="0.35">
      <c r="A4" s="44" t="s">
        <v>184</v>
      </c>
      <c r="B4" s="44" t="s">
        <v>222</v>
      </c>
      <c r="D4" s="44"/>
      <c r="E4" s="44"/>
    </row>
    <row r="5" spans="1:5" x14ac:dyDescent="0.35">
      <c r="A5" s="44" t="s">
        <v>205</v>
      </c>
      <c r="B5" s="44" t="s">
        <v>258</v>
      </c>
      <c r="C5" s="44">
        <v>1374846</v>
      </c>
      <c r="D5" s="67">
        <v>46021</v>
      </c>
      <c r="E5" s="44">
        <v>3566556</v>
      </c>
    </row>
    <row r="6" spans="1:5" x14ac:dyDescent="0.35">
      <c r="B6" s="44" t="s">
        <v>222</v>
      </c>
      <c r="D6" s="44"/>
      <c r="E6" s="44"/>
    </row>
    <row r="7" spans="1:5" x14ac:dyDescent="0.35">
      <c r="A7" s="44" t="s">
        <v>209</v>
      </c>
      <c r="B7" s="44" t="s">
        <v>258</v>
      </c>
      <c r="C7" s="44">
        <v>1374732</v>
      </c>
      <c r="D7" s="67">
        <v>45986</v>
      </c>
      <c r="E7" s="44">
        <v>3566214</v>
      </c>
    </row>
    <row r="8" spans="1:5" x14ac:dyDescent="0.35">
      <c r="B8" s="44" t="s">
        <v>222</v>
      </c>
      <c r="D8" s="44"/>
      <c r="E8" s="44"/>
    </row>
    <row r="9" spans="1:5" x14ac:dyDescent="0.35">
      <c r="A9" s="44" t="s">
        <v>208</v>
      </c>
      <c r="B9" s="44" t="s">
        <v>258</v>
      </c>
      <c r="C9" s="44">
        <v>1374847</v>
      </c>
      <c r="D9" s="67">
        <v>46021</v>
      </c>
      <c r="E9" s="44">
        <v>3566557</v>
      </c>
    </row>
    <row r="10" spans="1:5" x14ac:dyDescent="0.35">
      <c r="B10" s="44" t="s">
        <v>222</v>
      </c>
      <c r="D10" s="44"/>
      <c r="E10" s="44"/>
    </row>
    <row r="11" spans="1:5" x14ac:dyDescent="0.35">
      <c r="A11" s="44" t="s">
        <v>261</v>
      </c>
      <c r="B11" s="44" t="s">
        <v>258</v>
      </c>
      <c r="C11" s="44">
        <v>1374962</v>
      </c>
      <c r="D11" s="67">
        <v>46044</v>
      </c>
      <c r="E11" s="44">
        <v>3566945</v>
      </c>
    </row>
    <row r="12" spans="1:5" x14ac:dyDescent="0.35">
      <c r="B12" s="44" t="s">
        <v>222</v>
      </c>
      <c r="D12" s="44"/>
      <c r="E12" s="44"/>
    </row>
    <row r="13" spans="1:5" x14ac:dyDescent="0.35">
      <c r="A13" s="44" t="s">
        <v>198</v>
      </c>
      <c r="B13" s="44" t="s">
        <v>258</v>
      </c>
      <c r="C13" s="44">
        <v>1374821</v>
      </c>
      <c r="D13" s="67">
        <v>46009</v>
      </c>
      <c r="E13" s="44">
        <v>3566424</v>
      </c>
    </row>
    <row r="14" spans="1:5" x14ac:dyDescent="0.35">
      <c r="B14" s="44" t="s">
        <v>222</v>
      </c>
      <c r="D14" s="44"/>
      <c r="E14" s="44"/>
    </row>
    <row r="15" spans="1:5" x14ac:dyDescent="0.35">
      <c r="A15" s="44" t="s">
        <v>231</v>
      </c>
      <c r="B15" s="44" t="s">
        <v>258</v>
      </c>
      <c r="C15" s="44">
        <v>1374938</v>
      </c>
      <c r="D15" s="67">
        <v>46042</v>
      </c>
      <c r="E15" s="44">
        <v>3566890</v>
      </c>
    </row>
    <row r="16" spans="1:5" x14ac:dyDescent="0.35">
      <c r="C16" s="44">
        <v>1374952</v>
      </c>
      <c r="D16" s="67">
        <v>46042</v>
      </c>
      <c r="E16" s="44">
        <v>3566934</v>
      </c>
    </row>
    <row r="17" spans="1:5" x14ac:dyDescent="0.35">
      <c r="B17" s="44" t="s">
        <v>222</v>
      </c>
      <c r="D17" s="44"/>
      <c r="E17" s="44"/>
    </row>
    <row r="18" spans="1:5" x14ac:dyDescent="0.35">
      <c r="A18" s="44" t="s">
        <v>199</v>
      </c>
      <c r="B18" s="44" t="s">
        <v>258</v>
      </c>
      <c r="C18" s="44">
        <v>1374822</v>
      </c>
      <c r="D18" s="67">
        <v>46009</v>
      </c>
      <c r="E18" s="44">
        <v>3566425</v>
      </c>
    </row>
    <row r="19" spans="1:5" x14ac:dyDescent="0.35">
      <c r="B19" s="44" t="s">
        <v>222</v>
      </c>
      <c r="D19" s="44"/>
      <c r="E19" s="44"/>
    </row>
    <row r="20" spans="1:5" x14ac:dyDescent="0.35">
      <c r="A20" s="44" t="s">
        <v>265</v>
      </c>
      <c r="B20" s="44" t="s">
        <v>222</v>
      </c>
      <c r="D20" s="44"/>
      <c r="E20" s="44"/>
    </row>
    <row r="21" spans="1:5" x14ac:dyDescent="0.35">
      <c r="A21" s="44" t="s">
        <v>255</v>
      </c>
      <c r="B21" s="44" t="s">
        <v>258</v>
      </c>
      <c r="C21" s="44">
        <v>1374942</v>
      </c>
      <c r="D21" s="67">
        <v>46043</v>
      </c>
      <c r="E21" s="44">
        <v>3566915</v>
      </c>
    </row>
    <row r="22" spans="1:5" x14ac:dyDescent="0.35">
      <c r="C22" s="44">
        <v>1374965</v>
      </c>
      <c r="D22" s="67">
        <v>46044</v>
      </c>
      <c r="E22" s="44">
        <v>3566954</v>
      </c>
    </row>
    <row r="23" spans="1:5" x14ac:dyDescent="0.35">
      <c r="C23" s="44">
        <v>1375014</v>
      </c>
      <c r="D23" s="67">
        <v>46064</v>
      </c>
      <c r="E23" s="44">
        <v>3567106</v>
      </c>
    </row>
    <row r="24" spans="1:5" x14ac:dyDescent="0.35">
      <c r="B24" s="44" t="s">
        <v>222</v>
      </c>
      <c r="D24" s="44"/>
      <c r="E24" s="44"/>
    </row>
    <row r="25" spans="1:5" x14ac:dyDescent="0.35">
      <c r="A25" s="44" t="s">
        <v>185</v>
      </c>
      <c r="B25" s="44" t="s">
        <v>222</v>
      </c>
      <c r="D25" s="44"/>
      <c r="E25" s="44"/>
    </row>
    <row r="26" spans="1:5" x14ac:dyDescent="0.35">
      <c r="A26" s="44" t="s">
        <v>253</v>
      </c>
      <c r="B26" s="44" t="s">
        <v>258</v>
      </c>
      <c r="C26" s="44">
        <v>1374941</v>
      </c>
      <c r="D26" s="67">
        <v>46042</v>
      </c>
      <c r="E26" s="44">
        <v>3566893</v>
      </c>
    </row>
    <row r="27" spans="1:5" x14ac:dyDescent="0.35">
      <c r="C27" s="44">
        <v>1374951</v>
      </c>
      <c r="D27" s="67">
        <v>46042</v>
      </c>
      <c r="E27" s="44">
        <v>3566933</v>
      </c>
    </row>
    <row r="28" spans="1:5" x14ac:dyDescent="0.35">
      <c r="B28" s="44" t="s">
        <v>222</v>
      </c>
      <c r="D28" s="44"/>
      <c r="E28" s="44"/>
    </row>
    <row r="29" spans="1:5" x14ac:dyDescent="0.35">
      <c r="A29" s="44" t="s">
        <v>187</v>
      </c>
      <c r="B29" s="44" t="s">
        <v>258</v>
      </c>
      <c r="C29" s="44">
        <v>1374731</v>
      </c>
      <c r="D29" s="67">
        <v>45986</v>
      </c>
      <c r="E29" s="44">
        <v>3566199</v>
      </c>
    </row>
    <row r="30" spans="1:5" x14ac:dyDescent="0.35">
      <c r="B30" s="44" t="s">
        <v>222</v>
      </c>
      <c r="D30" s="44"/>
      <c r="E30" s="44"/>
    </row>
    <row r="31" spans="1:5" x14ac:dyDescent="0.35">
      <c r="A31" s="44" t="s">
        <v>191</v>
      </c>
      <c r="B31" s="44" t="s">
        <v>258</v>
      </c>
      <c r="C31" s="44">
        <v>1374726</v>
      </c>
      <c r="D31" s="67">
        <v>45986</v>
      </c>
      <c r="E31" s="44">
        <v>3566194</v>
      </c>
    </row>
    <row r="32" spans="1:5" x14ac:dyDescent="0.35">
      <c r="C32" s="44">
        <v>1374727</v>
      </c>
      <c r="D32" s="67">
        <v>45986</v>
      </c>
      <c r="E32" s="44">
        <v>3566194</v>
      </c>
    </row>
    <row r="33" spans="1:5" x14ac:dyDescent="0.35">
      <c r="B33" s="44" t="s">
        <v>222</v>
      </c>
      <c r="D33" s="44"/>
      <c r="E33" s="44"/>
    </row>
    <row r="34" spans="1:5" x14ac:dyDescent="0.35">
      <c r="A34" s="44" t="s">
        <v>210</v>
      </c>
      <c r="B34" s="44" t="s">
        <v>258</v>
      </c>
      <c r="C34" s="44">
        <v>1374733</v>
      </c>
      <c r="D34" s="67">
        <v>45986</v>
      </c>
      <c r="E34" s="44">
        <v>3566211</v>
      </c>
    </row>
    <row r="35" spans="1:5" x14ac:dyDescent="0.35">
      <c r="C35" s="44">
        <v>1374734</v>
      </c>
      <c r="D35" s="67">
        <v>45986</v>
      </c>
      <c r="E35" s="44">
        <v>3566213</v>
      </c>
    </row>
    <row r="36" spans="1:5" x14ac:dyDescent="0.35">
      <c r="B36" s="44" t="s">
        <v>222</v>
      </c>
      <c r="D36" s="44"/>
      <c r="E36" s="44"/>
    </row>
    <row r="37" spans="1:5" x14ac:dyDescent="0.35">
      <c r="A37" s="44" t="s">
        <v>211</v>
      </c>
      <c r="B37" s="44" t="s">
        <v>258</v>
      </c>
      <c r="C37" s="44">
        <v>1374725</v>
      </c>
      <c r="D37" s="67">
        <v>45986</v>
      </c>
      <c r="E37" s="44">
        <v>3566185</v>
      </c>
    </row>
    <row r="38" spans="1:5" x14ac:dyDescent="0.35">
      <c r="B38" s="44" t="s">
        <v>222</v>
      </c>
      <c r="D38" s="44"/>
      <c r="E38" s="44"/>
    </row>
    <row r="39" spans="1:5" x14ac:dyDescent="0.35">
      <c r="A39" s="44" t="s">
        <v>188</v>
      </c>
      <c r="B39" s="44" t="s">
        <v>258</v>
      </c>
      <c r="C39" s="44">
        <v>1374727</v>
      </c>
      <c r="D39" s="67">
        <v>45986</v>
      </c>
      <c r="E39" s="44">
        <v>3566195</v>
      </c>
    </row>
    <row r="40" spans="1:5" x14ac:dyDescent="0.35">
      <c r="B40" s="44" t="s">
        <v>222</v>
      </c>
      <c r="D40" s="44"/>
      <c r="E40" s="44"/>
    </row>
    <row r="41" spans="1:5" x14ac:dyDescent="0.35">
      <c r="A41" s="44" t="s">
        <v>190</v>
      </c>
      <c r="B41" s="44" t="s">
        <v>258</v>
      </c>
      <c r="C41" s="44">
        <v>1374728</v>
      </c>
      <c r="D41" s="67">
        <v>45986</v>
      </c>
      <c r="E41" s="44">
        <v>3566196</v>
      </c>
    </row>
    <row r="42" spans="1:5" x14ac:dyDescent="0.35">
      <c r="B42" s="44" t="s">
        <v>222</v>
      </c>
      <c r="D42" s="44"/>
      <c r="E42" s="44"/>
    </row>
    <row r="43" spans="1:5" x14ac:dyDescent="0.35">
      <c r="A43" s="44" t="s">
        <v>189</v>
      </c>
      <c r="B43" s="44" t="s">
        <v>258</v>
      </c>
      <c r="C43" s="44">
        <v>1374729</v>
      </c>
      <c r="D43" s="67">
        <v>45986</v>
      </c>
      <c r="E43" s="44">
        <v>3566197</v>
      </c>
    </row>
    <row r="44" spans="1:5" x14ac:dyDescent="0.35">
      <c r="B44" s="44" t="s">
        <v>222</v>
      </c>
      <c r="D44" s="44"/>
      <c r="E44" s="44"/>
    </row>
    <row r="45" spans="1:5" x14ac:dyDescent="0.35">
      <c r="A45" s="44" t="s">
        <v>186</v>
      </c>
      <c r="B45" s="44" t="s">
        <v>258</v>
      </c>
      <c r="C45" s="44">
        <v>1374730</v>
      </c>
      <c r="D45" s="67">
        <v>45986</v>
      </c>
      <c r="E45" s="44">
        <v>3566198</v>
      </c>
    </row>
    <row r="46" spans="1:5" x14ac:dyDescent="0.35">
      <c r="B46" s="44" t="s">
        <v>222</v>
      </c>
      <c r="D46" s="44"/>
      <c r="E46" s="44"/>
    </row>
    <row r="47" spans="1:5" x14ac:dyDescent="0.35">
      <c r="A47" s="44" t="s">
        <v>192</v>
      </c>
      <c r="B47" s="44" t="s">
        <v>258</v>
      </c>
      <c r="C47" s="44">
        <v>1374810</v>
      </c>
      <c r="D47" s="67">
        <v>46008</v>
      </c>
      <c r="E47" s="44">
        <v>3566394</v>
      </c>
    </row>
    <row r="48" spans="1:5" x14ac:dyDescent="0.35">
      <c r="C48" s="44">
        <v>1375033</v>
      </c>
      <c r="D48" s="67">
        <v>46070</v>
      </c>
      <c r="E48" s="44">
        <v>3567206</v>
      </c>
    </row>
    <row r="49" spans="1:5" x14ac:dyDescent="0.35">
      <c r="B49" s="44" t="s">
        <v>222</v>
      </c>
      <c r="D49" s="44"/>
      <c r="E49" s="44"/>
    </row>
    <row r="50" spans="1:5" x14ac:dyDescent="0.35">
      <c r="A50" s="44" t="s">
        <v>195</v>
      </c>
      <c r="B50" s="44" t="s">
        <v>258</v>
      </c>
      <c r="C50" s="44">
        <v>1374820</v>
      </c>
      <c r="D50" s="67">
        <v>46009</v>
      </c>
      <c r="E50" s="44">
        <v>3566423</v>
      </c>
    </row>
    <row r="51" spans="1:5" x14ac:dyDescent="0.35">
      <c r="C51" s="44">
        <v>1374821</v>
      </c>
      <c r="D51" s="67">
        <v>46009</v>
      </c>
      <c r="E51" s="44">
        <v>3566423</v>
      </c>
    </row>
    <row r="52" spans="1:5" x14ac:dyDescent="0.35">
      <c r="B52" s="44" t="s">
        <v>222</v>
      </c>
      <c r="D52" s="44"/>
      <c r="E52" s="44"/>
    </row>
    <row r="53" spans="1:5" x14ac:dyDescent="0.35">
      <c r="A53" s="44" t="s">
        <v>259</v>
      </c>
      <c r="B53" s="44" t="s">
        <v>258</v>
      </c>
      <c r="C53" s="44">
        <v>1374960</v>
      </c>
      <c r="D53" s="67">
        <v>46044</v>
      </c>
      <c r="E53" s="44">
        <v>3566943</v>
      </c>
    </row>
    <row r="54" spans="1:5" x14ac:dyDescent="0.35">
      <c r="B54" s="44" t="s">
        <v>222</v>
      </c>
      <c r="D54" s="44"/>
      <c r="E54" s="44"/>
    </row>
    <row r="55" spans="1:5" x14ac:dyDescent="0.35">
      <c r="A55" s="44" t="s">
        <v>183</v>
      </c>
      <c r="B55" s="44" t="s">
        <v>258</v>
      </c>
      <c r="C55" s="44">
        <v>1374819</v>
      </c>
      <c r="D55" s="67">
        <v>46009</v>
      </c>
      <c r="E55" s="44">
        <v>3566422</v>
      </c>
    </row>
    <row r="56" spans="1:5" x14ac:dyDescent="0.35">
      <c r="B56" s="44" t="s">
        <v>222</v>
      </c>
      <c r="D56" s="44"/>
      <c r="E56" s="44"/>
    </row>
    <row r="57" spans="1:5" x14ac:dyDescent="0.35">
      <c r="A57" s="44" t="s">
        <v>206</v>
      </c>
      <c r="B57" s="44" t="s">
        <v>258</v>
      </c>
      <c r="C57" s="44">
        <v>1374852</v>
      </c>
      <c r="D57" s="67">
        <v>46021</v>
      </c>
      <c r="E57" s="44">
        <v>3566563</v>
      </c>
    </row>
    <row r="58" spans="1:5" x14ac:dyDescent="0.35">
      <c r="C58" s="44">
        <v>1374869</v>
      </c>
      <c r="D58" s="67">
        <v>46022</v>
      </c>
      <c r="E58" s="44">
        <v>3566600</v>
      </c>
    </row>
    <row r="59" spans="1:5" x14ac:dyDescent="0.35">
      <c r="B59" s="44" t="s">
        <v>222</v>
      </c>
      <c r="D59" s="44"/>
      <c r="E59" s="44"/>
    </row>
    <row r="60" spans="1:5" x14ac:dyDescent="0.35">
      <c r="A60" s="44" t="s">
        <v>204</v>
      </c>
      <c r="B60" s="44" t="s">
        <v>258</v>
      </c>
      <c r="C60" s="44">
        <v>1374845</v>
      </c>
      <c r="D60" s="67">
        <v>46021</v>
      </c>
      <c r="E60" s="44">
        <v>3566555</v>
      </c>
    </row>
    <row r="61" spans="1:5" x14ac:dyDescent="0.35">
      <c r="C61" s="44">
        <v>1375035</v>
      </c>
      <c r="D61" s="67">
        <v>46070</v>
      </c>
      <c r="E61" s="44">
        <v>3567208</v>
      </c>
    </row>
    <row r="62" spans="1:5" x14ac:dyDescent="0.35">
      <c r="B62" s="44" t="s">
        <v>222</v>
      </c>
      <c r="D62" s="44"/>
      <c r="E62" s="44"/>
    </row>
    <row r="63" spans="1:5" x14ac:dyDescent="0.35">
      <c r="A63" s="44" t="s">
        <v>263</v>
      </c>
      <c r="B63" s="44" t="s">
        <v>258</v>
      </c>
      <c r="C63" s="44">
        <v>1374964</v>
      </c>
      <c r="D63" s="67">
        <v>46044</v>
      </c>
      <c r="E63" s="44">
        <v>3566947</v>
      </c>
    </row>
    <row r="64" spans="1:5" x14ac:dyDescent="0.35">
      <c r="B64" s="44" t="s">
        <v>222</v>
      </c>
      <c r="D64" s="44"/>
      <c r="E64" s="44"/>
    </row>
    <row r="65" spans="1:5" x14ac:dyDescent="0.35">
      <c r="A65" s="44" t="s">
        <v>260</v>
      </c>
      <c r="B65" s="44" t="s">
        <v>258</v>
      </c>
      <c r="C65" s="44">
        <v>1374961</v>
      </c>
      <c r="D65" s="67">
        <v>46044</v>
      </c>
      <c r="E65" s="44">
        <v>3566944</v>
      </c>
    </row>
    <row r="66" spans="1:5" x14ac:dyDescent="0.35">
      <c r="B66" s="44" t="s">
        <v>222</v>
      </c>
      <c r="D66" s="44"/>
      <c r="E66" s="44"/>
    </row>
    <row r="67" spans="1:5" x14ac:dyDescent="0.35">
      <c r="A67" s="44" t="s">
        <v>202</v>
      </c>
      <c r="B67" s="44" t="s">
        <v>258</v>
      </c>
      <c r="C67" s="44">
        <v>1374851</v>
      </c>
      <c r="D67" s="67">
        <v>46021</v>
      </c>
      <c r="E67" s="44">
        <v>3566562</v>
      </c>
    </row>
    <row r="68" spans="1:5" x14ac:dyDescent="0.35">
      <c r="C68" s="44">
        <v>1374858</v>
      </c>
      <c r="D68" s="67">
        <v>46022</v>
      </c>
      <c r="E68" s="44">
        <v>3566599</v>
      </c>
    </row>
    <row r="69" spans="1:5" x14ac:dyDescent="0.35">
      <c r="C69" s="44">
        <v>1374861</v>
      </c>
      <c r="D69" s="67">
        <v>46022</v>
      </c>
      <c r="E69" s="44">
        <v>3566581</v>
      </c>
    </row>
    <row r="70" spans="1:5" x14ac:dyDescent="0.35">
      <c r="C70" s="44">
        <v>1374895</v>
      </c>
      <c r="D70" s="67">
        <v>46029</v>
      </c>
      <c r="E70" s="44">
        <v>3566668</v>
      </c>
    </row>
    <row r="71" spans="1:5" x14ac:dyDescent="0.35">
      <c r="C71" s="44">
        <v>1375013</v>
      </c>
      <c r="D71" s="67">
        <v>46064</v>
      </c>
      <c r="E71" s="44">
        <v>3567105</v>
      </c>
    </row>
    <row r="72" spans="1:5" x14ac:dyDescent="0.35">
      <c r="C72" s="44">
        <v>1375015</v>
      </c>
      <c r="D72" s="67">
        <v>46064</v>
      </c>
      <c r="E72" s="44">
        <v>3567107</v>
      </c>
    </row>
    <row r="73" spans="1:5" x14ac:dyDescent="0.35">
      <c r="C73" s="44">
        <v>1375064</v>
      </c>
      <c r="D73" s="67">
        <v>46073</v>
      </c>
      <c r="E73" s="44">
        <v>3567296</v>
      </c>
    </row>
    <row r="74" spans="1:5" x14ac:dyDescent="0.35">
      <c r="B74" s="44" t="s">
        <v>222</v>
      </c>
      <c r="D74" s="44"/>
      <c r="E74" s="44"/>
    </row>
    <row r="75" spans="1:5" x14ac:dyDescent="0.35">
      <c r="A75" s="44" t="s">
        <v>254</v>
      </c>
      <c r="B75" s="44" t="s">
        <v>258</v>
      </c>
      <c r="C75" s="44">
        <v>1374943</v>
      </c>
      <c r="D75" s="67">
        <v>46043</v>
      </c>
      <c r="E75" s="44">
        <v>3566916</v>
      </c>
    </row>
    <row r="76" spans="1:5" x14ac:dyDescent="0.35">
      <c r="C76" s="44">
        <v>1374944</v>
      </c>
      <c r="D76" s="67">
        <v>46043</v>
      </c>
      <c r="E76" s="44">
        <v>3566917</v>
      </c>
    </row>
    <row r="77" spans="1:5" x14ac:dyDescent="0.35">
      <c r="C77" s="44">
        <v>1374966</v>
      </c>
      <c r="D77" s="67">
        <v>46044</v>
      </c>
      <c r="E77" s="44">
        <v>3566955</v>
      </c>
    </row>
    <row r="78" spans="1:5" x14ac:dyDescent="0.35">
      <c r="C78" s="44">
        <v>1390218</v>
      </c>
      <c r="D78" s="67">
        <v>46099</v>
      </c>
      <c r="E78" s="44">
        <v>3567637</v>
      </c>
    </row>
    <row r="79" spans="1:5" x14ac:dyDescent="0.35">
      <c r="B79" s="44" t="s">
        <v>222</v>
      </c>
      <c r="D79" s="44"/>
      <c r="E79" s="44"/>
    </row>
    <row r="80" spans="1:5" x14ac:dyDescent="0.35">
      <c r="A80" s="44" t="s">
        <v>203</v>
      </c>
      <c r="B80" s="44" t="s">
        <v>258</v>
      </c>
      <c r="C80" s="44">
        <v>1374853</v>
      </c>
      <c r="D80" s="67">
        <v>46021</v>
      </c>
      <c r="E80" s="44">
        <v>3566564</v>
      </c>
    </row>
    <row r="81" spans="1:5" x14ac:dyDescent="0.35">
      <c r="C81" s="44">
        <v>1374862</v>
      </c>
      <c r="D81" s="67">
        <v>46022</v>
      </c>
      <c r="E81" s="44">
        <v>3566583</v>
      </c>
    </row>
    <row r="82" spans="1:5" x14ac:dyDescent="0.35">
      <c r="B82" s="44" t="s">
        <v>222</v>
      </c>
      <c r="D82" s="44"/>
      <c r="E82" s="44"/>
    </row>
    <row r="83" spans="1:5" x14ac:dyDescent="0.35">
      <c r="A83" s="44" t="s">
        <v>197</v>
      </c>
      <c r="B83" s="44" t="s">
        <v>257</v>
      </c>
      <c r="C83" s="44">
        <v>1374886</v>
      </c>
      <c r="D83" s="67">
        <v>46028</v>
      </c>
      <c r="E83" s="44">
        <v>3566629</v>
      </c>
    </row>
    <row r="84" spans="1:5" x14ac:dyDescent="0.35">
      <c r="C84" s="44">
        <v>1374889</v>
      </c>
      <c r="D84" s="67">
        <v>46029</v>
      </c>
      <c r="E84" s="44">
        <v>3566661</v>
      </c>
    </row>
    <row r="85" spans="1:5" x14ac:dyDescent="0.35">
      <c r="C85" s="44">
        <v>1374890</v>
      </c>
      <c r="D85" s="67">
        <v>46029</v>
      </c>
      <c r="E85" s="44">
        <v>3566663</v>
      </c>
    </row>
    <row r="86" spans="1:5" x14ac:dyDescent="0.35">
      <c r="C86" s="44">
        <v>1374939</v>
      </c>
      <c r="D86" s="67">
        <v>46042</v>
      </c>
      <c r="E86" s="44">
        <v>3566891</v>
      </c>
    </row>
    <row r="87" spans="1:5" x14ac:dyDescent="0.35">
      <c r="B87" s="44" t="s">
        <v>222</v>
      </c>
      <c r="D87" s="44"/>
      <c r="E87" s="44"/>
    </row>
    <row r="88" spans="1:5" x14ac:dyDescent="0.35">
      <c r="A88" s="44" t="s">
        <v>193</v>
      </c>
      <c r="B88" s="44" t="s">
        <v>258</v>
      </c>
      <c r="C88" s="44" t="s">
        <v>222</v>
      </c>
      <c r="D88" s="67">
        <v>46087</v>
      </c>
      <c r="E88" s="44">
        <v>3567467</v>
      </c>
    </row>
    <row r="89" spans="1:5" x14ac:dyDescent="0.35">
      <c r="B89" s="44" t="s">
        <v>257</v>
      </c>
      <c r="C89" s="44">
        <v>1374848</v>
      </c>
      <c r="D89" s="67">
        <v>46021</v>
      </c>
      <c r="E89" s="44">
        <v>3566558</v>
      </c>
    </row>
    <row r="90" spans="1:5" x14ac:dyDescent="0.35">
      <c r="C90" s="44">
        <v>1374849</v>
      </c>
      <c r="D90" s="67">
        <v>46021</v>
      </c>
      <c r="E90" s="44">
        <v>3566560</v>
      </c>
    </row>
    <row r="91" spans="1:5" x14ac:dyDescent="0.35">
      <c r="D91" s="67">
        <v>46386</v>
      </c>
      <c r="E91" s="44">
        <v>3566560</v>
      </c>
    </row>
    <row r="92" spans="1:5" x14ac:dyDescent="0.35">
      <c r="C92" s="44">
        <v>1374940</v>
      </c>
      <c r="D92" s="67">
        <v>46042</v>
      </c>
      <c r="E92" s="44">
        <v>3566892</v>
      </c>
    </row>
    <row r="93" spans="1:5" x14ac:dyDescent="0.35">
      <c r="C93" s="44">
        <v>1374978</v>
      </c>
      <c r="D93" s="67">
        <v>46049</v>
      </c>
      <c r="E93" s="44">
        <v>3871143</v>
      </c>
    </row>
    <row r="94" spans="1:5" x14ac:dyDescent="0.35">
      <c r="C94" s="44">
        <v>1375011</v>
      </c>
      <c r="D94" s="67">
        <v>46064</v>
      </c>
      <c r="E94" s="44">
        <v>3567103</v>
      </c>
    </row>
    <row r="95" spans="1:5" x14ac:dyDescent="0.35">
      <c r="C95" s="44">
        <v>1375080</v>
      </c>
      <c r="D95" s="67">
        <v>46084</v>
      </c>
      <c r="E95" s="44">
        <v>3567402</v>
      </c>
    </row>
    <row r="96" spans="1:5" x14ac:dyDescent="0.35">
      <c r="C96" s="44">
        <v>1375085</v>
      </c>
      <c r="D96" s="67">
        <v>46085</v>
      </c>
      <c r="E96" s="44">
        <v>3567425</v>
      </c>
    </row>
    <row r="97" spans="1:5" x14ac:dyDescent="0.35">
      <c r="B97" s="44" t="s">
        <v>222</v>
      </c>
      <c r="D97" s="44"/>
      <c r="E97" s="44"/>
    </row>
    <row r="98" spans="1:5" x14ac:dyDescent="0.35">
      <c r="A98" s="44" t="s">
        <v>201</v>
      </c>
      <c r="B98" s="44" t="s">
        <v>258</v>
      </c>
      <c r="C98" s="44">
        <v>1374854</v>
      </c>
      <c r="D98" s="67">
        <v>46021</v>
      </c>
      <c r="E98" s="44">
        <v>3566565</v>
      </c>
    </row>
    <row r="99" spans="1:5" x14ac:dyDescent="0.35">
      <c r="C99" s="44">
        <v>1374863</v>
      </c>
      <c r="D99" s="67">
        <v>46022</v>
      </c>
      <c r="E99" s="44">
        <v>3566584</v>
      </c>
    </row>
    <row r="100" spans="1:5" x14ac:dyDescent="0.35">
      <c r="C100" s="44">
        <v>1374864</v>
      </c>
      <c r="D100" s="67">
        <v>46022</v>
      </c>
      <c r="E100" s="44">
        <v>3566587</v>
      </c>
    </row>
    <row r="101" spans="1:5" x14ac:dyDescent="0.35">
      <c r="C101" s="44">
        <v>1374865</v>
      </c>
      <c r="D101" s="67">
        <v>46022</v>
      </c>
      <c r="E101" s="44">
        <v>3566589</v>
      </c>
    </row>
    <row r="102" spans="1:5" x14ac:dyDescent="0.35">
      <c r="C102" s="44">
        <v>1374866</v>
      </c>
      <c r="D102" s="67">
        <v>46022</v>
      </c>
      <c r="E102" s="44">
        <v>3566591</v>
      </c>
    </row>
    <row r="103" spans="1:5" x14ac:dyDescent="0.35">
      <c r="C103" s="44">
        <v>1374867</v>
      </c>
      <c r="D103" s="67">
        <v>46022</v>
      </c>
      <c r="E103" s="44">
        <v>3566596</v>
      </c>
    </row>
    <row r="104" spans="1:5" x14ac:dyDescent="0.35">
      <c r="C104" s="44">
        <v>1374868</v>
      </c>
      <c r="D104" s="67">
        <v>46022</v>
      </c>
      <c r="E104" s="44">
        <v>3566598</v>
      </c>
    </row>
    <row r="105" spans="1:5" x14ac:dyDescent="0.35">
      <c r="C105" s="44">
        <v>1374891</v>
      </c>
      <c r="D105" s="67">
        <v>46029</v>
      </c>
      <c r="E105" s="44">
        <v>3566664</v>
      </c>
    </row>
    <row r="106" spans="1:5" x14ac:dyDescent="0.35">
      <c r="C106" s="44">
        <v>1374929</v>
      </c>
      <c r="D106" s="67">
        <v>46037</v>
      </c>
      <c r="E106" s="44">
        <v>3566821</v>
      </c>
    </row>
    <row r="107" spans="1:5" x14ac:dyDescent="0.35">
      <c r="C107" s="44">
        <v>1390184</v>
      </c>
      <c r="D107" s="67">
        <v>46078</v>
      </c>
      <c r="E107" s="44">
        <v>3567332</v>
      </c>
    </row>
    <row r="108" spans="1:5" x14ac:dyDescent="0.35">
      <c r="B108" s="44" t="s">
        <v>222</v>
      </c>
      <c r="D108" s="44"/>
      <c r="E108" s="44"/>
    </row>
    <row r="109" spans="1:5" x14ac:dyDescent="0.35">
      <c r="A109" s="44" t="s">
        <v>207</v>
      </c>
      <c r="B109" s="44" t="s">
        <v>258</v>
      </c>
      <c r="C109" s="44">
        <v>1374887</v>
      </c>
      <c r="D109" s="67">
        <v>46028</v>
      </c>
      <c r="E109" s="44">
        <v>3566631</v>
      </c>
    </row>
    <row r="110" spans="1:5" x14ac:dyDescent="0.35">
      <c r="C110" s="44">
        <v>1374888</v>
      </c>
      <c r="D110" s="67">
        <v>46028</v>
      </c>
      <c r="E110" s="44">
        <v>3566651</v>
      </c>
    </row>
    <row r="111" spans="1:5" x14ac:dyDescent="0.35">
      <c r="C111" s="44">
        <v>1374892</v>
      </c>
      <c r="D111" s="67">
        <v>46029</v>
      </c>
      <c r="E111" s="44">
        <v>3566665</v>
      </c>
    </row>
    <row r="112" spans="1:5" x14ac:dyDescent="0.35">
      <c r="C112" s="44">
        <v>1390157</v>
      </c>
      <c r="D112" s="67">
        <v>46050</v>
      </c>
      <c r="E112" s="44">
        <v>3567000</v>
      </c>
    </row>
    <row r="113" spans="1:5" x14ac:dyDescent="0.35">
      <c r="C113" s="44">
        <v>1375012</v>
      </c>
      <c r="D113" s="67">
        <v>46064</v>
      </c>
      <c r="E113" s="44">
        <v>3567104</v>
      </c>
    </row>
    <row r="114" spans="1:5" x14ac:dyDescent="0.35">
      <c r="C114" s="44">
        <v>1375046</v>
      </c>
      <c r="D114" s="67">
        <v>46070</v>
      </c>
      <c r="E114" s="44">
        <v>3567221</v>
      </c>
    </row>
    <row r="115" spans="1:5" x14ac:dyDescent="0.35">
      <c r="C115" s="44">
        <v>1375116</v>
      </c>
      <c r="D115" s="67">
        <v>46093</v>
      </c>
      <c r="E115" s="44">
        <v>3567553</v>
      </c>
    </row>
    <row r="116" spans="1:5" x14ac:dyDescent="0.35">
      <c r="C116" s="44">
        <v>1375103</v>
      </c>
      <c r="D116" s="67">
        <v>46091</v>
      </c>
      <c r="E116" s="44">
        <v>3567511</v>
      </c>
    </row>
    <row r="117" spans="1:5" x14ac:dyDescent="0.35">
      <c r="C117" s="44">
        <v>1390220</v>
      </c>
      <c r="D117" s="67">
        <v>46099</v>
      </c>
      <c r="E117" s="44">
        <v>3567639</v>
      </c>
    </row>
    <row r="118" spans="1:5" x14ac:dyDescent="0.35">
      <c r="B118" s="44" t="s">
        <v>222</v>
      </c>
      <c r="D118" s="44"/>
      <c r="E118" s="44"/>
    </row>
    <row r="119" spans="1:5" x14ac:dyDescent="0.35">
      <c r="A119" s="44" t="s">
        <v>200</v>
      </c>
      <c r="B119" s="44" t="s">
        <v>258</v>
      </c>
      <c r="C119" s="44">
        <v>1374850</v>
      </c>
      <c r="D119" s="67">
        <v>46021</v>
      </c>
      <c r="E119" s="44">
        <v>3566561</v>
      </c>
    </row>
    <row r="120" spans="1:5" x14ac:dyDescent="0.35">
      <c r="C120" s="44">
        <v>1374857</v>
      </c>
      <c r="D120" s="67">
        <v>46023</v>
      </c>
      <c r="E120" s="44">
        <v>3566597</v>
      </c>
    </row>
    <row r="121" spans="1:5" x14ac:dyDescent="0.35">
      <c r="C121" s="44">
        <v>1375066</v>
      </c>
      <c r="D121" s="67">
        <v>46073</v>
      </c>
      <c r="E121" s="44">
        <v>3567298</v>
      </c>
    </row>
    <row r="122" spans="1:5" x14ac:dyDescent="0.35">
      <c r="C122" s="44">
        <v>1375089</v>
      </c>
      <c r="D122" s="67">
        <v>46086</v>
      </c>
      <c r="E122" s="44">
        <v>3567445</v>
      </c>
    </row>
    <row r="123" spans="1:5" x14ac:dyDescent="0.35">
      <c r="C123" s="44">
        <v>1390180</v>
      </c>
      <c r="D123" s="67">
        <v>46078</v>
      </c>
      <c r="E123" s="44">
        <v>3567325</v>
      </c>
    </row>
    <row r="124" spans="1:5" x14ac:dyDescent="0.35">
      <c r="C124" s="44">
        <v>1390183</v>
      </c>
      <c r="D124" s="67">
        <v>46078</v>
      </c>
      <c r="E124" s="44">
        <v>3567331</v>
      </c>
    </row>
    <row r="125" spans="1:5" x14ac:dyDescent="0.35">
      <c r="B125" s="44" t="s">
        <v>222</v>
      </c>
      <c r="D125" s="44"/>
      <c r="E125" s="44"/>
    </row>
    <row r="126" spans="1:5" x14ac:dyDescent="0.35">
      <c r="A126" s="44" t="s">
        <v>264</v>
      </c>
      <c r="B126" s="44" t="s">
        <v>222</v>
      </c>
      <c r="D126" s="44"/>
      <c r="E126" s="44"/>
    </row>
    <row r="127" spans="1:5" x14ac:dyDescent="0.35">
      <c r="A127" s="44" t="s">
        <v>262</v>
      </c>
      <c r="B127" s="44" t="s">
        <v>258</v>
      </c>
      <c r="C127" s="44">
        <v>1374963</v>
      </c>
      <c r="D127" s="67">
        <v>46044</v>
      </c>
      <c r="E127" s="44">
        <v>3566946</v>
      </c>
    </row>
    <row r="128" spans="1:5" x14ac:dyDescent="0.35">
      <c r="C128" s="44">
        <v>1374967</v>
      </c>
      <c r="D128" s="67">
        <v>46044</v>
      </c>
      <c r="E128" s="44">
        <v>3566956</v>
      </c>
    </row>
    <row r="129" spans="1:5" x14ac:dyDescent="0.35">
      <c r="A129" s="44" t="s">
        <v>194</v>
      </c>
      <c r="B129" s="44" t="s">
        <v>258</v>
      </c>
      <c r="C129" s="44">
        <v>1374855</v>
      </c>
      <c r="D129" s="67">
        <v>46021</v>
      </c>
      <c r="E129" s="44">
        <v>3566568</v>
      </c>
    </row>
    <row r="130" spans="1:5" x14ac:dyDescent="0.35">
      <c r="C130" s="44">
        <v>1374859</v>
      </c>
      <c r="D130" s="67">
        <v>46022</v>
      </c>
      <c r="E130" s="44">
        <v>3566601</v>
      </c>
    </row>
    <row r="131" spans="1:5" x14ac:dyDescent="0.35">
      <c r="D131" s="67">
        <v>46023</v>
      </c>
      <c r="E131" s="44">
        <v>3566601</v>
      </c>
    </row>
    <row r="132" spans="1:5" x14ac:dyDescent="0.35">
      <c r="C132" s="44">
        <v>1374871</v>
      </c>
      <c r="D132" s="67">
        <v>46024</v>
      </c>
      <c r="E132" s="44">
        <v>3566509</v>
      </c>
    </row>
    <row r="133" spans="1:5" x14ac:dyDescent="0.35">
      <c r="C133" s="44">
        <v>1374893</v>
      </c>
      <c r="D133" s="67">
        <v>46029</v>
      </c>
      <c r="E133" s="44">
        <v>3566666</v>
      </c>
    </row>
    <row r="134" spans="1:5" x14ac:dyDescent="0.35">
      <c r="C134" s="44">
        <v>1374894</v>
      </c>
      <c r="D134" s="67">
        <v>46029</v>
      </c>
      <c r="E134" s="44">
        <v>3566667</v>
      </c>
    </row>
    <row r="135" spans="1:5" x14ac:dyDescent="0.35">
      <c r="C135" s="44">
        <v>1375027</v>
      </c>
      <c r="D135" s="67">
        <v>46065</v>
      </c>
      <c r="E135" s="44">
        <v>3567144</v>
      </c>
    </row>
    <row r="136" spans="1:5" x14ac:dyDescent="0.35">
      <c r="C136" s="44">
        <v>1375050</v>
      </c>
      <c r="D136" s="67">
        <v>46070</v>
      </c>
      <c r="E136" s="44">
        <v>3567222</v>
      </c>
    </row>
    <row r="137" spans="1:5" x14ac:dyDescent="0.35">
      <c r="C137" s="44">
        <v>1375036</v>
      </c>
      <c r="D137" s="67">
        <v>46070</v>
      </c>
      <c r="E137" s="44">
        <v>3567209</v>
      </c>
    </row>
    <row r="138" spans="1:5" x14ac:dyDescent="0.35">
      <c r="C138" s="44">
        <v>1375081</v>
      </c>
      <c r="D138" s="67">
        <v>46084</v>
      </c>
      <c r="E138" s="44">
        <v>3567403</v>
      </c>
    </row>
    <row r="139" spans="1:5" x14ac:dyDescent="0.35">
      <c r="B139" s="44" t="s">
        <v>222</v>
      </c>
      <c r="D139" s="44"/>
      <c r="E139" s="44"/>
    </row>
    <row r="140" spans="1:5" x14ac:dyDescent="0.35">
      <c r="A140" s="44" t="s">
        <v>196</v>
      </c>
      <c r="B140" s="44" t="s">
        <v>222</v>
      </c>
      <c r="D140" s="44"/>
      <c r="E140" s="44"/>
    </row>
    <row r="141" spans="1:5" x14ac:dyDescent="0.35">
      <c r="A141" s="44" t="s">
        <v>222</v>
      </c>
      <c r="B141" s="44" t="s">
        <v>258</v>
      </c>
      <c r="C141" s="44">
        <v>1374734</v>
      </c>
      <c r="D141" s="67">
        <v>45986</v>
      </c>
      <c r="E141" s="44">
        <v>3566213</v>
      </c>
    </row>
    <row r="142" spans="1:5" x14ac:dyDescent="0.35">
      <c r="C142" s="44">
        <v>1374823</v>
      </c>
      <c r="D142" s="67">
        <v>46009</v>
      </c>
      <c r="E142" s="44">
        <v>3566426</v>
      </c>
    </row>
    <row r="143" spans="1:5" x14ac:dyDescent="0.35">
      <c r="C143" s="44">
        <v>1374885</v>
      </c>
      <c r="D143" s="67">
        <v>46028</v>
      </c>
      <c r="E143" s="44">
        <v>3566623</v>
      </c>
    </row>
    <row r="144" spans="1:5" x14ac:dyDescent="0.35">
      <c r="C144" s="44">
        <v>1374932</v>
      </c>
      <c r="D144" s="67">
        <v>46039</v>
      </c>
      <c r="E144" s="44">
        <v>3566846</v>
      </c>
    </row>
    <row r="145" spans="1:5" x14ac:dyDescent="0.35">
      <c r="A145" s="44" t="s">
        <v>274</v>
      </c>
      <c r="B145" s="44" t="s">
        <v>258</v>
      </c>
      <c r="C145" s="44">
        <v>1390156</v>
      </c>
      <c r="D145" s="67">
        <v>46050</v>
      </c>
      <c r="E145" s="44">
        <v>3567001</v>
      </c>
    </row>
    <row r="146" spans="1:5" x14ac:dyDescent="0.35">
      <c r="C146" s="44">
        <v>1374982</v>
      </c>
      <c r="D146" s="67">
        <v>46049</v>
      </c>
      <c r="E146" s="44">
        <v>3871147</v>
      </c>
    </row>
    <row r="147" spans="1:5" x14ac:dyDescent="0.35">
      <c r="C147" s="44">
        <v>1375100</v>
      </c>
      <c r="D147" s="67">
        <v>46091</v>
      </c>
      <c r="E147" s="44">
        <v>3567506</v>
      </c>
    </row>
    <row r="148" spans="1:5" x14ac:dyDescent="0.35">
      <c r="C148" s="44">
        <v>1390219</v>
      </c>
      <c r="D148" s="67">
        <v>46099</v>
      </c>
      <c r="E148" s="44">
        <v>3567638</v>
      </c>
    </row>
    <row r="149" spans="1:5" x14ac:dyDescent="0.35">
      <c r="B149" s="44" t="s">
        <v>222</v>
      </c>
      <c r="D149" s="44"/>
      <c r="E149" s="44"/>
    </row>
    <row r="150" spans="1:5" x14ac:dyDescent="0.35">
      <c r="A150" s="44">
        <v>901816195</v>
      </c>
      <c r="B150" s="44" t="s">
        <v>257</v>
      </c>
      <c r="C150" s="44">
        <v>1374981</v>
      </c>
      <c r="D150" s="67">
        <v>46049</v>
      </c>
      <c r="E150" s="44">
        <v>3871146</v>
      </c>
    </row>
    <row r="151" spans="1:5" x14ac:dyDescent="0.35">
      <c r="B151" s="44" t="s">
        <v>222</v>
      </c>
      <c r="D151" s="44"/>
      <c r="E151" s="44"/>
    </row>
    <row r="152" spans="1:5" x14ac:dyDescent="0.35">
      <c r="A152" s="44">
        <v>500055461</v>
      </c>
      <c r="B152" s="44" t="s">
        <v>257</v>
      </c>
      <c r="C152" s="44">
        <v>1374984</v>
      </c>
      <c r="D152" s="67">
        <v>46049</v>
      </c>
      <c r="E152" s="44">
        <v>3871149</v>
      </c>
    </row>
    <row r="153" spans="1:5" x14ac:dyDescent="0.35">
      <c r="B153" s="44" t="s">
        <v>222</v>
      </c>
      <c r="D153" s="44"/>
      <c r="E153" s="44"/>
    </row>
    <row r="154" spans="1:5" x14ac:dyDescent="0.35">
      <c r="A154" s="44">
        <v>500054633</v>
      </c>
      <c r="B154" s="44" t="s">
        <v>257</v>
      </c>
      <c r="C154" s="44">
        <v>1374983</v>
      </c>
      <c r="D154" s="67">
        <v>46049</v>
      </c>
      <c r="E154" s="44">
        <v>3871148</v>
      </c>
    </row>
    <row r="155" spans="1:5" x14ac:dyDescent="0.35">
      <c r="B155" s="44" t="s">
        <v>222</v>
      </c>
      <c r="D155" s="44"/>
      <c r="E155" s="44"/>
    </row>
    <row r="156" spans="1:5" x14ac:dyDescent="0.35">
      <c r="A156" s="44">
        <v>901856429</v>
      </c>
      <c r="B156" s="44" t="s">
        <v>257</v>
      </c>
      <c r="C156" s="44">
        <v>1374980</v>
      </c>
      <c r="D156" s="67">
        <v>46049</v>
      </c>
      <c r="E156" s="44">
        <v>3871145</v>
      </c>
    </row>
    <row r="157" spans="1:5" x14ac:dyDescent="0.35">
      <c r="B157" s="44" t="s">
        <v>222</v>
      </c>
      <c r="D157" s="44"/>
      <c r="E157" s="44"/>
    </row>
    <row r="158" spans="1:5" x14ac:dyDescent="0.35">
      <c r="A158" s="44" t="s">
        <v>243</v>
      </c>
      <c r="B158" s="44" t="s">
        <v>258</v>
      </c>
      <c r="C158" s="44">
        <v>1374979</v>
      </c>
      <c r="D158" s="67">
        <v>46049</v>
      </c>
      <c r="E158" s="44">
        <v>3871144</v>
      </c>
    </row>
    <row r="159" spans="1:5" x14ac:dyDescent="0.35">
      <c r="C159" s="44">
        <v>1375026</v>
      </c>
      <c r="D159" s="67">
        <v>46065</v>
      </c>
      <c r="E159" s="44">
        <v>3567143</v>
      </c>
    </row>
    <row r="160" spans="1:5" x14ac:dyDescent="0.35">
      <c r="C160" s="44">
        <v>1375025</v>
      </c>
      <c r="D160" s="67">
        <v>46065</v>
      </c>
      <c r="E160" s="44">
        <v>3567142</v>
      </c>
    </row>
    <row r="161" spans="1:5" x14ac:dyDescent="0.35">
      <c r="C161" s="44">
        <v>1375024</v>
      </c>
      <c r="D161" s="67">
        <v>46065</v>
      </c>
      <c r="E161" s="44">
        <v>3567141</v>
      </c>
    </row>
    <row r="162" spans="1:5" x14ac:dyDescent="0.35">
      <c r="B162" s="44" t="s">
        <v>222</v>
      </c>
      <c r="D162" s="44"/>
      <c r="E162" s="44"/>
    </row>
    <row r="163" spans="1:5" x14ac:dyDescent="0.35">
      <c r="A163" s="44" t="s">
        <v>273</v>
      </c>
      <c r="B163" s="44" t="s">
        <v>222</v>
      </c>
      <c r="D163" s="44"/>
      <c r="E163" s="44"/>
    </row>
    <row r="164" spans="1:5" x14ac:dyDescent="0.35">
      <c r="A164" s="44" t="s">
        <v>294</v>
      </c>
      <c r="B164" s="44" t="s">
        <v>258</v>
      </c>
      <c r="C164" s="44">
        <v>12072519</v>
      </c>
      <c r="D164" s="67">
        <v>46050</v>
      </c>
      <c r="E164" s="44">
        <v>13379253</v>
      </c>
    </row>
    <row r="165" spans="1:5" x14ac:dyDescent="0.35">
      <c r="C165" s="44">
        <v>1390195</v>
      </c>
      <c r="D165" s="67">
        <v>46079</v>
      </c>
      <c r="E165" s="44">
        <v>3567366</v>
      </c>
    </row>
    <row r="166" spans="1:5" x14ac:dyDescent="0.35">
      <c r="C166" s="44">
        <v>1390194</v>
      </c>
      <c r="D166" s="67">
        <v>46079</v>
      </c>
      <c r="E166" s="44">
        <v>3567365</v>
      </c>
    </row>
    <row r="167" spans="1:5" x14ac:dyDescent="0.35">
      <c r="B167" s="44" t="s">
        <v>222</v>
      </c>
      <c r="D167" s="44"/>
      <c r="E167" s="44"/>
    </row>
    <row r="168" spans="1:5" x14ac:dyDescent="0.35">
      <c r="A168" s="44" t="s">
        <v>330</v>
      </c>
      <c r="B168" s="44" t="s">
        <v>258</v>
      </c>
      <c r="C168" s="44">
        <v>1375034</v>
      </c>
      <c r="D168" s="67">
        <v>46070</v>
      </c>
      <c r="E168" s="44">
        <v>3567207</v>
      </c>
    </row>
    <row r="169" spans="1:5" x14ac:dyDescent="0.35">
      <c r="B169" s="44" t="s">
        <v>222</v>
      </c>
      <c r="D169" s="44"/>
      <c r="E169" s="44"/>
    </row>
    <row r="170" spans="1:5" x14ac:dyDescent="0.35">
      <c r="A170" s="44" t="s">
        <v>322</v>
      </c>
      <c r="B170" s="44" t="s">
        <v>258</v>
      </c>
      <c r="C170" s="44">
        <v>1375049</v>
      </c>
      <c r="D170" s="67">
        <v>46070</v>
      </c>
      <c r="E170" s="44">
        <v>3567224</v>
      </c>
    </row>
    <row r="171" spans="1:5" x14ac:dyDescent="0.35">
      <c r="C171" s="44">
        <v>1375047</v>
      </c>
      <c r="D171" s="67">
        <v>46070</v>
      </c>
      <c r="E171" s="44">
        <v>3567219</v>
      </c>
    </row>
    <row r="172" spans="1:5" x14ac:dyDescent="0.35">
      <c r="B172" s="44" t="s">
        <v>222</v>
      </c>
      <c r="D172" s="44"/>
      <c r="E172" s="44"/>
    </row>
    <row r="173" spans="1:5" x14ac:dyDescent="0.35">
      <c r="A173" s="44" t="s">
        <v>328</v>
      </c>
      <c r="B173" s="44" t="s">
        <v>258</v>
      </c>
      <c r="C173" s="44">
        <v>1375038</v>
      </c>
      <c r="D173" s="67">
        <v>46070</v>
      </c>
      <c r="E173" s="44">
        <v>3567211</v>
      </c>
    </row>
    <row r="174" spans="1:5" x14ac:dyDescent="0.35">
      <c r="B174" s="44" t="s">
        <v>222</v>
      </c>
      <c r="D174" s="44"/>
      <c r="E174" s="44"/>
    </row>
    <row r="175" spans="1:5" x14ac:dyDescent="0.35">
      <c r="A175" s="44" t="s">
        <v>327</v>
      </c>
      <c r="B175" s="44" t="s">
        <v>258</v>
      </c>
      <c r="C175" s="44">
        <v>1375037</v>
      </c>
      <c r="D175" s="67">
        <v>46070</v>
      </c>
      <c r="E175" s="44">
        <v>3567210</v>
      </c>
    </row>
    <row r="176" spans="1:5" x14ac:dyDescent="0.35">
      <c r="B176" s="44" t="s">
        <v>222</v>
      </c>
      <c r="D176" s="44"/>
      <c r="E176" s="44"/>
    </row>
    <row r="177" spans="1:5" x14ac:dyDescent="0.35">
      <c r="A177" s="44" t="s">
        <v>326</v>
      </c>
      <c r="B177" s="44" t="s">
        <v>258</v>
      </c>
      <c r="C177" s="44">
        <v>1375039</v>
      </c>
      <c r="D177" s="67">
        <v>46070</v>
      </c>
      <c r="E177" s="44">
        <v>3567212</v>
      </c>
    </row>
    <row r="178" spans="1:5" x14ac:dyDescent="0.35">
      <c r="B178" s="44" t="s">
        <v>222</v>
      </c>
      <c r="D178" s="44"/>
      <c r="E178" s="44"/>
    </row>
    <row r="179" spans="1:5" x14ac:dyDescent="0.35">
      <c r="A179" s="44" t="s">
        <v>325</v>
      </c>
      <c r="B179" s="44" t="s">
        <v>258</v>
      </c>
      <c r="C179" s="44">
        <v>1375031</v>
      </c>
      <c r="D179" s="67">
        <v>46070</v>
      </c>
      <c r="E179" s="44">
        <v>3567201</v>
      </c>
    </row>
    <row r="180" spans="1:5" x14ac:dyDescent="0.35">
      <c r="B180" s="44" t="s">
        <v>222</v>
      </c>
      <c r="D180" s="44"/>
      <c r="E180" s="44"/>
    </row>
    <row r="181" spans="1:5" x14ac:dyDescent="0.35">
      <c r="A181" s="44" t="s">
        <v>324</v>
      </c>
      <c r="B181" s="44" t="s">
        <v>258</v>
      </c>
      <c r="C181" s="44">
        <v>1375032</v>
      </c>
      <c r="D181" s="67">
        <v>46070</v>
      </c>
      <c r="E181" s="44">
        <v>3567203</v>
      </c>
    </row>
    <row r="182" spans="1:5" x14ac:dyDescent="0.35">
      <c r="B182" s="44" t="s">
        <v>222</v>
      </c>
      <c r="D182" s="44"/>
      <c r="E182" s="44"/>
    </row>
    <row r="183" spans="1:5" x14ac:dyDescent="0.35">
      <c r="A183" s="44">
        <v>500100028</v>
      </c>
      <c r="B183" s="44" t="s">
        <v>257</v>
      </c>
      <c r="C183" s="44">
        <v>1375023</v>
      </c>
      <c r="D183" s="67">
        <v>46065</v>
      </c>
      <c r="E183" s="44">
        <v>3567140</v>
      </c>
    </row>
    <row r="184" spans="1:5" x14ac:dyDescent="0.35">
      <c r="B184" s="44" t="s">
        <v>222</v>
      </c>
      <c r="D184" s="44"/>
      <c r="E184" s="44"/>
    </row>
    <row r="185" spans="1:5" x14ac:dyDescent="0.35">
      <c r="A185" s="44" t="s">
        <v>334</v>
      </c>
      <c r="B185" s="44" t="s">
        <v>258</v>
      </c>
      <c r="C185" s="44">
        <v>1375065</v>
      </c>
      <c r="D185" s="67">
        <v>46073</v>
      </c>
      <c r="E185" s="44">
        <v>3567297</v>
      </c>
    </row>
    <row r="186" spans="1:5" x14ac:dyDescent="0.35">
      <c r="B186" s="44" t="s">
        <v>222</v>
      </c>
      <c r="D186" s="44"/>
      <c r="E186" s="44"/>
    </row>
    <row r="187" spans="1:5" x14ac:dyDescent="0.35">
      <c r="A187" s="44" t="s">
        <v>341</v>
      </c>
      <c r="B187" s="44" t="s">
        <v>257</v>
      </c>
      <c r="C187" s="44">
        <v>1375086</v>
      </c>
      <c r="D187" s="67">
        <v>46085</v>
      </c>
      <c r="E187" s="44">
        <v>3567426</v>
      </c>
    </row>
    <row r="188" spans="1:5" x14ac:dyDescent="0.35">
      <c r="C188" s="44">
        <v>1390193</v>
      </c>
      <c r="D188" s="67">
        <v>46079</v>
      </c>
      <c r="E188" s="44">
        <v>3567364</v>
      </c>
    </row>
    <row r="189" spans="1:5" x14ac:dyDescent="0.35">
      <c r="C189" s="44">
        <v>1390181</v>
      </c>
      <c r="D189" s="67">
        <v>46078</v>
      </c>
      <c r="E189" s="44">
        <v>3567326</v>
      </c>
    </row>
    <row r="190" spans="1:5" x14ac:dyDescent="0.35">
      <c r="C190" s="44">
        <v>1390182</v>
      </c>
      <c r="D190" s="67">
        <v>46078</v>
      </c>
      <c r="E190" s="44">
        <v>3567330</v>
      </c>
    </row>
    <row r="191" spans="1:5" x14ac:dyDescent="0.35">
      <c r="B191" s="44" t="s">
        <v>222</v>
      </c>
      <c r="D191" s="44"/>
      <c r="E191" s="44"/>
    </row>
    <row r="192" spans="1:5" x14ac:dyDescent="0.35">
      <c r="A192" s="44" t="s">
        <v>344</v>
      </c>
      <c r="B192" s="44" t="s">
        <v>258</v>
      </c>
      <c r="C192" s="44">
        <v>1375079</v>
      </c>
      <c r="D192" s="67">
        <v>46084</v>
      </c>
      <c r="E192" s="44">
        <v>3567401</v>
      </c>
    </row>
    <row r="193" spans="1:5" x14ac:dyDescent="0.35">
      <c r="B193" s="44" t="s">
        <v>222</v>
      </c>
      <c r="D193" s="44"/>
      <c r="E193" s="44"/>
    </row>
    <row r="194" spans="1:5" x14ac:dyDescent="0.35">
      <c r="A194" s="44" t="s">
        <v>345</v>
      </c>
      <c r="B194" s="44" t="s">
        <v>222</v>
      </c>
      <c r="D194" s="44"/>
      <c r="E194" s="44"/>
    </row>
    <row r="195" spans="1:5" x14ac:dyDescent="0.35">
      <c r="A195" s="44" t="s">
        <v>357</v>
      </c>
      <c r="B195" s="44" t="s">
        <v>258</v>
      </c>
      <c r="C195" s="44">
        <v>1375093</v>
      </c>
      <c r="D195" s="67">
        <v>46087</v>
      </c>
      <c r="E195" s="44">
        <v>3567466</v>
      </c>
    </row>
    <row r="196" spans="1:5" x14ac:dyDescent="0.35">
      <c r="B196" s="44" t="s">
        <v>222</v>
      </c>
      <c r="D196" s="44"/>
      <c r="E196" s="44"/>
    </row>
    <row r="197" spans="1:5" x14ac:dyDescent="0.35">
      <c r="A197" s="44" t="s">
        <v>356</v>
      </c>
      <c r="B197" s="44" t="s">
        <v>258</v>
      </c>
      <c r="C197" s="44">
        <v>1375092</v>
      </c>
      <c r="D197" s="67">
        <v>46087</v>
      </c>
      <c r="E197" s="44">
        <v>3567465</v>
      </c>
    </row>
    <row r="198" spans="1:5" x14ac:dyDescent="0.35">
      <c r="B198" s="44" t="s">
        <v>222</v>
      </c>
      <c r="D198" s="44"/>
      <c r="E198" s="44"/>
    </row>
    <row r="199" spans="1:5" x14ac:dyDescent="0.35">
      <c r="A199" s="44" t="s">
        <v>358</v>
      </c>
      <c r="B199" s="44" t="s">
        <v>258</v>
      </c>
      <c r="C199" s="44">
        <v>1375091</v>
      </c>
      <c r="D199" s="67">
        <v>46087</v>
      </c>
      <c r="E199" s="44">
        <v>3567464</v>
      </c>
    </row>
    <row r="200" spans="1:5" x14ac:dyDescent="0.35">
      <c r="B200" s="44" t="s">
        <v>222</v>
      </c>
      <c r="D200" s="44"/>
      <c r="E200" s="44"/>
    </row>
    <row r="201" spans="1:5" x14ac:dyDescent="0.35">
      <c r="A201" s="44" t="s">
        <v>333</v>
      </c>
      <c r="B201" s="44" t="s">
        <v>258</v>
      </c>
      <c r="C201" s="44">
        <v>1375117</v>
      </c>
      <c r="D201" s="67">
        <v>46093</v>
      </c>
      <c r="E201" s="44">
        <v>3567554</v>
      </c>
    </row>
    <row r="202" spans="1:5" x14ac:dyDescent="0.35">
      <c r="C202" s="44">
        <v>1375118</v>
      </c>
      <c r="D202" s="67">
        <v>46093</v>
      </c>
      <c r="E202" s="44">
        <v>3567555</v>
      </c>
    </row>
    <row r="203" spans="1:5" x14ac:dyDescent="0.35">
      <c r="C203" s="44">
        <v>1375102</v>
      </c>
      <c r="D203" s="67">
        <v>46091</v>
      </c>
      <c r="E203" s="44">
        <v>3567508</v>
      </c>
    </row>
    <row r="204" spans="1:5" x14ac:dyDescent="0.35">
      <c r="B204" s="44" t="s">
        <v>222</v>
      </c>
      <c r="D204" s="44"/>
      <c r="E204" s="44"/>
    </row>
    <row r="205" spans="1:5" x14ac:dyDescent="0.35">
      <c r="A205" s="44" t="s">
        <v>361</v>
      </c>
      <c r="B205" s="44" t="s">
        <v>257</v>
      </c>
      <c r="C205" s="44">
        <v>1375101</v>
      </c>
      <c r="D205" s="67">
        <v>46091</v>
      </c>
      <c r="E205" s="44">
        <v>3567507</v>
      </c>
    </row>
    <row r="206" spans="1:5" x14ac:dyDescent="0.35">
      <c r="B206" s="44" t="s">
        <v>222</v>
      </c>
      <c r="D206" s="44"/>
      <c r="E206" s="44"/>
    </row>
    <row r="207" spans="1:5" x14ac:dyDescent="0.35">
      <c r="A207" s="44" t="s">
        <v>168</v>
      </c>
      <c r="D207" s="44"/>
      <c r="E207" s="44"/>
    </row>
    <row r="208" spans="1:5" x14ac:dyDescent="0.35">
      <c r="A208"/>
      <c r="B208"/>
      <c r="C208"/>
    </row>
    <row r="209" spans="1:3" x14ac:dyDescent="0.35">
      <c r="A209"/>
      <c r="B209"/>
      <c r="C209"/>
    </row>
    <row r="210" spans="1:3" x14ac:dyDescent="0.35">
      <c r="A210"/>
      <c r="B210"/>
      <c r="C210"/>
    </row>
    <row r="211" spans="1:3" x14ac:dyDescent="0.35">
      <c r="A211"/>
      <c r="B211"/>
      <c r="C211"/>
    </row>
    <row r="212" spans="1:3" x14ac:dyDescent="0.35">
      <c r="A212"/>
      <c r="B212"/>
      <c r="C212"/>
    </row>
    <row r="213" spans="1:3" x14ac:dyDescent="0.35">
      <c r="A213"/>
      <c r="B213"/>
      <c r="C213"/>
    </row>
    <row r="214" spans="1:3" x14ac:dyDescent="0.35">
      <c r="A214"/>
      <c r="B214"/>
      <c r="C214"/>
    </row>
    <row r="215" spans="1:3" x14ac:dyDescent="0.35">
      <c r="A215"/>
      <c r="B215"/>
      <c r="C215"/>
    </row>
    <row r="216" spans="1:3" x14ac:dyDescent="0.35">
      <c r="A216"/>
      <c r="B216"/>
      <c r="C216"/>
    </row>
    <row r="217" spans="1:3" x14ac:dyDescent="0.35">
      <c r="A217"/>
      <c r="B217"/>
      <c r="C217"/>
    </row>
    <row r="218" spans="1:3" x14ac:dyDescent="0.35">
      <c r="A218"/>
      <c r="B218"/>
      <c r="C218"/>
    </row>
    <row r="219" spans="1:3" x14ac:dyDescent="0.35">
      <c r="A219"/>
      <c r="B219"/>
      <c r="C219"/>
    </row>
    <row r="220" spans="1:3" x14ac:dyDescent="0.35">
      <c r="A220"/>
      <c r="B220"/>
      <c r="C220"/>
    </row>
    <row r="221" spans="1:3" x14ac:dyDescent="0.35">
      <c r="A221"/>
      <c r="B221"/>
      <c r="C221"/>
    </row>
    <row r="222" spans="1:3" x14ac:dyDescent="0.35">
      <c r="A222"/>
      <c r="B222"/>
      <c r="C222"/>
    </row>
    <row r="223" spans="1:3" x14ac:dyDescent="0.35">
      <c r="A223"/>
      <c r="B223"/>
      <c r="C223"/>
    </row>
    <row r="224" spans="1:3" x14ac:dyDescent="0.35">
      <c r="A224"/>
      <c r="B224"/>
      <c r="C224"/>
    </row>
    <row r="225" spans="1:3" x14ac:dyDescent="0.35">
      <c r="A225"/>
      <c r="B225"/>
      <c r="C225"/>
    </row>
    <row r="226" spans="1:3" x14ac:dyDescent="0.35">
      <c r="A226"/>
      <c r="B226"/>
      <c r="C226"/>
    </row>
    <row r="227" spans="1:3" x14ac:dyDescent="0.35">
      <c r="A227"/>
      <c r="B227"/>
      <c r="C227"/>
    </row>
    <row r="228" spans="1:3" x14ac:dyDescent="0.35">
      <c r="A228"/>
      <c r="B228"/>
      <c r="C228"/>
    </row>
    <row r="229" spans="1:3" x14ac:dyDescent="0.35">
      <c r="A229"/>
      <c r="B229"/>
      <c r="C229"/>
    </row>
    <row r="230" spans="1:3" x14ac:dyDescent="0.35">
      <c r="A230"/>
      <c r="B230"/>
      <c r="C230"/>
    </row>
    <row r="231" spans="1:3" x14ac:dyDescent="0.35">
      <c r="A231"/>
      <c r="B231"/>
      <c r="C231"/>
    </row>
    <row r="232" spans="1:3" x14ac:dyDescent="0.35">
      <c r="A232"/>
      <c r="B232"/>
      <c r="C232"/>
    </row>
    <row r="233" spans="1:3" x14ac:dyDescent="0.35">
      <c r="A233"/>
      <c r="B233"/>
      <c r="C233"/>
    </row>
    <row r="234" spans="1:3" x14ac:dyDescent="0.35">
      <c r="A234"/>
      <c r="B234"/>
      <c r="C234"/>
    </row>
    <row r="235" spans="1:3" x14ac:dyDescent="0.35">
      <c r="A235"/>
      <c r="B235"/>
      <c r="C235"/>
    </row>
    <row r="236" spans="1:3" x14ac:dyDescent="0.35">
      <c r="A236"/>
      <c r="B236"/>
      <c r="C236"/>
    </row>
    <row r="237" spans="1:3" x14ac:dyDescent="0.35">
      <c r="A237"/>
      <c r="B237"/>
      <c r="C237"/>
    </row>
    <row r="238" spans="1:3" x14ac:dyDescent="0.35">
      <c r="A238"/>
      <c r="B238"/>
      <c r="C238"/>
    </row>
    <row r="239" spans="1:3" x14ac:dyDescent="0.35">
      <c r="A239"/>
      <c r="B239"/>
      <c r="C239"/>
    </row>
    <row r="240" spans="1:3" x14ac:dyDescent="0.35">
      <c r="A240"/>
      <c r="B240"/>
      <c r="C240"/>
    </row>
    <row r="241" spans="1:3" x14ac:dyDescent="0.35">
      <c r="A241"/>
      <c r="B241"/>
      <c r="C241"/>
    </row>
    <row r="242" spans="1:3" x14ac:dyDescent="0.35">
      <c r="A242"/>
      <c r="B242"/>
      <c r="C242"/>
    </row>
    <row r="243" spans="1:3" x14ac:dyDescent="0.35">
      <c r="A243"/>
      <c r="B243"/>
      <c r="C243"/>
    </row>
    <row r="244" spans="1:3" x14ac:dyDescent="0.35">
      <c r="A244"/>
      <c r="B244"/>
      <c r="C244"/>
    </row>
    <row r="245" spans="1:3" x14ac:dyDescent="0.35">
      <c r="A245"/>
      <c r="B245"/>
      <c r="C245"/>
    </row>
    <row r="246" spans="1:3" x14ac:dyDescent="0.35">
      <c r="A246"/>
      <c r="B246"/>
      <c r="C246"/>
    </row>
    <row r="247" spans="1:3" x14ac:dyDescent="0.35">
      <c r="A247"/>
      <c r="B247"/>
      <c r="C247"/>
    </row>
    <row r="248" spans="1:3" x14ac:dyDescent="0.35">
      <c r="A248"/>
      <c r="B248"/>
      <c r="C248"/>
    </row>
    <row r="249" spans="1:3" x14ac:dyDescent="0.35">
      <c r="A249"/>
      <c r="B249"/>
      <c r="C249"/>
    </row>
    <row r="250" spans="1:3" x14ac:dyDescent="0.35">
      <c r="A250"/>
      <c r="B250"/>
      <c r="C250"/>
    </row>
    <row r="251" spans="1:3" x14ac:dyDescent="0.35">
      <c r="A251"/>
      <c r="B251"/>
      <c r="C251"/>
    </row>
    <row r="252" spans="1:3" x14ac:dyDescent="0.35">
      <c r="A252"/>
      <c r="B252"/>
      <c r="C252"/>
    </row>
    <row r="253" spans="1:3" x14ac:dyDescent="0.35">
      <c r="A253"/>
      <c r="B253"/>
      <c r="C253"/>
    </row>
    <row r="254" spans="1:3" x14ac:dyDescent="0.35">
      <c r="A254"/>
      <c r="B254"/>
      <c r="C254"/>
    </row>
    <row r="255" spans="1:3" x14ac:dyDescent="0.35">
      <c r="A255"/>
      <c r="B255"/>
      <c r="C255"/>
    </row>
    <row r="256" spans="1:3" x14ac:dyDescent="0.35">
      <c r="A256"/>
      <c r="B256"/>
      <c r="C256"/>
    </row>
    <row r="257" spans="1:3" x14ac:dyDescent="0.35">
      <c r="A257"/>
      <c r="B257"/>
      <c r="C257"/>
    </row>
    <row r="258" spans="1:3" x14ac:dyDescent="0.35">
      <c r="A258"/>
      <c r="B258"/>
      <c r="C258"/>
    </row>
    <row r="259" spans="1:3" x14ac:dyDescent="0.35">
      <c r="A259"/>
      <c r="B259"/>
      <c r="C259"/>
    </row>
    <row r="260" spans="1:3" x14ac:dyDescent="0.35">
      <c r="A260"/>
      <c r="B260"/>
      <c r="C260"/>
    </row>
    <row r="261" spans="1:3" x14ac:dyDescent="0.35">
      <c r="A261"/>
      <c r="B261"/>
      <c r="C261"/>
    </row>
    <row r="262" spans="1:3" x14ac:dyDescent="0.35">
      <c r="A262"/>
      <c r="B262"/>
      <c r="C262"/>
    </row>
    <row r="263" spans="1:3" x14ac:dyDescent="0.35">
      <c r="A263"/>
      <c r="B263"/>
      <c r="C263"/>
    </row>
    <row r="264" spans="1:3" x14ac:dyDescent="0.35">
      <c r="A264"/>
      <c r="B264"/>
      <c r="C264"/>
    </row>
    <row r="265" spans="1:3" x14ac:dyDescent="0.35">
      <c r="A265"/>
      <c r="B265"/>
      <c r="C265"/>
    </row>
    <row r="266" spans="1:3" x14ac:dyDescent="0.35">
      <c r="A266"/>
      <c r="B266"/>
      <c r="C266"/>
    </row>
    <row r="267" spans="1:3" x14ac:dyDescent="0.35">
      <c r="A267"/>
      <c r="B267"/>
      <c r="C267"/>
    </row>
    <row r="268" spans="1:3" x14ac:dyDescent="0.35">
      <c r="A268"/>
      <c r="B268"/>
      <c r="C268"/>
    </row>
    <row r="269" spans="1:3" x14ac:dyDescent="0.35">
      <c r="A269"/>
      <c r="B269"/>
      <c r="C269"/>
    </row>
    <row r="270" spans="1:3" x14ac:dyDescent="0.35">
      <c r="A270"/>
      <c r="B270"/>
      <c r="C270"/>
    </row>
    <row r="271" spans="1:3" x14ac:dyDescent="0.35">
      <c r="A271"/>
      <c r="B271"/>
      <c r="C271"/>
    </row>
    <row r="272" spans="1:3" x14ac:dyDescent="0.35">
      <c r="A272"/>
      <c r="B272"/>
      <c r="C272"/>
    </row>
    <row r="273" spans="1:3" x14ac:dyDescent="0.35">
      <c r="A273"/>
      <c r="B273"/>
      <c r="C273"/>
    </row>
    <row r="274" spans="1:3" x14ac:dyDescent="0.35">
      <c r="A274"/>
      <c r="B274"/>
      <c r="C274"/>
    </row>
    <row r="275" spans="1:3" x14ac:dyDescent="0.35">
      <c r="A275"/>
      <c r="B275"/>
      <c r="C275"/>
    </row>
    <row r="276" spans="1:3" x14ac:dyDescent="0.35">
      <c r="A276"/>
      <c r="B276"/>
      <c r="C276"/>
    </row>
    <row r="277" spans="1:3" x14ac:dyDescent="0.35">
      <c r="A277"/>
      <c r="B277"/>
      <c r="C277"/>
    </row>
    <row r="278" spans="1:3" x14ac:dyDescent="0.35">
      <c r="A278"/>
      <c r="B278"/>
      <c r="C278"/>
    </row>
    <row r="279" spans="1:3" x14ac:dyDescent="0.35">
      <c r="A279"/>
      <c r="B279"/>
      <c r="C279"/>
    </row>
    <row r="280" spans="1:3" x14ac:dyDescent="0.35">
      <c r="A280"/>
      <c r="B280"/>
      <c r="C280"/>
    </row>
    <row r="281" spans="1:3" x14ac:dyDescent="0.35">
      <c r="A281"/>
      <c r="B281"/>
      <c r="C281"/>
    </row>
    <row r="282" spans="1:3" x14ac:dyDescent="0.35">
      <c r="A282"/>
      <c r="B282"/>
      <c r="C282"/>
    </row>
    <row r="283" spans="1:3" x14ac:dyDescent="0.35">
      <c r="A283"/>
      <c r="B283"/>
      <c r="C283"/>
    </row>
    <row r="284" spans="1:3" x14ac:dyDescent="0.35">
      <c r="A284"/>
      <c r="B284"/>
      <c r="C284"/>
    </row>
    <row r="285" spans="1:3" x14ac:dyDescent="0.35">
      <c r="A285"/>
      <c r="B285"/>
      <c r="C285"/>
    </row>
    <row r="286" spans="1:3" x14ac:dyDescent="0.35">
      <c r="A286"/>
      <c r="B286"/>
      <c r="C286"/>
    </row>
    <row r="287" spans="1:3" x14ac:dyDescent="0.35">
      <c r="A287"/>
      <c r="B287"/>
      <c r="C287"/>
    </row>
    <row r="288" spans="1:3" x14ac:dyDescent="0.35">
      <c r="A288"/>
      <c r="B288"/>
      <c r="C288"/>
    </row>
    <row r="289" spans="1:3" x14ac:dyDescent="0.35">
      <c r="A289"/>
      <c r="B289"/>
      <c r="C289"/>
    </row>
    <row r="290" spans="1:3" x14ac:dyDescent="0.35">
      <c r="A290"/>
      <c r="B290"/>
      <c r="C290"/>
    </row>
    <row r="291" spans="1:3" x14ac:dyDescent="0.35">
      <c r="A291"/>
      <c r="B291"/>
      <c r="C291"/>
    </row>
    <row r="292" spans="1:3" x14ac:dyDescent="0.35">
      <c r="A292"/>
      <c r="B292"/>
      <c r="C292"/>
    </row>
    <row r="293" spans="1:3" x14ac:dyDescent="0.35">
      <c r="A293"/>
      <c r="B293"/>
      <c r="C293"/>
    </row>
    <row r="294" spans="1:3" x14ac:dyDescent="0.35">
      <c r="A294"/>
      <c r="B294"/>
      <c r="C294"/>
    </row>
    <row r="295" spans="1:3" x14ac:dyDescent="0.35">
      <c r="A295"/>
      <c r="B295"/>
      <c r="C295"/>
    </row>
    <row r="296" spans="1:3" x14ac:dyDescent="0.35">
      <c r="A296"/>
      <c r="B296"/>
      <c r="C296"/>
    </row>
    <row r="297" spans="1:3" x14ac:dyDescent="0.35">
      <c r="A297"/>
      <c r="B297"/>
      <c r="C297"/>
    </row>
    <row r="298" spans="1:3" x14ac:dyDescent="0.35">
      <c r="A298"/>
      <c r="B298"/>
      <c r="C298"/>
    </row>
    <row r="299" spans="1:3" x14ac:dyDescent="0.35">
      <c r="A299"/>
      <c r="B299"/>
      <c r="C299"/>
    </row>
    <row r="300" spans="1:3" x14ac:dyDescent="0.35">
      <c r="A300"/>
      <c r="B300"/>
      <c r="C300"/>
    </row>
    <row r="301" spans="1:3" x14ac:dyDescent="0.35">
      <c r="A301"/>
      <c r="B301"/>
      <c r="C301"/>
    </row>
    <row r="302" spans="1:3" x14ac:dyDescent="0.35">
      <c r="A302"/>
      <c r="B302"/>
      <c r="C302"/>
    </row>
    <row r="303" spans="1:3" x14ac:dyDescent="0.35">
      <c r="A303"/>
      <c r="B303"/>
      <c r="C303"/>
    </row>
    <row r="304" spans="1:3" x14ac:dyDescent="0.35">
      <c r="A304"/>
      <c r="B304"/>
      <c r="C304"/>
    </row>
    <row r="305" spans="1:3" x14ac:dyDescent="0.35">
      <c r="A305"/>
      <c r="B305"/>
      <c r="C305"/>
    </row>
    <row r="306" spans="1:3" x14ac:dyDescent="0.35">
      <c r="A306"/>
      <c r="B306"/>
      <c r="C306"/>
    </row>
    <row r="307" spans="1:3" x14ac:dyDescent="0.35">
      <c r="A307"/>
      <c r="B307"/>
      <c r="C307"/>
    </row>
    <row r="308" spans="1:3" x14ac:dyDescent="0.35">
      <c r="A308"/>
      <c r="B308"/>
      <c r="C308"/>
    </row>
    <row r="309" spans="1:3" x14ac:dyDescent="0.35">
      <c r="A309"/>
      <c r="B309"/>
      <c r="C309"/>
    </row>
    <row r="310" spans="1:3" x14ac:dyDescent="0.35">
      <c r="A310"/>
      <c r="B310"/>
      <c r="C310"/>
    </row>
    <row r="311" spans="1:3" x14ac:dyDescent="0.35">
      <c r="A311"/>
      <c r="B311"/>
      <c r="C311"/>
    </row>
    <row r="312" spans="1:3" x14ac:dyDescent="0.35">
      <c r="A312"/>
      <c r="B312"/>
      <c r="C312"/>
    </row>
    <row r="313" spans="1:3" x14ac:dyDescent="0.35">
      <c r="A313"/>
      <c r="B313"/>
      <c r="C313"/>
    </row>
    <row r="314" spans="1:3" x14ac:dyDescent="0.35">
      <c r="A314"/>
      <c r="B314"/>
      <c r="C314"/>
    </row>
    <row r="315" spans="1:3" x14ac:dyDescent="0.35">
      <c r="A315"/>
      <c r="B315"/>
      <c r="C315"/>
    </row>
    <row r="316" spans="1:3" x14ac:dyDescent="0.35">
      <c r="A316"/>
      <c r="B316"/>
      <c r="C316"/>
    </row>
    <row r="317" spans="1:3" x14ac:dyDescent="0.35">
      <c r="A317"/>
      <c r="B317"/>
      <c r="C317"/>
    </row>
    <row r="318" spans="1:3" x14ac:dyDescent="0.35">
      <c r="A318"/>
      <c r="B318"/>
      <c r="C318"/>
    </row>
    <row r="319" spans="1:3" x14ac:dyDescent="0.35">
      <c r="A319"/>
      <c r="B319"/>
      <c r="C319"/>
    </row>
    <row r="320" spans="1:3" x14ac:dyDescent="0.35">
      <c r="A320"/>
      <c r="B320"/>
      <c r="C320"/>
    </row>
    <row r="321" spans="1:3" x14ac:dyDescent="0.35">
      <c r="A321"/>
      <c r="B321"/>
      <c r="C321"/>
    </row>
    <row r="322" spans="1:3" x14ac:dyDescent="0.35">
      <c r="A322"/>
      <c r="B322"/>
      <c r="C322"/>
    </row>
    <row r="323" spans="1:3" x14ac:dyDescent="0.35">
      <c r="A323"/>
      <c r="B323"/>
      <c r="C323"/>
    </row>
    <row r="324" spans="1:3" x14ac:dyDescent="0.35">
      <c r="A324"/>
      <c r="B324"/>
      <c r="C324"/>
    </row>
    <row r="325" spans="1:3" x14ac:dyDescent="0.35">
      <c r="A325"/>
      <c r="B325"/>
      <c r="C325"/>
    </row>
    <row r="326" spans="1:3" x14ac:dyDescent="0.35">
      <c r="A326"/>
      <c r="B326"/>
      <c r="C326"/>
    </row>
    <row r="327" spans="1:3" x14ac:dyDescent="0.35">
      <c r="A327"/>
      <c r="B327"/>
      <c r="C327"/>
    </row>
    <row r="328" spans="1:3" x14ac:dyDescent="0.35">
      <c r="A328"/>
      <c r="B328"/>
      <c r="C328"/>
    </row>
    <row r="329" spans="1:3" x14ac:dyDescent="0.35">
      <c r="A329"/>
      <c r="B329"/>
      <c r="C329"/>
    </row>
    <row r="330" spans="1:3" x14ac:dyDescent="0.35">
      <c r="A330"/>
      <c r="B330"/>
      <c r="C330"/>
    </row>
    <row r="331" spans="1:3" x14ac:dyDescent="0.35">
      <c r="A331"/>
      <c r="B331"/>
      <c r="C331"/>
    </row>
    <row r="332" spans="1:3" x14ac:dyDescent="0.35">
      <c r="A332"/>
      <c r="B332"/>
      <c r="C332"/>
    </row>
    <row r="333" spans="1:3" x14ac:dyDescent="0.35">
      <c r="A333"/>
      <c r="B333"/>
      <c r="C333"/>
    </row>
    <row r="334" spans="1:3" x14ac:dyDescent="0.35">
      <c r="A334"/>
      <c r="B334"/>
      <c r="C334"/>
    </row>
    <row r="335" spans="1:3" x14ac:dyDescent="0.35">
      <c r="A335"/>
      <c r="B335"/>
      <c r="C335"/>
    </row>
    <row r="336" spans="1:3" x14ac:dyDescent="0.35">
      <c r="A336"/>
      <c r="B336"/>
      <c r="C336"/>
    </row>
    <row r="337" spans="1:3" x14ac:dyDescent="0.35">
      <c r="A337"/>
      <c r="B337"/>
      <c r="C337"/>
    </row>
    <row r="338" spans="1:3" x14ac:dyDescent="0.35">
      <c r="A338"/>
      <c r="B338"/>
      <c r="C338"/>
    </row>
    <row r="339" spans="1:3" x14ac:dyDescent="0.35">
      <c r="A339"/>
      <c r="B339"/>
      <c r="C339"/>
    </row>
    <row r="340" spans="1:3" x14ac:dyDescent="0.35">
      <c r="A340"/>
      <c r="B340"/>
      <c r="C340"/>
    </row>
    <row r="341" spans="1:3" x14ac:dyDescent="0.35">
      <c r="A341"/>
      <c r="B341"/>
      <c r="C341"/>
    </row>
    <row r="342" spans="1:3" x14ac:dyDescent="0.35">
      <c r="A342"/>
      <c r="B342"/>
      <c r="C342"/>
    </row>
    <row r="343" spans="1:3" x14ac:dyDescent="0.35">
      <c r="A343"/>
      <c r="B343"/>
      <c r="C343"/>
    </row>
    <row r="344" spans="1:3" x14ac:dyDescent="0.35">
      <c r="A344"/>
      <c r="B344"/>
      <c r="C344"/>
    </row>
    <row r="345" spans="1:3" x14ac:dyDescent="0.35">
      <c r="A345"/>
      <c r="B345"/>
      <c r="C345"/>
    </row>
    <row r="346" spans="1:3" x14ac:dyDescent="0.35">
      <c r="A346"/>
      <c r="B346"/>
      <c r="C346"/>
    </row>
    <row r="347" spans="1:3" x14ac:dyDescent="0.35">
      <c r="A347"/>
      <c r="B347"/>
      <c r="C347"/>
    </row>
    <row r="348" spans="1:3" x14ac:dyDescent="0.35">
      <c r="A348"/>
      <c r="B348"/>
      <c r="C348"/>
    </row>
    <row r="349" spans="1:3" x14ac:dyDescent="0.35">
      <c r="A349"/>
      <c r="B349"/>
      <c r="C349"/>
    </row>
    <row r="350" spans="1:3" x14ac:dyDescent="0.35">
      <c r="A350"/>
      <c r="B350"/>
      <c r="C350"/>
    </row>
    <row r="351" spans="1:3" x14ac:dyDescent="0.35">
      <c r="A351"/>
      <c r="B351"/>
      <c r="C351"/>
    </row>
    <row r="352" spans="1:3" x14ac:dyDescent="0.35">
      <c r="A352"/>
      <c r="B352"/>
      <c r="C352"/>
    </row>
    <row r="353" spans="1:3" x14ac:dyDescent="0.35">
      <c r="A353"/>
      <c r="B353"/>
      <c r="C353"/>
    </row>
    <row r="354" spans="1:3" x14ac:dyDescent="0.35">
      <c r="A354"/>
      <c r="B354"/>
      <c r="C354"/>
    </row>
    <row r="355" spans="1:3" x14ac:dyDescent="0.35">
      <c r="A355"/>
      <c r="B355"/>
      <c r="C355"/>
    </row>
    <row r="356" spans="1:3" x14ac:dyDescent="0.35">
      <c r="A356"/>
      <c r="B356"/>
      <c r="C356"/>
    </row>
    <row r="357" spans="1:3" x14ac:dyDescent="0.35">
      <c r="A357"/>
      <c r="B357"/>
      <c r="C357"/>
    </row>
    <row r="358" spans="1:3" x14ac:dyDescent="0.35">
      <c r="A358"/>
      <c r="B358"/>
      <c r="C358"/>
    </row>
    <row r="359" spans="1:3" x14ac:dyDescent="0.35">
      <c r="A359"/>
      <c r="B359"/>
      <c r="C359"/>
    </row>
    <row r="360" spans="1:3" x14ac:dyDescent="0.35">
      <c r="A360"/>
      <c r="B360"/>
      <c r="C360"/>
    </row>
    <row r="361" spans="1:3" x14ac:dyDescent="0.35">
      <c r="A361"/>
      <c r="B361"/>
      <c r="C361"/>
    </row>
    <row r="362" spans="1:3" x14ac:dyDescent="0.35">
      <c r="A362"/>
      <c r="B362"/>
      <c r="C362"/>
    </row>
    <row r="363" spans="1:3" x14ac:dyDescent="0.35">
      <c r="A363"/>
      <c r="B363"/>
      <c r="C363"/>
    </row>
    <row r="364" spans="1:3" x14ac:dyDescent="0.35">
      <c r="A364"/>
      <c r="B364"/>
      <c r="C364"/>
    </row>
    <row r="365" spans="1:3" x14ac:dyDescent="0.35">
      <c r="A365"/>
      <c r="B365"/>
      <c r="C365"/>
    </row>
    <row r="366" spans="1:3" x14ac:dyDescent="0.35">
      <c r="A366"/>
      <c r="B366"/>
      <c r="C366"/>
    </row>
    <row r="367" spans="1:3" x14ac:dyDescent="0.35">
      <c r="A367"/>
      <c r="B367"/>
      <c r="C367"/>
    </row>
    <row r="368" spans="1:3" x14ac:dyDescent="0.35">
      <c r="A368"/>
      <c r="B368"/>
      <c r="C368"/>
    </row>
    <row r="369" spans="1:3" x14ac:dyDescent="0.35">
      <c r="A369"/>
      <c r="B369"/>
      <c r="C369"/>
    </row>
    <row r="370" spans="1:3" x14ac:dyDescent="0.35">
      <c r="A370"/>
      <c r="B370"/>
      <c r="C370"/>
    </row>
    <row r="371" spans="1:3" x14ac:dyDescent="0.35">
      <c r="A371"/>
      <c r="B371"/>
      <c r="C371"/>
    </row>
    <row r="372" spans="1:3" x14ac:dyDescent="0.35">
      <c r="A372"/>
      <c r="B372"/>
      <c r="C372"/>
    </row>
    <row r="373" spans="1:3" x14ac:dyDescent="0.35">
      <c r="A373"/>
      <c r="B373"/>
      <c r="C373"/>
    </row>
    <row r="374" spans="1:3" x14ac:dyDescent="0.35">
      <c r="A374"/>
      <c r="B374"/>
      <c r="C374"/>
    </row>
    <row r="375" spans="1:3" x14ac:dyDescent="0.35">
      <c r="A375"/>
      <c r="B375"/>
      <c r="C375"/>
    </row>
    <row r="376" spans="1:3" x14ac:dyDescent="0.35">
      <c r="A376"/>
      <c r="B376"/>
      <c r="C376"/>
    </row>
    <row r="377" spans="1:3" x14ac:dyDescent="0.35">
      <c r="A377"/>
      <c r="B377"/>
      <c r="C377"/>
    </row>
    <row r="378" spans="1:3" x14ac:dyDescent="0.35">
      <c r="A378"/>
      <c r="B378"/>
      <c r="C378"/>
    </row>
    <row r="379" spans="1:3" x14ac:dyDescent="0.35">
      <c r="A379"/>
      <c r="B379"/>
      <c r="C379"/>
    </row>
    <row r="380" spans="1:3" x14ac:dyDescent="0.35">
      <c r="A380"/>
      <c r="B380"/>
      <c r="C380"/>
    </row>
    <row r="381" spans="1:3" x14ac:dyDescent="0.35">
      <c r="A381"/>
      <c r="B381"/>
      <c r="C381"/>
    </row>
    <row r="382" spans="1:3" x14ac:dyDescent="0.35">
      <c r="A382"/>
      <c r="B382"/>
      <c r="C382"/>
    </row>
    <row r="383" spans="1:3" x14ac:dyDescent="0.35">
      <c r="A383"/>
      <c r="B383"/>
      <c r="C383"/>
    </row>
    <row r="384" spans="1:3" x14ac:dyDescent="0.35">
      <c r="A384"/>
      <c r="B384"/>
      <c r="C384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I18" sqref="I18"/>
    </sheetView>
  </sheetViews>
  <sheetFormatPr baseColWidth="10" defaultRowHeight="14.5" x14ac:dyDescent="0.35"/>
  <sheetData>
    <row r="1" spans="1:8" x14ac:dyDescent="0.35">
      <c r="A1" s="90" t="s">
        <v>9</v>
      </c>
      <c r="B1" s="91" t="s">
        <v>332</v>
      </c>
      <c r="D1" s="90" t="s">
        <v>9</v>
      </c>
      <c r="E1" s="91" t="s">
        <v>332</v>
      </c>
      <c r="G1" s="90" t="s">
        <v>9</v>
      </c>
      <c r="H1" s="91" t="s">
        <v>332</v>
      </c>
    </row>
    <row r="2" spans="1:8" x14ac:dyDescent="0.35">
      <c r="A2" s="100"/>
      <c r="B2" s="101"/>
      <c r="D2" s="100"/>
      <c r="E2" s="101"/>
      <c r="G2" s="100">
        <v>3567637</v>
      </c>
      <c r="H2" s="101">
        <v>1390218</v>
      </c>
    </row>
    <row r="3" spans="1:8" x14ac:dyDescent="0.35">
      <c r="A3" s="100"/>
      <c r="B3" s="101"/>
      <c r="D3" s="100"/>
      <c r="E3" s="101"/>
      <c r="G3" s="100">
        <v>3567638</v>
      </c>
      <c r="H3" s="101">
        <v>1390219</v>
      </c>
    </row>
    <row r="4" spans="1:8" x14ac:dyDescent="0.35">
      <c r="A4" s="100"/>
      <c r="B4" s="101"/>
      <c r="D4" s="100"/>
      <c r="E4" s="101"/>
      <c r="G4" s="100">
        <v>3567639</v>
      </c>
      <c r="H4" s="101">
        <v>1390220</v>
      </c>
    </row>
    <row r="5" spans="1:8" x14ac:dyDescent="0.35">
      <c r="D5" s="100"/>
      <c r="E5" s="101"/>
    </row>
    <row r="6" spans="1:8" x14ac:dyDescent="0.35">
      <c r="D6" s="100"/>
      <c r="E6" s="101"/>
    </row>
    <row r="7" spans="1:8" x14ac:dyDescent="0.35">
      <c r="D7" s="100"/>
      <c r="E7" s="101"/>
    </row>
    <row r="8" spans="1:8" x14ac:dyDescent="0.35">
      <c r="D8" s="100"/>
      <c r="E8" s="101"/>
    </row>
    <row r="9" spans="1:8" x14ac:dyDescent="0.35">
      <c r="D9" s="100"/>
      <c r="E9" s="10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ENTRADAS</vt:lpstr>
      <vt:lpstr>SALIDAS</vt:lpstr>
      <vt:lpstr>INVENTARIO</vt:lpstr>
      <vt:lpstr>Hoja3</vt:lpstr>
      <vt:lpstr>CONSOLIDADO</vt:lpstr>
      <vt:lpstr>FACTURAS X REGIÓN</vt:lpstr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Usuario</cp:lastModifiedBy>
  <cp:lastPrinted>2026-03-18T21:15:19Z</cp:lastPrinted>
  <dcterms:created xsi:type="dcterms:W3CDTF">2015-06-05T18:19:34Z</dcterms:created>
  <dcterms:modified xsi:type="dcterms:W3CDTF">2026-03-20T19:17:03Z</dcterms:modified>
</cp:coreProperties>
</file>